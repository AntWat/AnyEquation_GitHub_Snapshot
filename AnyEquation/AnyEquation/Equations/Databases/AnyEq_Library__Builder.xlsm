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3.xml" ContentType="application/vnd.openxmlformats-officedocument.spreadsheetml.comments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w\Source\Repos\AnyEquation\AnyEquation\AnyEquation\Equations\Databases\"/>
    </mc:Choice>
  </mc:AlternateContent>
  <xr:revisionPtr revIDLastSave="0" documentId="13_ncr:1_{DA276453-8683-4A8A-8608-65410E0447A4}" xr6:coauthVersionLast="28" xr6:coauthVersionMax="28" xr10:uidLastSave="{00000000-0000-0000-0000-000000000000}"/>
  <bookViews>
    <workbookView xWindow="0" yWindow="0" windowWidth="19200" windowHeight="8115" tabRatio="735" firstSheet="1" activeTab="3" xr2:uid="{00000000-000D-0000-FFFF-FFFF00000000}"/>
  </bookViews>
  <sheets>
    <sheet name="Master" sheetId="8" r:id="rId1"/>
    <sheet name="AnyEq_Equations1" sheetId="1" r:id="rId2"/>
    <sheet name="AntEq_Data1" sheetId="10" r:id="rId3"/>
    <sheet name="AntEq_Data2" sheetId="11" r:id="rId4"/>
    <sheet name="AnyEq_Constants1" sheetId="6" r:id="rId5"/>
    <sheet name="AnyEq_Info" sheetId="2" r:id="rId6"/>
    <sheet name="AnyEq_References1" sheetId="4" r:id="rId7"/>
    <sheet name="AnyEq_Uom1" sheetId="7" r:id="rId8"/>
    <sheet name="AnyEq_ParamTypes1" sheetId="5" r:id="rId9"/>
    <sheet name="UOMSet_British" sheetId="9" r:id="rId10"/>
    <sheet name="Links" sheetId="3" r:id="rId11"/>
  </sheets>
  <definedNames>
    <definedName name="rngFilenames">Master!$B$12:$B$57</definedName>
  </definedNames>
  <calcPr calcId="171027"/>
</workbook>
</file>

<file path=xl/calcChain.xml><?xml version="1.0" encoding="utf-8"?>
<calcChain xmlns="http://schemas.openxmlformats.org/spreadsheetml/2006/main">
  <c r="B52" i="2" l="1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B8" i="2"/>
  <c r="A8" i="2"/>
  <c r="B7" i="2"/>
  <c r="A7" i="2"/>
  <c r="B6" i="2"/>
  <c r="A6" i="2"/>
  <c r="B5" i="2"/>
  <c r="A5" i="2"/>
  <c r="B4" i="2"/>
  <c r="A4" i="2"/>
  <c r="B3" i="2"/>
  <c r="A3" i="2"/>
  <c r="B2" i="2"/>
  <c r="A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Antw</author>
  </authors>
  <commentList>
    <comment ref="B1" authorId="0" shapeId="0" xr:uid="{EE8B1201-22F0-40C7-A096-2F6807F43AA6}">
      <text>
        <r>
          <rPr>
            <b/>
            <sz val="9"/>
            <color indexed="81"/>
            <rFont val="Tahoma"/>
            <charset val="1"/>
          </rPr>
          <t>Antw:</t>
        </r>
        <r>
          <rPr>
            <sz val="9"/>
            <color indexed="81"/>
            <rFont val="Tahoma"/>
            <charset val="1"/>
          </rPr>
          <t xml:space="preserve">
0=unknown, 
1=ok, 
anything else=Bad (do not use)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Antw</author>
  </authors>
  <commentList>
    <comment ref="B1" authorId="0" shapeId="0" xr:uid="{97FC5155-80E7-4EF9-8B40-9E73F1D2C1BF}">
      <text>
        <r>
          <rPr>
            <b/>
            <sz val="9"/>
            <color indexed="81"/>
            <rFont val="Tahoma"/>
            <charset val="1"/>
          </rPr>
          <t>Antw:</t>
        </r>
        <r>
          <rPr>
            <sz val="9"/>
            <color indexed="81"/>
            <rFont val="Tahoma"/>
            <charset val="1"/>
          </rPr>
          <t xml:space="preserve">
0=unknown, 
1=ok, 
anything else=Bad (do not use)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Antw</author>
  </authors>
  <commentList>
    <comment ref="B1" authorId="0" shapeId="0" xr:uid="{CCDA989C-4F33-4262-BF05-1E5413C4914B}">
      <text>
        <r>
          <rPr>
            <b/>
            <sz val="9"/>
            <color indexed="81"/>
            <rFont val="Tahoma"/>
            <charset val="1"/>
          </rPr>
          <t>Antw:</t>
        </r>
        <r>
          <rPr>
            <sz val="9"/>
            <color indexed="81"/>
            <rFont val="Tahoma"/>
            <charset val="1"/>
          </rPr>
          <t xml:space="preserve">
0=unknown, 
1=ok, 
anything else=Bad (do not use)</t>
        </r>
      </text>
    </comment>
  </commentList>
</comments>
</file>

<file path=xl/sharedStrings.xml><?xml version="1.0" encoding="utf-8"?>
<sst xmlns="http://schemas.openxmlformats.org/spreadsheetml/2006/main" count="2062" uniqueCount="868">
  <si>
    <t>Status</t>
  </si>
  <si>
    <t>SectionNode</t>
  </si>
  <si>
    <t>EquationName</t>
  </si>
  <si>
    <t>Description</t>
  </si>
  <si>
    <t>EquationAsText</t>
  </si>
  <si>
    <t>TestCalulation</t>
  </si>
  <si>
    <t>TestInput1</t>
  </si>
  <si>
    <t>ResultVariable</t>
  </si>
  <si>
    <t>InputVariable1</t>
  </si>
  <si>
    <t>InputVariable2</t>
  </si>
  <si>
    <t>InputVariable3</t>
  </si>
  <si>
    <t>InputVariable4</t>
  </si>
  <si>
    <t>InputVariable5</t>
  </si>
  <si>
    <t>InputVariable6</t>
  </si>
  <si>
    <t>InputVariable7</t>
  </si>
  <si>
    <t>InputVariable8</t>
  </si>
  <si>
    <t>InputVariable9</t>
  </si>
  <si>
    <t>TestInput2</t>
  </si>
  <si>
    <t>TestInput3</t>
  </si>
  <si>
    <t>TestInput4</t>
  </si>
  <si>
    <t>TestInput5</t>
  </si>
  <si>
    <t>TestInput6</t>
  </si>
  <si>
    <t>TestInput7</t>
  </si>
  <si>
    <t>TestInput8</t>
  </si>
  <si>
    <t>TestInput9</t>
  </si>
  <si>
    <t>PackageName</t>
  </si>
  <si>
    <t>LibraryName</t>
  </si>
  <si>
    <t>LibraryDescription</t>
  </si>
  <si>
    <t>EquationLibraryName</t>
  </si>
  <si>
    <t>EquationLibraryDescription</t>
  </si>
  <si>
    <t>CsvFormatNumber</t>
  </si>
  <si>
    <t>1.0.0.0</t>
  </si>
  <si>
    <t>Key</t>
  </si>
  <si>
    <t>Value</t>
  </si>
  <si>
    <t>https://sites.google.com/site/urbangeekclassroomsg/using-word-documents/table-of-formulae</t>
  </si>
  <si>
    <t>Average</t>
  </si>
  <si>
    <t>y = (x1 + x2)/2</t>
  </si>
  <si>
    <t>Maths</t>
  </si>
  <si>
    <t>F=m*a</t>
  </si>
  <si>
    <t>Weight in gravity</t>
  </si>
  <si>
    <t>tau=F*d</t>
  </si>
  <si>
    <t>Moment of a force (N.m)</t>
  </si>
  <si>
    <t>W=F*d</t>
  </si>
  <si>
    <t>Kinetic energy</t>
  </si>
  <si>
    <t>Potential energy</t>
  </si>
  <si>
    <t>Efficiency</t>
  </si>
  <si>
    <t>P=W/t</t>
  </si>
  <si>
    <t>P=F/A</t>
  </si>
  <si>
    <t>Liquid pressure</t>
  </si>
  <si>
    <t>Ideal gas law</t>
  </si>
  <si>
    <t>Latent heat</t>
  </si>
  <si>
    <t>Heat Exchanger</t>
  </si>
  <si>
    <t>Wave equation</t>
  </si>
  <si>
    <t>v=f*lambda</t>
  </si>
  <si>
    <t>f=1/T</t>
  </si>
  <si>
    <t>Refractive index</t>
  </si>
  <si>
    <t>n=c/v</t>
  </si>
  <si>
    <t>n=sin(i)/sin(r)</t>
  </si>
  <si>
    <t>Critical angle</t>
  </si>
  <si>
    <t>sin(c)=1/n</t>
  </si>
  <si>
    <t>Amount of charge</t>
  </si>
  <si>
    <t>Q=I*t</t>
  </si>
  <si>
    <t>Ohm's law</t>
  </si>
  <si>
    <t>V=I*R</t>
  </si>
  <si>
    <t>Potential difference</t>
  </si>
  <si>
    <t>V=W/Q</t>
  </si>
  <si>
    <t>Electrical power</t>
  </si>
  <si>
    <t>P=V*I</t>
  </si>
  <si>
    <t>P=I^2*R</t>
  </si>
  <si>
    <t>Electrical energy</t>
  </si>
  <si>
    <t>E=V*I*t</t>
  </si>
  <si>
    <t>Resistance in a wire</t>
  </si>
  <si>
    <t>Transformer</t>
  </si>
  <si>
    <t>(Np/Ns)=(Vp/Vs)=(Is/Ip)</t>
  </si>
  <si>
    <t>Darcy Weisbach formula: Head loss in a pipe</t>
  </si>
  <si>
    <t>https://www.engineeringcivil.com/commonly-used-formula-in-hydraulics.html</t>
  </si>
  <si>
    <t>Chezy Formula</t>
  </si>
  <si>
    <t>Manning’s Formula</t>
  </si>
  <si>
    <t>Hazen Williams Formula</t>
  </si>
  <si>
    <t>v=ds/dt</t>
  </si>
  <si>
    <t>a=dv/dt</t>
  </si>
  <si>
    <t>https://physics.info/equations/</t>
  </si>
  <si>
    <t>Universal gravitation</t>
  </si>
  <si>
    <t>Orbital speed</t>
  </si>
  <si>
    <t>http://www.dummies.com/education/science/physics/physics-i-for-dummies-cheat-sheet/</t>
  </si>
  <si>
    <t>https://www.engineering.com/Library/ArticlesPage/tabid/85/ArticleID/140/Symbols-and-Formulas.aspx</t>
  </si>
  <si>
    <t>s = v0*t + 0.5*a*t^2</t>
  </si>
  <si>
    <t>v:Velocity:velocity</t>
  </si>
  <si>
    <t>ds:Distance travelled:length</t>
  </si>
  <si>
    <t>dt:Time taken:time</t>
  </si>
  <si>
    <t>a:Acceleration:acceleration linear</t>
  </si>
  <si>
    <t>dv:Velocity change:velocity</t>
  </si>
  <si>
    <t>v = v0 + a*t</t>
  </si>
  <si>
    <t>v:Final Velocity:velocity</t>
  </si>
  <si>
    <t>t:Time:time</t>
  </si>
  <si>
    <t>s:Distance:length</t>
  </si>
  <si>
    <t>v0:Initial Velocity:velocity</t>
  </si>
  <si>
    <t>Final Velocity</t>
  </si>
  <si>
    <t>v^2 = v0^2 + 2*a*s</t>
  </si>
  <si>
    <t>Velocity from distance and acceleration</t>
  </si>
  <si>
    <t>F:Force:force</t>
  </si>
  <si>
    <t>m:Mass:mass</t>
  </si>
  <si>
    <t>W:Weight:force</t>
  </si>
  <si>
    <t>g:Acceleration due to gravity:acceleration linear</t>
  </si>
  <si>
    <t>A:Area:area</t>
  </si>
  <si>
    <t>P:Pressure:pressure</t>
  </si>
  <si>
    <t>W:Work:work</t>
  </si>
  <si>
    <t>P:Power:power</t>
  </si>
  <si>
    <t>ρ:Density:density</t>
  </si>
  <si>
    <t>d:Distance:length</t>
  </si>
  <si>
    <t>E:Kinetic energy:energy</t>
  </si>
  <si>
    <t>E=(1/2)*m*(v^2)</t>
  </si>
  <si>
    <t>h:Height:length</t>
  </si>
  <si>
    <t>Rotation</t>
  </si>
  <si>
    <t>Gravitational field</t>
  </si>
  <si>
    <t>TODO</t>
  </si>
  <si>
    <t>hooke's law</t>
  </si>
  <si>
    <t>elastic p.e.</t>
  </si>
  <si>
    <t>s.h.o.</t>
  </si>
  <si>
    <t>simple pendulum</t>
  </si>
  <si>
    <t>Properties</t>
  </si>
  <si>
    <t>Density</t>
  </si>
  <si>
    <t>ρ=m/V</t>
  </si>
  <si>
    <t>V:Volume:volume</t>
  </si>
  <si>
    <t>Bouyancy</t>
  </si>
  <si>
    <t>B:Bouyancy:force</t>
  </si>
  <si>
    <t>ρ1*A1*v1=ρ2*A2*v2</t>
  </si>
  <si>
    <t>ρ1:Density1:density</t>
  </si>
  <si>
    <t>v1:Velocity1:velocity</t>
  </si>
  <si>
    <t>ρ2:Density2:density</t>
  </si>
  <si>
    <t>v2:Velocity2:velocity</t>
  </si>
  <si>
    <t>Mass continuity</t>
  </si>
  <si>
    <t>dynamic viscosity</t>
  </si>
  <si>
    <t>kinematic viscosity</t>
  </si>
  <si>
    <t>drag</t>
  </si>
  <si>
    <t>reynolds number</t>
  </si>
  <si>
    <t>Mach number</t>
  </si>
  <si>
    <t>froude number</t>
  </si>
  <si>
    <t>young's modulus</t>
  </si>
  <si>
    <t>shear modulus</t>
  </si>
  <si>
    <t>bulk modulus</t>
  </si>
  <si>
    <t>surface tension</t>
  </si>
  <si>
    <t>solid expansion</t>
  </si>
  <si>
    <t>liquid expansion</t>
  </si>
  <si>
    <t>sensible heat</t>
  </si>
  <si>
    <t>latent heat</t>
  </si>
  <si>
    <t>thermal conduction</t>
  </si>
  <si>
    <t>stefan-boltzmann law</t>
  </si>
  <si>
    <t>wien displacement law</t>
  </si>
  <si>
    <t>internal energy</t>
  </si>
  <si>
    <t>thermodynamic work</t>
  </si>
  <si>
    <t>1st law of thermo.</t>
  </si>
  <si>
    <t>entropy</t>
  </si>
  <si>
    <t>efficiency</t>
  </si>
  <si>
    <t>c.o.p.</t>
  </si>
  <si>
    <t>Waves &amp; Optics</t>
  </si>
  <si>
    <t>Q=U*A*LogMeanDifference(Thi,Tco,Tho,Tci)</t>
  </si>
  <si>
    <t>Heat required for temperature change</t>
  </si>
  <si>
    <t>Heat flow required for temperature change</t>
  </si>
  <si>
    <t>q=m*l</t>
  </si>
  <si>
    <t>l:Latent heat of vaporisation:specific energy</t>
  </si>
  <si>
    <t>q:Heat:energy</t>
  </si>
  <si>
    <t>cp:Mass specific heat capacity:specific heat capacity</t>
  </si>
  <si>
    <t>T1:Start temperature:temperature</t>
  </si>
  <si>
    <t>Q:Heat flow:heat flow rate</t>
  </si>
  <si>
    <t>M:Mass flow rate:mass flow rate</t>
  </si>
  <si>
    <t>Ti:Inlet temperature:temperature</t>
  </si>
  <si>
    <t>To:Outlet temperature:temperature</t>
  </si>
  <si>
    <t>U:Overall heat transfer coefficient:heat transfer coefficient</t>
  </si>
  <si>
    <t>A:Heat transfer Area:area</t>
  </si>
  <si>
    <t>Thi:Hot stream Inlet temperature:temperature</t>
  </si>
  <si>
    <t>Tco:Cold stream Outlet temperature:temperature</t>
  </si>
  <si>
    <t>Tho:Hot stream outlet temperature:temperature</t>
  </si>
  <si>
    <t>Tci:Cold steam Inlet temperature:temperature</t>
  </si>
  <si>
    <t>Electricity &amp; Magnetism</t>
  </si>
  <si>
    <t>Hydraulics</t>
  </si>
  <si>
    <t>Modern Physics</t>
  </si>
  <si>
    <t>Fluid Mechanics</t>
  </si>
  <si>
    <t>AnyEquations.EquationLibrary</t>
  </si>
  <si>
    <t>Common equations</t>
  </si>
  <si>
    <t>y::</t>
  </si>
  <si>
    <t>x1::</t>
  </si>
  <si>
    <t>x2::</t>
  </si>
  <si>
    <t>r::</t>
  </si>
  <si>
    <t>n::</t>
  </si>
  <si>
    <t>c::</t>
  </si>
  <si>
    <t>i::</t>
  </si>
  <si>
    <t>W::</t>
  </si>
  <si>
    <t>T::</t>
  </si>
  <si>
    <t>Np::</t>
  </si>
  <si>
    <t>Ns::</t>
  </si>
  <si>
    <t>Vp::</t>
  </si>
  <si>
    <t>Vs::</t>
  </si>
  <si>
    <t>Is::</t>
  </si>
  <si>
    <t>Ip::</t>
  </si>
  <si>
    <t>f::</t>
  </si>
  <si>
    <t>lambda::</t>
  </si>
  <si>
    <t>T2:Finish temperature:temperature</t>
  </si>
  <si>
    <t>r:distance to centre of gravity:length</t>
  </si>
  <si>
    <t>r:distance between centres of gravity:length</t>
  </si>
  <si>
    <t>V:electric potential:electric potential</t>
  </si>
  <si>
    <t>I:electric current:electric current</t>
  </si>
  <si>
    <t>Q:electric charge:electric charge</t>
  </si>
  <si>
    <t>R:Resistance:resistance</t>
  </si>
  <si>
    <t>A:Cross-sectional area of wire:area</t>
  </si>
  <si>
    <t>E:Electrical energy:energy</t>
  </si>
  <si>
    <t>V:Volume of displaced liquid:volume</t>
  </si>
  <si>
    <t>ρ:Density of liquid:density</t>
  </si>
  <si>
    <t>Test</t>
  </si>
  <si>
    <t>F=m*T</t>
  </si>
  <si>
    <t>Test: Mismatched dimensions</t>
  </si>
  <si>
    <t>T:Finish temperature:temperature</t>
  </si>
  <si>
    <t>Electricity</t>
  </si>
  <si>
    <t>Bernoulli's equation</t>
  </si>
  <si>
    <t>g::</t>
  </si>
  <si>
    <t>Silly1</t>
  </si>
  <si>
    <t>a*b*c*d*e + f*g*h*i*j = k/l</t>
  </si>
  <si>
    <t>a::</t>
  </si>
  <si>
    <t>b::</t>
  </si>
  <si>
    <t>d::</t>
  </si>
  <si>
    <t>e::</t>
  </si>
  <si>
    <t>h::</t>
  </si>
  <si>
    <t>j::</t>
  </si>
  <si>
    <t>k::</t>
  </si>
  <si>
    <t>l::</t>
  </si>
  <si>
    <t>Volume of a sphere</t>
  </si>
  <si>
    <t>V=(4/3)*PI*r^3</t>
  </si>
  <si>
    <t>r:Radius:Length</t>
  </si>
  <si>
    <t>q=m*cp*(T2-T1)</t>
  </si>
  <si>
    <t>Ratio</t>
  </si>
  <si>
    <t>y=x1/x2</t>
  </si>
  <si>
    <t>Binomial Probability</t>
  </si>
  <si>
    <t>Binomial Probability (order doesn’t matter)</t>
  </si>
  <si>
    <t>Pk:binomial probability of k successes in n trials:</t>
  </si>
  <si>
    <t>Pk=(Factorial(n)*(p^k)*((1-p)^(n-k)))/(Factorial(k)*Factorial(n-k))</t>
  </si>
  <si>
    <t>p:probability of a success:</t>
  </si>
  <si>
    <t>k:number of successes:</t>
  </si>
  <si>
    <t>n:number of trials:</t>
  </si>
  <si>
    <t>Conditional Probability</t>
  </si>
  <si>
    <t>Plane Geometry&gt;Circle</t>
  </si>
  <si>
    <t>r:Radius:length</t>
  </si>
  <si>
    <t>A=PI*r^2</t>
  </si>
  <si>
    <t>Plane Geometry&gt;Ellipse</t>
  </si>
  <si>
    <t>Plane Geometry&gt;Rectangle</t>
  </si>
  <si>
    <t>P=(2*a)+(2*b)</t>
  </si>
  <si>
    <t>P:Perimeter:length</t>
  </si>
  <si>
    <t>A=a*b</t>
  </si>
  <si>
    <t>Plane Geometry&gt;Parallelogram</t>
  </si>
  <si>
    <t>A=PI*(h/2)*(w/2)</t>
  </si>
  <si>
    <t>w:Width:length</t>
  </si>
  <si>
    <t>A=b*h</t>
  </si>
  <si>
    <t>Plane Geometry&gt;Triangle</t>
  </si>
  <si>
    <t>Index</t>
  </si>
  <si>
    <t>Name</t>
  </si>
  <si>
    <t>URL</t>
  </si>
  <si>
    <t>Blindingly obvious</t>
  </si>
  <si>
    <t>PLTW Engineering Formula Sheet</t>
  </si>
  <si>
    <t>A=(1/2)*b*h</t>
  </si>
  <si>
    <r>
      <t>a^2=b^2+c^2-(2*b*c*COS(</t>
    </r>
    <r>
      <rPr>
        <sz val="11"/>
        <color theme="1"/>
        <rFont val="Calibri"/>
        <family val="2"/>
      </rPr>
      <t>θbc</t>
    </r>
    <r>
      <rPr>
        <sz val="11"/>
        <color theme="1"/>
        <rFont val="Calibri"/>
        <family val="2"/>
        <scheme val="minor"/>
      </rPr>
      <t>))</t>
    </r>
  </si>
  <si>
    <t>c:Side:length</t>
  </si>
  <si>
    <t>θbc:Angle between sides b and c:plane angle</t>
  </si>
  <si>
    <t>c^2=a^2+b^2</t>
  </si>
  <si>
    <t>Pythagorus theorem</t>
  </si>
  <si>
    <t>c:Hypotenuse:length</t>
  </si>
  <si>
    <t>COS(θbc)=b/c</t>
  </si>
  <si>
    <t>TAN(θbc)=a/b</t>
  </si>
  <si>
    <t>Sine</t>
  </si>
  <si>
    <t>Cosine</t>
  </si>
  <si>
    <t>Tangent</t>
  </si>
  <si>
    <t>Plane Geometry&gt;Right-angle Triangle</t>
  </si>
  <si>
    <t>Plane Geometry&gt;Regular polygon</t>
  </si>
  <si>
    <t>A=n*(l*r)/2</t>
  </si>
  <si>
    <t>l:Length of a side:length</t>
  </si>
  <si>
    <t>r:Radius of largest circle within shape:length</t>
  </si>
  <si>
    <t>P=n*l</t>
  </si>
  <si>
    <t>Plane Geometry&gt;Trapezoid</t>
  </si>
  <si>
    <t>A=(1/2)*(a+b)*h</t>
  </si>
  <si>
    <t>Popularity</t>
  </si>
  <si>
    <t>Group</t>
  </si>
  <si>
    <t>BaseUOM</t>
  </si>
  <si>
    <t>ParsedUOM</t>
  </si>
  <si>
    <t>Dim_Mass</t>
  </si>
  <si>
    <t>Dim_Length</t>
  </si>
  <si>
    <t>Dim_Time</t>
  </si>
  <si>
    <t>Dim_ElectricCurrent</t>
  </si>
  <si>
    <t>Dim_Temperature</t>
  </si>
  <si>
    <t>Dim_QuantityOfSubstance</t>
  </si>
  <si>
    <t>Dim_Luminosity</t>
  </si>
  <si>
    <t>Dim_PlaneAngle</t>
  </si>
  <si>
    <t>Dim_SolidAngle</t>
  </si>
  <si>
    <t>Dim_Currency</t>
  </si>
  <si>
    <t>gravitational constant</t>
  </si>
  <si>
    <t>ParamType</t>
  </si>
  <si>
    <t>UnitSet</t>
  </si>
  <si>
    <t>Gravitational Constant</t>
  </si>
  <si>
    <t>SI</t>
  </si>
  <si>
    <t>Acceleration due to gravity</t>
  </si>
  <si>
    <t>acceleration linear</t>
  </si>
  <si>
    <t>ReferencesFile1</t>
  </si>
  <si>
    <t>ReferencesFile2</t>
  </si>
  <si>
    <t>ReferencesFile3</t>
  </si>
  <si>
    <t>ReferencesFile4</t>
  </si>
  <si>
    <t>ReferencesFile5</t>
  </si>
  <si>
    <t>ReferencesFile6</t>
  </si>
  <si>
    <t>ReferencesFile7</t>
  </si>
  <si>
    <t>ReferencesFile8</t>
  </si>
  <si>
    <t>ReferencesFile9</t>
  </si>
  <si>
    <t>ParamTypesFile1</t>
  </si>
  <si>
    <t>ParamTypesFile2</t>
  </si>
  <si>
    <t>ParamTypesFile3</t>
  </si>
  <si>
    <t>ParamTypesFile4</t>
  </si>
  <si>
    <t>ParamTypesFile5</t>
  </si>
  <si>
    <t>ParamTypesFile6</t>
  </si>
  <si>
    <t>ParamTypesFile7</t>
  </si>
  <si>
    <t>ParamTypesFile8</t>
  </si>
  <si>
    <t>ParamTypesFile9</t>
  </si>
  <si>
    <t>UomFile1</t>
  </si>
  <si>
    <t>UomFile2</t>
  </si>
  <si>
    <t>UomFile3</t>
  </si>
  <si>
    <t>UomFile4</t>
  </si>
  <si>
    <t>UomFile5</t>
  </si>
  <si>
    <t>UomFile6</t>
  </si>
  <si>
    <t>UomFile7</t>
  </si>
  <si>
    <t>UomFile8</t>
  </si>
  <si>
    <t>UomFile9</t>
  </si>
  <si>
    <t>ConstantsFile1</t>
  </si>
  <si>
    <t>ConstantsFile2</t>
  </si>
  <si>
    <t>ConstantsFile3</t>
  </si>
  <si>
    <t>ConstantsFile4</t>
  </si>
  <si>
    <t>ConstantsFile5</t>
  </si>
  <si>
    <t>ConstantsFile6</t>
  </si>
  <si>
    <t>ConstantsFile7</t>
  </si>
  <si>
    <t>ConstantsFile8</t>
  </si>
  <si>
    <t>ConstantsFile9</t>
  </si>
  <si>
    <t>EquationFile1</t>
  </si>
  <si>
    <t>EquationFile2</t>
  </si>
  <si>
    <t>EquationFile3</t>
  </si>
  <si>
    <t>EquationFile4</t>
  </si>
  <si>
    <t>EquationFile5</t>
  </si>
  <si>
    <t>EquationFile6</t>
  </si>
  <si>
    <t>EquationFile7</t>
  </si>
  <si>
    <t>EquationFile8</t>
  </si>
  <si>
    <t>EquationFile9</t>
  </si>
  <si>
    <t>Export all sheets…</t>
  </si>
  <si>
    <t>AnyEq_Equations1</t>
  </si>
  <si>
    <t>Info File</t>
  </si>
  <si>
    <t>AnyEq_Info</t>
  </si>
  <si>
    <t>AnyEqLibrary</t>
  </si>
  <si>
    <t>Default content for AnyEquation</t>
  </si>
  <si>
    <t>LibraryUrl</t>
  </si>
  <si>
    <t>Circumference of a circle</t>
  </si>
  <si>
    <t>Area of a circle</t>
  </si>
  <si>
    <t>Area of an ellipse</t>
  </si>
  <si>
    <t>Perimeter of a rectangle</t>
  </si>
  <si>
    <t>Area of a rectangle</t>
  </si>
  <si>
    <t>Area of a parallelogram</t>
  </si>
  <si>
    <t>Area of a triangle</t>
  </si>
  <si>
    <t>Length of side of a triangle</t>
  </si>
  <si>
    <t>Height of a triangle</t>
  </si>
  <si>
    <t>Perimeter of a regular polygon</t>
  </si>
  <si>
    <t>Area of a trapezoid</t>
  </si>
  <si>
    <t>Velocity definition</t>
  </si>
  <si>
    <t>Acceleration definition</t>
  </si>
  <si>
    <t>Distance from acceleration</t>
  </si>
  <si>
    <t>Force definition</t>
  </si>
  <si>
    <t>Pressure definition</t>
  </si>
  <si>
    <t>Work definition</t>
  </si>
  <si>
    <t>Power definition</t>
  </si>
  <si>
    <t>_G</t>
  </si>
  <si>
    <t>_g</t>
  </si>
  <si>
    <t>W=m*_g</t>
  </si>
  <si>
    <r>
      <t>P=h*</t>
    </r>
    <r>
      <rPr>
        <sz val="11"/>
        <color theme="1"/>
        <rFont val="Calibri"/>
        <family val="2"/>
      </rPr>
      <t>ρ</t>
    </r>
    <r>
      <rPr>
        <sz val="11"/>
        <color theme="1"/>
        <rFont val="Calibri"/>
        <family val="2"/>
        <scheme val="minor"/>
      </rPr>
      <t>*_g</t>
    </r>
  </si>
  <si>
    <t>E=m*_g*h</t>
  </si>
  <si>
    <r>
      <rPr>
        <sz val="11"/>
        <color theme="1"/>
        <rFont val="Calibri"/>
        <family val="2"/>
      </rPr>
      <t>P1 + (1/2)*ρ1*v1^2 + ρ1</t>
    </r>
    <r>
      <rPr>
        <sz val="11"/>
        <color theme="1"/>
        <rFont val="Calibri"/>
        <family val="2"/>
        <scheme val="minor"/>
      </rPr>
      <t>*_g*h1 = P2 + (1/2)*ρ2*v2^2 + ρ2*_g*h2</t>
    </r>
  </si>
  <si>
    <t>B=ρ*_g*V</t>
  </si>
  <si>
    <t>AnyEq_ParamTypes1</t>
  </si>
  <si>
    <t>Symbol</t>
  </si>
  <si>
    <t>BaseUom</t>
  </si>
  <si>
    <t>Factor_A</t>
  </si>
  <si>
    <t>Factor_B</t>
  </si>
  <si>
    <t>Factor_C</t>
  </si>
  <si>
    <t>Factor_D</t>
  </si>
  <si>
    <t>m/s</t>
  </si>
  <si>
    <t>test_cm/s</t>
  </si>
  <si>
    <t>test_centimetre/second</t>
  </si>
  <si>
    <t>AnyEq_Uom1</t>
  </si>
  <si>
    <t>AnyEq_Constants1</t>
  </si>
  <si>
    <t>Source</t>
  </si>
  <si>
    <t>EquationRef</t>
  </si>
  <si>
    <t>Alcohol units</t>
  </si>
  <si>
    <t>Universal gas constant</t>
  </si>
  <si>
    <t>J/(mol*K)</t>
  </si>
  <si>
    <t>m^3/(kg*s^2)</t>
  </si>
  <si>
    <t>universal gas constant</t>
  </si>
  <si>
    <t>_R</t>
  </si>
  <si>
    <t>P*V=n*_R*T</t>
  </si>
  <si>
    <t>T:Temperature:temperature</t>
  </si>
  <si>
    <t>n:Number of moles:quantityOfSubstance</t>
  </si>
  <si>
    <t>Area of a regular polygon</t>
  </si>
  <si>
    <t>Area of a regular polygon, without radius</t>
  </si>
  <si>
    <t>Solid Geometry&gt;Sphere</t>
  </si>
  <si>
    <t>A=4*PI*r^2</t>
  </si>
  <si>
    <t>Solid Geometry&gt;Cube</t>
  </si>
  <si>
    <t>Volume of a cube</t>
  </si>
  <si>
    <t>V=s^3</t>
  </si>
  <si>
    <t>Surface Area of a sphere</t>
  </si>
  <si>
    <t>Surface Area of a cube</t>
  </si>
  <si>
    <t>A=6*s^2</t>
  </si>
  <si>
    <t>Solid Geometry&gt;Rectangular prism</t>
  </si>
  <si>
    <t>V=w*d*h</t>
  </si>
  <si>
    <t>A=2*(w*d+w*h+d*h)</t>
  </si>
  <si>
    <t>Solid Geometry&gt;Cylinder</t>
  </si>
  <si>
    <t>V=PI*r^2*h</t>
  </si>
  <si>
    <t>h:Height:Length</t>
  </si>
  <si>
    <t>Solid Geometry&gt;Right Circular cone</t>
  </si>
  <si>
    <t>V=PI*r^2*h/3</t>
  </si>
  <si>
    <t>A=PI*r*Sqrt(r^2+h^2)</t>
  </si>
  <si>
    <t>Solid Geometry&gt;Pyramid</t>
  </si>
  <si>
    <t>Volume of a pyramid</t>
  </si>
  <si>
    <t>V=A*h/3</t>
  </si>
  <si>
    <t>A:Area of base:area</t>
  </si>
  <si>
    <t>Solid Geometry&gt;Irregular prism</t>
  </si>
  <si>
    <t>V=A*h</t>
  </si>
  <si>
    <t>Volume of a rectangular prism</t>
  </si>
  <si>
    <t>Surface Area of a rectangular prism</t>
  </si>
  <si>
    <t>Volume of a cylinder</t>
  </si>
  <si>
    <t>Surface Area of a cylinder</t>
  </si>
  <si>
    <t>Volume of a right circular cone</t>
  </si>
  <si>
    <t>Surface Area of a right circular cone</t>
  </si>
  <si>
    <t>Volume of an irregular prism</t>
  </si>
  <si>
    <t>s:Length of a side:Length</t>
  </si>
  <si>
    <t>w:Width:Length</t>
  </si>
  <si>
    <t>d:Depth:Length</t>
  </si>
  <si>
    <t>Sides of a right angle triangle</t>
  </si>
  <si>
    <t>b:Length of other side:length</t>
  </si>
  <si>
    <t>a:Length of a parallel side:length</t>
  </si>
  <si>
    <t>b:Length of other parallel side:length</t>
  </si>
  <si>
    <t>h:Height (perpendicular distance between parallel sides):length</t>
  </si>
  <si>
    <t>A=(2*PI*r*h)+(2*PI*(r^2))</t>
  </si>
  <si>
    <t>c=2*PI*r</t>
  </si>
  <si>
    <t>c:Circumference:length</t>
  </si>
  <si>
    <t>a:Length of one side:length</t>
  </si>
  <si>
    <t>b:Length of parallel side:length</t>
  </si>
  <si>
    <t>b:Length of base:length</t>
  </si>
  <si>
    <t>h:Height (perpendicular to base):length</t>
  </si>
  <si>
    <t>n:Number of sides:dimensionless</t>
  </si>
  <si>
    <t>http://www.madison-lake.k12.oh.us/userfiles/680/Classes/16192/IED-Review%20Engineering%20Formula%20Sheet.pdf</t>
  </si>
  <si>
    <t>The Physics Hypertextbook</t>
  </si>
  <si>
    <t>Mechanics&gt;Linear Motion</t>
  </si>
  <si>
    <t>Mechanics&gt;Force and Energy</t>
  </si>
  <si>
    <t>friction</t>
  </si>
  <si>
    <t>E:Potential energy due to gravity:energy</t>
  </si>
  <si>
    <t>Escape Velocity</t>
  </si>
  <si>
    <t>v:Escape Velocity:velocity</t>
  </si>
  <si>
    <t>r:Distance to centre of gravity of body to be escaped from:length</t>
  </si>
  <si>
    <t>tonne</t>
  </si>
  <si>
    <t>Metric tonne</t>
  </si>
  <si>
    <t>kg</t>
  </si>
  <si>
    <t>Mega tonne</t>
  </si>
  <si>
    <t>Mt</t>
  </si>
  <si>
    <t>Tera tonne</t>
  </si>
  <si>
    <t>Tt</t>
  </si>
  <si>
    <t>Exa tonne</t>
  </si>
  <si>
    <t>Et</t>
  </si>
  <si>
    <t>Yotta tonne</t>
  </si>
  <si>
    <t>Yt</t>
  </si>
  <si>
    <t>Mechanics&gt;Space</t>
  </si>
  <si>
    <t>v=sqrt(2*_G*M/r)</t>
  </si>
  <si>
    <t>M:Mass of body to be escaped from:mass</t>
  </si>
  <si>
    <t>M:Mass of greater body being orbited:mass</t>
  </si>
  <si>
    <t>v:Orbital Velocity:velocity</t>
  </si>
  <si>
    <t>v=sqrt(_G*M/r)</t>
  </si>
  <si>
    <t>mass</t>
  </si>
  <si>
    <t>Mass of the earth</t>
  </si>
  <si>
    <t>length</t>
  </si>
  <si>
    <t>Radius of the earth</t>
  </si>
  <si>
    <t>g=_G*M/(r^2)</t>
  </si>
  <si>
    <t>F=_G*M*m2/(r^2)</t>
  </si>
  <si>
    <t>M:Mass of the greater body:mass</t>
  </si>
  <si>
    <t>Earth gravitational field</t>
  </si>
  <si>
    <t>Earth Orbital speed</t>
  </si>
  <si>
    <t>Earth Escape Velocity</t>
  </si>
  <si>
    <t>Worked out by me</t>
  </si>
  <si>
    <t>_mEarth</t>
  </si>
  <si>
    <t>_rEarth</t>
  </si>
  <si>
    <t>h:Height above the surface:length</t>
  </si>
  <si>
    <t>m2:Mass of the smaller body:mass</t>
  </si>
  <si>
    <t>g=_G*_mEarth/((h+_rEarth)^2)</t>
  </si>
  <si>
    <t>v=sqrt(_G*_mEarth/(h+_rEarth))</t>
  </si>
  <si>
    <t>v=sqrt(2*_G*_mEarth/(h+_rEarth))</t>
  </si>
  <si>
    <t>Thermo</t>
  </si>
  <si>
    <t>A1:Cross-sectional area of flow at point1:area</t>
  </si>
  <si>
    <t>h:Height (depth) of liquid:length</t>
  </si>
  <si>
    <t>P1:Pressure1:pressure</t>
  </si>
  <si>
    <t>h1:Height1:length</t>
  </si>
  <si>
    <t>P2:Pressure2:pressure</t>
  </si>
  <si>
    <t>h2:Height2:length</t>
  </si>
  <si>
    <t>Q=M*cp*(To-Ti)</t>
  </si>
  <si>
    <t>R=ρ*l/A</t>
  </si>
  <si>
    <t>l:Length of wire:length</t>
  </si>
  <si>
    <t>ρ:Electrical resistivity of the material:electrical resistivity</t>
  </si>
  <si>
    <t>A2:Cross-sectional area of flow at point2:area</t>
  </si>
  <si>
    <t>Plane Geometry&gt;Annulus</t>
  </si>
  <si>
    <t>D:Outer Diameter:length</t>
  </si>
  <si>
    <t>d:Inner Diameter:length</t>
  </si>
  <si>
    <t>A= (PI/4)*(D^2-d^2)</t>
  </si>
  <si>
    <t>A:Area:Area</t>
  </si>
  <si>
    <t>Area of an equilateral triangle</t>
  </si>
  <si>
    <t>A=((a^2)/4)*Sqrt(3)</t>
  </si>
  <si>
    <t>Sin(θbc)=a/c</t>
  </si>
  <si>
    <t>Log</t>
  </si>
  <si>
    <t>y=Log(x)</t>
  </si>
  <si>
    <t>y::dimensionless</t>
  </si>
  <si>
    <t>x::dimensionless</t>
  </si>
  <si>
    <t>Parameter</t>
  </si>
  <si>
    <t>Units</t>
  </si>
  <si>
    <t>specific heat capacity</t>
  </si>
  <si>
    <t>J/kg.K</t>
  </si>
  <si>
    <t>Acetals</t>
  </si>
  <si>
    <t>Air, dry (sea level)</t>
  </si>
  <si>
    <t>Agate</t>
  </si>
  <si>
    <t>Alcohol, ethyl</t>
  </si>
  <si>
    <t>Alcohol, metyl wood)</t>
  </si>
  <si>
    <t>Aluminum</t>
  </si>
  <si>
    <t>Aluminum bronze</t>
  </si>
  <si>
    <t>Ammonia, liquid</t>
  </si>
  <si>
    <t>Ammonia, gas</t>
  </si>
  <si>
    <t>Antimony</t>
  </si>
  <si>
    <t>Argon</t>
  </si>
  <si>
    <t>Arsenic</t>
  </si>
  <si>
    <t>Artificial wool</t>
  </si>
  <si>
    <t>Asbestos</t>
  </si>
  <si>
    <t>Asphalt</t>
  </si>
  <si>
    <t>Barium</t>
  </si>
  <si>
    <t>Barytes</t>
  </si>
  <si>
    <t>Beryllium</t>
  </si>
  <si>
    <t>Bismuth</t>
  </si>
  <si>
    <t>Boiler scale</t>
  </si>
  <si>
    <t>Bone</t>
  </si>
  <si>
    <t>Boron</t>
  </si>
  <si>
    <t>Boron nitride</t>
  </si>
  <si>
    <t>Brass</t>
  </si>
  <si>
    <t>Brick</t>
  </si>
  <si>
    <t>Bronze</t>
  </si>
  <si>
    <t>Brown iron ore</t>
  </si>
  <si>
    <t>Cadmium</t>
  </si>
  <si>
    <t>Calcium</t>
  </si>
  <si>
    <t>Cellulose, cotton, wood pulp and regenerated</t>
  </si>
  <si>
    <t>1300 - 1500</t>
  </si>
  <si>
    <t>Cellulose acetate, molded</t>
  </si>
  <si>
    <t>1260 - 1800</t>
  </si>
  <si>
    <t>Cellulose acetate, sheet</t>
  </si>
  <si>
    <t>1260 - 2100</t>
  </si>
  <si>
    <t>Cellulose nitrate, Celluloid</t>
  </si>
  <si>
    <t>1300 - 1700</t>
  </si>
  <si>
    <t>Chalk</t>
  </si>
  <si>
    <t>Charcoal</t>
  </si>
  <si>
    <t>Chromium</t>
  </si>
  <si>
    <t>Chrom oxide</t>
  </si>
  <si>
    <t>Clay, sandy</t>
  </si>
  <si>
    <t>Cobalt</t>
  </si>
  <si>
    <t>Coke</t>
  </si>
  <si>
    <t>Concrete</t>
  </si>
  <si>
    <t>Constantan</t>
  </si>
  <si>
    <t>Copper</t>
  </si>
  <si>
    <t>Cork</t>
  </si>
  <si>
    <t>Diamond (carbon)</t>
  </si>
  <si>
    <t>Duralium</t>
  </si>
  <si>
    <t>Emery</t>
  </si>
  <si>
    <t>Epoxy cast resins</t>
  </si>
  <si>
    <t>Fire brick</t>
  </si>
  <si>
    <t>Dichlorodifluoromethane R12, liquid</t>
  </si>
  <si>
    <t>Dichlorodifluoromethane R12, vapor</t>
  </si>
  <si>
    <t>India rubber</t>
  </si>
  <si>
    <t>Glass, crown</t>
  </si>
  <si>
    <t>Glass, pyrex</t>
  </si>
  <si>
    <t>Glass-wool</t>
  </si>
  <si>
    <t>Gold</t>
  </si>
  <si>
    <t>Granite</t>
  </si>
  <si>
    <t>Graphite (carbon)</t>
  </si>
  <si>
    <t>Gypsum</t>
  </si>
  <si>
    <t>Helium</t>
  </si>
  <si>
    <t>Hydrogen</t>
  </si>
  <si>
    <t>Ingot iron</t>
  </si>
  <si>
    <t>Iodine</t>
  </si>
  <si>
    <t>Iridium</t>
  </si>
  <si>
    <t>Iron</t>
  </si>
  <si>
    <t>Lead</t>
  </si>
  <si>
    <t>Leather</t>
  </si>
  <si>
    <t>Limestone</t>
  </si>
  <si>
    <t>Lithium</t>
  </si>
  <si>
    <t>Lucite</t>
  </si>
  <si>
    <t>Magnesia (Mangnesium oxide), MgO</t>
  </si>
  <si>
    <t>Magnesium</t>
  </si>
  <si>
    <t>Magnesium alloy</t>
  </si>
  <si>
    <t>Manganese</t>
  </si>
  <si>
    <t>Marble</t>
  </si>
  <si>
    <t>Mercury</t>
  </si>
  <si>
    <t>Mica</t>
  </si>
  <si>
    <t>Molybdenum</t>
  </si>
  <si>
    <t>Neon</t>
  </si>
  <si>
    <t>Nickel</t>
  </si>
  <si>
    <t>Nitrogen</t>
  </si>
  <si>
    <t>Nylon-6</t>
  </si>
  <si>
    <t>Nylon-66</t>
  </si>
  <si>
    <t>Olive oil</t>
  </si>
  <si>
    <t>Osmium</t>
  </si>
  <si>
    <t>Oxygen</t>
  </si>
  <si>
    <t>Palladium</t>
  </si>
  <si>
    <t>Paper</t>
  </si>
  <si>
    <t>Paraffin</t>
  </si>
  <si>
    <t>Peat</t>
  </si>
  <si>
    <t>Perlite</t>
  </si>
  <si>
    <t>Phenolic cast resins</t>
  </si>
  <si>
    <t>1250 - 1670</t>
  </si>
  <si>
    <t>Phenol-formaldehyde molding compounds</t>
  </si>
  <si>
    <t>2500 - 6000</t>
  </si>
  <si>
    <t>Phosphorbonze</t>
  </si>
  <si>
    <t>Phosphorus</t>
  </si>
  <si>
    <t>Pinchbeck</t>
  </si>
  <si>
    <t>Pit coal</t>
  </si>
  <si>
    <t>Platinium</t>
  </si>
  <si>
    <t>Plutonium</t>
  </si>
  <si>
    <t>Polycarbonates</t>
  </si>
  <si>
    <t>1170 - 1250</t>
  </si>
  <si>
    <t>Polyethylene terephthalate</t>
  </si>
  <si>
    <t>Polyimide aromatics</t>
  </si>
  <si>
    <t>Polyisoprene natural rubber</t>
  </si>
  <si>
    <t>Polyisoprene hard rubber</t>
  </si>
  <si>
    <t>Polymethylmethacrylate</t>
  </si>
  <si>
    <t>Polypropylene</t>
  </si>
  <si>
    <t>Polystyrene</t>
  </si>
  <si>
    <t>Polytetrafluoroethylene moulding compound</t>
  </si>
  <si>
    <t>Polytetrafluoroethylene (PTFE)</t>
  </si>
  <si>
    <t>Polyurethane cast liquid</t>
  </si>
  <si>
    <t>Polyurethane elastomer</t>
  </si>
  <si>
    <t>Polyvinylchloride PVC</t>
  </si>
  <si>
    <t>840 - 1170</t>
  </si>
  <si>
    <t>Porcelain</t>
  </si>
  <si>
    <t>Potassium</t>
  </si>
  <si>
    <t>Potassium chloride</t>
  </si>
  <si>
    <t>Pyroceram</t>
  </si>
  <si>
    <t>Quartz glass</t>
  </si>
  <si>
    <t>Red metal</t>
  </si>
  <si>
    <t>Rhenium</t>
  </si>
  <si>
    <t>Rhodium</t>
  </si>
  <si>
    <t>Rosin</t>
  </si>
  <si>
    <t>Rubidium</t>
  </si>
  <si>
    <t>Salt, NaCl</t>
  </si>
  <si>
    <t>Sand, quartz</t>
  </si>
  <si>
    <t>Sandstone</t>
  </si>
  <si>
    <t>Scandium</t>
  </si>
  <si>
    <t>Selenium</t>
  </si>
  <si>
    <t>Silicon</t>
  </si>
  <si>
    <t>silicon carbide</t>
  </si>
  <si>
    <t>Silver</t>
  </si>
  <si>
    <t>Slate</t>
  </si>
  <si>
    <t>Sodium</t>
  </si>
  <si>
    <t>Soil, dry</t>
  </si>
  <si>
    <t>Soil, wet</t>
  </si>
  <si>
    <t>Soot</t>
  </si>
  <si>
    <t>Snow</t>
  </si>
  <si>
    <t>Steatite</t>
  </si>
  <si>
    <t>Steel</t>
  </si>
  <si>
    <t>Sulfur, crystal</t>
  </si>
  <si>
    <t>Tantalium</t>
  </si>
  <si>
    <t>Tellurium</t>
  </si>
  <si>
    <t>Thorium</t>
  </si>
  <si>
    <t>Timber, alder</t>
  </si>
  <si>
    <t>Timber, ash</t>
  </si>
  <si>
    <t>Timber, birch</t>
  </si>
  <si>
    <t>Timber, larch</t>
  </si>
  <si>
    <t>Timber, maple</t>
  </si>
  <si>
    <t>Timber, oak</t>
  </si>
  <si>
    <t>Timber, pitchpine</t>
  </si>
  <si>
    <t>Timber, pockwood</t>
  </si>
  <si>
    <t>Timber, red beech</t>
  </si>
  <si>
    <t>Timber, red pine</t>
  </si>
  <si>
    <t>Timber, white pine</t>
  </si>
  <si>
    <t>Timber, walnut</t>
  </si>
  <si>
    <t>Tin</t>
  </si>
  <si>
    <t>Titanium</t>
  </si>
  <si>
    <t>Tungsten</t>
  </si>
  <si>
    <t>Tungsten carbide</t>
  </si>
  <si>
    <t>Uranium</t>
  </si>
  <si>
    <t>Vanadium</t>
  </si>
  <si>
    <t>Wet mud</t>
  </si>
  <si>
    <t>Wood</t>
  </si>
  <si>
    <t>1300 - 2400</t>
  </si>
  <si>
    <t>Zinc</t>
  </si>
  <si>
    <t>Alumina, AL2O3</t>
  </si>
  <si>
    <t>Calsium silicate, CaSiO3</t>
  </si>
  <si>
    <t>Fluorspar CaF2</t>
  </si>
  <si>
    <t>Ice (0oC)</t>
  </si>
  <si>
    <t>Ice, snow (-5oC)</t>
  </si>
  <si>
    <t>Quartz, SiO2</t>
  </si>
  <si>
    <t>Water, pure liquid (20oC)</t>
  </si>
  <si>
    <t>Water, vapor (27oC)</t>
  </si>
  <si>
    <t>https://www.engineeringtoolbox.com/specific-heat-capacity-d_391.html</t>
  </si>
  <si>
    <r>
      <t>Engineering ToolBox, (2003). </t>
    </r>
    <r>
      <rPr>
        <i/>
        <sz val="11"/>
        <color rgb="FF000000"/>
        <rFont val="Arial"/>
        <family val="2"/>
      </rPr>
      <t>Specific Heat of common Substances</t>
    </r>
    <r>
      <rPr>
        <sz val="11"/>
        <color rgb="FF000000"/>
        <rFont val="Arial"/>
        <family val="2"/>
      </rPr>
      <t>. [online] Available at: https://www.engineeringtoolbox.com/specific-heat-capacity-d_391.html [Accessed Day Mo. Year]</t>
    </r>
  </si>
  <si>
    <r>
      <t xml:space="preserve">Engineering ToolBox, </t>
    </r>
    <r>
      <rPr>
        <i/>
        <sz val="11"/>
        <color rgb="FF000000"/>
        <rFont val="Arial"/>
        <family val="2"/>
      </rPr>
      <t>Specific Heat of common Substances</t>
    </r>
  </si>
  <si>
    <t>density</t>
  </si>
  <si>
    <t>kg/m3</t>
  </si>
  <si>
    <t>ABS</t>
  </si>
  <si>
    <t>Acrylic</t>
  </si>
  <si>
    <t>Alabaster carbonate</t>
  </si>
  <si>
    <t>Alabaster sulfate</t>
  </si>
  <si>
    <t>Alum, lumpy</t>
  </si>
  <si>
    <t>Alum, pulverized</t>
  </si>
  <si>
    <t>Alumina (aluminium oxide)</t>
  </si>
  <si>
    <t>Aluminum Bronze</t>
  </si>
  <si>
    <t>Albite</t>
  </si>
  <si>
    <t>Alloys</t>
  </si>
  <si>
    <t>Amber</t>
  </si>
  <si>
    <t>Amphiboles</t>
  </si>
  <si>
    <t>Andesite, solid</t>
  </si>
  <si>
    <t>Anorthite</t>
  </si>
  <si>
    <t>Antimony, cast</t>
  </si>
  <si>
    <t>Artificial Wool</t>
  </si>
  <si>
    <t>Asbestos, shredded</t>
  </si>
  <si>
    <t>Asbestos, solid</t>
  </si>
  <si>
    <t>Ashes</t>
  </si>
  <si>
    <t>Asphalt, compacted</t>
  </si>
  <si>
    <t>Asphalt, crushed</t>
  </si>
  <si>
    <t>Bakelite</t>
  </si>
  <si>
    <t>Baking powder</t>
  </si>
  <si>
    <t>Balsa Wood</t>
  </si>
  <si>
    <t>Barite, crushed</t>
  </si>
  <si>
    <t>Bark, wood refuse</t>
  </si>
  <si>
    <t>Basalt</t>
  </si>
  <si>
    <t>Bauxite, crushed</t>
  </si>
  <si>
    <t>Beeswax</t>
  </si>
  <si>
    <t>Beryl</t>
  </si>
  <si>
    <t>Biotite</t>
  </si>
  <si>
    <t>Bone, pulverized</t>
  </si>
  <si>
    <t>Borax, fine</t>
  </si>
  <si>
    <t>Bronce</t>
  </si>
  <si>
    <t>Brick, fire</t>
  </si>
  <si>
    <t>Brick, hard</t>
  </si>
  <si>
    <t>Brick, pressed</t>
  </si>
  <si>
    <t>Brickwork in cement</t>
  </si>
  <si>
    <t>Brickwork in mortar</t>
  </si>
  <si>
    <t>Butter</t>
  </si>
  <si>
    <t>Calamine</t>
  </si>
  <si>
    <t>Calcspar</t>
  </si>
  <si>
    <t>Camphor</t>
  </si>
  <si>
    <t>Carbon</t>
  </si>
  <si>
    <t>Caoutchouc</t>
  </si>
  <si>
    <t>Cardboard</t>
  </si>
  <si>
    <t>Cast Iron</t>
  </si>
  <si>
    <t>Celluloid</t>
  </si>
  <si>
    <t>Cellulose, cotton, wood pulp, regenerated</t>
  </si>
  <si>
    <t>Cellulose acetat, moulded</t>
  </si>
  <si>
    <t>Cellulose acetat, sheet</t>
  </si>
  <si>
    <t>Cellulose nitrate, celluloid</t>
  </si>
  <si>
    <t>Chlorinated polyether</t>
  </si>
  <si>
    <t>Cement, set</t>
  </si>
  <si>
    <t>Cement, Portland</t>
  </si>
  <si>
    <t>Cerium</t>
  </si>
  <si>
    <t>Charcoal, oak</t>
  </si>
  <si>
    <t>Charcoal, pine</t>
  </si>
  <si>
    <t>Cinnabar</t>
  </si>
  <si>
    <t>Clay</t>
  </si>
  <si>
    <t>Coal, anthracite</t>
  </si>
  <si>
    <t>Coal, bituminous</t>
  </si>
  <si>
    <t>Cocoa, butter</t>
  </si>
  <si>
    <t>Concrete, lightweight</t>
  </si>
  <si>
    <t>Concrete, medium</t>
  </si>
  <si>
    <t>Concrete, dense</t>
  </si>
  <si>
    <t>Copal</t>
  </si>
  <si>
    <t>Cork, linoleum</t>
  </si>
  <si>
    <t>Corundum</t>
  </si>
  <si>
    <t>CPVC</t>
  </si>
  <si>
    <t>Lead Crystal</t>
  </si>
  <si>
    <t>Diamond</t>
  </si>
  <si>
    <t>Dolomite</t>
  </si>
  <si>
    <t>Earth, loose</t>
  </si>
  <si>
    <t>Earth, rammed</t>
  </si>
  <si>
    <t>Ebonite</t>
  </si>
  <si>
    <t>Electron</t>
  </si>
  <si>
    <t>Epidote</t>
  </si>
  <si>
    <t>Epoxy cast resin</t>
  </si>
  <si>
    <t>Epoxy glass fibre</t>
  </si>
  <si>
    <t>Expanded polystyrene</t>
  </si>
  <si>
    <t>Feldspar</t>
  </si>
  <si>
    <t>Flint</t>
  </si>
  <si>
    <t>Fluorite</t>
  </si>
  <si>
    <t>Galena</t>
  </si>
  <si>
    <t>Gallium</t>
  </si>
  <si>
    <t>Gamboge</t>
  </si>
  <si>
    <t>Garnet</t>
  </si>
  <si>
    <t>Gas carbon</t>
  </si>
  <si>
    <t>Gelatin</t>
  </si>
  <si>
    <t>Germanium</t>
  </si>
  <si>
    <t>Glass, common</t>
  </si>
  <si>
    <t>Glass, flint</t>
  </si>
  <si>
    <t>Glass, Pyrex</t>
  </si>
  <si>
    <t>Glue</t>
  </si>
  <si>
    <t>Gneiss</t>
  </si>
  <si>
    <t>Graphite</t>
  </si>
  <si>
    <t>Gum arabic</t>
  </si>
  <si>
    <t>Hematite</t>
  </si>
  <si>
    <t>Hornblende</t>
  </si>
  <si>
    <t>Ice</t>
  </si>
  <si>
    <t>Ivory</t>
  </si>
  <si>
    <t>Leather, dry</t>
  </si>
  <si>
    <t>Lime, slaked</t>
  </si>
  <si>
    <t>Linoleum</t>
  </si>
  <si>
    <t>Magnesia</t>
  </si>
  <si>
    <t>Magnetite</t>
  </si>
  <si>
    <t>Malachite</t>
  </si>
  <si>
    <t>Meerschaum</t>
  </si>
  <si>
    <t>Metals</t>
  </si>
  <si>
    <t>Mineral wool quilt</t>
  </si>
  <si>
    <t>Muscovite</t>
  </si>
  <si>
    <t>Oak</t>
  </si>
  <si>
    <t>Ochre</t>
  </si>
  <si>
    <t>Opal</t>
  </si>
  <si>
    <t>Peat blocks</t>
  </si>
  <si>
    <t>Phenolic cast resin</t>
  </si>
  <si>
    <t>Phosphorbronce</t>
  </si>
  <si>
    <t>Pitch</t>
  </si>
  <si>
    <t>Platinum</t>
  </si>
  <si>
    <t>Polyacrylonitrile</t>
  </si>
  <si>
    <t>Polyethylene, PEH</t>
  </si>
  <si>
    <t>Polyurethane foam</t>
  </si>
  <si>
    <t>Porphyry</t>
  </si>
  <si>
    <t>Pressed wood, pulp board</t>
  </si>
  <si>
    <t>Polyvinyl chloride, PVC</t>
  </si>
  <si>
    <t>Pyrite</t>
  </si>
  <si>
    <t>Quartz</t>
  </si>
  <si>
    <t>Radium</t>
  </si>
  <si>
    <t>Red lead</t>
  </si>
  <si>
    <t>Resin</t>
  </si>
  <si>
    <t>Rock salt</t>
  </si>
  <si>
    <t>Rock wool</t>
  </si>
  <si>
    <t>Rubber, hard</t>
  </si>
  <si>
    <t>Rubber, soft commercial</t>
  </si>
  <si>
    <t>Rubber, pure gum</t>
  </si>
  <si>
    <t>Sand, dry</t>
  </si>
  <si>
    <t>Serpentine</t>
  </si>
  <si>
    <t>Silica, fused transparent</t>
  </si>
  <si>
    <t>Silica, translucent</t>
  </si>
  <si>
    <t>Slag</t>
  </si>
  <si>
    <t>Soapstone</t>
  </si>
  <si>
    <t>Spermaceti</t>
  </si>
  <si>
    <t>Starch</t>
  </si>
  <si>
    <t>Stone</t>
  </si>
  <si>
    <t>Sulfur, cryst.</t>
  </si>
  <si>
    <t>Sugar</t>
  </si>
  <si>
    <t>Talc</t>
  </si>
  <si>
    <t>Tallow, beef</t>
  </si>
  <si>
    <t>Tallow, mutton</t>
  </si>
  <si>
    <t>Tantalum</t>
  </si>
  <si>
    <t>Tar</t>
  </si>
  <si>
    <t>Timber</t>
  </si>
  <si>
    <t>Topaz</t>
  </si>
  <si>
    <t>Tourmaline</t>
  </si>
  <si>
    <t>Urea formaldehyde foam</t>
  </si>
  <si>
    <t>Wax, sealing</t>
  </si>
  <si>
    <t>White metal</t>
  </si>
  <si>
    <t>Wood (seasoned)</t>
  </si>
  <si>
    <t>Wood wool slab</t>
  </si>
  <si>
    <t>Engineering ToolBox, (2009). Densities of Solids. [online] Available at: https://www.engineeringtoolbox.com/density-solids-d_1265.html [Accessed Day Mo. Year].</t>
  </si>
  <si>
    <t>Engineering ToolBox, Densities of Solids.</t>
  </si>
  <si>
    <t>https://www.engineeringtoolbox.com/density-solids-d_1265.html</t>
  </si>
  <si>
    <t>Copyright</t>
  </si>
  <si>
    <t xml:space="preserve">The content in The Engineering ToolBox is copyrighted but can be used with NO WARRANTY or LIABILITY.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</si>
</sst>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rgb="FF000000"/>
      <name val="Arial"/>
      <family val="2"/>
    </font>
    <font>
      <i/>
      <sz val="11"/>
      <color rgb="FF00000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9">
    <xf numFmtId="0" fontId="0" fillId="0" borderId="0" xfId="0"/>
    <xf numFmtId="0" fontId="18" fillId="0" borderId="0" xfId="42"/>
    <xf numFmtId="0" fontId="0" fillId="0" borderId="0" xfId="0" applyAlignment="1">
      <alignment wrapText="1"/>
    </xf>
    <xf numFmtId="0" fontId="21" fillId="0" borderId="0" xfId="0" applyFont="1"/>
    <xf numFmtId="11" fontId="0" fillId="0" borderId="0" xfId="0" applyNumberFormat="1"/>
    <xf numFmtId="0" fontId="0" fillId="0" borderId="0" xfId="0" applyAlignment="1">
      <alignment horizontal="right"/>
    </xf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0" borderId="0" xfId="0" applyFont="1"/>
    <xf numFmtId="0" fontId="0" fillId="0" borderId="0" xfId="0" applyAlignment="1">
      <alignment horizontal="center"/>
    </xf>
    <xf numFmtId="0" fontId="0" fillId="0" borderId="10" xfId="0" applyFill="1" applyBorder="1"/>
    <xf numFmtId="0" fontId="0" fillId="38" borderId="0" xfId="0" applyFill="1"/>
    <xf numFmtId="0" fontId="0" fillId="38" borderId="0" xfId="0" applyFill="1" applyAlignment="1">
      <alignment horizontal="center"/>
    </xf>
    <xf numFmtId="0" fontId="22" fillId="39" borderId="0" xfId="0" applyFont="1" applyFill="1" applyAlignment="1">
      <alignment horizontal="right"/>
    </xf>
    <xf numFmtId="0" fontId="0" fillId="39" borderId="0" xfId="0" applyFill="1" applyAlignment="1">
      <alignment horizontal="right"/>
    </xf>
    <xf numFmtId="0" fontId="23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0</xdr:row>
          <xdr:rowOff>38100</xdr:rowOff>
        </xdr:from>
        <xdr:to>
          <xdr:col>1</xdr:col>
          <xdr:colOff>2247900</xdr:colOff>
          <xdr:row>1</xdr:row>
          <xdr:rowOff>114300</xdr:rowOff>
        </xdr:to>
        <xdr:sp macro="" textlink="">
          <xdr:nvSpPr>
            <xdr:cNvPr id="3073" name="cmdExportAll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ngineeringtoolbox.com/density-solids-d_1265.html" TargetMode="External"/><Relationship Id="rId2" Type="http://schemas.openxmlformats.org/officeDocument/2006/relationships/hyperlink" Target="https://www.engineeringtoolbox.com/specific-heat-capacity-d_391.html" TargetMode="External"/><Relationship Id="rId1" Type="http://schemas.openxmlformats.org/officeDocument/2006/relationships/hyperlink" Target="http://www.madison-lake.k12.oh.us/userfiles/680/Classes/16192/IED-Review%20Engineering%20Formula%20Sheet.pdf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physics.info/equations/" TargetMode="External"/><Relationship Id="rId2" Type="http://schemas.openxmlformats.org/officeDocument/2006/relationships/hyperlink" Target="https://www.engineeringcivil.com/commonly-used-formula-in-hydraulics.html" TargetMode="External"/><Relationship Id="rId1" Type="http://schemas.openxmlformats.org/officeDocument/2006/relationships/hyperlink" Target="https://sites.google.com/site/urbangeekclassroomsg/using-word-documents/table-of-formulae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https://www.engineering.com/Library/ArticlesPage/tabid/85/ArticleID/140/Symbols-and-Formulas.aspx" TargetMode="External"/><Relationship Id="rId4" Type="http://schemas.openxmlformats.org/officeDocument/2006/relationships/hyperlink" Target="http://www.dummies.com/education/science/physics/physics-i-for-dummies-cheat-shee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C93F8-C848-4D41-904C-46BCA7C8C2DF}">
  <sheetPr codeName="Sheet1"/>
  <dimension ref="A1:B57"/>
  <sheetViews>
    <sheetView workbookViewId="0">
      <pane ySplit="4" topLeftCell="A27" activePane="bottomLeft" state="frozen"/>
      <selection pane="bottomLeft" activeCell="E33" sqref="E33"/>
    </sheetView>
  </sheetViews>
  <sheetFormatPr defaultRowHeight="15" x14ac:dyDescent="0.25"/>
  <cols>
    <col min="1" max="1" width="30.85546875" customWidth="1"/>
    <col min="2" max="2" width="76.85546875" customWidth="1"/>
  </cols>
  <sheetData>
    <row r="1" spans="1:2" x14ac:dyDescent="0.25">
      <c r="A1" t="s">
        <v>343</v>
      </c>
    </row>
    <row r="4" spans="1:2" x14ac:dyDescent="0.25">
      <c r="A4" t="s">
        <v>32</v>
      </c>
      <c r="B4" t="s">
        <v>33</v>
      </c>
    </row>
    <row r="5" spans="1:2" x14ac:dyDescent="0.25">
      <c r="A5" t="s">
        <v>30</v>
      </c>
      <c r="B5" t="s">
        <v>31</v>
      </c>
    </row>
    <row r="6" spans="1:2" x14ac:dyDescent="0.25">
      <c r="A6" t="s">
        <v>25</v>
      </c>
      <c r="B6" t="s">
        <v>178</v>
      </c>
    </row>
    <row r="7" spans="1:2" x14ac:dyDescent="0.25">
      <c r="A7" t="s">
        <v>26</v>
      </c>
      <c r="B7" t="s">
        <v>347</v>
      </c>
    </row>
    <row r="8" spans="1:2" x14ac:dyDescent="0.25">
      <c r="A8" t="s">
        <v>27</v>
      </c>
      <c r="B8" t="s">
        <v>348</v>
      </c>
    </row>
    <row r="9" spans="1:2" x14ac:dyDescent="0.25">
      <c r="A9" t="s">
        <v>28</v>
      </c>
      <c r="B9" t="s">
        <v>179</v>
      </c>
    </row>
    <row r="10" spans="1:2" x14ac:dyDescent="0.25">
      <c r="A10" t="s">
        <v>29</v>
      </c>
      <c r="B10" t="s">
        <v>179</v>
      </c>
    </row>
    <row r="11" spans="1:2" x14ac:dyDescent="0.25">
      <c r="A11" t="s">
        <v>349</v>
      </c>
      <c r="B11" s="1"/>
    </row>
    <row r="12" spans="1:2" x14ac:dyDescent="0.25">
      <c r="A12" t="s">
        <v>345</v>
      </c>
      <c r="B12" s="10" t="s">
        <v>346</v>
      </c>
    </row>
    <row r="13" spans="1:2" x14ac:dyDescent="0.25">
      <c r="A13" t="s">
        <v>298</v>
      </c>
      <c r="B13" s="10"/>
    </row>
    <row r="14" spans="1:2" x14ac:dyDescent="0.25">
      <c r="A14" t="s">
        <v>299</v>
      </c>
      <c r="B14" s="10"/>
    </row>
    <row r="15" spans="1:2" x14ac:dyDescent="0.25">
      <c r="A15" t="s">
        <v>300</v>
      </c>
      <c r="B15" s="10"/>
    </row>
    <row r="16" spans="1:2" x14ac:dyDescent="0.25">
      <c r="A16" t="s">
        <v>301</v>
      </c>
      <c r="B16" s="10"/>
    </row>
    <row r="17" spans="1:2" x14ac:dyDescent="0.25">
      <c r="A17" t="s">
        <v>302</v>
      </c>
      <c r="B17" s="10"/>
    </row>
    <row r="18" spans="1:2" x14ac:dyDescent="0.25">
      <c r="A18" t="s">
        <v>303</v>
      </c>
      <c r="B18" s="10"/>
    </row>
    <row r="19" spans="1:2" x14ac:dyDescent="0.25">
      <c r="A19" t="s">
        <v>304</v>
      </c>
      <c r="B19" s="10"/>
    </row>
    <row r="20" spans="1:2" x14ac:dyDescent="0.25">
      <c r="A20" t="s">
        <v>305</v>
      </c>
      <c r="B20" s="10"/>
    </row>
    <row r="21" spans="1:2" x14ac:dyDescent="0.25">
      <c r="A21" t="s">
        <v>306</v>
      </c>
      <c r="B21" s="10"/>
    </row>
    <row r="22" spans="1:2" x14ac:dyDescent="0.25">
      <c r="A22" t="s">
        <v>307</v>
      </c>
      <c r="B22" s="10" t="s">
        <v>375</v>
      </c>
    </row>
    <row r="23" spans="1:2" x14ac:dyDescent="0.25">
      <c r="A23" t="s">
        <v>308</v>
      </c>
      <c r="B23" s="10"/>
    </row>
    <row r="24" spans="1:2" x14ac:dyDescent="0.25">
      <c r="A24" t="s">
        <v>309</v>
      </c>
      <c r="B24" s="10"/>
    </row>
    <row r="25" spans="1:2" x14ac:dyDescent="0.25">
      <c r="A25" t="s">
        <v>310</v>
      </c>
      <c r="B25" s="10"/>
    </row>
    <row r="26" spans="1:2" x14ac:dyDescent="0.25">
      <c r="A26" t="s">
        <v>311</v>
      </c>
      <c r="B26" s="10"/>
    </row>
    <row r="27" spans="1:2" x14ac:dyDescent="0.25">
      <c r="A27" t="s">
        <v>312</v>
      </c>
      <c r="B27" s="10"/>
    </row>
    <row r="28" spans="1:2" x14ac:dyDescent="0.25">
      <c r="A28" t="s">
        <v>313</v>
      </c>
      <c r="B28" s="10"/>
    </row>
    <row r="29" spans="1:2" x14ac:dyDescent="0.25">
      <c r="A29" t="s">
        <v>314</v>
      </c>
      <c r="B29" s="10"/>
    </row>
    <row r="30" spans="1:2" x14ac:dyDescent="0.25">
      <c r="A30" t="s">
        <v>315</v>
      </c>
      <c r="B30" s="10"/>
    </row>
    <row r="31" spans="1:2" x14ac:dyDescent="0.25">
      <c r="A31" t="s">
        <v>316</v>
      </c>
      <c r="B31" s="10" t="s">
        <v>385</v>
      </c>
    </row>
    <row r="32" spans="1:2" x14ac:dyDescent="0.25">
      <c r="A32" t="s">
        <v>317</v>
      </c>
      <c r="B32" s="10"/>
    </row>
    <row r="33" spans="1:2" x14ac:dyDescent="0.25">
      <c r="A33" t="s">
        <v>318</v>
      </c>
      <c r="B33" s="10"/>
    </row>
    <row r="34" spans="1:2" x14ac:dyDescent="0.25">
      <c r="A34" t="s">
        <v>319</v>
      </c>
      <c r="B34" s="10"/>
    </row>
    <row r="35" spans="1:2" x14ac:dyDescent="0.25">
      <c r="A35" t="s">
        <v>320</v>
      </c>
      <c r="B35" s="10"/>
    </row>
    <row r="36" spans="1:2" x14ac:dyDescent="0.25">
      <c r="A36" t="s">
        <v>321</v>
      </c>
      <c r="B36" s="10"/>
    </row>
    <row r="37" spans="1:2" x14ac:dyDescent="0.25">
      <c r="A37" t="s">
        <v>322</v>
      </c>
      <c r="B37" s="10"/>
    </row>
    <row r="38" spans="1:2" x14ac:dyDescent="0.25">
      <c r="A38" t="s">
        <v>323</v>
      </c>
      <c r="B38" s="10"/>
    </row>
    <row r="39" spans="1:2" x14ac:dyDescent="0.25">
      <c r="A39" t="s">
        <v>324</v>
      </c>
      <c r="B39" s="10"/>
    </row>
    <row r="40" spans="1:2" x14ac:dyDescent="0.25">
      <c r="A40" t="s">
        <v>325</v>
      </c>
      <c r="B40" s="10" t="s">
        <v>386</v>
      </c>
    </row>
    <row r="41" spans="1:2" x14ac:dyDescent="0.25">
      <c r="A41" t="s">
        <v>326</v>
      </c>
      <c r="B41" s="10"/>
    </row>
    <row r="42" spans="1:2" x14ac:dyDescent="0.25">
      <c r="A42" t="s">
        <v>327</v>
      </c>
      <c r="B42" s="10"/>
    </row>
    <row r="43" spans="1:2" x14ac:dyDescent="0.25">
      <c r="A43" t="s">
        <v>328</v>
      </c>
      <c r="B43" s="10"/>
    </row>
    <row r="44" spans="1:2" x14ac:dyDescent="0.25">
      <c r="A44" t="s">
        <v>329</v>
      </c>
      <c r="B44" s="10"/>
    </row>
    <row r="45" spans="1:2" x14ac:dyDescent="0.25">
      <c r="A45" t="s">
        <v>330</v>
      </c>
      <c r="B45" s="10"/>
    </row>
    <row r="46" spans="1:2" x14ac:dyDescent="0.25">
      <c r="A46" t="s">
        <v>331</v>
      </c>
      <c r="B46" s="10"/>
    </row>
    <row r="47" spans="1:2" x14ac:dyDescent="0.25">
      <c r="A47" t="s">
        <v>332</v>
      </c>
      <c r="B47" s="10"/>
    </row>
    <row r="48" spans="1:2" x14ac:dyDescent="0.25">
      <c r="A48" t="s">
        <v>333</v>
      </c>
      <c r="B48" s="10"/>
    </row>
    <row r="49" spans="1:2" x14ac:dyDescent="0.25">
      <c r="A49" t="s">
        <v>334</v>
      </c>
      <c r="B49" s="10" t="s">
        <v>344</v>
      </c>
    </row>
    <row r="50" spans="1:2" x14ac:dyDescent="0.25">
      <c r="A50" t="s">
        <v>335</v>
      </c>
      <c r="B50" s="10"/>
    </row>
    <row r="51" spans="1:2" x14ac:dyDescent="0.25">
      <c r="A51" t="s">
        <v>336</v>
      </c>
      <c r="B51" s="10"/>
    </row>
    <row r="52" spans="1:2" x14ac:dyDescent="0.25">
      <c r="A52" t="s">
        <v>337</v>
      </c>
      <c r="B52" s="10"/>
    </row>
    <row r="53" spans="1:2" x14ac:dyDescent="0.25">
      <c r="A53" t="s">
        <v>338</v>
      </c>
      <c r="B53" s="10"/>
    </row>
    <row r="54" spans="1:2" x14ac:dyDescent="0.25">
      <c r="A54" t="s">
        <v>339</v>
      </c>
      <c r="B54" s="10"/>
    </row>
    <row r="55" spans="1:2" x14ac:dyDescent="0.25">
      <c r="A55" t="s">
        <v>340</v>
      </c>
      <c r="B55" s="10"/>
    </row>
    <row r="56" spans="1:2" x14ac:dyDescent="0.25">
      <c r="A56" t="s">
        <v>341</v>
      </c>
      <c r="B56" s="10"/>
    </row>
    <row r="57" spans="1:2" x14ac:dyDescent="0.25">
      <c r="A57" t="s">
        <v>342</v>
      </c>
      <c r="B57" s="10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ExportAll">
          <controlPr defaultSize="0" autoLine="0" r:id="rId4">
            <anchor moveWithCells="1">
              <from>
                <xdr:col>1</xdr:col>
                <xdr:colOff>438150</xdr:colOff>
                <xdr:row>0</xdr:row>
                <xdr:rowOff>38100</xdr:rowOff>
              </from>
              <to>
                <xdr:col>1</xdr:col>
                <xdr:colOff>2247900</xdr:colOff>
                <xdr:row>1</xdr:row>
                <xdr:rowOff>114300</xdr:rowOff>
              </to>
            </anchor>
          </controlPr>
        </control>
      </mc:Choice>
      <mc:Fallback>
        <control shapeId="3073" r:id="rId3" name="cmdExport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AA142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4" sqref="B24"/>
    </sheetView>
  </sheetViews>
  <sheetFormatPr defaultRowHeight="15" x14ac:dyDescent="0.25"/>
  <cols>
    <col min="2" max="2" width="6.42578125" bestFit="1" customWidth="1"/>
    <col min="3" max="3" width="21.85546875" style="5" customWidth="1"/>
    <col min="4" max="4" width="23.140625" customWidth="1"/>
    <col min="5" max="5" width="5.42578125" customWidth="1"/>
    <col min="6" max="6" width="23.28515625" customWidth="1"/>
    <col min="7" max="7" width="27.42578125" customWidth="1"/>
    <col min="8" max="8" width="31.42578125" bestFit="1" customWidth="1"/>
    <col min="9" max="9" width="26.42578125" bestFit="1" customWidth="1"/>
    <col min="10" max="11" width="31.42578125" bestFit="1" customWidth="1"/>
    <col min="12" max="12" width="14.28515625" bestFit="1" customWidth="1"/>
    <col min="13" max="17" width="5.7109375" customWidth="1"/>
    <col min="18" max="18" width="13.85546875" bestFit="1" customWidth="1"/>
    <col min="19" max="27" width="10.42578125" bestFit="1" customWidth="1"/>
  </cols>
  <sheetData>
    <row r="1" spans="1:27" x14ac:dyDescent="0.25">
      <c r="A1" t="s">
        <v>387</v>
      </c>
      <c r="B1" t="s">
        <v>0</v>
      </c>
      <c r="C1" s="5" t="s">
        <v>1</v>
      </c>
      <c r="D1" t="s">
        <v>2</v>
      </c>
      <c r="E1" t="s">
        <v>388</v>
      </c>
      <c r="F1" t="s">
        <v>3</v>
      </c>
      <c r="G1" t="s">
        <v>4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5</v>
      </c>
      <c r="S1" t="s">
        <v>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</row>
    <row r="2" spans="1:27" x14ac:dyDescent="0.25">
      <c r="B2">
        <v>1</v>
      </c>
      <c r="C2" s="5" t="s">
        <v>400</v>
      </c>
      <c r="D2" t="s">
        <v>225</v>
      </c>
      <c r="G2" t="s">
        <v>226</v>
      </c>
      <c r="H2" t="s">
        <v>123</v>
      </c>
      <c r="I2" t="s">
        <v>227</v>
      </c>
    </row>
    <row r="3" spans="1:27" x14ac:dyDescent="0.25">
      <c r="B3">
        <v>1</v>
      </c>
      <c r="C3" s="5" t="s">
        <v>400</v>
      </c>
      <c r="D3" t="s">
        <v>405</v>
      </c>
      <c r="G3" t="s">
        <v>401</v>
      </c>
      <c r="H3" t="s">
        <v>104</v>
      </c>
      <c r="I3" t="s">
        <v>227</v>
      </c>
    </row>
    <row r="4" spans="1:27" x14ac:dyDescent="0.25">
      <c r="B4">
        <v>1</v>
      </c>
      <c r="C4" s="5" t="s">
        <v>402</v>
      </c>
      <c r="D4" t="s">
        <v>403</v>
      </c>
      <c r="G4" t="s">
        <v>404</v>
      </c>
      <c r="H4" t="s">
        <v>123</v>
      </c>
      <c r="I4" t="s">
        <v>430</v>
      </c>
    </row>
    <row r="5" spans="1:27" x14ac:dyDescent="0.25">
      <c r="B5">
        <v>1</v>
      </c>
      <c r="C5" s="5" t="s">
        <v>402</v>
      </c>
      <c r="D5" t="s">
        <v>406</v>
      </c>
      <c r="G5" t="s">
        <v>407</v>
      </c>
      <c r="H5" t="s">
        <v>104</v>
      </c>
      <c r="I5" t="s">
        <v>430</v>
      </c>
    </row>
    <row r="6" spans="1:27" x14ac:dyDescent="0.25">
      <c r="B6">
        <v>1</v>
      </c>
      <c r="C6" s="5" t="s">
        <v>408</v>
      </c>
      <c r="D6" t="s">
        <v>423</v>
      </c>
      <c r="G6" t="s">
        <v>409</v>
      </c>
      <c r="H6" t="s">
        <v>123</v>
      </c>
      <c r="I6" t="s">
        <v>431</v>
      </c>
      <c r="J6" t="s">
        <v>432</v>
      </c>
      <c r="K6" t="s">
        <v>413</v>
      </c>
    </row>
    <row r="7" spans="1:27" x14ac:dyDescent="0.25">
      <c r="B7">
        <v>1</v>
      </c>
      <c r="C7" s="5" t="s">
        <v>408</v>
      </c>
      <c r="D7" t="s">
        <v>424</v>
      </c>
      <c r="G7" t="s">
        <v>410</v>
      </c>
      <c r="H7" t="s">
        <v>104</v>
      </c>
      <c r="I7" t="s">
        <v>431</v>
      </c>
      <c r="J7" t="s">
        <v>432</v>
      </c>
      <c r="K7" t="s">
        <v>413</v>
      </c>
    </row>
    <row r="8" spans="1:27" x14ac:dyDescent="0.25">
      <c r="B8">
        <v>1</v>
      </c>
      <c r="C8" s="5" t="s">
        <v>411</v>
      </c>
      <c r="D8" t="s">
        <v>425</v>
      </c>
      <c r="G8" t="s">
        <v>412</v>
      </c>
      <c r="H8" t="s">
        <v>123</v>
      </c>
      <c r="I8" t="s">
        <v>227</v>
      </c>
      <c r="J8" t="s">
        <v>413</v>
      </c>
    </row>
    <row r="9" spans="1:27" x14ac:dyDescent="0.25">
      <c r="B9">
        <v>1</v>
      </c>
      <c r="C9" s="5" t="s">
        <v>411</v>
      </c>
      <c r="D9" t="s">
        <v>426</v>
      </c>
      <c r="G9" t="s">
        <v>438</v>
      </c>
      <c r="H9" t="s">
        <v>104</v>
      </c>
      <c r="I9" t="s">
        <v>227</v>
      </c>
      <c r="J9" t="s">
        <v>413</v>
      </c>
    </row>
    <row r="10" spans="1:27" x14ac:dyDescent="0.25">
      <c r="B10">
        <v>1</v>
      </c>
      <c r="C10" s="5" t="s">
        <v>414</v>
      </c>
      <c r="D10" t="s">
        <v>427</v>
      </c>
      <c r="G10" t="s">
        <v>415</v>
      </c>
      <c r="H10" t="s">
        <v>123</v>
      </c>
      <c r="I10" t="s">
        <v>227</v>
      </c>
      <c r="J10" t="s">
        <v>413</v>
      </c>
    </row>
    <row r="11" spans="1:27" x14ac:dyDescent="0.25">
      <c r="B11">
        <v>1</v>
      </c>
      <c r="C11" s="5" t="s">
        <v>414</v>
      </c>
      <c r="D11" t="s">
        <v>428</v>
      </c>
      <c r="G11" t="s">
        <v>416</v>
      </c>
      <c r="H11" t="s">
        <v>104</v>
      </c>
      <c r="I11" t="s">
        <v>227</v>
      </c>
      <c r="J11" t="s">
        <v>413</v>
      </c>
    </row>
    <row r="12" spans="1:27" x14ac:dyDescent="0.25">
      <c r="B12">
        <v>1</v>
      </c>
      <c r="C12" s="5" t="s">
        <v>417</v>
      </c>
      <c r="D12" t="s">
        <v>418</v>
      </c>
      <c r="G12" t="s">
        <v>419</v>
      </c>
      <c r="H12" t="s">
        <v>123</v>
      </c>
      <c r="I12" t="s">
        <v>420</v>
      </c>
      <c r="J12" t="s">
        <v>413</v>
      </c>
    </row>
    <row r="13" spans="1:27" x14ac:dyDescent="0.25">
      <c r="B13">
        <v>1</v>
      </c>
      <c r="C13" s="5" t="s">
        <v>421</v>
      </c>
      <c r="D13" t="s">
        <v>429</v>
      </c>
      <c r="G13" t="s">
        <v>422</v>
      </c>
      <c r="H13" t="s">
        <v>123</v>
      </c>
      <c r="I13" t="s">
        <v>420</v>
      </c>
      <c r="J13" t="s">
        <v>413</v>
      </c>
    </row>
    <row r="15" spans="1:27" x14ac:dyDescent="0.25">
      <c r="A15">
        <v>2</v>
      </c>
      <c r="B15">
        <v>1</v>
      </c>
      <c r="C15" s="5" t="s">
        <v>239</v>
      </c>
      <c r="D15" t="s">
        <v>350</v>
      </c>
      <c r="G15" t="s">
        <v>439</v>
      </c>
      <c r="H15" t="s">
        <v>440</v>
      </c>
      <c r="I15" t="s">
        <v>240</v>
      </c>
    </row>
    <row r="16" spans="1:27" x14ac:dyDescent="0.25">
      <c r="A16">
        <v>2</v>
      </c>
      <c r="B16">
        <v>1</v>
      </c>
      <c r="C16" s="5" t="s">
        <v>239</v>
      </c>
      <c r="D16" t="s">
        <v>351</v>
      </c>
      <c r="G16" t="s">
        <v>241</v>
      </c>
      <c r="H16" t="s">
        <v>104</v>
      </c>
      <c r="I16" t="s">
        <v>240</v>
      </c>
    </row>
    <row r="17" spans="1:11" x14ac:dyDescent="0.25">
      <c r="A17">
        <v>2</v>
      </c>
      <c r="B17">
        <v>1</v>
      </c>
      <c r="C17" s="5" t="s">
        <v>242</v>
      </c>
      <c r="D17" t="s">
        <v>352</v>
      </c>
      <c r="G17" t="s">
        <v>248</v>
      </c>
      <c r="H17" t="s">
        <v>104</v>
      </c>
      <c r="I17" t="s">
        <v>112</v>
      </c>
      <c r="J17" t="s">
        <v>249</v>
      </c>
    </row>
    <row r="18" spans="1:11" x14ac:dyDescent="0.25">
      <c r="A18">
        <v>2</v>
      </c>
      <c r="B18">
        <v>1</v>
      </c>
      <c r="C18" s="5" t="s">
        <v>243</v>
      </c>
      <c r="D18" t="s">
        <v>353</v>
      </c>
      <c r="G18" t="s">
        <v>244</v>
      </c>
      <c r="H18" t="s">
        <v>245</v>
      </c>
      <c r="I18" t="s">
        <v>441</v>
      </c>
      <c r="J18" t="s">
        <v>434</v>
      </c>
    </row>
    <row r="19" spans="1:11" x14ac:dyDescent="0.25">
      <c r="A19">
        <v>2</v>
      </c>
      <c r="B19">
        <v>1</v>
      </c>
      <c r="C19" s="5" t="s">
        <v>243</v>
      </c>
      <c r="D19" t="s">
        <v>354</v>
      </c>
      <c r="G19" t="s">
        <v>246</v>
      </c>
      <c r="H19" t="s">
        <v>104</v>
      </c>
      <c r="I19" t="s">
        <v>441</v>
      </c>
      <c r="J19" t="s">
        <v>434</v>
      </c>
    </row>
    <row r="20" spans="1:11" x14ac:dyDescent="0.25">
      <c r="A20">
        <v>2</v>
      </c>
      <c r="B20">
        <v>1</v>
      </c>
      <c r="C20" s="5" t="s">
        <v>247</v>
      </c>
      <c r="D20" t="s">
        <v>355</v>
      </c>
      <c r="G20" t="s">
        <v>250</v>
      </c>
      <c r="H20" t="s">
        <v>104</v>
      </c>
      <c r="I20" t="s">
        <v>442</v>
      </c>
      <c r="J20" t="s">
        <v>437</v>
      </c>
    </row>
    <row r="21" spans="1:11" x14ac:dyDescent="0.25">
      <c r="A21">
        <v>2</v>
      </c>
      <c r="B21">
        <v>1</v>
      </c>
      <c r="C21" s="5" t="s">
        <v>251</v>
      </c>
      <c r="D21" t="s">
        <v>356</v>
      </c>
      <c r="G21" t="s">
        <v>257</v>
      </c>
      <c r="H21" t="s">
        <v>104</v>
      </c>
      <c r="I21" t="s">
        <v>443</v>
      </c>
      <c r="J21" t="s">
        <v>444</v>
      </c>
    </row>
    <row r="22" spans="1:11" x14ac:dyDescent="0.25">
      <c r="B22">
        <v>1</v>
      </c>
      <c r="C22" s="5" t="s">
        <v>251</v>
      </c>
      <c r="D22" t="s">
        <v>507</v>
      </c>
      <c r="G22" t="s">
        <v>508</v>
      </c>
      <c r="H22" t="s">
        <v>104</v>
      </c>
      <c r="I22" t="s">
        <v>441</v>
      </c>
    </row>
    <row r="23" spans="1:11" x14ac:dyDescent="0.25">
      <c r="A23">
        <v>2</v>
      </c>
      <c r="C23" s="17" t="s">
        <v>251</v>
      </c>
      <c r="D23" t="s">
        <v>357</v>
      </c>
      <c r="G23" t="s">
        <v>258</v>
      </c>
      <c r="H23" t="s">
        <v>441</v>
      </c>
      <c r="I23" t="s">
        <v>434</v>
      </c>
      <c r="J23" t="s">
        <v>259</v>
      </c>
      <c r="K23" t="s">
        <v>260</v>
      </c>
    </row>
    <row r="24" spans="1:11" x14ac:dyDescent="0.25">
      <c r="A24">
        <v>2</v>
      </c>
      <c r="B24">
        <v>-1</v>
      </c>
      <c r="C24" s="5" t="s">
        <v>251</v>
      </c>
      <c r="D24" t="s">
        <v>358</v>
      </c>
    </row>
    <row r="25" spans="1:11" x14ac:dyDescent="0.25">
      <c r="A25">
        <v>2</v>
      </c>
      <c r="B25">
        <v>1</v>
      </c>
      <c r="C25" s="5" t="s">
        <v>269</v>
      </c>
      <c r="D25" t="s">
        <v>433</v>
      </c>
      <c r="F25" t="s">
        <v>262</v>
      </c>
      <c r="G25" t="s">
        <v>261</v>
      </c>
      <c r="H25" t="s">
        <v>441</v>
      </c>
      <c r="I25" t="s">
        <v>434</v>
      </c>
      <c r="J25" t="s">
        <v>263</v>
      </c>
    </row>
    <row r="26" spans="1:11" x14ac:dyDescent="0.25">
      <c r="A26">
        <v>2</v>
      </c>
      <c r="C26" s="17" t="s">
        <v>269</v>
      </c>
      <c r="D26" t="s">
        <v>266</v>
      </c>
      <c r="G26" t="s">
        <v>509</v>
      </c>
      <c r="H26" t="s">
        <v>441</v>
      </c>
      <c r="I26" t="s">
        <v>434</v>
      </c>
      <c r="J26" t="s">
        <v>263</v>
      </c>
      <c r="K26" t="s">
        <v>260</v>
      </c>
    </row>
    <row r="27" spans="1:11" x14ac:dyDescent="0.25">
      <c r="A27">
        <v>2</v>
      </c>
      <c r="C27" s="17" t="s">
        <v>269</v>
      </c>
      <c r="D27" t="s">
        <v>267</v>
      </c>
      <c r="G27" t="s">
        <v>264</v>
      </c>
      <c r="H27" t="s">
        <v>441</v>
      </c>
      <c r="I27" t="s">
        <v>434</v>
      </c>
      <c r="J27" t="s">
        <v>263</v>
      </c>
      <c r="K27" t="s">
        <v>260</v>
      </c>
    </row>
    <row r="28" spans="1:11" x14ac:dyDescent="0.25">
      <c r="A28">
        <v>2</v>
      </c>
      <c r="C28" s="17" t="s">
        <v>269</v>
      </c>
      <c r="D28" t="s">
        <v>268</v>
      </c>
      <c r="G28" t="s">
        <v>265</v>
      </c>
      <c r="H28" t="s">
        <v>441</v>
      </c>
      <c r="I28" t="s">
        <v>434</v>
      </c>
      <c r="J28" t="s">
        <v>263</v>
      </c>
      <c r="K28" t="s">
        <v>260</v>
      </c>
    </row>
    <row r="29" spans="1:11" x14ac:dyDescent="0.25">
      <c r="A29">
        <v>2</v>
      </c>
      <c r="B29">
        <v>1</v>
      </c>
      <c r="C29" s="5" t="s">
        <v>270</v>
      </c>
      <c r="D29" t="s">
        <v>398</v>
      </c>
      <c r="G29" t="s">
        <v>271</v>
      </c>
      <c r="H29" t="s">
        <v>104</v>
      </c>
      <c r="I29" t="s">
        <v>445</v>
      </c>
      <c r="J29" t="s">
        <v>272</v>
      </c>
      <c r="K29" t="s">
        <v>273</v>
      </c>
    </row>
    <row r="30" spans="1:11" x14ac:dyDescent="0.25">
      <c r="B30">
        <v>-1</v>
      </c>
      <c r="D30" t="s">
        <v>399</v>
      </c>
    </row>
    <row r="31" spans="1:11" x14ac:dyDescent="0.25">
      <c r="A31">
        <v>2</v>
      </c>
      <c r="B31">
        <v>1</v>
      </c>
      <c r="C31" s="5" t="s">
        <v>270</v>
      </c>
      <c r="D31" t="s">
        <v>359</v>
      </c>
      <c r="G31" t="s">
        <v>274</v>
      </c>
      <c r="H31" t="s">
        <v>245</v>
      </c>
      <c r="I31" t="s">
        <v>445</v>
      </c>
      <c r="J31" t="s">
        <v>272</v>
      </c>
    </row>
    <row r="32" spans="1:11" x14ac:dyDescent="0.25">
      <c r="A32">
        <v>2</v>
      </c>
      <c r="B32">
        <v>1</v>
      </c>
      <c r="C32" s="5" t="s">
        <v>275</v>
      </c>
      <c r="D32" t="s">
        <v>360</v>
      </c>
      <c r="G32" t="s">
        <v>276</v>
      </c>
      <c r="H32" t="s">
        <v>104</v>
      </c>
      <c r="I32" t="s">
        <v>435</v>
      </c>
      <c r="J32" t="s">
        <v>436</v>
      </c>
      <c r="K32" t="s">
        <v>437</v>
      </c>
    </row>
    <row r="33" spans="1:11" x14ac:dyDescent="0.25">
      <c r="B33">
        <v>1</v>
      </c>
      <c r="C33" s="5" t="s">
        <v>502</v>
      </c>
      <c r="G33" t="s">
        <v>505</v>
      </c>
      <c r="H33" t="s">
        <v>506</v>
      </c>
      <c r="I33" t="s">
        <v>503</v>
      </c>
      <c r="J33" t="s">
        <v>504</v>
      </c>
    </row>
    <row r="35" spans="1:11" x14ac:dyDescent="0.25">
      <c r="A35">
        <v>3</v>
      </c>
      <c r="B35">
        <v>1</v>
      </c>
      <c r="C35" s="5" t="s">
        <v>448</v>
      </c>
      <c r="D35" t="s">
        <v>361</v>
      </c>
      <c r="G35" t="s">
        <v>79</v>
      </c>
      <c r="H35" t="s">
        <v>87</v>
      </c>
      <c r="I35" t="s">
        <v>88</v>
      </c>
      <c r="J35" t="s">
        <v>89</v>
      </c>
    </row>
    <row r="36" spans="1:11" x14ac:dyDescent="0.25">
      <c r="A36">
        <v>3</v>
      </c>
      <c r="B36">
        <v>1</v>
      </c>
      <c r="C36" s="5" t="s">
        <v>448</v>
      </c>
      <c r="D36" t="s">
        <v>362</v>
      </c>
      <c r="G36" t="s">
        <v>80</v>
      </c>
      <c r="H36" t="s">
        <v>90</v>
      </c>
      <c r="I36" t="s">
        <v>91</v>
      </c>
      <c r="J36" t="s">
        <v>89</v>
      </c>
    </row>
    <row r="37" spans="1:11" x14ac:dyDescent="0.25">
      <c r="A37">
        <v>3</v>
      </c>
      <c r="B37">
        <v>1</v>
      </c>
      <c r="C37" s="5" t="s">
        <v>448</v>
      </c>
      <c r="D37" t="s">
        <v>97</v>
      </c>
      <c r="G37" t="s">
        <v>92</v>
      </c>
      <c r="H37" t="s">
        <v>93</v>
      </c>
      <c r="I37" t="s">
        <v>96</v>
      </c>
      <c r="J37" t="s">
        <v>90</v>
      </c>
      <c r="K37" t="s">
        <v>94</v>
      </c>
    </row>
    <row r="38" spans="1:11" x14ac:dyDescent="0.25">
      <c r="A38">
        <v>3</v>
      </c>
      <c r="B38">
        <v>1</v>
      </c>
      <c r="C38" s="5" t="s">
        <v>448</v>
      </c>
      <c r="D38" t="s">
        <v>363</v>
      </c>
      <c r="G38" t="s">
        <v>86</v>
      </c>
      <c r="H38" t="s">
        <v>95</v>
      </c>
      <c r="I38" t="s">
        <v>96</v>
      </c>
      <c r="J38" t="s">
        <v>94</v>
      </c>
      <c r="K38" t="s">
        <v>90</v>
      </c>
    </row>
    <row r="39" spans="1:11" x14ac:dyDescent="0.25">
      <c r="A39">
        <v>3</v>
      </c>
      <c r="B39">
        <v>1</v>
      </c>
      <c r="C39" s="5" t="s">
        <v>448</v>
      </c>
      <c r="D39" t="s">
        <v>99</v>
      </c>
      <c r="G39" t="s">
        <v>98</v>
      </c>
      <c r="H39" t="s">
        <v>93</v>
      </c>
      <c r="I39" t="s">
        <v>96</v>
      </c>
      <c r="J39" t="s">
        <v>90</v>
      </c>
      <c r="K39" t="s">
        <v>95</v>
      </c>
    </row>
    <row r="41" spans="1:11" x14ac:dyDescent="0.25">
      <c r="A41">
        <v>3</v>
      </c>
      <c r="B41">
        <v>1</v>
      </c>
      <c r="C41" s="5" t="s">
        <v>449</v>
      </c>
      <c r="D41" t="s">
        <v>364</v>
      </c>
      <c r="G41" t="s">
        <v>38</v>
      </c>
      <c r="H41" t="s">
        <v>100</v>
      </c>
      <c r="I41" t="s">
        <v>101</v>
      </c>
      <c r="J41" t="s">
        <v>90</v>
      </c>
    </row>
    <row r="42" spans="1:11" x14ac:dyDescent="0.25">
      <c r="A42">
        <v>3</v>
      </c>
      <c r="B42">
        <v>1</v>
      </c>
      <c r="C42" s="5" t="s">
        <v>449</v>
      </c>
      <c r="D42" t="s">
        <v>39</v>
      </c>
      <c r="G42" t="s">
        <v>370</v>
      </c>
      <c r="H42" t="s">
        <v>102</v>
      </c>
      <c r="I42" t="s">
        <v>101</v>
      </c>
    </row>
    <row r="43" spans="1:11" x14ac:dyDescent="0.25">
      <c r="A43">
        <v>3</v>
      </c>
      <c r="B43">
        <v>1</v>
      </c>
      <c r="C43" s="5" t="s">
        <v>449</v>
      </c>
      <c r="D43" t="s">
        <v>365</v>
      </c>
      <c r="G43" t="s">
        <v>47</v>
      </c>
      <c r="H43" t="s">
        <v>105</v>
      </c>
      <c r="I43" t="s">
        <v>100</v>
      </c>
      <c r="J43" t="s">
        <v>104</v>
      </c>
    </row>
    <row r="44" spans="1:11" x14ac:dyDescent="0.25">
      <c r="A44">
        <v>3</v>
      </c>
      <c r="B44">
        <v>1</v>
      </c>
      <c r="C44" s="5" t="s">
        <v>449</v>
      </c>
      <c r="D44" t="s">
        <v>366</v>
      </c>
      <c r="G44" t="s">
        <v>42</v>
      </c>
      <c r="H44" t="s">
        <v>106</v>
      </c>
      <c r="I44" t="s">
        <v>100</v>
      </c>
      <c r="J44" t="s">
        <v>109</v>
      </c>
    </row>
    <row r="45" spans="1:11" x14ac:dyDescent="0.25">
      <c r="A45">
        <v>3</v>
      </c>
      <c r="B45">
        <v>1</v>
      </c>
      <c r="C45" s="5" t="s">
        <v>449</v>
      </c>
      <c r="D45" t="s">
        <v>367</v>
      </c>
      <c r="G45" t="s">
        <v>46</v>
      </c>
      <c r="H45" t="s">
        <v>107</v>
      </c>
      <c r="I45" t="s">
        <v>106</v>
      </c>
      <c r="J45" t="s">
        <v>94</v>
      </c>
    </row>
    <row r="46" spans="1:11" x14ac:dyDescent="0.25">
      <c r="A46">
        <v>3</v>
      </c>
      <c r="B46">
        <v>1</v>
      </c>
      <c r="C46" s="5" t="s">
        <v>449</v>
      </c>
      <c r="D46" t="s">
        <v>43</v>
      </c>
      <c r="G46" t="s">
        <v>111</v>
      </c>
      <c r="H46" t="s">
        <v>110</v>
      </c>
      <c r="I46" t="s">
        <v>101</v>
      </c>
      <c r="J46" t="s">
        <v>87</v>
      </c>
    </row>
    <row r="47" spans="1:11" x14ac:dyDescent="0.25">
      <c r="A47">
        <v>3</v>
      </c>
      <c r="B47">
        <v>1</v>
      </c>
      <c r="C47" s="5" t="s">
        <v>449</v>
      </c>
      <c r="D47" t="s">
        <v>44</v>
      </c>
      <c r="G47" t="s">
        <v>372</v>
      </c>
      <c r="H47" t="s">
        <v>451</v>
      </c>
      <c r="I47" t="s">
        <v>101</v>
      </c>
      <c r="J47" t="s">
        <v>103</v>
      </c>
      <c r="K47" t="s">
        <v>112</v>
      </c>
    </row>
    <row r="49" spans="1:15" x14ac:dyDescent="0.25">
      <c r="A49">
        <v>3</v>
      </c>
      <c r="B49">
        <v>1</v>
      </c>
      <c r="C49" s="5" t="s">
        <v>466</v>
      </c>
      <c r="D49" t="s">
        <v>82</v>
      </c>
      <c r="G49" t="s">
        <v>477</v>
      </c>
      <c r="H49" t="s">
        <v>100</v>
      </c>
      <c r="I49" t="s">
        <v>478</v>
      </c>
      <c r="J49" t="s">
        <v>486</v>
      </c>
      <c r="K49" t="s">
        <v>199</v>
      </c>
    </row>
    <row r="50" spans="1:15" x14ac:dyDescent="0.25">
      <c r="A50">
        <v>3</v>
      </c>
      <c r="B50">
        <v>1</v>
      </c>
      <c r="C50" s="5" t="s">
        <v>466</v>
      </c>
      <c r="D50" t="s">
        <v>114</v>
      </c>
      <c r="G50" t="s">
        <v>476</v>
      </c>
      <c r="H50" t="s">
        <v>103</v>
      </c>
      <c r="I50" t="s">
        <v>478</v>
      </c>
      <c r="J50" t="s">
        <v>199</v>
      </c>
    </row>
    <row r="51" spans="1:15" x14ac:dyDescent="0.25">
      <c r="A51">
        <v>3</v>
      </c>
      <c r="B51">
        <v>1</v>
      </c>
      <c r="C51" s="5" t="s">
        <v>466</v>
      </c>
      <c r="D51" t="s">
        <v>83</v>
      </c>
      <c r="G51" t="s">
        <v>471</v>
      </c>
      <c r="H51" t="s">
        <v>470</v>
      </c>
      <c r="I51" t="s">
        <v>469</v>
      </c>
      <c r="J51" t="s">
        <v>198</v>
      </c>
    </row>
    <row r="52" spans="1:15" x14ac:dyDescent="0.25">
      <c r="A52">
        <v>3</v>
      </c>
      <c r="B52">
        <v>1</v>
      </c>
      <c r="C52" s="5" t="s">
        <v>466</v>
      </c>
      <c r="D52" t="s">
        <v>452</v>
      </c>
      <c r="G52" t="s">
        <v>467</v>
      </c>
      <c r="H52" t="s">
        <v>453</v>
      </c>
      <c r="I52" t="s">
        <v>468</v>
      </c>
      <c r="J52" t="s">
        <v>454</v>
      </c>
    </row>
    <row r="53" spans="1:15" x14ac:dyDescent="0.25">
      <c r="A53">
        <v>4</v>
      </c>
      <c r="B53">
        <v>1</v>
      </c>
      <c r="C53" s="5" t="s">
        <v>466</v>
      </c>
      <c r="D53" t="s">
        <v>479</v>
      </c>
      <c r="G53" t="s">
        <v>487</v>
      </c>
      <c r="H53" t="s">
        <v>103</v>
      </c>
      <c r="I53" t="s">
        <v>485</v>
      </c>
    </row>
    <row r="54" spans="1:15" x14ac:dyDescent="0.25">
      <c r="A54">
        <v>4</v>
      </c>
      <c r="B54">
        <v>1</v>
      </c>
      <c r="C54" s="5" t="s">
        <v>466</v>
      </c>
      <c r="D54" t="s">
        <v>480</v>
      </c>
      <c r="G54" t="s">
        <v>488</v>
      </c>
      <c r="H54" t="s">
        <v>470</v>
      </c>
      <c r="I54" t="s">
        <v>485</v>
      </c>
    </row>
    <row r="55" spans="1:15" x14ac:dyDescent="0.25">
      <c r="A55">
        <v>4</v>
      </c>
      <c r="B55">
        <v>1</v>
      </c>
      <c r="C55" s="5" t="s">
        <v>466</v>
      </c>
      <c r="D55" t="s">
        <v>481</v>
      </c>
      <c r="G55" t="s">
        <v>489</v>
      </c>
      <c r="H55" t="s">
        <v>453</v>
      </c>
      <c r="I55" t="s">
        <v>485</v>
      </c>
    </row>
    <row r="57" spans="1:15" x14ac:dyDescent="0.25">
      <c r="A57">
        <v>3</v>
      </c>
      <c r="B57">
        <v>1</v>
      </c>
      <c r="C57" s="5" t="s">
        <v>120</v>
      </c>
      <c r="D57" t="s">
        <v>121</v>
      </c>
      <c r="G57" t="s">
        <v>122</v>
      </c>
      <c r="H57" t="s">
        <v>108</v>
      </c>
      <c r="I57" t="s">
        <v>101</v>
      </c>
      <c r="J57" t="s">
        <v>123</v>
      </c>
    </row>
    <row r="59" spans="1:15" x14ac:dyDescent="0.25">
      <c r="A59">
        <v>3</v>
      </c>
      <c r="B59">
        <v>1</v>
      </c>
      <c r="C59" s="5" t="s">
        <v>177</v>
      </c>
      <c r="D59" t="s">
        <v>131</v>
      </c>
      <c r="G59" t="s">
        <v>126</v>
      </c>
      <c r="H59" t="s">
        <v>127</v>
      </c>
      <c r="I59" t="s">
        <v>491</v>
      </c>
      <c r="J59" t="s">
        <v>128</v>
      </c>
      <c r="K59" t="s">
        <v>129</v>
      </c>
      <c r="L59" t="s">
        <v>501</v>
      </c>
      <c r="M59" t="s">
        <v>130</v>
      </c>
    </row>
    <row r="60" spans="1:15" x14ac:dyDescent="0.25">
      <c r="A60">
        <v>3</v>
      </c>
      <c r="B60">
        <v>1</v>
      </c>
      <c r="C60" s="5" t="s">
        <v>177</v>
      </c>
      <c r="D60" t="s">
        <v>48</v>
      </c>
      <c r="G60" t="s">
        <v>371</v>
      </c>
      <c r="H60" t="s">
        <v>105</v>
      </c>
      <c r="I60" t="s">
        <v>492</v>
      </c>
      <c r="J60" t="s">
        <v>108</v>
      </c>
      <c r="K60" t="s">
        <v>103</v>
      </c>
    </row>
    <row r="61" spans="1:15" x14ac:dyDescent="0.25">
      <c r="A61">
        <v>3</v>
      </c>
      <c r="B61">
        <v>1</v>
      </c>
      <c r="C61" s="5" t="s">
        <v>177</v>
      </c>
      <c r="D61" t="s">
        <v>213</v>
      </c>
      <c r="G61" t="s">
        <v>373</v>
      </c>
      <c r="H61" s="3" t="s">
        <v>493</v>
      </c>
      <c r="I61" s="3" t="s">
        <v>127</v>
      </c>
      <c r="J61" s="3" t="s">
        <v>128</v>
      </c>
      <c r="K61" s="3" t="s">
        <v>494</v>
      </c>
      <c r="L61" s="3" t="s">
        <v>495</v>
      </c>
      <c r="M61" s="3" t="s">
        <v>129</v>
      </c>
      <c r="N61" s="3" t="s">
        <v>130</v>
      </c>
      <c r="O61" s="3" t="s">
        <v>496</v>
      </c>
    </row>
    <row r="62" spans="1:15" x14ac:dyDescent="0.25">
      <c r="A62">
        <v>3</v>
      </c>
      <c r="B62">
        <v>1</v>
      </c>
      <c r="C62" s="5" t="s">
        <v>177</v>
      </c>
      <c r="D62" t="s">
        <v>124</v>
      </c>
      <c r="G62" t="s">
        <v>374</v>
      </c>
      <c r="H62" t="s">
        <v>125</v>
      </c>
      <c r="I62" t="s">
        <v>207</v>
      </c>
      <c r="J62" t="s">
        <v>103</v>
      </c>
      <c r="K62" t="s">
        <v>206</v>
      </c>
    </row>
    <row r="64" spans="1:15" x14ac:dyDescent="0.25">
      <c r="A64">
        <v>3</v>
      </c>
      <c r="C64" s="16" t="s">
        <v>490</v>
      </c>
      <c r="D64" t="s">
        <v>49</v>
      </c>
      <c r="G64" t="s">
        <v>395</v>
      </c>
      <c r="H64" t="s">
        <v>105</v>
      </c>
      <c r="I64" t="s">
        <v>123</v>
      </c>
      <c r="J64" t="s">
        <v>397</v>
      </c>
      <c r="K64" t="s">
        <v>396</v>
      </c>
    </row>
    <row r="65" spans="1:14" x14ac:dyDescent="0.25">
      <c r="A65">
        <v>3</v>
      </c>
      <c r="B65">
        <v>1</v>
      </c>
      <c r="C65" s="5" t="s">
        <v>490</v>
      </c>
      <c r="D65" t="s">
        <v>50</v>
      </c>
      <c r="G65" t="s">
        <v>159</v>
      </c>
      <c r="H65" t="s">
        <v>161</v>
      </c>
      <c r="I65" t="s">
        <v>101</v>
      </c>
      <c r="J65" t="s">
        <v>160</v>
      </c>
    </row>
    <row r="66" spans="1:14" x14ac:dyDescent="0.25">
      <c r="B66">
        <v>1</v>
      </c>
      <c r="C66" s="5" t="s">
        <v>490</v>
      </c>
      <c r="D66" t="s">
        <v>157</v>
      </c>
      <c r="G66" t="s">
        <v>228</v>
      </c>
      <c r="H66" t="s">
        <v>161</v>
      </c>
      <c r="I66" t="s">
        <v>101</v>
      </c>
      <c r="J66" t="s">
        <v>162</v>
      </c>
      <c r="K66" t="s">
        <v>163</v>
      </c>
      <c r="L66" t="s">
        <v>197</v>
      </c>
    </row>
    <row r="67" spans="1:14" x14ac:dyDescent="0.25">
      <c r="B67">
        <v>1</v>
      </c>
      <c r="C67" s="5" t="s">
        <v>490</v>
      </c>
      <c r="D67" t="s">
        <v>158</v>
      </c>
      <c r="G67" t="s">
        <v>497</v>
      </c>
      <c r="H67" t="s">
        <v>164</v>
      </c>
      <c r="I67" t="s">
        <v>165</v>
      </c>
      <c r="J67" t="s">
        <v>162</v>
      </c>
      <c r="K67" t="s">
        <v>166</v>
      </c>
      <c r="L67" t="s">
        <v>167</v>
      </c>
    </row>
    <row r="68" spans="1:14" x14ac:dyDescent="0.25">
      <c r="C68" s="17" t="s">
        <v>490</v>
      </c>
      <c r="D68" t="s">
        <v>51</v>
      </c>
      <c r="G68" t="s">
        <v>156</v>
      </c>
      <c r="H68" t="s">
        <v>164</v>
      </c>
      <c r="I68" t="s">
        <v>168</v>
      </c>
      <c r="J68" t="s">
        <v>169</v>
      </c>
      <c r="K68" t="s">
        <v>170</v>
      </c>
      <c r="L68" t="s">
        <v>171</v>
      </c>
      <c r="M68" t="s">
        <v>172</v>
      </c>
      <c r="N68" t="s">
        <v>173</v>
      </c>
    </row>
    <row r="70" spans="1:14" x14ac:dyDescent="0.25">
      <c r="A70">
        <v>3</v>
      </c>
      <c r="B70">
        <v>1</v>
      </c>
      <c r="C70" s="5" t="s">
        <v>212</v>
      </c>
      <c r="D70" t="s">
        <v>60</v>
      </c>
      <c r="G70" t="s">
        <v>61</v>
      </c>
      <c r="H70" t="s">
        <v>202</v>
      </c>
      <c r="I70" t="s">
        <v>201</v>
      </c>
      <c r="J70" t="s">
        <v>94</v>
      </c>
    </row>
    <row r="71" spans="1:14" x14ac:dyDescent="0.25">
      <c r="A71">
        <v>3</v>
      </c>
      <c r="B71">
        <v>1</v>
      </c>
      <c r="C71" s="5" t="s">
        <v>212</v>
      </c>
      <c r="D71" t="s">
        <v>62</v>
      </c>
      <c r="G71" t="s">
        <v>63</v>
      </c>
      <c r="H71" t="s">
        <v>200</v>
      </c>
      <c r="I71" t="s">
        <v>201</v>
      </c>
      <c r="J71" s="2" t="s">
        <v>203</v>
      </c>
    </row>
    <row r="72" spans="1:14" x14ac:dyDescent="0.25">
      <c r="A72">
        <v>3</v>
      </c>
      <c r="C72" s="17" t="s">
        <v>212</v>
      </c>
      <c r="D72" t="s">
        <v>64</v>
      </c>
      <c r="G72" t="s">
        <v>65</v>
      </c>
      <c r="H72" t="s">
        <v>200</v>
      </c>
      <c r="I72" t="s">
        <v>187</v>
      </c>
      <c r="J72" t="s">
        <v>202</v>
      </c>
    </row>
    <row r="73" spans="1:14" x14ac:dyDescent="0.25">
      <c r="A73">
        <v>3</v>
      </c>
      <c r="B73">
        <v>1</v>
      </c>
      <c r="C73" s="5" t="s">
        <v>212</v>
      </c>
      <c r="D73" t="s">
        <v>66</v>
      </c>
      <c r="G73" t="s">
        <v>67</v>
      </c>
      <c r="H73" t="s">
        <v>107</v>
      </c>
      <c r="I73" t="s">
        <v>200</v>
      </c>
      <c r="J73" t="s">
        <v>201</v>
      </c>
    </row>
    <row r="74" spans="1:14" x14ac:dyDescent="0.25">
      <c r="A74">
        <v>3</v>
      </c>
      <c r="B74">
        <v>1</v>
      </c>
      <c r="C74" s="5" t="s">
        <v>212</v>
      </c>
      <c r="D74" t="s">
        <v>66</v>
      </c>
      <c r="G74" t="s">
        <v>68</v>
      </c>
      <c r="H74" t="s">
        <v>107</v>
      </c>
      <c r="I74" t="s">
        <v>201</v>
      </c>
      <c r="J74" s="2" t="s">
        <v>203</v>
      </c>
    </row>
    <row r="75" spans="1:14" x14ac:dyDescent="0.25">
      <c r="A75">
        <v>3</v>
      </c>
      <c r="B75">
        <v>1</v>
      </c>
      <c r="C75" s="5" t="s">
        <v>212</v>
      </c>
      <c r="D75" t="s">
        <v>69</v>
      </c>
      <c r="G75" t="s">
        <v>70</v>
      </c>
      <c r="H75" t="s">
        <v>205</v>
      </c>
      <c r="I75" t="s">
        <v>200</v>
      </c>
      <c r="J75" t="s">
        <v>201</v>
      </c>
      <c r="K75" t="s">
        <v>94</v>
      </c>
    </row>
    <row r="76" spans="1:14" x14ac:dyDescent="0.25">
      <c r="A76">
        <v>3</v>
      </c>
      <c r="B76">
        <v>1</v>
      </c>
      <c r="C76" s="5" t="s">
        <v>212</v>
      </c>
      <c r="D76" t="s">
        <v>71</v>
      </c>
      <c r="G76" t="s">
        <v>498</v>
      </c>
      <c r="H76" s="2" t="s">
        <v>203</v>
      </c>
      <c r="I76" t="s">
        <v>500</v>
      </c>
      <c r="J76" t="s">
        <v>499</v>
      </c>
      <c r="K76" t="s">
        <v>204</v>
      </c>
    </row>
    <row r="77" spans="1:14" x14ac:dyDescent="0.25">
      <c r="A77">
        <v>3</v>
      </c>
      <c r="B77">
        <v>-1</v>
      </c>
      <c r="C77" s="5" t="s">
        <v>212</v>
      </c>
      <c r="D77" t="s">
        <v>72</v>
      </c>
      <c r="G77" t="s">
        <v>73</v>
      </c>
      <c r="H77" t="s">
        <v>189</v>
      </c>
      <c r="I77" t="s">
        <v>190</v>
      </c>
      <c r="J77" t="s">
        <v>191</v>
      </c>
      <c r="K77" t="s">
        <v>192</v>
      </c>
      <c r="L77" t="s">
        <v>193</v>
      </c>
      <c r="M77" t="s">
        <v>194</v>
      </c>
    </row>
    <row r="81" spans="1:19" x14ac:dyDescent="0.25">
      <c r="A81">
        <v>1</v>
      </c>
      <c r="C81" s="5" t="s">
        <v>37</v>
      </c>
      <c r="D81" t="s">
        <v>35</v>
      </c>
      <c r="G81" t="s">
        <v>36</v>
      </c>
      <c r="H81" t="s">
        <v>180</v>
      </c>
      <c r="I81" t="s">
        <v>181</v>
      </c>
      <c r="J81" t="s">
        <v>182</v>
      </c>
    </row>
    <row r="82" spans="1:19" x14ac:dyDescent="0.25">
      <c r="A82">
        <v>1</v>
      </c>
      <c r="C82" s="5" t="s">
        <v>37</v>
      </c>
      <c r="D82" t="s">
        <v>229</v>
      </c>
      <c r="G82" t="s">
        <v>230</v>
      </c>
      <c r="H82" t="s">
        <v>180</v>
      </c>
      <c r="I82" t="s">
        <v>181</v>
      </c>
      <c r="J82" t="s">
        <v>182</v>
      </c>
    </row>
    <row r="83" spans="1:19" x14ac:dyDescent="0.25">
      <c r="B83">
        <v>-1</v>
      </c>
      <c r="C83" s="5" t="s">
        <v>37</v>
      </c>
      <c r="D83" t="s">
        <v>45</v>
      </c>
    </row>
    <row r="84" spans="1:19" x14ac:dyDescent="0.25">
      <c r="A84">
        <v>2</v>
      </c>
      <c r="C84" s="5" t="s">
        <v>37</v>
      </c>
      <c r="D84" t="s">
        <v>231</v>
      </c>
      <c r="F84" t="s">
        <v>232</v>
      </c>
      <c r="G84" t="s">
        <v>234</v>
      </c>
      <c r="H84" t="s">
        <v>233</v>
      </c>
      <c r="I84" t="s">
        <v>235</v>
      </c>
      <c r="J84" t="s">
        <v>236</v>
      </c>
      <c r="K84" t="s">
        <v>237</v>
      </c>
    </row>
    <row r="85" spans="1:19" x14ac:dyDescent="0.25">
      <c r="A85">
        <v>2</v>
      </c>
      <c r="B85">
        <v>-1</v>
      </c>
      <c r="C85" s="5" t="s">
        <v>37</v>
      </c>
      <c r="D85" t="s">
        <v>238</v>
      </c>
    </row>
    <row r="86" spans="1:19" x14ac:dyDescent="0.25">
      <c r="B86">
        <v>-1</v>
      </c>
      <c r="C86" s="5" t="s">
        <v>37</v>
      </c>
      <c r="D86" t="s">
        <v>45</v>
      </c>
    </row>
    <row r="88" spans="1:19" x14ac:dyDescent="0.25">
      <c r="C88" s="5" t="s">
        <v>208</v>
      </c>
      <c r="D88" t="s">
        <v>210</v>
      </c>
      <c r="G88" t="s">
        <v>209</v>
      </c>
      <c r="H88" t="s">
        <v>100</v>
      </c>
      <c r="I88" t="s">
        <v>101</v>
      </c>
      <c r="J88" t="s">
        <v>211</v>
      </c>
    </row>
    <row r="89" spans="1:19" x14ac:dyDescent="0.25">
      <c r="C89" s="5" t="s">
        <v>208</v>
      </c>
      <c r="D89" t="s">
        <v>215</v>
      </c>
      <c r="G89" t="s">
        <v>216</v>
      </c>
      <c r="H89" t="s">
        <v>217</v>
      </c>
      <c r="I89" t="s">
        <v>218</v>
      </c>
      <c r="J89" t="s">
        <v>185</v>
      </c>
      <c r="K89" t="s">
        <v>219</v>
      </c>
      <c r="L89" t="s">
        <v>220</v>
      </c>
      <c r="M89" t="s">
        <v>195</v>
      </c>
      <c r="N89" t="s">
        <v>214</v>
      </c>
      <c r="O89" t="s">
        <v>221</v>
      </c>
      <c r="P89" t="s">
        <v>186</v>
      </c>
      <c r="Q89" t="s">
        <v>222</v>
      </c>
      <c r="R89" t="s">
        <v>223</v>
      </c>
      <c r="S89" t="s">
        <v>224</v>
      </c>
    </row>
    <row r="90" spans="1:19" x14ac:dyDescent="0.25">
      <c r="C90" s="5" t="s">
        <v>208</v>
      </c>
      <c r="D90" t="s">
        <v>510</v>
      </c>
      <c r="G90" t="s">
        <v>511</v>
      </c>
      <c r="H90" t="s">
        <v>512</v>
      </c>
      <c r="I90" t="s">
        <v>513</v>
      </c>
    </row>
    <row r="92" spans="1:19" x14ac:dyDescent="0.25">
      <c r="C92" s="5" t="s">
        <v>115</v>
      </c>
      <c r="D92" t="s">
        <v>116</v>
      </c>
    </row>
    <row r="93" spans="1:19" x14ac:dyDescent="0.25">
      <c r="C93" s="5" t="s">
        <v>115</v>
      </c>
      <c r="D93" t="s">
        <v>117</v>
      </c>
    </row>
    <row r="94" spans="1:19" x14ac:dyDescent="0.25">
      <c r="C94" s="5" t="s">
        <v>115</v>
      </c>
      <c r="D94" t="s">
        <v>118</v>
      </c>
    </row>
    <row r="95" spans="1:19" x14ac:dyDescent="0.25">
      <c r="C95" s="5" t="s">
        <v>115</v>
      </c>
      <c r="D95" t="s">
        <v>119</v>
      </c>
    </row>
    <row r="96" spans="1:19" x14ac:dyDescent="0.25">
      <c r="C96" s="5" t="s">
        <v>115</v>
      </c>
      <c r="D96" s="5" t="s">
        <v>113</v>
      </c>
      <c r="H96" s="3"/>
      <c r="I96" s="3"/>
      <c r="J96" s="3"/>
      <c r="M96" s="3"/>
      <c r="N96" s="3"/>
      <c r="O96" s="3"/>
    </row>
    <row r="97" spans="3:15" x14ac:dyDescent="0.25">
      <c r="C97" s="5" t="s">
        <v>115</v>
      </c>
      <c r="D97" t="s">
        <v>450</v>
      </c>
      <c r="H97" s="3"/>
      <c r="I97" s="3"/>
      <c r="J97" s="3"/>
      <c r="M97" s="3"/>
      <c r="N97" s="3"/>
      <c r="O97" s="3"/>
    </row>
    <row r="98" spans="3:15" x14ac:dyDescent="0.25">
      <c r="C98" s="5" t="s">
        <v>115</v>
      </c>
      <c r="D98" t="s">
        <v>132</v>
      </c>
    </row>
    <row r="99" spans="3:15" x14ac:dyDescent="0.25">
      <c r="C99" s="5" t="s">
        <v>115</v>
      </c>
      <c r="D99" t="s">
        <v>133</v>
      </c>
    </row>
    <row r="100" spans="3:15" x14ac:dyDescent="0.25">
      <c r="C100" s="5" t="s">
        <v>115</v>
      </c>
      <c r="D100" t="s">
        <v>134</v>
      </c>
    </row>
    <row r="101" spans="3:15" x14ac:dyDescent="0.25">
      <c r="C101" s="5" t="s">
        <v>115</v>
      </c>
      <c r="D101" t="s">
        <v>136</v>
      </c>
    </row>
    <row r="102" spans="3:15" x14ac:dyDescent="0.25">
      <c r="C102" s="5" t="s">
        <v>115</v>
      </c>
      <c r="D102" t="s">
        <v>135</v>
      </c>
    </row>
    <row r="103" spans="3:15" x14ac:dyDescent="0.25">
      <c r="C103" s="5" t="s">
        <v>115</v>
      </c>
      <c r="D103" t="s">
        <v>137</v>
      </c>
    </row>
    <row r="104" spans="3:15" x14ac:dyDescent="0.25">
      <c r="C104" s="5" t="s">
        <v>115</v>
      </c>
      <c r="D104" t="s">
        <v>138</v>
      </c>
    </row>
    <row r="105" spans="3:15" x14ac:dyDescent="0.25">
      <c r="C105" s="5" t="s">
        <v>115</v>
      </c>
      <c r="D105" t="s">
        <v>139</v>
      </c>
    </row>
    <row r="106" spans="3:15" x14ac:dyDescent="0.25">
      <c r="C106" s="5" t="s">
        <v>115</v>
      </c>
      <c r="D106" t="s">
        <v>140</v>
      </c>
    </row>
    <row r="107" spans="3:15" x14ac:dyDescent="0.25">
      <c r="C107" s="5" t="s">
        <v>115</v>
      </c>
      <c r="D107" t="s">
        <v>141</v>
      </c>
    </row>
    <row r="108" spans="3:15" x14ac:dyDescent="0.25">
      <c r="C108" s="5" t="s">
        <v>115</v>
      </c>
      <c r="D108" t="s">
        <v>142</v>
      </c>
    </row>
    <row r="109" spans="3:15" x14ac:dyDescent="0.25">
      <c r="C109" s="5" t="s">
        <v>115</v>
      </c>
      <c r="D109" t="s">
        <v>143</v>
      </c>
    </row>
    <row r="110" spans="3:15" x14ac:dyDescent="0.25">
      <c r="C110" s="5" t="s">
        <v>115</v>
      </c>
      <c r="D110" t="s">
        <v>144</v>
      </c>
    </row>
    <row r="111" spans="3:15" x14ac:dyDescent="0.25">
      <c r="C111" s="5" t="s">
        <v>115</v>
      </c>
      <c r="D111" t="s">
        <v>145</v>
      </c>
    </row>
    <row r="112" spans="3:15" x14ac:dyDescent="0.25">
      <c r="C112" s="5" t="s">
        <v>115</v>
      </c>
      <c r="D112" t="s">
        <v>146</v>
      </c>
    </row>
    <row r="113" spans="2:7" x14ac:dyDescent="0.25">
      <c r="C113" s="5" t="s">
        <v>115</v>
      </c>
      <c r="D113" t="s">
        <v>147</v>
      </c>
    </row>
    <row r="114" spans="2:7" x14ac:dyDescent="0.25">
      <c r="C114" s="5" t="s">
        <v>115</v>
      </c>
      <c r="D114" t="s">
        <v>148</v>
      </c>
    </row>
    <row r="115" spans="2:7" x14ac:dyDescent="0.25">
      <c r="C115" s="5" t="s">
        <v>115</v>
      </c>
      <c r="D115" t="s">
        <v>149</v>
      </c>
    </row>
    <row r="116" spans="2:7" x14ac:dyDescent="0.25">
      <c r="C116" s="5" t="s">
        <v>115</v>
      </c>
      <c r="D116" t="s">
        <v>150</v>
      </c>
    </row>
    <row r="117" spans="2:7" x14ac:dyDescent="0.25">
      <c r="C117" s="5" t="s">
        <v>115</v>
      </c>
      <c r="D117" t="s">
        <v>151</v>
      </c>
    </row>
    <row r="118" spans="2:7" x14ac:dyDescent="0.25">
      <c r="C118" s="5" t="s">
        <v>115</v>
      </c>
      <c r="D118" t="s">
        <v>152</v>
      </c>
    </row>
    <row r="119" spans="2:7" x14ac:dyDescent="0.25">
      <c r="C119" s="5" t="s">
        <v>115</v>
      </c>
      <c r="D119" t="s">
        <v>153</v>
      </c>
    </row>
    <row r="120" spans="2:7" x14ac:dyDescent="0.25">
      <c r="C120" s="5" t="s">
        <v>115</v>
      </c>
      <c r="D120" t="s">
        <v>154</v>
      </c>
    </row>
    <row r="121" spans="2:7" x14ac:dyDescent="0.25">
      <c r="C121" s="5" t="s">
        <v>115</v>
      </c>
      <c r="D121" t="s">
        <v>155</v>
      </c>
    </row>
    <row r="122" spans="2:7" x14ac:dyDescent="0.25">
      <c r="C122" s="5" t="s">
        <v>115</v>
      </c>
      <c r="D122" t="s">
        <v>174</v>
      </c>
    </row>
    <row r="123" spans="2:7" x14ac:dyDescent="0.25">
      <c r="C123" s="5" t="s">
        <v>115</v>
      </c>
      <c r="D123" t="s">
        <v>175</v>
      </c>
    </row>
    <row r="124" spans="2:7" x14ac:dyDescent="0.25">
      <c r="C124" s="5" t="s">
        <v>115</v>
      </c>
      <c r="D124" t="s">
        <v>176</v>
      </c>
    </row>
    <row r="126" spans="2:7" x14ac:dyDescent="0.25">
      <c r="C126" s="5" t="s">
        <v>115</v>
      </c>
      <c r="D126" t="s">
        <v>389</v>
      </c>
    </row>
    <row r="128" spans="2:7" x14ac:dyDescent="0.25">
      <c r="B128">
        <v>-1</v>
      </c>
      <c r="C128" s="5" t="s">
        <v>115</v>
      </c>
      <c r="D128" t="s">
        <v>41</v>
      </c>
      <c r="G128" t="s">
        <v>40</v>
      </c>
    </row>
    <row r="130" spans="3:10" x14ac:dyDescent="0.25">
      <c r="C130" s="5" t="s">
        <v>115</v>
      </c>
      <c r="D130" t="s">
        <v>52</v>
      </c>
      <c r="G130" t="s">
        <v>53</v>
      </c>
      <c r="H130" t="s">
        <v>87</v>
      </c>
      <c r="I130" t="s">
        <v>195</v>
      </c>
      <c r="J130" t="s">
        <v>196</v>
      </c>
    </row>
    <row r="131" spans="3:10" x14ac:dyDescent="0.25">
      <c r="C131" s="5" t="s">
        <v>115</v>
      </c>
      <c r="G131" t="s">
        <v>54</v>
      </c>
      <c r="H131" t="s">
        <v>195</v>
      </c>
      <c r="I131" t="s">
        <v>188</v>
      </c>
    </row>
    <row r="132" spans="3:10" x14ac:dyDescent="0.25">
      <c r="C132" s="5" t="s">
        <v>115</v>
      </c>
      <c r="D132" t="s">
        <v>55</v>
      </c>
      <c r="G132" t="s">
        <v>56</v>
      </c>
      <c r="H132" t="s">
        <v>184</v>
      </c>
      <c r="I132" t="s">
        <v>185</v>
      </c>
      <c r="J132" t="s">
        <v>87</v>
      </c>
    </row>
    <row r="133" spans="3:10" x14ac:dyDescent="0.25">
      <c r="C133" s="5" t="s">
        <v>115</v>
      </c>
      <c r="D133" t="s">
        <v>55</v>
      </c>
      <c r="G133" t="s">
        <v>57</v>
      </c>
      <c r="H133" t="s">
        <v>184</v>
      </c>
      <c r="I133" t="s">
        <v>186</v>
      </c>
      <c r="J133" t="s">
        <v>183</v>
      </c>
    </row>
    <row r="134" spans="3:10" x14ac:dyDescent="0.25">
      <c r="C134" s="5" t="s">
        <v>115</v>
      </c>
      <c r="D134" t="s">
        <v>58</v>
      </c>
      <c r="G134" t="s">
        <v>59</v>
      </c>
      <c r="H134" t="s">
        <v>185</v>
      </c>
      <c r="I134" t="s">
        <v>184</v>
      </c>
    </row>
    <row r="136" spans="3:10" x14ac:dyDescent="0.25">
      <c r="C136" s="5" t="s">
        <v>115</v>
      </c>
      <c r="D136" t="s">
        <v>74</v>
      </c>
    </row>
    <row r="137" spans="3:10" x14ac:dyDescent="0.25">
      <c r="C137" s="5" t="s">
        <v>115</v>
      </c>
      <c r="D137" t="s">
        <v>76</v>
      </c>
    </row>
    <row r="138" spans="3:10" x14ac:dyDescent="0.25">
      <c r="C138" s="5" t="s">
        <v>115</v>
      </c>
      <c r="D138" t="s">
        <v>77</v>
      </c>
    </row>
    <row r="139" spans="3:10" x14ac:dyDescent="0.25">
      <c r="C139" s="5" t="s">
        <v>115</v>
      </c>
      <c r="D139" t="s">
        <v>78</v>
      </c>
    </row>
    <row r="142" spans="3:10" x14ac:dyDescent="0.25">
      <c r="G142" s="2"/>
    </row>
  </sheetData>
  <conditionalFormatting sqref="B3:B13 B98:B124 B88:B95 B126:B2849 B15:B86">
    <cfRule type="expression" dxfId="11" priority="9">
      <formula>ISBLANK(B3)</formula>
    </cfRule>
    <cfRule type="cellIs" dxfId="10" priority="11" operator="notEqual">
      <formula>1</formula>
    </cfRule>
  </conditionalFormatting>
  <conditionalFormatting sqref="B96">
    <cfRule type="expression" dxfId="9" priority="5">
      <formula>ISBLANK(B96)</formula>
    </cfRule>
    <cfRule type="cellIs" dxfId="8" priority="6" operator="notEqual">
      <formula>1</formula>
    </cfRule>
  </conditionalFormatting>
  <conditionalFormatting sqref="B97">
    <cfRule type="expression" dxfId="7" priority="3">
      <formula>ISBLANK(B97)</formula>
    </cfRule>
    <cfRule type="cellIs" dxfId="6" priority="4" operator="notEqual">
      <formula>1</formula>
    </cfRule>
  </conditionalFormatting>
  <conditionalFormatting sqref="B2:B14">
    <cfRule type="expression" dxfId="5" priority="1">
      <formula>ISBLANK(B2)</formula>
    </cfRule>
    <cfRule type="cellIs" dxfId="4" priority="2" operator="notEqual">
      <formula>1</formula>
    </cfRule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B4844-798C-4D24-88A2-AB6455EE96C0}">
  <dimension ref="A1:F172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3" max="3" width="18.7109375" customWidth="1"/>
  </cols>
  <sheetData>
    <row r="1" spans="1:6" x14ac:dyDescent="0.25">
      <c r="A1" t="s">
        <v>387</v>
      </c>
      <c r="B1" t="s">
        <v>0</v>
      </c>
      <c r="C1" t="s">
        <v>514</v>
      </c>
      <c r="D1" t="s">
        <v>32</v>
      </c>
      <c r="E1" t="s">
        <v>515</v>
      </c>
      <c r="F1" t="s">
        <v>33</v>
      </c>
    </row>
    <row r="2" spans="1:6" x14ac:dyDescent="0.25">
      <c r="A2">
        <v>5</v>
      </c>
      <c r="C2" t="s">
        <v>516</v>
      </c>
      <c r="D2" t="s">
        <v>518</v>
      </c>
      <c r="E2" t="s">
        <v>517</v>
      </c>
      <c r="F2">
        <v>1460</v>
      </c>
    </row>
    <row r="3" spans="1:6" x14ac:dyDescent="0.25">
      <c r="A3">
        <v>5</v>
      </c>
      <c r="C3" t="s">
        <v>516</v>
      </c>
      <c r="D3" t="s">
        <v>519</v>
      </c>
      <c r="E3" t="s">
        <v>517</v>
      </c>
      <c r="F3">
        <v>1005</v>
      </c>
    </row>
    <row r="4" spans="1:6" x14ac:dyDescent="0.25">
      <c r="A4">
        <v>5</v>
      </c>
      <c r="C4" t="s">
        <v>516</v>
      </c>
      <c r="D4" t="s">
        <v>520</v>
      </c>
      <c r="E4" t="s">
        <v>517</v>
      </c>
      <c r="F4">
        <v>800</v>
      </c>
    </row>
    <row r="5" spans="1:6" x14ac:dyDescent="0.25">
      <c r="A5">
        <v>5</v>
      </c>
      <c r="C5" t="s">
        <v>516</v>
      </c>
      <c r="D5" t="s">
        <v>521</v>
      </c>
      <c r="E5" t="s">
        <v>517</v>
      </c>
      <c r="F5">
        <v>2440</v>
      </c>
    </row>
    <row r="6" spans="1:6" x14ac:dyDescent="0.25">
      <c r="A6">
        <v>5</v>
      </c>
      <c r="C6" t="s">
        <v>516</v>
      </c>
      <c r="D6" t="s">
        <v>522</v>
      </c>
      <c r="E6" t="s">
        <v>517</v>
      </c>
      <c r="F6">
        <v>2530</v>
      </c>
    </row>
    <row r="7" spans="1:6" x14ac:dyDescent="0.25">
      <c r="A7">
        <v>5</v>
      </c>
      <c r="C7" t="s">
        <v>516</v>
      </c>
      <c r="D7" t="s">
        <v>523</v>
      </c>
      <c r="E7" t="s">
        <v>517</v>
      </c>
      <c r="F7">
        <v>897</v>
      </c>
    </row>
    <row r="8" spans="1:6" x14ac:dyDescent="0.25">
      <c r="A8">
        <v>5</v>
      </c>
      <c r="C8" t="s">
        <v>516</v>
      </c>
      <c r="D8" t="s">
        <v>524</v>
      </c>
      <c r="E8" t="s">
        <v>517</v>
      </c>
      <c r="F8">
        <v>436</v>
      </c>
    </row>
    <row r="9" spans="1:6" x14ac:dyDescent="0.25">
      <c r="A9">
        <v>5</v>
      </c>
      <c r="C9" t="s">
        <v>516</v>
      </c>
      <c r="D9" t="s">
        <v>690</v>
      </c>
      <c r="E9" t="s">
        <v>517</v>
      </c>
      <c r="F9">
        <v>718</v>
      </c>
    </row>
    <row r="10" spans="1:6" x14ac:dyDescent="0.25">
      <c r="A10">
        <v>5</v>
      </c>
      <c r="C10" t="s">
        <v>516</v>
      </c>
      <c r="D10" t="s">
        <v>525</v>
      </c>
      <c r="E10" t="s">
        <v>517</v>
      </c>
      <c r="F10">
        <v>4700</v>
      </c>
    </row>
    <row r="11" spans="1:6" x14ac:dyDescent="0.25">
      <c r="A11">
        <v>5</v>
      </c>
      <c r="C11" t="s">
        <v>516</v>
      </c>
      <c r="D11" t="s">
        <v>526</v>
      </c>
      <c r="E11" t="s">
        <v>517</v>
      </c>
      <c r="F11">
        <v>2060</v>
      </c>
    </row>
    <row r="12" spans="1:6" x14ac:dyDescent="0.25">
      <c r="A12">
        <v>5</v>
      </c>
      <c r="C12" t="s">
        <v>516</v>
      </c>
      <c r="D12" t="s">
        <v>527</v>
      </c>
      <c r="E12" t="s">
        <v>517</v>
      </c>
      <c r="F12">
        <v>209</v>
      </c>
    </row>
    <row r="13" spans="1:6" x14ac:dyDescent="0.25">
      <c r="A13">
        <v>5</v>
      </c>
      <c r="C13" t="s">
        <v>516</v>
      </c>
      <c r="D13" t="s">
        <v>528</v>
      </c>
      <c r="E13" t="s">
        <v>517</v>
      </c>
      <c r="F13">
        <v>520</v>
      </c>
    </row>
    <row r="14" spans="1:6" x14ac:dyDescent="0.25">
      <c r="A14">
        <v>5</v>
      </c>
      <c r="C14" t="s">
        <v>516</v>
      </c>
      <c r="D14" t="s">
        <v>529</v>
      </c>
      <c r="E14" t="s">
        <v>517</v>
      </c>
      <c r="F14">
        <v>348</v>
      </c>
    </row>
    <row r="15" spans="1:6" x14ac:dyDescent="0.25">
      <c r="A15">
        <v>5</v>
      </c>
      <c r="C15" t="s">
        <v>516</v>
      </c>
      <c r="D15" t="s">
        <v>530</v>
      </c>
      <c r="E15" t="s">
        <v>517</v>
      </c>
      <c r="F15">
        <v>1357</v>
      </c>
    </row>
    <row r="16" spans="1:6" x14ac:dyDescent="0.25">
      <c r="A16">
        <v>5</v>
      </c>
      <c r="C16" t="s">
        <v>516</v>
      </c>
      <c r="D16" t="s">
        <v>531</v>
      </c>
      <c r="E16" t="s">
        <v>517</v>
      </c>
      <c r="F16">
        <v>816</v>
      </c>
    </row>
    <row r="17" spans="1:6" x14ac:dyDescent="0.25">
      <c r="A17">
        <v>5</v>
      </c>
      <c r="C17" t="s">
        <v>516</v>
      </c>
      <c r="D17" t="s">
        <v>532</v>
      </c>
      <c r="E17" t="s">
        <v>517</v>
      </c>
      <c r="F17">
        <v>920</v>
      </c>
    </row>
    <row r="18" spans="1:6" x14ac:dyDescent="0.25">
      <c r="A18">
        <v>5</v>
      </c>
      <c r="C18" t="s">
        <v>516</v>
      </c>
      <c r="D18" t="s">
        <v>533</v>
      </c>
      <c r="E18" t="s">
        <v>517</v>
      </c>
      <c r="F18">
        <v>290</v>
      </c>
    </row>
    <row r="19" spans="1:6" x14ac:dyDescent="0.25">
      <c r="A19">
        <v>5</v>
      </c>
      <c r="C19" t="s">
        <v>516</v>
      </c>
      <c r="D19" t="s">
        <v>534</v>
      </c>
      <c r="E19" t="s">
        <v>517</v>
      </c>
      <c r="F19">
        <v>460</v>
      </c>
    </row>
    <row r="20" spans="1:6" x14ac:dyDescent="0.25">
      <c r="A20">
        <v>5</v>
      </c>
      <c r="C20" t="s">
        <v>516</v>
      </c>
      <c r="D20" t="s">
        <v>535</v>
      </c>
      <c r="E20" t="s">
        <v>517</v>
      </c>
      <c r="F20">
        <v>1020</v>
      </c>
    </row>
    <row r="21" spans="1:6" x14ac:dyDescent="0.25">
      <c r="A21">
        <v>5</v>
      </c>
      <c r="C21" t="s">
        <v>516</v>
      </c>
      <c r="D21" t="s">
        <v>536</v>
      </c>
      <c r="E21" t="s">
        <v>517</v>
      </c>
      <c r="F21">
        <v>130</v>
      </c>
    </row>
    <row r="22" spans="1:6" x14ac:dyDescent="0.25">
      <c r="A22">
        <v>5</v>
      </c>
      <c r="C22" t="s">
        <v>516</v>
      </c>
      <c r="D22" t="s">
        <v>537</v>
      </c>
      <c r="E22" t="s">
        <v>517</v>
      </c>
      <c r="F22">
        <v>800</v>
      </c>
    </row>
    <row r="23" spans="1:6" x14ac:dyDescent="0.25">
      <c r="A23">
        <v>5</v>
      </c>
      <c r="C23" t="s">
        <v>516</v>
      </c>
      <c r="D23" t="s">
        <v>538</v>
      </c>
      <c r="E23" t="s">
        <v>517</v>
      </c>
      <c r="F23">
        <v>440</v>
      </c>
    </row>
    <row r="24" spans="1:6" x14ac:dyDescent="0.25">
      <c r="A24">
        <v>5</v>
      </c>
      <c r="C24" t="s">
        <v>516</v>
      </c>
      <c r="D24" t="s">
        <v>539</v>
      </c>
      <c r="E24" t="s">
        <v>517</v>
      </c>
      <c r="F24">
        <v>960</v>
      </c>
    </row>
    <row r="25" spans="1:6" x14ac:dyDescent="0.25">
      <c r="A25">
        <v>5</v>
      </c>
      <c r="C25" t="s">
        <v>516</v>
      </c>
      <c r="D25" t="s">
        <v>540</v>
      </c>
      <c r="E25" t="s">
        <v>517</v>
      </c>
      <c r="F25">
        <v>720</v>
      </c>
    </row>
    <row r="26" spans="1:6" x14ac:dyDescent="0.25">
      <c r="A26">
        <v>5</v>
      </c>
      <c r="C26" t="s">
        <v>516</v>
      </c>
      <c r="D26" t="s">
        <v>541</v>
      </c>
      <c r="E26" t="s">
        <v>517</v>
      </c>
      <c r="F26">
        <v>375</v>
      </c>
    </row>
    <row r="27" spans="1:6" x14ac:dyDescent="0.25">
      <c r="A27">
        <v>5</v>
      </c>
      <c r="C27" t="s">
        <v>516</v>
      </c>
      <c r="D27" t="s">
        <v>542</v>
      </c>
      <c r="E27" t="s">
        <v>517</v>
      </c>
      <c r="F27">
        <v>840</v>
      </c>
    </row>
    <row r="28" spans="1:6" x14ac:dyDescent="0.25">
      <c r="A28">
        <v>5</v>
      </c>
      <c r="C28" t="s">
        <v>516</v>
      </c>
      <c r="D28" t="s">
        <v>543</v>
      </c>
      <c r="E28" t="s">
        <v>517</v>
      </c>
      <c r="F28">
        <v>370</v>
      </c>
    </row>
    <row r="29" spans="1:6" x14ac:dyDescent="0.25">
      <c r="A29">
        <v>5</v>
      </c>
      <c r="C29" t="s">
        <v>516</v>
      </c>
      <c r="D29" t="s">
        <v>544</v>
      </c>
      <c r="E29" t="s">
        <v>517</v>
      </c>
      <c r="F29">
        <v>670</v>
      </c>
    </row>
    <row r="30" spans="1:6" x14ac:dyDescent="0.25">
      <c r="A30">
        <v>5</v>
      </c>
      <c r="C30" t="s">
        <v>516</v>
      </c>
      <c r="D30" t="s">
        <v>545</v>
      </c>
      <c r="E30" t="s">
        <v>517</v>
      </c>
      <c r="F30">
        <v>234</v>
      </c>
    </row>
    <row r="31" spans="1:6" x14ac:dyDescent="0.25">
      <c r="A31">
        <v>5</v>
      </c>
      <c r="C31" t="s">
        <v>516</v>
      </c>
      <c r="D31" t="s">
        <v>546</v>
      </c>
      <c r="E31" t="s">
        <v>517</v>
      </c>
      <c r="F31">
        <v>532</v>
      </c>
    </row>
    <row r="32" spans="1:6" x14ac:dyDescent="0.25">
      <c r="A32">
        <v>5</v>
      </c>
      <c r="C32" t="s">
        <v>516</v>
      </c>
      <c r="D32" t="s">
        <v>691</v>
      </c>
      <c r="E32" t="s">
        <v>517</v>
      </c>
      <c r="F32">
        <v>710</v>
      </c>
    </row>
    <row r="33" spans="1:6" x14ac:dyDescent="0.25">
      <c r="A33">
        <v>5</v>
      </c>
      <c r="B33">
        <v>-1</v>
      </c>
      <c r="C33" t="s">
        <v>516</v>
      </c>
      <c r="D33" t="s">
        <v>547</v>
      </c>
      <c r="E33" t="s">
        <v>517</v>
      </c>
      <c r="F33" t="s">
        <v>548</v>
      </c>
    </row>
    <row r="34" spans="1:6" x14ac:dyDescent="0.25">
      <c r="A34">
        <v>5</v>
      </c>
      <c r="B34">
        <v>-1</v>
      </c>
      <c r="C34" t="s">
        <v>516</v>
      </c>
      <c r="D34" t="s">
        <v>549</v>
      </c>
      <c r="E34" t="s">
        <v>517</v>
      </c>
      <c r="F34" t="s">
        <v>550</v>
      </c>
    </row>
    <row r="35" spans="1:6" x14ac:dyDescent="0.25">
      <c r="A35">
        <v>5</v>
      </c>
      <c r="B35">
        <v>-1</v>
      </c>
      <c r="C35" t="s">
        <v>516</v>
      </c>
      <c r="D35" t="s">
        <v>551</v>
      </c>
      <c r="E35" t="s">
        <v>517</v>
      </c>
      <c r="F35" t="s">
        <v>552</v>
      </c>
    </row>
    <row r="36" spans="1:6" x14ac:dyDescent="0.25">
      <c r="A36">
        <v>5</v>
      </c>
      <c r="B36">
        <v>-1</v>
      </c>
      <c r="C36" t="s">
        <v>516</v>
      </c>
      <c r="D36" t="s">
        <v>553</v>
      </c>
      <c r="E36" t="s">
        <v>517</v>
      </c>
      <c r="F36" t="s">
        <v>554</v>
      </c>
    </row>
    <row r="37" spans="1:6" x14ac:dyDescent="0.25">
      <c r="A37">
        <v>5</v>
      </c>
      <c r="C37" t="s">
        <v>516</v>
      </c>
      <c r="D37" t="s">
        <v>555</v>
      </c>
      <c r="E37" t="s">
        <v>517</v>
      </c>
      <c r="F37">
        <v>750</v>
      </c>
    </row>
    <row r="38" spans="1:6" x14ac:dyDescent="0.25">
      <c r="A38">
        <v>5</v>
      </c>
      <c r="C38" t="s">
        <v>516</v>
      </c>
      <c r="D38" t="s">
        <v>556</v>
      </c>
      <c r="E38" t="s">
        <v>517</v>
      </c>
      <c r="F38">
        <v>840</v>
      </c>
    </row>
    <row r="39" spans="1:6" x14ac:dyDescent="0.25">
      <c r="A39">
        <v>5</v>
      </c>
      <c r="C39" t="s">
        <v>516</v>
      </c>
      <c r="D39" t="s">
        <v>557</v>
      </c>
      <c r="E39" t="s">
        <v>517</v>
      </c>
      <c r="F39">
        <v>452</v>
      </c>
    </row>
    <row r="40" spans="1:6" x14ac:dyDescent="0.25">
      <c r="A40">
        <v>5</v>
      </c>
      <c r="C40" t="s">
        <v>516</v>
      </c>
      <c r="D40" t="s">
        <v>558</v>
      </c>
      <c r="E40" t="s">
        <v>517</v>
      </c>
      <c r="F40">
        <v>750</v>
      </c>
    </row>
    <row r="41" spans="1:6" x14ac:dyDescent="0.25">
      <c r="A41">
        <v>5</v>
      </c>
      <c r="C41" t="s">
        <v>516</v>
      </c>
      <c r="D41" t="s">
        <v>559</v>
      </c>
      <c r="E41" t="s">
        <v>517</v>
      </c>
      <c r="F41">
        <v>1381</v>
      </c>
    </row>
    <row r="42" spans="1:6" x14ac:dyDescent="0.25">
      <c r="A42">
        <v>5</v>
      </c>
      <c r="C42" t="s">
        <v>516</v>
      </c>
      <c r="D42" t="s">
        <v>560</v>
      </c>
      <c r="E42" t="s">
        <v>517</v>
      </c>
      <c r="F42">
        <v>435</v>
      </c>
    </row>
    <row r="43" spans="1:6" x14ac:dyDescent="0.25">
      <c r="A43">
        <v>5</v>
      </c>
      <c r="C43" t="s">
        <v>516</v>
      </c>
      <c r="D43" t="s">
        <v>561</v>
      </c>
      <c r="E43" t="s">
        <v>517</v>
      </c>
      <c r="F43">
        <v>840</v>
      </c>
    </row>
    <row r="44" spans="1:6" x14ac:dyDescent="0.25">
      <c r="A44">
        <v>5</v>
      </c>
      <c r="C44" t="s">
        <v>516</v>
      </c>
      <c r="D44" t="s">
        <v>562</v>
      </c>
      <c r="E44" t="s">
        <v>517</v>
      </c>
      <c r="F44">
        <v>880</v>
      </c>
    </row>
    <row r="45" spans="1:6" x14ac:dyDescent="0.25">
      <c r="A45">
        <v>5</v>
      </c>
      <c r="C45" t="s">
        <v>516</v>
      </c>
      <c r="D45" t="s">
        <v>563</v>
      </c>
      <c r="E45" t="s">
        <v>517</v>
      </c>
      <c r="F45">
        <v>410</v>
      </c>
    </row>
    <row r="46" spans="1:6" x14ac:dyDescent="0.25">
      <c r="A46">
        <v>5</v>
      </c>
      <c r="C46" t="s">
        <v>516</v>
      </c>
      <c r="D46" t="s">
        <v>564</v>
      </c>
      <c r="E46" t="s">
        <v>517</v>
      </c>
      <c r="F46">
        <v>385</v>
      </c>
    </row>
    <row r="47" spans="1:6" x14ac:dyDescent="0.25">
      <c r="A47">
        <v>5</v>
      </c>
      <c r="C47" t="s">
        <v>516</v>
      </c>
      <c r="D47" t="s">
        <v>565</v>
      </c>
      <c r="E47" t="s">
        <v>517</v>
      </c>
      <c r="F47">
        <v>2000</v>
      </c>
    </row>
    <row r="48" spans="1:6" x14ac:dyDescent="0.25">
      <c r="A48">
        <v>5</v>
      </c>
      <c r="C48" t="s">
        <v>516</v>
      </c>
      <c r="D48" t="s">
        <v>566</v>
      </c>
      <c r="E48" t="s">
        <v>517</v>
      </c>
      <c r="F48">
        <v>516</v>
      </c>
    </row>
    <row r="49" spans="1:6" x14ac:dyDescent="0.25">
      <c r="A49">
        <v>5</v>
      </c>
      <c r="C49" t="s">
        <v>516</v>
      </c>
      <c r="D49" t="s">
        <v>567</v>
      </c>
      <c r="E49" t="s">
        <v>517</v>
      </c>
      <c r="F49">
        <v>920</v>
      </c>
    </row>
    <row r="50" spans="1:6" x14ac:dyDescent="0.25">
      <c r="A50">
        <v>5</v>
      </c>
      <c r="C50" t="s">
        <v>516</v>
      </c>
      <c r="D50" t="s">
        <v>568</v>
      </c>
      <c r="E50" t="s">
        <v>517</v>
      </c>
      <c r="F50">
        <v>960</v>
      </c>
    </row>
    <row r="51" spans="1:6" x14ac:dyDescent="0.25">
      <c r="A51">
        <v>5</v>
      </c>
      <c r="C51" t="s">
        <v>516</v>
      </c>
      <c r="D51" t="s">
        <v>569</v>
      </c>
      <c r="E51" t="s">
        <v>517</v>
      </c>
      <c r="F51">
        <v>1000</v>
      </c>
    </row>
    <row r="52" spans="1:6" x14ac:dyDescent="0.25">
      <c r="A52">
        <v>5</v>
      </c>
      <c r="C52" t="s">
        <v>516</v>
      </c>
      <c r="D52" t="s">
        <v>570</v>
      </c>
      <c r="E52" t="s">
        <v>517</v>
      </c>
      <c r="F52">
        <v>880</v>
      </c>
    </row>
    <row r="53" spans="1:6" x14ac:dyDescent="0.25">
      <c r="A53">
        <v>5</v>
      </c>
      <c r="C53" t="s">
        <v>516</v>
      </c>
      <c r="D53" t="s">
        <v>692</v>
      </c>
      <c r="E53" t="s">
        <v>517</v>
      </c>
      <c r="F53">
        <v>830</v>
      </c>
    </row>
    <row r="54" spans="1:6" x14ac:dyDescent="0.25">
      <c r="A54">
        <v>5</v>
      </c>
      <c r="C54" t="s">
        <v>516</v>
      </c>
      <c r="D54" t="s">
        <v>571</v>
      </c>
      <c r="E54" t="s">
        <v>517</v>
      </c>
      <c r="F54">
        <v>871</v>
      </c>
    </row>
    <row r="55" spans="1:6" x14ac:dyDescent="0.25">
      <c r="A55">
        <v>5</v>
      </c>
      <c r="C55" t="s">
        <v>516</v>
      </c>
      <c r="D55" t="s">
        <v>572</v>
      </c>
      <c r="E55" t="s">
        <v>517</v>
      </c>
      <c r="F55">
        <v>595</v>
      </c>
    </row>
    <row r="56" spans="1:6" x14ac:dyDescent="0.25">
      <c r="A56">
        <v>5</v>
      </c>
      <c r="C56" t="s">
        <v>516</v>
      </c>
      <c r="D56" t="s">
        <v>693</v>
      </c>
      <c r="E56" t="s">
        <v>517</v>
      </c>
      <c r="F56">
        <v>2093</v>
      </c>
    </row>
    <row r="57" spans="1:6" x14ac:dyDescent="0.25">
      <c r="A57">
        <v>5</v>
      </c>
      <c r="C57" t="s">
        <v>516</v>
      </c>
      <c r="D57" t="s">
        <v>573</v>
      </c>
      <c r="E57" t="s">
        <v>517</v>
      </c>
      <c r="F57">
        <v>1250</v>
      </c>
    </row>
    <row r="58" spans="1:6" x14ac:dyDescent="0.25">
      <c r="A58">
        <v>5</v>
      </c>
      <c r="C58" t="s">
        <v>516</v>
      </c>
      <c r="D58" t="s">
        <v>574</v>
      </c>
      <c r="E58" t="s">
        <v>517</v>
      </c>
      <c r="F58">
        <v>670</v>
      </c>
    </row>
    <row r="59" spans="1:6" x14ac:dyDescent="0.25">
      <c r="A59">
        <v>5</v>
      </c>
      <c r="C59" t="s">
        <v>516</v>
      </c>
      <c r="D59" t="s">
        <v>575</v>
      </c>
      <c r="E59" t="s">
        <v>517</v>
      </c>
      <c r="F59">
        <v>753</v>
      </c>
    </row>
    <row r="60" spans="1:6" x14ac:dyDescent="0.25">
      <c r="A60">
        <v>5</v>
      </c>
      <c r="C60" t="s">
        <v>516</v>
      </c>
      <c r="D60" t="s">
        <v>576</v>
      </c>
      <c r="E60" t="s">
        <v>517</v>
      </c>
      <c r="F60">
        <v>840</v>
      </c>
    </row>
    <row r="61" spans="1:6" x14ac:dyDescent="0.25">
      <c r="A61">
        <v>5</v>
      </c>
      <c r="C61" t="s">
        <v>516</v>
      </c>
      <c r="D61" t="s">
        <v>577</v>
      </c>
      <c r="E61" t="s">
        <v>517</v>
      </c>
      <c r="F61">
        <v>129</v>
      </c>
    </row>
    <row r="62" spans="1:6" x14ac:dyDescent="0.25">
      <c r="A62">
        <v>5</v>
      </c>
      <c r="C62" t="s">
        <v>516</v>
      </c>
      <c r="D62" t="s">
        <v>578</v>
      </c>
      <c r="E62" t="s">
        <v>517</v>
      </c>
      <c r="F62">
        <v>790</v>
      </c>
    </row>
    <row r="63" spans="1:6" x14ac:dyDescent="0.25">
      <c r="A63">
        <v>5</v>
      </c>
      <c r="C63" t="s">
        <v>516</v>
      </c>
      <c r="D63" t="s">
        <v>579</v>
      </c>
      <c r="E63" t="s">
        <v>517</v>
      </c>
      <c r="F63">
        <v>717</v>
      </c>
    </row>
    <row r="64" spans="1:6" x14ac:dyDescent="0.25">
      <c r="A64">
        <v>5</v>
      </c>
      <c r="C64" t="s">
        <v>516</v>
      </c>
      <c r="D64" t="s">
        <v>580</v>
      </c>
      <c r="E64" t="s">
        <v>517</v>
      </c>
      <c r="F64">
        <v>1090</v>
      </c>
    </row>
    <row r="65" spans="1:6" x14ac:dyDescent="0.25">
      <c r="A65">
        <v>5</v>
      </c>
      <c r="C65" t="s">
        <v>516</v>
      </c>
      <c r="D65" t="s">
        <v>581</v>
      </c>
      <c r="E65" t="s">
        <v>517</v>
      </c>
      <c r="F65">
        <v>5193</v>
      </c>
    </row>
    <row r="66" spans="1:6" x14ac:dyDescent="0.25">
      <c r="A66">
        <v>5</v>
      </c>
      <c r="C66" t="s">
        <v>516</v>
      </c>
      <c r="D66" t="s">
        <v>582</v>
      </c>
      <c r="E66" t="s">
        <v>517</v>
      </c>
      <c r="F66">
        <v>14304</v>
      </c>
    </row>
    <row r="67" spans="1:6" x14ac:dyDescent="0.25">
      <c r="A67">
        <v>5</v>
      </c>
      <c r="C67" t="s">
        <v>516</v>
      </c>
      <c r="D67" t="s">
        <v>694</v>
      </c>
      <c r="E67" t="s">
        <v>517</v>
      </c>
      <c r="F67">
        <v>2090</v>
      </c>
    </row>
    <row r="68" spans="1:6" x14ac:dyDescent="0.25">
      <c r="A68">
        <v>5</v>
      </c>
      <c r="C68" t="s">
        <v>516</v>
      </c>
      <c r="D68" t="s">
        <v>583</v>
      </c>
      <c r="E68" t="s">
        <v>517</v>
      </c>
      <c r="F68">
        <v>490</v>
      </c>
    </row>
    <row r="69" spans="1:6" x14ac:dyDescent="0.25">
      <c r="A69">
        <v>5</v>
      </c>
      <c r="C69" t="s">
        <v>516</v>
      </c>
      <c r="D69" t="s">
        <v>584</v>
      </c>
      <c r="E69" t="s">
        <v>517</v>
      </c>
      <c r="F69">
        <v>218</v>
      </c>
    </row>
    <row r="70" spans="1:6" x14ac:dyDescent="0.25">
      <c r="A70">
        <v>5</v>
      </c>
      <c r="C70" t="s">
        <v>516</v>
      </c>
      <c r="D70" t="s">
        <v>585</v>
      </c>
      <c r="E70" t="s">
        <v>517</v>
      </c>
      <c r="F70">
        <v>134</v>
      </c>
    </row>
    <row r="71" spans="1:6" x14ac:dyDescent="0.25">
      <c r="A71">
        <v>5</v>
      </c>
      <c r="C71" t="s">
        <v>516</v>
      </c>
      <c r="D71" t="s">
        <v>586</v>
      </c>
      <c r="E71" t="s">
        <v>517</v>
      </c>
      <c r="F71">
        <v>449</v>
      </c>
    </row>
    <row r="72" spans="1:6" x14ac:dyDescent="0.25">
      <c r="A72">
        <v>5</v>
      </c>
      <c r="C72" t="s">
        <v>516</v>
      </c>
      <c r="D72" t="s">
        <v>587</v>
      </c>
      <c r="E72" t="s">
        <v>517</v>
      </c>
      <c r="F72">
        <v>129</v>
      </c>
    </row>
    <row r="73" spans="1:6" x14ac:dyDescent="0.25">
      <c r="A73">
        <v>5</v>
      </c>
      <c r="C73" t="s">
        <v>516</v>
      </c>
      <c r="D73" t="s">
        <v>588</v>
      </c>
      <c r="E73" t="s">
        <v>517</v>
      </c>
      <c r="F73">
        <v>1500</v>
      </c>
    </row>
    <row r="74" spans="1:6" x14ac:dyDescent="0.25">
      <c r="A74">
        <v>5</v>
      </c>
      <c r="C74" t="s">
        <v>516</v>
      </c>
      <c r="D74" t="s">
        <v>589</v>
      </c>
      <c r="E74" t="s">
        <v>517</v>
      </c>
      <c r="F74">
        <v>909</v>
      </c>
    </row>
    <row r="75" spans="1:6" x14ac:dyDescent="0.25">
      <c r="A75">
        <v>5</v>
      </c>
      <c r="C75" t="s">
        <v>516</v>
      </c>
      <c r="D75" t="s">
        <v>590</v>
      </c>
      <c r="E75" t="s">
        <v>517</v>
      </c>
      <c r="F75">
        <v>3582</v>
      </c>
    </row>
    <row r="76" spans="1:6" x14ac:dyDescent="0.25">
      <c r="A76">
        <v>5</v>
      </c>
      <c r="C76" t="s">
        <v>516</v>
      </c>
      <c r="D76" t="s">
        <v>591</v>
      </c>
      <c r="E76" t="s">
        <v>517</v>
      </c>
      <c r="F76">
        <v>1460</v>
      </c>
    </row>
    <row r="77" spans="1:6" x14ac:dyDescent="0.25">
      <c r="A77">
        <v>5</v>
      </c>
      <c r="C77" t="s">
        <v>516</v>
      </c>
      <c r="D77" t="s">
        <v>592</v>
      </c>
      <c r="E77" t="s">
        <v>517</v>
      </c>
      <c r="F77">
        <v>874</v>
      </c>
    </row>
    <row r="78" spans="1:6" x14ac:dyDescent="0.25">
      <c r="A78">
        <v>5</v>
      </c>
      <c r="C78" t="s">
        <v>516</v>
      </c>
      <c r="D78" t="s">
        <v>593</v>
      </c>
      <c r="E78" t="s">
        <v>517</v>
      </c>
      <c r="F78">
        <v>1050</v>
      </c>
    </row>
    <row r="79" spans="1:6" x14ac:dyDescent="0.25">
      <c r="A79">
        <v>5</v>
      </c>
      <c r="C79" t="s">
        <v>516</v>
      </c>
      <c r="D79" t="s">
        <v>594</v>
      </c>
      <c r="E79" t="s">
        <v>517</v>
      </c>
      <c r="F79">
        <v>1010</v>
      </c>
    </row>
    <row r="80" spans="1:6" x14ac:dyDescent="0.25">
      <c r="A80">
        <v>5</v>
      </c>
      <c r="C80" t="s">
        <v>516</v>
      </c>
      <c r="D80" t="s">
        <v>595</v>
      </c>
      <c r="E80" t="s">
        <v>517</v>
      </c>
      <c r="F80">
        <v>460</v>
      </c>
    </row>
    <row r="81" spans="1:6" x14ac:dyDescent="0.25">
      <c r="A81">
        <v>5</v>
      </c>
      <c r="C81" t="s">
        <v>516</v>
      </c>
      <c r="D81" t="s">
        <v>596</v>
      </c>
      <c r="E81" t="s">
        <v>517</v>
      </c>
      <c r="F81">
        <v>880</v>
      </c>
    </row>
    <row r="82" spans="1:6" x14ac:dyDescent="0.25">
      <c r="A82">
        <v>5</v>
      </c>
      <c r="C82" t="s">
        <v>516</v>
      </c>
      <c r="D82" t="s">
        <v>597</v>
      </c>
      <c r="E82" t="s">
        <v>517</v>
      </c>
      <c r="F82">
        <v>140</v>
      </c>
    </row>
    <row r="83" spans="1:6" x14ac:dyDescent="0.25">
      <c r="A83">
        <v>5</v>
      </c>
      <c r="C83" t="s">
        <v>516</v>
      </c>
      <c r="D83" t="s">
        <v>598</v>
      </c>
      <c r="E83" t="s">
        <v>517</v>
      </c>
      <c r="F83">
        <v>880</v>
      </c>
    </row>
    <row r="84" spans="1:6" x14ac:dyDescent="0.25">
      <c r="A84">
        <v>5</v>
      </c>
      <c r="C84" t="s">
        <v>516</v>
      </c>
      <c r="D84" t="s">
        <v>599</v>
      </c>
      <c r="E84" t="s">
        <v>517</v>
      </c>
      <c r="F84">
        <v>272</v>
      </c>
    </row>
    <row r="85" spans="1:6" x14ac:dyDescent="0.25">
      <c r="A85">
        <v>5</v>
      </c>
      <c r="C85" t="s">
        <v>516</v>
      </c>
      <c r="D85" t="s">
        <v>600</v>
      </c>
      <c r="E85" t="s">
        <v>517</v>
      </c>
      <c r="F85">
        <v>1030</v>
      </c>
    </row>
    <row r="86" spans="1:6" x14ac:dyDescent="0.25">
      <c r="A86">
        <v>5</v>
      </c>
      <c r="C86" t="s">
        <v>516</v>
      </c>
      <c r="D86" t="s">
        <v>601</v>
      </c>
      <c r="E86" t="s">
        <v>517</v>
      </c>
      <c r="F86">
        <v>461</v>
      </c>
    </row>
    <row r="87" spans="1:6" x14ac:dyDescent="0.25">
      <c r="A87">
        <v>5</v>
      </c>
      <c r="C87" t="s">
        <v>516</v>
      </c>
      <c r="D87" t="s">
        <v>602</v>
      </c>
      <c r="E87" t="s">
        <v>517</v>
      </c>
      <c r="F87">
        <v>1040</v>
      </c>
    </row>
    <row r="88" spans="1:6" x14ac:dyDescent="0.25">
      <c r="A88">
        <v>5</v>
      </c>
      <c r="C88" t="s">
        <v>516</v>
      </c>
      <c r="D88" t="s">
        <v>603</v>
      </c>
      <c r="E88" t="s">
        <v>517</v>
      </c>
      <c r="F88">
        <v>1600</v>
      </c>
    </row>
    <row r="89" spans="1:6" x14ac:dyDescent="0.25">
      <c r="A89">
        <v>5</v>
      </c>
      <c r="C89" t="s">
        <v>516</v>
      </c>
      <c r="D89" t="s">
        <v>604</v>
      </c>
      <c r="E89" t="s">
        <v>517</v>
      </c>
      <c r="F89">
        <v>1700</v>
      </c>
    </row>
    <row r="90" spans="1:6" x14ac:dyDescent="0.25">
      <c r="A90">
        <v>5</v>
      </c>
      <c r="C90" t="s">
        <v>516</v>
      </c>
      <c r="D90" t="s">
        <v>605</v>
      </c>
      <c r="E90" t="s">
        <v>517</v>
      </c>
      <c r="F90">
        <v>1790</v>
      </c>
    </row>
    <row r="91" spans="1:6" x14ac:dyDescent="0.25">
      <c r="A91">
        <v>5</v>
      </c>
      <c r="C91" t="s">
        <v>516</v>
      </c>
      <c r="D91" t="s">
        <v>606</v>
      </c>
      <c r="E91" t="s">
        <v>517</v>
      </c>
      <c r="F91">
        <v>130</v>
      </c>
    </row>
    <row r="92" spans="1:6" x14ac:dyDescent="0.25">
      <c r="A92">
        <v>5</v>
      </c>
      <c r="C92" t="s">
        <v>516</v>
      </c>
      <c r="D92" t="s">
        <v>607</v>
      </c>
      <c r="E92" t="s">
        <v>517</v>
      </c>
      <c r="F92">
        <v>918</v>
      </c>
    </row>
    <row r="93" spans="1:6" x14ac:dyDescent="0.25">
      <c r="A93">
        <v>5</v>
      </c>
      <c r="C93" t="s">
        <v>516</v>
      </c>
      <c r="D93" t="s">
        <v>608</v>
      </c>
      <c r="E93" t="s">
        <v>517</v>
      </c>
      <c r="F93">
        <v>240</v>
      </c>
    </row>
    <row r="94" spans="1:6" x14ac:dyDescent="0.25">
      <c r="A94">
        <v>5</v>
      </c>
      <c r="C94" t="s">
        <v>516</v>
      </c>
      <c r="D94" t="s">
        <v>609</v>
      </c>
      <c r="E94" t="s">
        <v>517</v>
      </c>
      <c r="F94">
        <v>1336</v>
      </c>
    </row>
    <row r="95" spans="1:6" x14ac:dyDescent="0.25">
      <c r="A95">
        <v>5</v>
      </c>
      <c r="C95" t="s">
        <v>516</v>
      </c>
      <c r="D95" t="s">
        <v>610</v>
      </c>
      <c r="E95" t="s">
        <v>517</v>
      </c>
      <c r="F95">
        <v>3260</v>
      </c>
    </row>
    <row r="96" spans="1:6" x14ac:dyDescent="0.25">
      <c r="A96">
        <v>5</v>
      </c>
      <c r="C96" t="s">
        <v>516</v>
      </c>
      <c r="D96" t="s">
        <v>611</v>
      </c>
      <c r="E96" t="s">
        <v>517</v>
      </c>
      <c r="F96">
        <v>1900</v>
      </c>
    </row>
    <row r="97" spans="1:6" x14ac:dyDescent="0.25">
      <c r="A97">
        <v>5</v>
      </c>
      <c r="C97" t="s">
        <v>516</v>
      </c>
      <c r="D97" t="s">
        <v>612</v>
      </c>
      <c r="E97" t="s">
        <v>517</v>
      </c>
      <c r="F97">
        <v>387</v>
      </c>
    </row>
    <row r="98" spans="1:6" x14ac:dyDescent="0.25">
      <c r="A98">
        <v>5</v>
      </c>
      <c r="B98">
        <v>-1</v>
      </c>
      <c r="C98" t="s">
        <v>516</v>
      </c>
      <c r="D98" t="s">
        <v>613</v>
      </c>
      <c r="E98" t="s">
        <v>517</v>
      </c>
      <c r="F98" t="s">
        <v>614</v>
      </c>
    </row>
    <row r="99" spans="1:6" x14ac:dyDescent="0.25">
      <c r="A99">
        <v>5</v>
      </c>
      <c r="B99">
        <v>-1</v>
      </c>
      <c r="C99" t="s">
        <v>516</v>
      </c>
      <c r="D99" t="s">
        <v>615</v>
      </c>
      <c r="E99" t="s">
        <v>517</v>
      </c>
      <c r="F99" t="s">
        <v>616</v>
      </c>
    </row>
    <row r="100" spans="1:6" x14ac:dyDescent="0.25">
      <c r="A100">
        <v>5</v>
      </c>
      <c r="C100" t="s">
        <v>516</v>
      </c>
      <c r="D100" t="s">
        <v>617</v>
      </c>
      <c r="E100" t="s">
        <v>517</v>
      </c>
      <c r="F100">
        <v>360</v>
      </c>
    </row>
    <row r="101" spans="1:6" x14ac:dyDescent="0.25">
      <c r="A101">
        <v>5</v>
      </c>
      <c r="C101" t="s">
        <v>516</v>
      </c>
      <c r="D101" t="s">
        <v>618</v>
      </c>
      <c r="E101" t="s">
        <v>517</v>
      </c>
      <c r="F101">
        <v>800</v>
      </c>
    </row>
    <row r="102" spans="1:6" x14ac:dyDescent="0.25">
      <c r="A102">
        <v>5</v>
      </c>
      <c r="C102" t="s">
        <v>516</v>
      </c>
      <c r="D102" t="s">
        <v>619</v>
      </c>
      <c r="E102" t="s">
        <v>517</v>
      </c>
      <c r="F102">
        <v>380</v>
      </c>
    </row>
    <row r="103" spans="1:6" x14ac:dyDescent="0.25">
      <c r="A103">
        <v>5</v>
      </c>
      <c r="C103" t="s">
        <v>516</v>
      </c>
      <c r="D103" t="s">
        <v>620</v>
      </c>
      <c r="E103" t="s">
        <v>517</v>
      </c>
      <c r="F103">
        <v>1020</v>
      </c>
    </row>
    <row r="104" spans="1:6" x14ac:dyDescent="0.25">
      <c r="A104">
        <v>5</v>
      </c>
      <c r="C104" t="s">
        <v>516</v>
      </c>
      <c r="D104" t="s">
        <v>621</v>
      </c>
      <c r="E104" t="s">
        <v>517</v>
      </c>
      <c r="F104">
        <v>133</v>
      </c>
    </row>
    <row r="105" spans="1:6" x14ac:dyDescent="0.25">
      <c r="A105">
        <v>5</v>
      </c>
      <c r="C105" t="s">
        <v>516</v>
      </c>
      <c r="D105" t="s">
        <v>622</v>
      </c>
      <c r="E105" t="s">
        <v>517</v>
      </c>
      <c r="F105">
        <v>140</v>
      </c>
    </row>
    <row r="106" spans="1:6" x14ac:dyDescent="0.25">
      <c r="A106">
        <v>5</v>
      </c>
      <c r="B106">
        <v>-1</v>
      </c>
      <c r="C106" t="s">
        <v>516</v>
      </c>
      <c r="D106" t="s">
        <v>623</v>
      </c>
      <c r="E106" t="s">
        <v>517</v>
      </c>
      <c r="F106" t="s">
        <v>624</v>
      </c>
    </row>
    <row r="107" spans="1:6" x14ac:dyDescent="0.25">
      <c r="A107">
        <v>5</v>
      </c>
      <c r="C107" t="s">
        <v>516</v>
      </c>
      <c r="D107" t="s">
        <v>625</v>
      </c>
      <c r="E107" t="s">
        <v>517</v>
      </c>
      <c r="F107">
        <v>1250</v>
      </c>
    </row>
    <row r="108" spans="1:6" x14ac:dyDescent="0.25">
      <c r="A108">
        <v>5</v>
      </c>
      <c r="C108" t="s">
        <v>516</v>
      </c>
      <c r="D108" t="s">
        <v>626</v>
      </c>
      <c r="E108" t="s">
        <v>517</v>
      </c>
      <c r="F108">
        <v>1120</v>
      </c>
    </row>
    <row r="109" spans="1:6" x14ac:dyDescent="0.25">
      <c r="A109">
        <v>5</v>
      </c>
      <c r="C109" t="s">
        <v>516</v>
      </c>
      <c r="D109" t="s">
        <v>627</v>
      </c>
      <c r="E109" t="s">
        <v>517</v>
      </c>
      <c r="F109">
        <v>1880</v>
      </c>
    </row>
    <row r="110" spans="1:6" x14ac:dyDescent="0.25">
      <c r="A110">
        <v>5</v>
      </c>
      <c r="C110" t="s">
        <v>516</v>
      </c>
      <c r="D110" t="s">
        <v>628</v>
      </c>
      <c r="E110" t="s">
        <v>517</v>
      </c>
      <c r="F110">
        <v>1380</v>
      </c>
    </row>
    <row r="111" spans="1:6" x14ac:dyDescent="0.25">
      <c r="A111">
        <v>5</v>
      </c>
      <c r="C111" t="s">
        <v>516</v>
      </c>
      <c r="D111" t="s">
        <v>629</v>
      </c>
      <c r="E111" t="s">
        <v>517</v>
      </c>
      <c r="F111">
        <v>1500</v>
      </c>
    </row>
    <row r="112" spans="1:6" x14ac:dyDescent="0.25">
      <c r="A112">
        <v>5</v>
      </c>
      <c r="C112" t="s">
        <v>516</v>
      </c>
      <c r="D112" t="s">
        <v>630</v>
      </c>
      <c r="E112" t="s">
        <v>517</v>
      </c>
      <c r="F112">
        <v>1920</v>
      </c>
    </row>
    <row r="113" spans="1:6" x14ac:dyDescent="0.25">
      <c r="A113">
        <v>5</v>
      </c>
      <c r="B113">
        <v>-1</v>
      </c>
      <c r="C113" t="s">
        <v>516</v>
      </c>
      <c r="D113" t="s">
        <v>631</v>
      </c>
      <c r="E113" t="s">
        <v>517</v>
      </c>
      <c r="F113" t="s">
        <v>548</v>
      </c>
    </row>
    <row r="114" spans="1:6" x14ac:dyDescent="0.25">
      <c r="A114">
        <v>5</v>
      </c>
      <c r="C114" t="s">
        <v>516</v>
      </c>
      <c r="D114" t="s">
        <v>632</v>
      </c>
      <c r="E114" t="s">
        <v>517</v>
      </c>
      <c r="F114">
        <v>1000</v>
      </c>
    </row>
    <row r="115" spans="1:6" x14ac:dyDescent="0.25">
      <c r="A115">
        <v>5</v>
      </c>
      <c r="C115" t="s">
        <v>516</v>
      </c>
      <c r="D115" t="s">
        <v>633</v>
      </c>
      <c r="E115" t="s">
        <v>517</v>
      </c>
      <c r="F115">
        <v>1172</v>
      </c>
    </row>
    <row r="116" spans="1:6" x14ac:dyDescent="0.25">
      <c r="A116">
        <v>5</v>
      </c>
      <c r="C116" t="s">
        <v>516</v>
      </c>
      <c r="D116" t="s">
        <v>634</v>
      </c>
      <c r="E116" t="s">
        <v>517</v>
      </c>
      <c r="F116">
        <v>1800</v>
      </c>
    </row>
    <row r="117" spans="1:6" x14ac:dyDescent="0.25">
      <c r="A117">
        <v>5</v>
      </c>
      <c r="C117" t="s">
        <v>516</v>
      </c>
      <c r="D117" t="s">
        <v>635</v>
      </c>
      <c r="E117" t="s">
        <v>517</v>
      </c>
      <c r="F117">
        <v>1800</v>
      </c>
    </row>
    <row r="118" spans="1:6" x14ac:dyDescent="0.25">
      <c r="A118">
        <v>5</v>
      </c>
      <c r="B118">
        <v>-1</v>
      </c>
      <c r="C118" t="s">
        <v>516</v>
      </c>
      <c r="D118" t="s">
        <v>636</v>
      </c>
      <c r="E118" t="s">
        <v>517</v>
      </c>
      <c r="F118" t="s">
        <v>637</v>
      </c>
    </row>
    <row r="119" spans="1:6" x14ac:dyDescent="0.25">
      <c r="A119">
        <v>5</v>
      </c>
      <c r="C119" t="s">
        <v>516</v>
      </c>
      <c r="D119" t="s">
        <v>638</v>
      </c>
      <c r="E119" t="s">
        <v>517</v>
      </c>
      <c r="F119">
        <v>1085</v>
      </c>
    </row>
    <row r="120" spans="1:6" x14ac:dyDescent="0.25">
      <c r="A120">
        <v>5</v>
      </c>
      <c r="C120" t="s">
        <v>516</v>
      </c>
      <c r="D120" t="s">
        <v>639</v>
      </c>
      <c r="E120" t="s">
        <v>517</v>
      </c>
      <c r="F120">
        <v>1000</v>
      </c>
    </row>
    <row r="121" spans="1:6" x14ac:dyDescent="0.25">
      <c r="A121">
        <v>5</v>
      </c>
      <c r="C121" t="s">
        <v>516</v>
      </c>
      <c r="D121" t="s">
        <v>640</v>
      </c>
      <c r="E121" t="s">
        <v>517</v>
      </c>
      <c r="F121">
        <v>680</v>
      </c>
    </row>
    <row r="122" spans="1:6" x14ac:dyDescent="0.25">
      <c r="A122">
        <v>5</v>
      </c>
      <c r="C122" t="s">
        <v>516</v>
      </c>
      <c r="D122" t="s">
        <v>641</v>
      </c>
      <c r="E122" t="s">
        <v>517</v>
      </c>
      <c r="F122">
        <v>710</v>
      </c>
    </row>
    <row r="123" spans="1:6" x14ac:dyDescent="0.25">
      <c r="A123">
        <v>5</v>
      </c>
      <c r="C123" t="s">
        <v>516</v>
      </c>
      <c r="D123" t="s">
        <v>695</v>
      </c>
      <c r="E123" t="s">
        <v>517</v>
      </c>
      <c r="F123">
        <v>730</v>
      </c>
    </row>
    <row r="124" spans="1:6" x14ac:dyDescent="0.25">
      <c r="A124">
        <v>5</v>
      </c>
      <c r="C124" t="s">
        <v>516</v>
      </c>
      <c r="D124" t="s">
        <v>642</v>
      </c>
      <c r="E124" t="s">
        <v>517</v>
      </c>
      <c r="F124">
        <v>700</v>
      </c>
    </row>
    <row r="125" spans="1:6" x14ac:dyDescent="0.25">
      <c r="A125">
        <v>5</v>
      </c>
      <c r="C125" t="s">
        <v>516</v>
      </c>
      <c r="D125" t="s">
        <v>643</v>
      </c>
      <c r="E125" t="s">
        <v>517</v>
      </c>
      <c r="F125">
        <v>381</v>
      </c>
    </row>
    <row r="126" spans="1:6" x14ac:dyDescent="0.25">
      <c r="A126">
        <v>5</v>
      </c>
      <c r="C126" t="s">
        <v>516</v>
      </c>
      <c r="D126" t="s">
        <v>644</v>
      </c>
      <c r="E126" t="s">
        <v>517</v>
      </c>
      <c r="F126">
        <v>140</v>
      </c>
    </row>
    <row r="127" spans="1:6" x14ac:dyDescent="0.25">
      <c r="A127">
        <v>5</v>
      </c>
      <c r="C127" t="s">
        <v>516</v>
      </c>
      <c r="D127" t="s">
        <v>645</v>
      </c>
      <c r="E127" t="s">
        <v>517</v>
      </c>
      <c r="F127">
        <v>240</v>
      </c>
    </row>
    <row r="128" spans="1:6" x14ac:dyDescent="0.25">
      <c r="A128">
        <v>5</v>
      </c>
      <c r="C128" t="s">
        <v>516</v>
      </c>
      <c r="D128" t="s">
        <v>646</v>
      </c>
      <c r="E128" t="s">
        <v>517</v>
      </c>
      <c r="F128">
        <v>1300</v>
      </c>
    </row>
    <row r="129" spans="1:6" x14ac:dyDescent="0.25">
      <c r="A129">
        <v>5</v>
      </c>
      <c r="C129" t="s">
        <v>516</v>
      </c>
      <c r="D129" t="s">
        <v>647</v>
      </c>
      <c r="E129" t="s">
        <v>517</v>
      </c>
      <c r="F129">
        <v>330</v>
      </c>
    </row>
    <row r="130" spans="1:6" x14ac:dyDescent="0.25">
      <c r="A130">
        <v>5</v>
      </c>
      <c r="C130" t="s">
        <v>516</v>
      </c>
      <c r="D130" t="s">
        <v>648</v>
      </c>
      <c r="E130" t="s">
        <v>517</v>
      </c>
      <c r="F130">
        <v>880</v>
      </c>
    </row>
    <row r="131" spans="1:6" x14ac:dyDescent="0.25">
      <c r="A131">
        <v>5</v>
      </c>
      <c r="C131" t="s">
        <v>516</v>
      </c>
      <c r="D131" t="s">
        <v>649</v>
      </c>
      <c r="E131" t="s">
        <v>517</v>
      </c>
      <c r="F131">
        <v>830</v>
      </c>
    </row>
    <row r="132" spans="1:6" x14ac:dyDescent="0.25">
      <c r="A132">
        <v>5</v>
      </c>
      <c r="C132" t="s">
        <v>516</v>
      </c>
      <c r="D132" t="s">
        <v>650</v>
      </c>
      <c r="E132" t="s">
        <v>517</v>
      </c>
      <c r="F132">
        <v>710</v>
      </c>
    </row>
    <row r="133" spans="1:6" x14ac:dyDescent="0.25">
      <c r="A133">
        <v>5</v>
      </c>
      <c r="C133" t="s">
        <v>516</v>
      </c>
      <c r="D133" t="s">
        <v>651</v>
      </c>
      <c r="E133" t="s">
        <v>517</v>
      </c>
      <c r="F133">
        <v>568</v>
      </c>
    </row>
    <row r="134" spans="1:6" x14ac:dyDescent="0.25">
      <c r="A134">
        <v>5</v>
      </c>
      <c r="C134" t="s">
        <v>516</v>
      </c>
      <c r="D134" t="s">
        <v>652</v>
      </c>
      <c r="E134" t="s">
        <v>517</v>
      </c>
      <c r="F134">
        <v>330</v>
      </c>
    </row>
    <row r="135" spans="1:6" x14ac:dyDescent="0.25">
      <c r="A135">
        <v>5</v>
      </c>
      <c r="C135" t="s">
        <v>516</v>
      </c>
      <c r="D135" t="s">
        <v>653</v>
      </c>
      <c r="E135" t="s">
        <v>517</v>
      </c>
      <c r="F135">
        <v>705</v>
      </c>
    </row>
    <row r="136" spans="1:6" x14ac:dyDescent="0.25">
      <c r="A136">
        <v>5</v>
      </c>
      <c r="C136" t="s">
        <v>516</v>
      </c>
      <c r="D136" t="s">
        <v>654</v>
      </c>
      <c r="E136" t="s">
        <v>517</v>
      </c>
      <c r="F136">
        <v>670</v>
      </c>
    </row>
    <row r="137" spans="1:6" x14ac:dyDescent="0.25">
      <c r="A137">
        <v>5</v>
      </c>
      <c r="C137" t="s">
        <v>516</v>
      </c>
      <c r="D137" t="s">
        <v>655</v>
      </c>
      <c r="E137" t="s">
        <v>517</v>
      </c>
      <c r="F137">
        <v>235</v>
      </c>
    </row>
    <row r="138" spans="1:6" x14ac:dyDescent="0.25">
      <c r="A138">
        <v>5</v>
      </c>
      <c r="C138" t="s">
        <v>516</v>
      </c>
      <c r="D138" t="s">
        <v>656</v>
      </c>
      <c r="E138" t="s">
        <v>517</v>
      </c>
      <c r="F138">
        <v>760</v>
      </c>
    </row>
    <row r="139" spans="1:6" x14ac:dyDescent="0.25">
      <c r="A139">
        <v>5</v>
      </c>
      <c r="C139" t="s">
        <v>516</v>
      </c>
      <c r="D139" t="s">
        <v>657</v>
      </c>
      <c r="E139" t="s">
        <v>517</v>
      </c>
      <c r="F139">
        <v>1260</v>
      </c>
    </row>
    <row r="140" spans="1:6" x14ac:dyDescent="0.25">
      <c r="A140">
        <v>5</v>
      </c>
      <c r="C140" t="s">
        <v>516</v>
      </c>
      <c r="D140" t="s">
        <v>658</v>
      </c>
      <c r="E140" t="s">
        <v>517</v>
      </c>
      <c r="F140">
        <v>800</v>
      </c>
    </row>
    <row r="141" spans="1:6" x14ac:dyDescent="0.25">
      <c r="A141">
        <v>5</v>
      </c>
      <c r="C141" t="s">
        <v>516</v>
      </c>
      <c r="D141" t="s">
        <v>659</v>
      </c>
      <c r="E141" t="s">
        <v>517</v>
      </c>
      <c r="F141">
        <v>1480</v>
      </c>
    </row>
    <row r="142" spans="1:6" x14ac:dyDescent="0.25">
      <c r="A142">
        <v>5</v>
      </c>
      <c r="C142" t="s">
        <v>516</v>
      </c>
      <c r="D142" t="s">
        <v>660</v>
      </c>
      <c r="E142" t="s">
        <v>517</v>
      </c>
      <c r="F142">
        <v>840</v>
      </c>
    </row>
    <row r="143" spans="1:6" x14ac:dyDescent="0.25">
      <c r="A143">
        <v>5</v>
      </c>
      <c r="C143" t="s">
        <v>516</v>
      </c>
      <c r="D143" t="s">
        <v>661</v>
      </c>
      <c r="E143" t="s">
        <v>517</v>
      </c>
      <c r="F143">
        <v>2090</v>
      </c>
    </row>
    <row r="144" spans="1:6" x14ac:dyDescent="0.25">
      <c r="A144">
        <v>5</v>
      </c>
      <c r="C144" t="s">
        <v>516</v>
      </c>
      <c r="D144" t="s">
        <v>662</v>
      </c>
      <c r="E144" t="s">
        <v>517</v>
      </c>
      <c r="F144">
        <v>830</v>
      </c>
    </row>
    <row r="145" spans="1:6" x14ac:dyDescent="0.25">
      <c r="A145">
        <v>5</v>
      </c>
      <c r="C145" t="s">
        <v>516</v>
      </c>
      <c r="D145" t="s">
        <v>663</v>
      </c>
      <c r="E145" t="s">
        <v>517</v>
      </c>
      <c r="F145">
        <v>490</v>
      </c>
    </row>
    <row r="146" spans="1:6" x14ac:dyDescent="0.25">
      <c r="A146">
        <v>5</v>
      </c>
      <c r="C146" t="s">
        <v>516</v>
      </c>
      <c r="D146" t="s">
        <v>664</v>
      </c>
      <c r="E146" t="s">
        <v>517</v>
      </c>
      <c r="F146">
        <v>700</v>
      </c>
    </row>
    <row r="147" spans="1:6" x14ac:dyDescent="0.25">
      <c r="A147">
        <v>5</v>
      </c>
      <c r="C147" t="s">
        <v>516</v>
      </c>
      <c r="D147" t="s">
        <v>665</v>
      </c>
      <c r="E147" t="s">
        <v>517</v>
      </c>
      <c r="F147">
        <v>138</v>
      </c>
    </row>
    <row r="148" spans="1:6" x14ac:dyDescent="0.25">
      <c r="A148">
        <v>5</v>
      </c>
      <c r="C148" t="s">
        <v>516</v>
      </c>
      <c r="D148" t="s">
        <v>666</v>
      </c>
      <c r="E148" t="s">
        <v>517</v>
      </c>
      <c r="F148">
        <v>201</v>
      </c>
    </row>
    <row r="149" spans="1:6" x14ac:dyDescent="0.25">
      <c r="A149">
        <v>5</v>
      </c>
      <c r="C149" t="s">
        <v>516</v>
      </c>
      <c r="D149" t="s">
        <v>667</v>
      </c>
      <c r="E149" t="s">
        <v>517</v>
      </c>
      <c r="F149">
        <v>140</v>
      </c>
    </row>
    <row r="150" spans="1:6" x14ac:dyDescent="0.25">
      <c r="A150">
        <v>5</v>
      </c>
      <c r="C150" t="s">
        <v>516</v>
      </c>
      <c r="D150" t="s">
        <v>668</v>
      </c>
      <c r="E150" t="s">
        <v>517</v>
      </c>
      <c r="F150">
        <v>1400</v>
      </c>
    </row>
    <row r="151" spans="1:6" x14ac:dyDescent="0.25">
      <c r="A151">
        <v>5</v>
      </c>
      <c r="C151" t="s">
        <v>516</v>
      </c>
      <c r="D151" t="s">
        <v>669</v>
      </c>
      <c r="E151" t="s">
        <v>517</v>
      </c>
      <c r="F151">
        <v>1600</v>
      </c>
    </row>
    <row r="152" spans="1:6" x14ac:dyDescent="0.25">
      <c r="A152">
        <v>5</v>
      </c>
      <c r="C152" t="s">
        <v>516</v>
      </c>
      <c r="D152" t="s">
        <v>670</v>
      </c>
      <c r="E152" t="s">
        <v>517</v>
      </c>
      <c r="F152">
        <v>1900</v>
      </c>
    </row>
    <row r="153" spans="1:6" x14ac:dyDescent="0.25">
      <c r="A153">
        <v>5</v>
      </c>
      <c r="C153" t="s">
        <v>516</v>
      </c>
      <c r="D153" t="s">
        <v>671</v>
      </c>
      <c r="E153" t="s">
        <v>517</v>
      </c>
      <c r="F153">
        <v>1400</v>
      </c>
    </row>
    <row r="154" spans="1:6" x14ac:dyDescent="0.25">
      <c r="A154">
        <v>5</v>
      </c>
      <c r="C154" t="s">
        <v>516</v>
      </c>
      <c r="D154" t="s">
        <v>672</v>
      </c>
      <c r="E154" t="s">
        <v>517</v>
      </c>
      <c r="F154">
        <v>1600</v>
      </c>
    </row>
    <row r="155" spans="1:6" x14ac:dyDescent="0.25">
      <c r="A155">
        <v>5</v>
      </c>
      <c r="C155" t="s">
        <v>516</v>
      </c>
      <c r="D155" t="s">
        <v>673</v>
      </c>
      <c r="E155" t="s">
        <v>517</v>
      </c>
      <c r="F155">
        <v>2400</v>
      </c>
    </row>
    <row r="156" spans="1:6" x14ac:dyDescent="0.25">
      <c r="A156">
        <v>5</v>
      </c>
      <c r="C156" t="s">
        <v>516</v>
      </c>
      <c r="D156" t="s">
        <v>674</v>
      </c>
      <c r="E156" t="s">
        <v>517</v>
      </c>
      <c r="F156">
        <v>1300</v>
      </c>
    </row>
    <row r="157" spans="1:6" x14ac:dyDescent="0.25">
      <c r="A157">
        <v>5</v>
      </c>
      <c r="C157" t="s">
        <v>516</v>
      </c>
      <c r="D157" t="s">
        <v>675</v>
      </c>
      <c r="E157" t="s">
        <v>517</v>
      </c>
      <c r="F157">
        <v>2500</v>
      </c>
    </row>
    <row r="158" spans="1:6" x14ac:dyDescent="0.25">
      <c r="A158">
        <v>5</v>
      </c>
      <c r="C158" t="s">
        <v>516</v>
      </c>
      <c r="D158" t="s">
        <v>676</v>
      </c>
      <c r="E158" t="s">
        <v>517</v>
      </c>
      <c r="F158">
        <v>1300</v>
      </c>
    </row>
    <row r="159" spans="1:6" x14ac:dyDescent="0.25">
      <c r="A159">
        <v>5</v>
      </c>
      <c r="C159" t="s">
        <v>516</v>
      </c>
      <c r="D159" t="s">
        <v>677</v>
      </c>
      <c r="E159" t="s">
        <v>517</v>
      </c>
      <c r="F159">
        <v>1500</v>
      </c>
    </row>
    <row r="160" spans="1:6" x14ac:dyDescent="0.25">
      <c r="A160">
        <v>5</v>
      </c>
      <c r="C160" t="s">
        <v>516</v>
      </c>
      <c r="D160" t="s">
        <v>678</v>
      </c>
      <c r="E160" t="s">
        <v>517</v>
      </c>
      <c r="F160">
        <v>1500</v>
      </c>
    </row>
    <row r="161" spans="1:6" x14ac:dyDescent="0.25">
      <c r="A161">
        <v>5</v>
      </c>
      <c r="C161" t="s">
        <v>516</v>
      </c>
      <c r="D161" t="s">
        <v>679</v>
      </c>
      <c r="E161" t="s">
        <v>517</v>
      </c>
      <c r="F161">
        <v>1400</v>
      </c>
    </row>
    <row r="162" spans="1:6" x14ac:dyDescent="0.25">
      <c r="A162">
        <v>5</v>
      </c>
      <c r="C162" t="s">
        <v>516</v>
      </c>
      <c r="D162" t="s">
        <v>680</v>
      </c>
      <c r="E162" t="s">
        <v>517</v>
      </c>
      <c r="F162">
        <v>228</v>
      </c>
    </row>
    <row r="163" spans="1:6" x14ac:dyDescent="0.25">
      <c r="A163">
        <v>5</v>
      </c>
      <c r="C163" t="s">
        <v>516</v>
      </c>
      <c r="D163" t="s">
        <v>681</v>
      </c>
      <c r="E163" t="s">
        <v>517</v>
      </c>
      <c r="F163">
        <v>523</v>
      </c>
    </row>
    <row r="164" spans="1:6" x14ac:dyDescent="0.25">
      <c r="A164">
        <v>5</v>
      </c>
      <c r="C164" t="s">
        <v>516</v>
      </c>
      <c r="D164" t="s">
        <v>682</v>
      </c>
      <c r="E164" t="s">
        <v>517</v>
      </c>
      <c r="F164">
        <v>132</v>
      </c>
    </row>
    <row r="165" spans="1:6" x14ac:dyDescent="0.25">
      <c r="A165">
        <v>5</v>
      </c>
      <c r="C165" t="s">
        <v>516</v>
      </c>
      <c r="D165" t="s">
        <v>683</v>
      </c>
      <c r="E165" t="s">
        <v>517</v>
      </c>
      <c r="F165">
        <v>171</v>
      </c>
    </row>
    <row r="166" spans="1:6" x14ac:dyDescent="0.25">
      <c r="A166">
        <v>5</v>
      </c>
      <c r="C166" t="s">
        <v>516</v>
      </c>
      <c r="D166" t="s">
        <v>684</v>
      </c>
      <c r="E166" t="s">
        <v>517</v>
      </c>
      <c r="F166">
        <v>116</v>
      </c>
    </row>
    <row r="167" spans="1:6" x14ac:dyDescent="0.25">
      <c r="A167">
        <v>5</v>
      </c>
      <c r="C167" t="s">
        <v>516</v>
      </c>
      <c r="D167" t="s">
        <v>685</v>
      </c>
      <c r="E167" t="s">
        <v>517</v>
      </c>
      <c r="F167">
        <v>500</v>
      </c>
    </row>
    <row r="168" spans="1:6" x14ac:dyDescent="0.25">
      <c r="A168">
        <v>5</v>
      </c>
      <c r="C168" t="s">
        <v>516</v>
      </c>
      <c r="D168" t="s">
        <v>696</v>
      </c>
      <c r="E168" t="s">
        <v>517</v>
      </c>
      <c r="F168">
        <v>4182</v>
      </c>
    </row>
    <row r="169" spans="1:6" x14ac:dyDescent="0.25">
      <c r="A169">
        <v>5</v>
      </c>
      <c r="C169" t="s">
        <v>516</v>
      </c>
      <c r="D169" t="s">
        <v>697</v>
      </c>
      <c r="E169" t="s">
        <v>517</v>
      </c>
      <c r="F169">
        <v>3985</v>
      </c>
    </row>
    <row r="170" spans="1:6" x14ac:dyDescent="0.25">
      <c r="A170">
        <v>5</v>
      </c>
      <c r="C170" t="s">
        <v>516</v>
      </c>
      <c r="D170" t="s">
        <v>686</v>
      </c>
      <c r="E170" t="s">
        <v>517</v>
      </c>
      <c r="F170">
        <v>2512</v>
      </c>
    </row>
    <row r="171" spans="1:6" x14ac:dyDescent="0.25">
      <c r="A171">
        <v>5</v>
      </c>
      <c r="B171">
        <v>-1</v>
      </c>
      <c r="C171" t="s">
        <v>516</v>
      </c>
      <c r="D171" t="s">
        <v>687</v>
      </c>
      <c r="E171" t="s">
        <v>517</v>
      </c>
      <c r="F171" t="s">
        <v>688</v>
      </c>
    </row>
    <row r="172" spans="1:6" x14ac:dyDescent="0.25">
      <c r="A172">
        <v>5</v>
      </c>
      <c r="C172" t="s">
        <v>516</v>
      </c>
      <c r="D172" t="s">
        <v>689</v>
      </c>
      <c r="E172" t="s">
        <v>517</v>
      </c>
      <c r="F172">
        <v>388</v>
      </c>
    </row>
  </sheetData>
  <conditionalFormatting sqref="B2:B785">
    <cfRule type="expression" dxfId="1" priority="1">
      <formula>ISBLANK(B2)</formula>
    </cfRule>
    <cfRule type="cellIs" dxfId="0" priority="2" operator="notEqual">
      <formula>1</formula>
    </cfRule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8677C-5F26-49AE-924A-F4312F57E7FA}">
  <dimension ref="A1:F243"/>
  <sheetViews>
    <sheetView tabSelected="1" workbookViewId="0">
      <pane ySplit="1" topLeftCell="A2" activePane="bottomLeft" state="frozen"/>
      <selection pane="bottomLeft" activeCell="J6" sqref="J6"/>
    </sheetView>
  </sheetViews>
  <sheetFormatPr defaultRowHeight="15" x14ac:dyDescent="0.25"/>
  <cols>
    <col min="3" max="3" width="18.7109375" customWidth="1"/>
  </cols>
  <sheetData>
    <row r="1" spans="1:6" x14ac:dyDescent="0.25">
      <c r="A1" t="s">
        <v>387</v>
      </c>
      <c r="B1" t="s">
        <v>0</v>
      </c>
      <c r="C1" t="s">
        <v>514</v>
      </c>
      <c r="D1" t="s">
        <v>32</v>
      </c>
      <c r="E1" t="s">
        <v>515</v>
      </c>
      <c r="F1" t="s">
        <v>33</v>
      </c>
    </row>
    <row r="2" spans="1:6" x14ac:dyDescent="0.25">
      <c r="A2">
        <v>5</v>
      </c>
      <c r="C2" t="s">
        <v>701</v>
      </c>
      <c r="D2" t="s">
        <v>703</v>
      </c>
      <c r="E2" t="s">
        <v>702</v>
      </c>
      <c r="F2">
        <v>1060</v>
      </c>
    </row>
    <row r="3" spans="1:6" x14ac:dyDescent="0.25">
      <c r="A3">
        <v>5</v>
      </c>
      <c r="C3" t="s">
        <v>701</v>
      </c>
      <c r="D3" t="s">
        <v>518</v>
      </c>
      <c r="E3" t="s">
        <v>702</v>
      </c>
      <c r="F3">
        <v>1420</v>
      </c>
    </row>
    <row r="4" spans="1:6" x14ac:dyDescent="0.25">
      <c r="A4">
        <v>5</v>
      </c>
      <c r="C4" t="s">
        <v>701</v>
      </c>
      <c r="D4" t="s">
        <v>520</v>
      </c>
      <c r="E4" t="s">
        <v>702</v>
      </c>
      <c r="F4">
        <v>2550</v>
      </c>
    </row>
    <row r="5" spans="1:6" x14ac:dyDescent="0.25">
      <c r="A5">
        <v>5</v>
      </c>
      <c r="C5" t="s">
        <v>701</v>
      </c>
      <c r="D5" t="s">
        <v>704</v>
      </c>
      <c r="E5" t="s">
        <v>702</v>
      </c>
      <c r="F5">
        <v>1190</v>
      </c>
    </row>
    <row r="6" spans="1:6" x14ac:dyDescent="0.25">
      <c r="A6">
        <v>5</v>
      </c>
      <c r="C6" t="s">
        <v>701</v>
      </c>
      <c r="D6" t="s">
        <v>520</v>
      </c>
      <c r="E6" t="s">
        <v>702</v>
      </c>
      <c r="F6">
        <v>2600</v>
      </c>
    </row>
    <row r="7" spans="1:6" x14ac:dyDescent="0.25">
      <c r="A7">
        <v>5</v>
      </c>
      <c r="C7" t="s">
        <v>701</v>
      </c>
      <c r="D7" t="s">
        <v>705</v>
      </c>
      <c r="E7" t="s">
        <v>702</v>
      </c>
      <c r="F7">
        <v>2750</v>
      </c>
    </row>
    <row r="8" spans="1:6" x14ac:dyDescent="0.25">
      <c r="A8">
        <v>5</v>
      </c>
      <c r="C8" t="s">
        <v>701</v>
      </c>
      <c r="D8" t="s">
        <v>706</v>
      </c>
      <c r="E8" t="s">
        <v>702</v>
      </c>
      <c r="F8">
        <v>2300</v>
      </c>
    </row>
    <row r="9" spans="1:6" x14ac:dyDescent="0.25">
      <c r="A9">
        <v>5</v>
      </c>
      <c r="C9" t="s">
        <v>701</v>
      </c>
      <c r="D9" t="s">
        <v>707</v>
      </c>
      <c r="E9" t="s">
        <v>702</v>
      </c>
      <c r="F9">
        <v>881</v>
      </c>
    </row>
    <row r="10" spans="1:6" x14ac:dyDescent="0.25">
      <c r="A10">
        <v>5</v>
      </c>
      <c r="C10" t="s">
        <v>701</v>
      </c>
      <c r="D10" t="s">
        <v>708</v>
      </c>
      <c r="E10" t="s">
        <v>702</v>
      </c>
      <c r="F10">
        <v>752</v>
      </c>
    </row>
    <row r="11" spans="1:6" x14ac:dyDescent="0.25">
      <c r="A11">
        <v>5</v>
      </c>
      <c r="C11" t="s">
        <v>701</v>
      </c>
      <c r="D11" t="s">
        <v>709</v>
      </c>
      <c r="E11" t="s">
        <v>702</v>
      </c>
      <c r="F11">
        <v>4025.0000000000005</v>
      </c>
    </row>
    <row r="12" spans="1:6" x14ac:dyDescent="0.25">
      <c r="A12">
        <v>5</v>
      </c>
      <c r="C12" t="s">
        <v>701</v>
      </c>
      <c r="D12" t="s">
        <v>523</v>
      </c>
      <c r="E12" t="s">
        <v>702</v>
      </c>
      <c r="F12">
        <v>2700</v>
      </c>
    </row>
    <row r="13" spans="1:6" x14ac:dyDescent="0.25">
      <c r="A13">
        <v>5</v>
      </c>
      <c r="C13" t="s">
        <v>701</v>
      </c>
      <c r="D13" t="s">
        <v>710</v>
      </c>
      <c r="E13" t="s">
        <v>702</v>
      </c>
      <c r="F13">
        <v>7700</v>
      </c>
    </row>
    <row r="14" spans="1:6" x14ac:dyDescent="0.25">
      <c r="A14">
        <v>5</v>
      </c>
      <c r="C14" t="s">
        <v>701</v>
      </c>
      <c r="D14" t="s">
        <v>711</v>
      </c>
      <c r="E14" t="s">
        <v>702</v>
      </c>
      <c r="F14">
        <v>2625</v>
      </c>
    </row>
    <row r="15" spans="1:6" x14ac:dyDescent="0.25">
      <c r="A15">
        <v>5</v>
      </c>
      <c r="B15">
        <v>-1</v>
      </c>
      <c r="C15" t="s">
        <v>701</v>
      </c>
      <c r="D15" t="s">
        <v>712</v>
      </c>
      <c r="E15" t="s">
        <v>702</v>
      </c>
    </row>
    <row r="16" spans="1:6" x14ac:dyDescent="0.25">
      <c r="A16">
        <v>5</v>
      </c>
      <c r="C16" t="s">
        <v>701</v>
      </c>
      <c r="D16" t="s">
        <v>713</v>
      </c>
      <c r="E16" t="s">
        <v>702</v>
      </c>
      <c r="F16">
        <v>1080</v>
      </c>
    </row>
    <row r="17" spans="1:6" x14ac:dyDescent="0.25">
      <c r="A17">
        <v>5</v>
      </c>
      <c r="C17" t="s">
        <v>701</v>
      </c>
      <c r="D17" t="s">
        <v>714</v>
      </c>
      <c r="E17" t="s">
        <v>702</v>
      </c>
      <c r="F17">
        <v>3050</v>
      </c>
    </row>
    <row r="18" spans="1:6" x14ac:dyDescent="0.25">
      <c r="A18">
        <v>5</v>
      </c>
      <c r="C18" t="s">
        <v>701</v>
      </c>
      <c r="D18" t="s">
        <v>715</v>
      </c>
      <c r="E18" t="s">
        <v>702</v>
      </c>
      <c r="F18">
        <v>2770</v>
      </c>
    </row>
    <row r="19" spans="1:6" x14ac:dyDescent="0.25">
      <c r="A19">
        <v>5</v>
      </c>
      <c r="C19" t="s">
        <v>701</v>
      </c>
      <c r="D19" t="s">
        <v>716</v>
      </c>
      <c r="E19" t="s">
        <v>702</v>
      </c>
      <c r="F19">
        <v>2750</v>
      </c>
    </row>
    <row r="20" spans="1:6" x14ac:dyDescent="0.25">
      <c r="A20">
        <v>5</v>
      </c>
      <c r="C20" t="s">
        <v>701</v>
      </c>
      <c r="D20" t="s">
        <v>717</v>
      </c>
      <c r="E20" t="s">
        <v>702</v>
      </c>
      <c r="F20">
        <v>6700</v>
      </c>
    </row>
    <row r="21" spans="1:6" x14ac:dyDescent="0.25">
      <c r="A21">
        <v>5</v>
      </c>
      <c r="C21" t="s">
        <v>701</v>
      </c>
      <c r="D21" t="s">
        <v>529</v>
      </c>
      <c r="E21" t="s">
        <v>702</v>
      </c>
      <c r="F21">
        <v>4700</v>
      </c>
    </row>
    <row r="22" spans="1:6" x14ac:dyDescent="0.25">
      <c r="A22">
        <v>5</v>
      </c>
      <c r="C22" t="s">
        <v>701</v>
      </c>
      <c r="D22" t="s">
        <v>718</v>
      </c>
      <c r="E22" t="s">
        <v>702</v>
      </c>
      <c r="F22">
        <v>1500</v>
      </c>
    </row>
    <row r="23" spans="1:6" x14ac:dyDescent="0.25">
      <c r="A23">
        <v>5</v>
      </c>
      <c r="C23" t="s">
        <v>701</v>
      </c>
      <c r="D23" t="s">
        <v>531</v>
      </c>
      <c r="E23" t="s">
        <v>702</v>
      </c>
      <c r="F23">
        <v>2400</v>
      </c>
    </row>
    <row r="24" spans="1:6" x14ac:dyDescent="0.25">
      <c r="A24">
        <v>5</v>
      </c>
      <c r="C24" t="s">
        <v>701</v>
      </c>
      <c r="D24" t="s">
        <v>719</v>
      </c>
      <c r="E24" t="s">
        <v>702</v>
      </c>
      <c r="F24">
        <v>350</v>
      </c>
    </row>
    <row r="25" spans="1:6" x14ac:dyDescent="0.25">
      <c r="A25">
        <v>5</v>
      </c>
      <c r="C25" t="s">
        <v>701</v>
      </c>
      <c r="D25" t="s">
        <v>720</v>
      </c>
      <c r="E25" t="s">
        <v>702</v>
      </c>
      <c r="F25">
        <v>2450</v>
      </c>
    </row>
    <row r="26" spans="1:6" x14ac:dyDescent="0.25">
      <c r="A26">
        <v>5</v>
      </c>
      <c r="C26" t="s">
        <v>701</v>
      </c>
      <c r="D26" t="s">
        <v>721</v>
      </c>
      <c r="E26" t="s">
        <v>702</v>
      </c>
      <c r="F26">
        <v>650</v>
      </c>
    </row>
    <row r="27" spans="1:6" x14ac:dyDescent="0.25">
      <c r="A27">
        <v>5</v>
      </c>
      <c r="C27" t="s">
        <v>701</v>
      </c>
      <c r="D27" t="s">
        <v>722</v>
      </c>
      <c r="E27" t="s">
        <v>702</v>
      </c>
      <c r="F27">
        <v>2360</v>
      </c>
    </row>
    <row r="28" spans="1:6" x14ac:dyDescent="0.25">
      <c r="A28">
        <v>5</v>
      </c>
      <c r="C28" t="s">
        <v>701</v>
      </c>
      <c r="D28" t="s">
        <v>723</v>
      </c>
      <c r="E28" t="s">
        <v>702</v>
      </c>
      <c r="F28">
        <v>720</v>
      </c>
    </row>
    <row r="29" spans="1:6" x14ac:dyDescent="0.25">
      <c r="A29">
        <v>5</v>
      </c>
      <c r="C29" t="s">
        <v>701</v>
      </c>
      <c r="D29" t="s">
        <v>724</v>
      </c>
      <c r="E29" t="s">
        <v>702</v>
      </c>
      <c r="F29">
        <v>1360</v>
      </c>
    </row>
    <row r="30" spans="1:6" x14ac:dyDescent="0.25">
      <c r="A30">
        <v>5</v>
      </c>
      <c r="C30" t="s">
        <v>701</v>
      </c>
      <c r="D30" t="s">
        <v>725</v>
      </c>
      <c r="E30" t="s">
        <v>702</v>
      </c>
      <c r="F30">
        <v>720</v>
      </c>
    </row>
    <row r="31" spans="1:6" x14ac:dyDescent="0.25">
      <c r="A31">
        <v>5</v>
      </c>
      <c r="C31" t="s">
        <v>701</v>
      </c>
      <c r="D31" t="s">
        <v>726</v>
      </c>
      <c r="E31" t="s">
        <v>702</v>
      </c>
      <c r="F31">
        <v>130</v>
      </c>
    </row>
    <row r="32" spans="1:6" x14ac:dyDescent="0.25">
      <c r="A32">
        <v>5</v>
      </c>
      <c r="C32" t="s">
        <v>701</v>
      </c>
      <c r="D32" t="s">
        <v>727</v>
      </c>
      <c r="E32" t="s">
        <v>702</v>
      </c>
      <c r="F32">
        <v>2890</v>
      </c>
    </row>
    <row r="33" spans="1:6" x14ac:dyDescent="0.25">
      <c r="A33">
        <v>5</v>
      </c>
      <c r="C33" t="s">
        <v>701</v>
      </c>
      <c r="D33" t="s">
        <v>533</v>
      </c>
      <c r="E33" t="s">
        <v>702</v>
      </c>
      <c r="F33">
        <v>3780</v>
      </c>
    </row>
    <row r="34" spans="1:6" x14ac:dyDescent="0.25">
      <c r="A34">
        <v>5</v>
      </c>
      <c r="C34" t="s">
        <v>701</v>
      </c>
      <c r="D34" t="s">
        <v>728</v>
      </c>
      <c r="E34" t="s">
        <v>702</v>
      </c>
      <c r="F34">
        <v>240</v>
      </c>
    </row>
    <row r="35" spans="1:6" x14ac:dyDescent="0.25">
      <c r="A35">
        <v>5</v>
      </c>
      <c r="C35" t="s">
        <v>701</v>
      </c>
      <c r="D35" t="s">
        <v>534</v>
      </c>
      <c r="E35" t="s">
        <v>702</v>
      </c>
      <c r="F35">
        <v>4500</v>
      </c>
    </row>
    <row r="36" spans="1:6" x14ac:dyDescent="0.25">
      <c r="A36">
        <v>5</v>
      </c>
      <c r="C36" t="s">
        <v>701</v>
      </c>
      <c r="D36" t="s">
        <v>729</v>
      </c>
      <c r="E36" t="s">
        <v>702</v>
      </c>
      <c r="F36">
        <v>2750</v>
      </c>
    </row>
    <row r="37" spans="1:6" x14ac:dyDescent="0.25">
      <c r="A37">
        <v>5</v>
      </c>
      <c r="C37" t="s">
        <v>701</v>
      </c>
      <c r="D37" t="s">
        <v>730</v>
      </c>
      <c r="E37" t="s">
        <v>702</v>
      </c>
      <c r="F37">
        <v>1280</v>
      </c>
    </row>
    <row r="38" spans="1:6" x14ac:dyDescent="0.25">
      <c r="A38">
        <v>5</v>
      </c>
      <c r="C38" t="s">
        <v>701</v>
      </c>
      <c r="D38" t="s">
        <v>731</v>
      </c>
      <c r="E38" t="s">
        <v>702</v>
      </c>
      <c r="F38">
        <v>960</v>
      </c>
    </row>
    <row r="39" spans="1:6" x14ac:dyDescent="0.25">
      <c r="A39">
        <v>5</v>
      </c>
      <c r="C39" t="s">
        <v>701</v>
      </c>
      <c r="D39" t="s">
        <v>732</v>
      </c>
      <c r="E39" t="s">
        <v>702</v>
      </c>
      <c r="F39">
        <v>2700</v>
      </c>
    </row>
    <row r="40" spans="1:6" x14ac:dyDescent="0.25">
      <c r="A40">
        <v>5</v>
      </c>
      <c r="C40" t="s">
        <v>701</v>
      </c>
      <c r="D40" t="s">
        <v>535</v>
      </c>
      <c r="E40" t="s">
        <v>702</v>
      </c>
      <c r="F40">
        <v>1850</v>
      </c>
    </row>
    <row r="41" spans="1:6" x14ac:dyDescent="0.25">
      <c r="A41">
        <v>5</v>
      </c>
      <c r="C41" t="s">
        <v>701</v>
      </c>
      <c r="D41" t="s">
        <v>733</v>
      </c>
      <c r="E41" t="s">
        <v>702</v>
      </c>
      <c r="F41">
        <v>2900.0000000000005</v>
      </c>
    </row>
    <row r="42" spans="1:6" x14ac:dyDescent="0.25">
      <c r="A42">
        <v>5</v>
      </c>
      <c r="C42" t="s">
        <v>701</v>
      </c>
      <c r="D42" t="s">
        <v>536</v>
      </c>
      <c r="E42" t="s">
        <v>702</v>
      </c>
      <c r="F42">
        <v>9800</v>
      </c>
    </row>
    <row r="43" spans="1:6" x14ac:dyDescent="0.25">
      <c r="A43">
        <v>5</v>
      </c>
      <c r="C43" t="s">
        <v>701</v>
      </c>
      <c r="D43" t="s">
        <v>537</v>
      </c>
      <c r="E43" t="s">
        <v>702</v>
      </c>
      <c r="F43">
        <v>2500</v>
      </c>
    </row>
    <row r="44" spans="1:6" x14ac:dyDescent="0.25">
      <c r="A44">
        <v>5</v>
      </c>
      <c r="C44" t="s">
        <v>701</v>
      </c>
      <c r="D44" t="s">
        <v>538</v>
      </c>
      <c r="E44" t="s">
        <v>702</v>
      </c>
      <c r="F44">
        <v>1850</v>
      </c>
    </row>
    <row r="45" spans="1:6" x14ac:dyDescent="0.25">
      <c r="A45">
        <v>5</v>
      </c>
      <c r="C45" t="s">
        <v>701</v>
      </c>
      <c r="D45" t="s">
        <v>734</v>
      </c>
      <c r="E45" t="s">
        <v>702</v>
      </c>
      <c r="F45">
        <v>880</v>
      </c>
    </row>
    <row r="46" spans="1:6" x14ac:dyDescent="0.25">
      <c r="A46">
        <v>5</v>
      </c>
      <c r="C46" t="s">
        <v>701</v>
      </c>
      <c r="D46" t="s">
        <v>735</v>
      </c>
      <c r="E46" t="s">
        <v>702</v>
      </c>
      <c r="F46">
        <v>850</v>
      </c>
    </row>
    <row r="47" spans="1:6" x14ac:dyDescent="0.25">
      <c r="A47">
        <v>5</v>
      </c>
      <c r="C47" t="s">
        <v>701</v>
      </c>
      <c r="D47" t="s">
        <v>541</v>
      </c>
      <c r="E47" t="s">
        <v>702</v>
      </c>
      <c r="F47">
        <v>8480</v>
      </c>
    </row>
    <row r="48" spans="1:6" x14ac:dyDescent="0.25">
      <c r="A48">
        <v>5</v>
      </c>
      <c r="C48" t="s">
        <v>701</v>
      </c>
      <c r="D48" t="s">
        <v>736</v>
      </c>
      <c r="E48" t="s">
        <v>702</v>
      </c>
      <c r="F48">
        <v>8830</v>
      </c>
    </row>
    <row r="49" spans="1:6" x14ac:dyDescent="0.25">
      <c r="A49">
        <v>5</v>
      </c>
      <c r="C49" t="s">
        <v>701</v>
      </c>
      <c r="D49" t="s">
        <v>544</v>
      </c>
      <c r="E49" t="s">
        <v>702</v>
      </c>
      <c r="F49">
        <v>5100</v>
      </c>
    </row>
    <row r="50" spans="1:6" x14ac:dyDescent="0.25">
      <c r="A50">
        <v>5</v>
      </c>
      <c r="C50" t="s">
        <v>701</v>
      </c>
      <c r="D50" t="s">
        <v>542</v>
      </c>
      <c r="E50" t="s">
        <v>702</v>
      </c>
      <c r="F50">
        <v>1900</v>
      </c>
    </row>
    <row r="51" spans="1:6" x14ac:dyDescent="0.25">
      <c r="A51">
        <v>5</v>
      </c>
      <c r="C51" t="s">
        <v>701</v>
      </c>
      <c r="D51" t="s">
        <v>737</v>
      </c>
      <c r="E51" t="s">
        <v>702</v>
      </c>
      <c r="F51">
        <v>2300</v>
      </c>
    </row>
    <row r="52" spans="1:6" x14ac:dyDescent="0.25">
      <c r="A52">
        <v>5</v>
      </c>
      <c r="C52" t="s">
        <v>701</v>
      </c>
      <c r="D52" t="s">
        <v>738</v>
      </c>
      <c r="E52" t="s">
        <v>702</v>
      </c>
      <c r="F52">
        <v>2000</v>
      </c>
    </row>
    <row r="53" spans="1:6" x14ac:dyDescent="0.25">
      <c r="A53">
        <v>5</v>
      </c>
      <c r="C53" t="s">
        <v>701</v>
      </c>
      <c r="D53" t="s">
        <v>739</v>
      </c>
      <c r="E53" t="s">
        <v>702</v>
      </c>
      <c r="F53">
        <v>2200</v>
      </c>
    </row>
    <row r="54" spans="1:6" x14ac:dyDescent="0.25">
      <c r="A54">
        <v>5</v>
      </c>
      <c r="C54" t="s">
        <v>701</v>
      </c>
      <c r="D54" t="s">
        <v>740</v>
      </c>
      <c r="E54" t="s">
        <v>702</v>
      </c>
      <c r="F54">
        <v>1800</v>
      </c>
    </row>
    <row r="55" spans="1:6" x14ac:dyDescent="0.25">
      <c r="A55">
        <v>5</v>
      </c>
      <c r="C55" t="s">
        <v>701</v>
      </c>
      <c r="D55" t="s">
        <v>741</v>
      </c>
      <c r="E55" t="s">
        <v>702</v>
      </c>
      <c r="F55">
        <v>1600</v>
      </c>
    </row>
    <row r="56" spans="1:6" x14ac:dyDescent="0.25">
      <c r="A56">
        <v>5</v>
      </c>
      <c r="C56" t="s">
        <v>701</v>
      </c>
      <c r="D56" t="s">
        <v>742</v>
      </c>
      <c r="E56" t="s">
        <v>702</v>
      </c>
      <c r="F56">
        <v>870</v>
      </c>
    </row>
    <row r="57" spans="1:6" x14ac:dyDescent="0.25">
      <c r="A57">
        <v>5</v>
      </c>
      <c r="C57" t="s">
        <v>701</v>
      </c>
      <c r="D57" t="s">
        <v>545</v>
      </c>
      <c r="E57" t="s">
        <v>702</v>
      </c>
      <c r="F57">
        <v>8640</v>
      </c>
    </row>
    <row r="58" spans="1:6" x14ac:dyDescent="0.25">
      <c r="A58">
        <v>5</v>
      </c>
      <c r="C58" t="s">
        <v>701</v>
      </c>
      <c r="D58" t="s">
        <v>743</v>
      </c>
      <c r="E58" t="s">
        <v>702</v>
      </c>
      <c r="F58">
        <v>4300</v>
      </c>
    </row>
    <row r="59" spans="1:6" x14ac:dyDescent="0.25">
      <c r="A59">
        <v>5</v>
      </c>
      <c r="C59" t="s">
        <v>701</v>
      </c>
      <c r="D59" t="s">
        <v>546</v>
      </c>
      <c r="E59" t="s">
        <v>702</v>
      </c>
      <c r="F59">
        <v>1550</v>
      </c>
    </row>
    <row r="60" spans="1:6" x14ac:dyDescent="0.25">
      <c r="A60">
        <v>5</v>
      </c>
      <c r="C60" t="s">
        <v>701</v>
      </c>
      <c r="D60" t="s">
        <v>744</v>
      </c>
      <c r="E60" t="s">
        <v>702</v>
      </c>
      <c r="F60">
        <v>2700</v>
      </c>
    </row>
    <row r="61" spans="1:6" x14ac:dyDescent="0.25">
      <c r="A61">
        <v>5</v>
      </c>
      <c r="C61" t="s">
        <v>701</v>
      </c>
      <c r="D61" t="s">
        <v>745</v>
      </c>
      <c r="E61" t="s">
        <v>702</v>
      </c>
      <c r="F61">
        <v>1000</v>
      </c>
    </row>
    <row r="62" spans="1:6" x14ac:dyDescent="0.25">
      <c r="A62">
        <v>5</v>
      </c>
      <c r="C62" t="s">
        <v>701</v>
      </c>
      <c r="D62" t="s">
        <v>746</v>
      </c>
      <c r="E62" t="s">
        <v>702</v>
      </c>
      <c r="F62">
        <v>3510</v>
      </c>
    </row>
    <row r="63" spans="1:6" x14ac:dyDescent="0.25">
      <c r="A63">
        <v>5</v>
      </c>
      <c r="C63" t="s">
        <v>701</v>
      </c>
      <c r="D63" t="s">
        <v>747</v>
      </c>
      <c r="E63" t="s">
        <v>702</v>
      </c>
      <c r="F63">
        <v>950</v>
      </c>
    </row>
    <row r="64" spans="1:6" x14ac:dyDescent="0.25">
      <c r="A64">
        <v>5</v>
      </c>
      <c r="C64" t="s">
        <v>701</v>
      </c>
      <c r="D64" t="s">
        <v>748</v>
      </c>
      <c r="E64" t="s">
        <v>702</v>
      </c>
      <c r="F64">
        <v>700</v>
      </c>
    </row>
    <row r="65" spans="1:6" x14ac:dyDescent="0.25">
      <c r="A65">
        <v>5</v>
      </c>
      <c r="C65" t="s">
        <v>701</v>
      </c>
      <c r="D65" t="s">
        <v>749</v>
      </c>
      <c r="E65" t="s">
        <v>702</v>
      </c>
      <c r="F65">
        <v>7200</v>
      </c>
    </row>
    <row r="66" spans="1:6" x14ac:dyDescent="0.25">
      <c r="A66">
        <v>5</v>
      </c>
      <c r="C66" t="s">
        <v>701</v>
      </c>
      <c r="D66" t="s">
        <v>750</v>
      </c>
      <c r="E66" t="s">
        <v>702</v>
      </c>
      <c r="F66">
        <v>1400</v>
      </c>
    </row>
    <row r="67" spans="1:6" x14ac:dyDescent="0.25">
      <c r="A67">
        <v>5</v>
      </c>
      <c r="C67" t="s">
        <v>701</v>
      </c>
      <c r="D67" t="s">
        <v>751</v>
      </c>
      <c r="E67" t="s">
        <v>702</v>
      </c>
      <c r="F67">
        <v>1505</v>
      </c>
    </row>
    <row r="68" spans="1:6" x14ac:dyDescent="0.25">
      <c r="A68">
        <v>5</v>
      </c>
      <c r="C68" t="s">
        <v>701</v>
      </c>
      <c r="D68" t="s">
        <v>752</v>
      </c>
      <c r="E68" t="s">
        <v>702</v>
      </c>
      <c r="F68">
        <v>1280</v>
      </c>
    </row>
    <row r="69" spans="1:6" x14ac:dyDescent="0.25">
      <c r="A69">
        <v>5</v>
      </c>
      <c r="C69" t="s">
        <v>701</v>
      </c>
      <c r="D69" t="s">
        <v>753</v>
      </c>
      <c r="E69" t="s">
        <v>702</v>
      </c>
      <c r="F69">
        <v>1300</v>
      </c>
    </row>
    <row r="70" spans="1:6" x14ac:dyDescent="0.25">
      <c r="A70">
        <v>5</v>
      </c>
      <c r="C70" t="s">
        <v>701</v>
      </c>
      <c r="D70" t="s">
        <v>754</v>
      </c>
      <c r="E70" t="s">
        <v>702</v>
      </c>
      <c r="F70">
        <v>1375</v>
      </c>
    </row>
    <row r="71" spans="1:6" x14ac:dyDescent="0.25">
      <c r="A71">
        <v>5</v>
      </c>
      <c r="C71" t="s">
        <v>701</v>
      </c>
      <c r="D71" t="s">
        <v>755</v>
      </c>
      <c r="E71" t="s">
        <v>702</v>
      </c>
      <c r="F71">
        <v>1400</v>
      </c>
    </row>
    <row r="72" spans="1:6" x14ac:dyDescent="0.25">
      <c r="A72">
        <v>5</v>
      </c>
      <c r="C72" t="s">
        <v>701</v>
      </c>
      <c r="D72" t="s">
        <v>756</v>
      </c>
      <c r="E72" t="s">
        <v>702</v>
      </c>
      <c r="F72">
        <v>2850</v>
      </c>
    </row>
    <row r="73" spans="1:6" x14ac:dyDescent="0.25">
      <c r="A73">
        <v>5</v>
      </c>
      <c r="C73" t="s">
        <v>701</v>
      </c>
      <c r="D73" t="s">
        <v>757</v>
      </c>
      <c r="E73" t="s">
        <v>702</v>
      </c>
      <c r="F73">
        <v>1500</v>
      </c>
    </row>
    <row r="74" spans="1:6" x14ac:dyDescent="0.25">
      <c r="A74">
        <v>5</v>
      </c>
      <c r="C74" t="s">
        <v>701</v>
      </c>
      <c r="D74" t="s">
        <v>758</v>
      </c>
      <c r="E74" t="s">
        <v>702</v>
      </c>
      <c r="F74">
        <v>6770</v>
      </c>
    </row>
    <row r="75" spans="1:6" x14ac:dyDescent="0.25">
      <c r="A75">
        <v>5</v>
      </c>
      <c r="C75" t="s">
        <v>701</v>
      </c>
      <c r="D75" t="s">
        <v>555</v>
      </c>
      <c r="E75" t="s">
        <v>702</v>
      </c>
      <c r="F75">
        <v>2349.9999999999995</v>
      </c>
    </row>
    <row r="76" spans="1:6" x14ac:dyDescent="0.25">
      <c r="A76">
        <v>5</v>
      </c>
      <c r="C76" t="s">
        <v>701</v>
      </c>
      <c r="D76" t="s">
        <v>759</v>
      </c>
      <c r="E76" t="s">
        <v>702</v>
      </c>
      <c r="F76">
        <v>600</v>
      </c>
    </row>
    <row r="77" spans="1:6" x14ac:dyDescent="0.25">
      <c r="A77">
        <v>5</v>
      </c>
      <c r="C77" t="s">
        <v>701</v>
      </c>
      <c r="D77" t="s">
        <v>760</v>
      </c>
      <c r="E77" t="s">
        <v>702</v>
      </c>
      <c r="F77">
        <v>350</v>
      </c>
    </row>
    <row r="78" spans="1:6" x14ac:dyDescent="0.25">
      <c r="A78">
        <v>5</v>
      </c>
      <c r="C78" t="s">
        <v>701</v>
      </c>
      <c r="D78" t="s">
        <v>557</v>
      </c>
      <c r="E78" t="s">
        <v>702</v>
      </c>
      <c r="F78">
        <v>7100</v>
      </c>
    </row>
    <row r="79" spans="1:6" x14ac:dyDescent="0.25">
      <c r="A79">
        <v>5</v>
      </c>
      <c r="C79" t="s">
        <v>701</v>
      </c>
      <c r="D79" t="s">
        <v>558</v>
      </c>
      <c r="E79" t="s">
        <v>702</v>
      </c>
      <c r="F79">
        <v>5210</v>
      </c>
    </row>
    <row r="80" spans="1:6" x14ac:dyDescent="0.25">
      <c r="A80">
        <v>5</v>
      </c>
      <c r="C80" t="s">
        <v>701</v>
      </c>
      <c r="D80" t="s">
        <v>761</v>
      </c>
      <c r="E80" t="s">
        <v>702</v>
      </c>
      <c r="F80">
        <v>8100</v>
      </c>
    </row>
    <row r="81" spans="1:6" x14ac:dyDescent="0.25">
      <c r="A81">
        <v>5</v>
      </c>
      <c r="C81" t="s">
        <v>701</v>
      </c>
      <c r="D81" t="s">
        <v>762</v>
      </c>
      <c r="E81" t="s">
        <v>702</v>
      </c>
      <c r="F81">
        <v>2200</v>
      </c>
    </row>
    <row r="82" spans="1:6" x14ac:dyDescent="0.25">
      <c r="A82">
        <v>5</v>
      </c>
      <c r="C82" t="s">
        <v>701</v>
      </c>
      <c r="D82" t="s">
        <v>763</v>
      </c>
      <c r="E82" t="s">
        <v>702</v>
      </c>
      <c r="F82">
        <v>1600</v>
      </c>
    </row>
    <row r="83" spans="1:6" x14ac:dyDescent="0.25">
      <c r="A83">
        <v>5</v>
      </c>
      <c r="C83" t="s">
        <v>701</v>
      </c>
      <c r="D83" t="s">
        <v>764</v>
      </c>
      <c r="E83" t="s">
        <v>702</v>
      </c>
      <c r="F83">
        <v>1350</v>
      </c>
    </row>
    <row r="84" spans="1:6" x14ac:dyDescent="0.25">
      <c r="A84">
        <v>5</v>
      </c>
      <c r="C84" t="s">
        <v>701</v>
      </c>
      <c r="D84" t="s">
        <v>560</v>
      </c>
      <c r="E84" t="s">
        <v>702</v>
      </c>
      <c r="F84">
        <v>8800</v>
      </c>
    </row>
    <row r="85" spans="1:6" x14ac:dyDescent="0.25">
      <c r="A85">
        <v>5</v>
      </c>
      <c r="C85" t="s">
        <v>701</v>
      </c>
      <c r="D85" t="s">
        <v>765</v>
      </c>
      <c r="E85" t="s">
        <v>702</v>
      </c>
      <c r="F85">
        <v>900</v>
      </c>
    </row>
    <row r="86" spans="1:6" x14ac:dyDescent="0.25">
      <c r="A86">
        <v>5</v>
      </c>
      <c r="C86" t="s">
        <v>701</v>
      </c>
      <c r="D86" t="s">
        <v>561</v>
      </c>
      <c r="E86" t="s">
        <v>702</v>
      </c>
      <c r="F86">
        <v>1350</v>
      </c>
    </row>
    <row r="87" spans="1:6" x14ac:dyDescent="0.25">
      <c r="A87">
        <v>5</v>
      </c>
      <c r="C87" t="s">
        <v>701</v>
      </c>
      <c r="D87" t="s">
        <v>766</v>
      </c>
      <c r="E87" t="s">
        <v>702</v>
      </c>
      <c r="F87">
        <v>725</v>
      </c>
    </row>
    <row r="88" spans="1:6" x14ac:dyDescent="0.25">
      <c r="A88">
        <v>5</v>
      </c>
      <c r="C88" t="s">
        <v>701</v>
      </c>
      <c r="D88" t="s">
        <v>767</v>
      </c>
      <c r="E88" t="s">
        <v>702</v>
      </c>
      <c r="F88">
        <v>1500</v>
      </c>
    </row>
    <row r="89" spans="1:6" x14ac:dyDescent="0.25">
      <c r="A89">
        <v>5</v>
      </c>
      <c r="C89" t="s">
        <v>701</v>
      </c>
      <c r="D89" t="s">
        <v>768</v>
      </c>
      <c r="E89" t="s">
        <v>702</v>
      </c>
      <c r="F89">
        <v>2200</v>
      </c>
    </row>
    <row r="90" spans="1:6" x14ac:dyDescent="0.25">
      <c r="A90">
        <v>5</v>
      </c>
      <c r="C90" t="s">
        <v>701</v>
      </c>
      <c r="D90" t="s">
        <v>563</v>
      </c>
      <c r="E90" t="s">
        <v>702</v>
      </c>
      <c r="F90">
        <v>8890</v>
      </c>
    </row>
    <row r="91" spans="1:6" x14ac:dyDescent="0.25">
      <c r="A91">
        <v>5</v>
      </c>
      <c r="C91" t="s">
        <v>701</v>
      </c>
      <c r="D91" t="s">
        <v>769</v>
      </c>
      <c r="E91" t="s">
        <v>702</v>
      </c>
      <c r="F91">
        <v>1075</v>
      </c>
    </row>
    <row r="92" spans="1:6" x14ac:dyDescent="0.25">
      <c r="A92">
        <v>5</v>
      </c>
      <c r="C92" t="s">
        <v>701</v>
      </c>
      <c r="D92" t="s">
        <v>564</v>
      </c>
      <c r="E92" t="s">
        <v>702</v>
      </c>
      <c r="F92">
        <v>8790</v>
      </c>
    </row>
    <row r="93" spans="1:6" x14ac:dyDescent="0.25">
      <c r="A93">
        <v>5</v>
      </c>
      <c r="C93" t="s">
        <v>701</v>
      </c>
      <c r="D93" t="s">
        <v>565</v>
      </c>
      <c r="E93" t="s">
        <v>702</v>
      </c>
      <c r="F93">
        <v>225</v>
      </c>
    </row>
    <row r="94" spans="1:6" x14ac:dyDescent="0.25">
      <c r="A94">
        <v>5</v>
      </c>
      <c r="C94" t="s">
        <v>701</v>
      </c>
      <c r="D94" t="s">
        <v>770</v>
      </c>
      <c r="E94" t="s">
        <v>702</v>
      </c>
      <c r="F94">
        <v>550</v>
      </c>
    </row>
    <row r="95" spans="1:6" x14ac:dyDescent="0.25">
      <c r="A95">
        <v>5</v>
      </c>
      <c r="C95" t="s">
        <v>701</v>
      </c>
      <c r="D95" t="s">
        <v>771</v>
      </c>
      <c r="E95" t="s">
        <v>702</v>
      </c>
      <c r="F95">
        <v>4000</v>
      </c>
    </row>
    <row r="96" spans="1:6" x14ac:dyDescent="0.25">
      <c r="A96">
        <v>5</v>
      </c>
      <c r="C96" t="s">
        <v>701</v>
      </c>
      <c r="D96" t="s">
        <v>772</v>
      </c>
      <c r="E96" t="s">
        <v>702</v>
      </c>
      <c r="F96">
        <v>1600</v>
      </c>
    </row>
    <row r="97" spans="1:6" x14ac:dyDescent="0.25">
      <c r="A97">
        <v>5</v>
      </c>
      <c r="C97" t="s">
        <v>701</v>
      </c>
      <c r="D97" t="s">
        <v>773</v>
      </c>
      <c r="E97" t="s">
        <v>702</v>
      </c>
      <c r="F97">
        <v>3100</v>
      </c>
    </row>
    <row r="98" spans="1:6" x14ac:dyDescent="0.25">
      <c r="A98">
        <v>5</v>
      </c>
      <c r="C98" t="s">
        <v>701</v>
      </c>
      <c r="D98" t="s">
        <v>774</v>
      </c>
      <c r="E98" t="s">
        <v>702</v>
      </c>
      <c r="F98">
        <v>3250</v>
      </c>
    </row>
    <row r="99" spans="1:6" x14ac:dyDescent="0.25">
      <c r="A99">
        <v>5</v>
      </c>
      <c r="C99" t="s">
        <v>701</v>
      </c>
      <c r="D99" t="s">
        <v>775</v>
      </c>
      <c r="E99" t="s">
        <v>702</v>
      </c>
      <c r="F99">
        <v>2800</v>
      </c>
    </row>
    <row r="100" spans="1:6" x14ac:dyDescent="0.25">
      <c r="A100">
        <v>5</v>
      </c>
      <c r="C100" t="s">
        <v>701</v>
      </c>
      <c r="D100" t="s">
        <v>567</v>
      </c>
      <c r="E100" t="s">
        <v>702</v>
      </c>
      <c r="F100">
        <v>2800</v>
      </c>
    </row>
    <row r="101" spans="1:6" x14ac:dyDescent="0.25">
      <c r="A101">
        <v>5</v>
      </c>
      <c r="C101" t="s">
        <v>701</v>
      </c>
      <c r="D101" t="s">
        <v>776</v>
      </c>
      <c r="E101" t="s">
        <v>702</v>
      </c>
      <c r="F101">
        <v>1200</v>
      </c>
    </row>
    <row r="102" spans="1:6" x14ac:dyDescent="0.25">
      <c r="A102">
        <v>5</v>
      </c>
      <c r="C102" t="s">
        <v>701</v>
      </c>
      <c r="D102" t="s">
        <v>777</v>
      </c>
      <c r="E102" t="s">
        <v>702</v>
      </c>
      <c r="F102">
        <v>1600</v>
      </c>
    </row>
    <row r="103" spans="1:6" x14ac:dyDescent="0.25">
      <c r="A103">
        <v>5</v>
      </c>
      <c r="C103" t="s">
        <v>701</v>
      </c>
      <c r="D103" t="s">
        <v>778</v>
      </c>
      <c r="E103" t="s">
        <v>702</v>
      </c>
      <c r="F103">
        <v>1150</v>
      </c>
    </row>
    <row r="104" spans="1:6" x14ac:dyDescent="0.25">
      <c r="A104">
        <v>5</v>
      </c>
      <c r="C104" t="s">
        <v>701</v>
      </c>
      <c r="D104" t="s">
        <v>568</v>
      </c>
      <c r="E104" t="s">
        <v>702</v>
      </c>
      <c r="F104">
        <v>4000</v>
      </c>
    </row>
    <row r="105" spans="1:6" x14ac:dyDescent="0.25">
      <c r="A105">
        <v>5</v>
      </c>
      <c r="C105" t="s">
        <v>701</v>
      </c>
      <c r="D105" t="s">
        <v>779</v>
      </c>
      <c r="E105" t="s">
        <v>702</v>
      </c>
      <c r="F105">
        <v>1800</v>
      </c>
    </row>
    <row r="106" spans="1:6" x14ac:dyDescent="0.25">
      <c r="A106">
        <v>5</v>
      </c>
      <c r="C106" t="s">
        <v>701</v>
      </c>
      <c r="D106" t="s">
        <v>780</v>
      </c>
      <c r="E106" t="s">
        <v>702</v>
      </c>
      <c r="F106">
        <v>3350</v>
      </c>
    </row>
    <row r="107" spans="1:6" x14ac:dyDescent="0.25">
      <c r="A107">
        <v>5</v>
      </c>
      <c r="C107" t="s">
        <v>701</v>
      </c>
      <c r="D107" t="s">
        <v>781</v>
      </c>
      <c r="E107" t="s">
        <v>702</v>
      </c>
      <c r="F107">
        <v>1255</v>
      </c>
    </row>
    <row r="108" spans="1:6" x14ac:dyDescent="0.25">
      <c r="A108">
        <v>5</v>
      </c>
      <c r="C108" t="s">
        <v>701</v>
      </c>
      <c r="D108" t="s">
        <v>782</v>
      </c>
      <c r="E108" t="s">
        <v>702</v>
      </c>
      <c r="F108">
        <v>1500</v>
      </c>
    </row>
    <row r="109" spans="1:6" x14ac:dyDescent="0.25">
      <c r="A109">
        <v>5</v>
      </c>
      <c r="C109" t="s">
        <v>701</v>
      </c>
      <c r="D109" t="s">
        <v>783</v>
      </c>
      <c r="E109" t="s">
        <v>702</v>
      </c>
      <c r="F109">
        <v>22.5</v>
      </c>
    </row>
    <row r="110" spans="1:6" x14ac:dyDescent="0.25">
      <c r="A110">
        <v>5</v>
      </c>
      <c r="C110" t="s">
        <v>701</v>
      </c>
      <c r="D110" t="s">
        <v>784</v>
      </c>
      <c r="E110" t="s">
        <v>702</v>
      </c>
      <c r="F110">
        <v>2700</v>
      </c>
    </row>
    <row r="111" spans="1:6" x14ac:dyDescent="0.25">
      <c r="A111">
        <v>5</v>
      </c>
      <c r="C111" t="s">
        <v>701</v>
      </c>
      <c r="D111" t="s">
        <v>570</v>
      </c>
      <c r="E111" t="s">
        <v>702</v>
      </c>
      <c r="F111">
        <v>2000</v>
      </c>
    </row>
    <row r="112" spans="1:6" x14ac:dyDescent="0.25">
      <c r="A112">
        <v>5</v>
      </c>
      <c r="C112" t="s">
        <v>701</v>
      </c>
      <c r="D112" t="s">
        <v>785</v>
      </c>
      <c r="E112" t="s">
        <v>702</v>
      </c>
      <c r="F112">
        <v>2600</v>
      </c>
    </row>
    <row r="113" spans="1:6" x14ac:dyDescent="0.25">
      <c r="A113">
        <v>5</v>
      </c>
      <c r="C113" t="s">
        <v>701</v>
      </c>
      <c r="D113" t="s">
        <v>786</v>
      </c>
      <c r="E113" t="s">
        <v>702</v>
      </c>
      <c r="F113">
        <v>3200</v>
      </c>
    </row>
    <row r="114" spans="1:6" x14ac:dyDescent="0.25">
      <c r="A114">
        <v>5</v>
      </c>
      <c r="C114" t="s">
        <v>701</v>
      </c>
      <c r="D114" t="s">
        <v>787</v>
      </c>
      <c r="E114" t="s">
        <v>702</v>
      </c>
      <c r="F114">
        <v>7449.9999999999991</v>
      </c>
    </row>
    <row r="115" spans="1:6" x14ac:dyDescent="0.25">
      <c r="A115">
        <v>5</v>
      </c>
      <c r="C115" t="s">
        <v>701</v>
      </c>
      <c r="D115" t="s">
        <v>788</v>
      </c>
      <c r="E115" t="s">
        <v>702</v>
      </c>
      <c r="F115">
        <v>5900</v>
      </c>
    </row>
    <row r="116" spans="1:6" x14ac:dyDescent="0.25">
      <c r="A116">
        <v>5</v>
      </c>
      <c r="C116" t="s">
        <v>701</v>
      </c>
      <c r="D116" t="s">
        <v>789</v>
      </c>
      <c r="E116" t="s">
        <v>702</v>
      </c>
      <c r="F116">
        <v>1200</v>
      </c>
    </row>
    <row r="117" spans="1:6" x14ac:dyDescent="0.25">
      <c r="A117">
        <v>5</v>
      </c>
      <c r="C117" t="s">
        <v>701</v>
      </c>
      <c r="D117" t="s">
        <v>790</v>
      </c>
      <c r="E117" t="s">
        <v>702</v>
      </c>
      <c r="F117">
        <v>3750</v>
      </c>
    </row>
    <row r="118" spans="1:6" x14ac:dyDescent="0.25">
      <c r="A118">
        <v>5</v>
      </c>
      <c r="C118" t="s">
        <v>701</v>
      </c>
      <c r="D118" t="s">
        <v>791</v>
      </c>
      <c r="E118" t="s">
        <v>702</v>
      </c>
      <c r="F118">
        <v>1900</v>
      </c>
    </row>
    <row r="119" spans="1:6" x14ac:dyDescent="0.25">
      <c r="A119">
        <v>5</v>
      </c>
      <c r="C119" t="s">
        <v>701</v>
      </c>
      <c r="D119" t="s">
        <v>792</v>
      </c>
      <c r="E119" t="s">
        <v>702</v>
      </c>
      <c r="F119">
        <v>1300</v>
      </c>
    </row>
    <row r="120" spans="1:6" x14ac:dyDescent="0.25">
      <c r="A120">
        <v>5</v>
      </c>
      <c r="C120" t="s">
        <v>701</v>
      </c>
      <c r="D120" t="s">
        <v>793</v>
      </c>
      <c r="E120" t="s">
        <v>702</v>
      </c>
      <c r="F120">
        <v>5320</v>
      </c>
    </row>
    <row r="121" spans="1:6" x14ac:dyDescent="0.25">
      <c r="A121">
        <v>5</v>
      </c>
      <c r="C121" t="s">
        <v>701</v>
      </c>
      <c r="D121" t="s">
        <v>794</v>
      </c>
      <c r="E121" t="s">
        <v>702</v>
      </c>
      <c r="F121">
        <v>2599.9999999999995</v>
      </c>
    </row>
    <row r="122" spans="1:6" x14ac:dyDescent="0.25">
      <c r="A122">
        <v>5</v>
      </c>
      <c r="C122" t="s">
        <v>701</v>
      </c>
      <c r="D122" t="s">
        <v>795</v>
      </c>
      <c r="E122" t="s">
        <v>702</v>
      </c>
      <c r="F122">
        <v>4400</v>
      </c>
    </row>
    <row r="123" spans="1:6" x14ac:dyDescent="0.25">
      <c r="A123">
        <v>5</v>
      </c>
      <c r="C123" t="s">
        <v>701</v>
      </c>
      <c r="D123" t="s">
        <v>796</v>
      </c>
      <c r="E123" t="s">
        <v>702</v>
      </c>
      <c r="F123">
        <v>2210</v>
      </c>
    </row>
    <row r="124" spans="1:6" x14ac:dyDescent="0.25">
      <c r="A124">
        <v>5</v>
      </c>
      <c r="C124" t="s">
        <v>701</v>
      </c>
      <c r="D124" t="s">
        <v>576</v>
      </c>
      <c r="E124" t="s">
        <v>702</v>
      </c>
      <c r="F124">
        <v>25</v>
      </c>
    </row>
    <row r="125" spans="1:6" x14ac:dyDescent="0.25">
      <c r="A125">
        <v>5</v>
      </c>
      <c r="C125" t="s">
        <v>701</v>
      </c>
      <c r="D125" t="s">
        <v>797</v>
      </c>
      <c r="E125" t="s">
        <v>702</v>
      </c>
      <c r="F125">
        <v>1300</v>
      </c>
    </row>
    <row r="126" spans="1:6" x14ac:dyDescent="0.25">
      <c r="A126">
        <v>5</v>
      </c>
      <c r="C126" t="s">
        <v>701</v>
      </c>
      <c r="D126" t="s">
        <v>798</v>
      </c>
      <c r="E126" t="s">
        <v>702</v>
      </c>
      <c r="F126">
        <v>2690</v>
      </c>
    </row>
    <row r="127" spans="1:6" x14ac:dyDescent="0.25">
      <c r="A127">
        <v>5</v>
      </c>
      <c r="C127" t="s">
        <v>701</v>
      </c>
      <c r="D127" t="s">
        <v>577</v>
      </c>
      <c r="E127" t="s">
        <v>702</v>
      </c>
      <c r="F127">
        <v>19290</v>
      </c>
    </row>
    <row r="128" spans="1:6" x14ac:dyDescent="0.25">
      <c r="A128">
        <v>5</v>
      </c>
      <c r="C128" t="s">
        <v>701</v>
      </c>
      <c r="D128" t="s">
        <v>578</v>
      </c>
      <c r="E128" t="s">
        <v>702</v>
      </c>
      <c r="F128">
        <v>2700</v>
      </c>
    </row>
    <row r="129" spans="1:6" x14ac:dyDescent="0.25">
      <c r="A129">
        <v>5</v>
      </c>
      <c r="C129" t="s">
        <v>701</v>
      </c>
      <c r="D129" t="s">
        <v>799</v>
      </c>
      <c r="E129" t="s">
        <v>702</v>
      </c>
      <c r="F129">
        <v>2500</v>
      </c>
    </row>
    <row r="130" spans="1:6" x14ac:dyDescent="0.25">
      <c r="A130">
        <v>5</v>
      </c>
      <c r="C130" t="s">
        <v>701</v>
      </c>
      <c r="D130" t="s">
        <v>800</v>
      </c>
      <c r="E130" t="s">
        <v>702</v>
      </c>
      <c r="F130">
        <v>1350</v>
      </c>
    </row>
    <row r="131" spans="1:6" x14ac:dyDescent="0.25">
      <c r="A131">
        <v>5</v>
      </c>
      <c r="C131" t="s">
        <v>701</v>
      </c>
      <c r="D131" t="s">
        <v>580</v>
      </c>
      <c r="E131" t="s">
        <v>702</v>
      </c>
      <c r="F131">
        <v>2300</v>
      </c>
    </row>
    <row r="132" spans="1:6" x14ac:dyDescent="0.25">
      <c r="A132">
        <v>5</v>
      </c>
      <c r="C132" t="s">
        <v>701</v>
      </c>
      <c r="D132" t="s">
        <v>801</v>
      </c>
      <c r="E132" t="s">
        <v>702</v>
      </c>
      <c r="F132">
        <v>5100</v>
      </c>
    </row>
    <row r="133" spans="1:6" x14ac:dyDescent="0.25">
      <c r="A133">
        <v>5</v>
      </c>
      <c r="C133" t="s">
        <v>701</v>
      </c>
      <c r="D133" t="s">
        <v>802</v>
      </c>
      <c r="E133" t="s">
        <v>702</v>
      </c>
      <c r="F133">
        <v>3000</v>
      </c>
    </row>
    <row r="134" spans="1:6" x14ac:dyDescent="0.25">
      <c r="A134">
        <v>5</v>
      </c>
      <c r="C134" t="s">
        <v>701</v>
      </c>
      <c r="D134" t="s">
        <v>803</v>
      </c>
      <c r="E134" t="s">
        <v>702</v>
      </c>
      <c r="F134">
        <v>917</v>
      </c>
    </row>
    <row r="135" spans="1:6" x14ac:dyDescent="0.25">
      <c r="A135">
        <v>5</v>
      </c>
      <c r="C135" t="s">
        <v>701</v>
      </c>
      <c r="D135" t="s">
        <v>586</v>
      </c>
      <c r="E135" t="s">
        <v>702</v>
      </c>
      <c r="F135">
        <v>7870</v>
      </c>
    </row>
    <row r="136" spans="1:6" x14ac:dyDescent="0.25">
      <c r="A136">
        <v>5</v>
      </c>
      <c r="C136" t="s">
        <v>701</v>
      </c>
      <c r="D136" t="s">
        <v>584</v>
      </c>
      <c r="E136" t="s">
        <v>702</v>
      </c>
      <c r="F136">
        <v>4950</v>
      </c>
    </row>
    <row r="137" spans="1:6" x14ac:dyDescent="0.25">
      <c r="A137">
        <v>5</v>
      </c>
      <c r="C137" t="s">
        <v>701</v>
      </c>
      <c r="D137" t="s">
        <v>585</v>
      </c>
      <c r="E137" t="s">
        <v>702</v>
      </c>
      <c r="F137">
        <v>22500</v>
      </c>
    </row>
    <row r="138" spans="1:6" x14ac:dyDescent="0.25">
      <c r="A138">
        <v>5</v>
      </c>
      <c r="C138" t="s">
        <v>701</v>
      </c>
      <c r="D138" t="s">
        <v>804</v>
      </c>
      <c r="E138" t="s">
        <v>702</v>
      </c>
      <c r="F138">
        <v>1850</v>
      </c>
    </row>
    <row r="139" spans="1:6" x14ac:dyDescent="0.25">
      <c r="A139">
        <v>5</v>
      </c>
      <c r="C139" t="s">
        <v>701</v>
      </c>
      <c r="D139" t="s">
        <v>587</v>
      </c>
      <c r="E139" t="s">
        <v>702</v>
      </c>
      <c r="F139">
        <v>11350</v>
      </c>
    </row>
    <row r="140" spans="1:6" x14ac:dyDescent="0.25">
      <c r="A140">
        <v>5</v>
      </c>
      <c r="C140" t="s">
        <v>701</v>
      </c>
      <c r="D140" t="s">
        <v>805</v>
      </c>
      <c r="E140" t="s">
        <v>702</v>
      </c>
      <c r="F140">
        <v>860</v>
      </c>
    </row>
    <row r="141" spans="1:6" x14ac:dyDescent="0.25">
      <c r="A141">
        <v>5</v>
      </c>
      <c r="C141" t="s">
        <v>701</v>
      </c>
      <c r="D141" t="s">
        <v>806</v>
      </c>
      <c r="E141" t="s">
        <v>702</v>
      </c>
      <c r="F141">
        <v>1350</v>
      </c>
    </row>
    <row r="142" spans="1:6" x14ac:dyDescent="0.25">
      <c r="A142">
        <v>5</v>
      </c>
      <c r="C142" t="s">
        <v>701</v>
      </c>
      <c r="D142" t="s">
        <v>589</v>
      </c>
      <c r="E142" t="s">
        <v>702</v>
      </c>
      <c r="F142">
        <v>2750</v>
      </c>
    </row>
    <row r="143" spans="1:6" x14ac:dyDescent="0.25">
      <c r="A143">
        <v>5</v>
      </c>
      <c r="C143" t="s">
        <v>701</v>
      </c>
      <c r="D143" t="s">
        <v>807</v>
      </c>
      <c r="E143" t="s">
        <v>702</v>
      </c>
      <c r="F143">
        <v>1200</v>
      </c>
    </row>
    <row r="144" spans="1:6" x14ac:dyDescent="0.25">
      <c r="A144">
        <v>5</v>
      </c>
      <c r="C144" t="s">
        <v>701</v>
      </c>
      <c r="D144" t="s">
        <v>590</v>
      </c>
      <c r="E144" t="s">
        <v>702</v>
      </c>
      <c r="F144">
        <v>530</v>
      </c>
    </row>
    <row r="145" spans="1:6" x14ac:dyDescent="0.25">
      <c r="A145">
        <v>5</v>
      </c>
      <c r="C145" t="s">
        <v>701</v>
      </c>
      <c r="D145" t="s">
        <v>808</v>
      </c>
      <c r="E145" t="s">
        <v>702</v>
      </c>
      <c r="F145">
        <v>3400.0000000000005</v>
      </c>
    </row>
    <row r="146" spans="1:6" x14ac:dyDescent="0.25">
      <c r="A146">
        <v>5</v>
      </c>
      <c r="C146" t="s">
        <v>701</v>
      </c>
      <c r="D146" t="s">
        <v>593</v>
      </c>
      <c r="E146" t="s">
        <v>702</v>
      </c>
      <c r="F146">
        <v>1740</v>
      </c>
    </row>
    <row r="147" spans="1:6" x14ac:dyDescent="0.25">
      <c r="A147">
        <v>5</v>
      </c>
      <c r="C147" t="s">
        <v>701</v>
      </c>
      <c r="D147" t="s">
        <v>809</v>
      </c>
      <c r="E147" t="s">
        <v>702</v>
      </c>
      <c r="F147">
        <v>5050.0000000000009</v>
      </c>
    </row>
    <row r="148" spans="1:6" x14ac:dyDescent="0.25">
      <c r="A148">
        <v>5</v>
      </c>
      <c r="C148" t="s">
        <v>701</v>
      </c>
      <c r="D148" t="s">
        <v>810</v>
      </c>
      <c r="E148" t="s">
        <v>702</v>
      </c>
      <c r="F148">
        <v>3900</v>
      </c>
    </row>
    <row r="149" spans="1:6" x14ac:dyDescent="0.25">
      <c r="A149">
        <v>5</v>
      </c>
      <c r="C149" t="s">
        <v>701</v>
      </c>
      <c r="D149" t="s">
        <v>595</v>
      </c>
      <c r="E149" t="s">
        <v>702</v>
      </c>
      <c r="F149">
        <v>7430</v>
      </c>
    </row>
    <row r="150" spans="1:6" x14ac:dyDescent="0.25">
      <c r="A150">
        <v>5</v>
      </c>
      <c r="C150" t="s">
        <v>701</v>
      </c>
      <c r="D150" t="s">
        <v>596</v>
      </c>
      <c r="E150" t="s">
        <v>702</v>
      </c>
      <c r="F150">
        <v>2700</v>
      </c>
    </row>
    <row r="151" spans="1:6" x14ac:dyDescent="0.25">
      <c r="A151">
        <v>5</v>
      </c>
      <c r="C151" t="s">
        <v>701</v>
      </c>
      <c r="D151" t="s">
        <v>811</v>
      </c>
      <c r="E151" t="s">
        <v>702</v>
      </c>
      <c r="F151">
        <v>1150</v>
      </c>
    </row>
    <row r="152" spans="1:6" x14ac:dyDescent="0.25">
      <c r="A152">
        <v>5</v>
      </c>
      <c r="B152">
        <v>-1</v>
      </c>
      <c r="C152" t="s">
        <v>701</v>
      </c>
      <c r="D152" t="s">
        <v>812</v>
      </c>
      <c r="E152" t="s">
        <v>702</v>
      </c>
    </row>
    <row r="153" spans="1:6" x14ac:dyDescent="0.25">
      <c r="A153">
        <v>5</v>
      </c>
      <c r="C153" t="s">
        <v>701</v>
      </c>
      <c r="D153" t="s">
        <v>598</v>
      </c>
      <c r="E153" t="s">
        <v>702</v>
      </c>
      <c r="F153">
        <v>2900.0000000000005</v>
      </c>
    </row>
    <row r="154" spans="1:6" x14ac:dyDescent="0.25">
      <c r="A154">
        <v>5</v>
      </c>
      <c r="C154" t="s">
        <v>701</v>
      </c>
      <c r="D154" t="s">
        <v>813</v>
      </c>
      <c r="E154" t="s">
        <v>702</v>
      </c>
      <c r="F154">
        <v>50</v>
      </c>
    </row>
    <row r="155" spans="1:6" x14ac:dyDescent="0.25">
      <c r="A155">
        <v>5</v>
      </c>
      <c r="C155" t="s">
        <v>701</v>
      </c>
      <c r="D155" t="s">
        <v>599</v>
      </c>
      <c r="E155" t="s">
        <v>702</v>
      </c>
      <c r="F155">
        <v>10200</v>
      </c>
    </row>
    <row r="156" spans="1:6" x14ac:dyDescent="0.25">
      <c r="A156">
        <v>5</v>
      </c>
      <c r="C156" t="s">
        <v>701</v>
      </c>
      <c r="D156" t="s">
        <v>814</v>
      </c>
      <c r="E156" t="s">
        <v>702</v>
      </c>
      <c r="F156">
        <v>2900</v>
      </c>
    </row>
    <row r="157" spans="1:6" x14ac:dyDescent="0.25">
      <c r="A157">
        <v>5</v>
      </c>
      <c r="C157" t="s">
        <v>701</v>
      </c>
      <c r="D157" t="s">
        <v>601</v>
      </c>
      <c r="E157" t="s">
        <v>702</v>
      </c>
      <c r="F157">
        <v>8900</v>
      </c>
    </row>
    <row r="158" spans="1:6" x14ac:dyDescent="0.25">
      <c r="A158">
        <v>5</v>
      </c>
      <c r="C158" t="s">
        <v>701</v>
      </c>
      <c r="D158" t="s">
        <v>603</v>
      </c>
      <c r="E158" t="s">
        <v>702</v>
      </c>
      <c r="F158">
        <v>1145</v>
      </c>
    </row>
    <row r="159" spans="1:6" x14ac:dyDescent="0.25">
      <c r="A159">
        <v>5</v>
      </c>
      <c r="C159" t="s">
        <v>701</v>
      </c>
      <c r="D159" t="s">
        <v>604</v>
      </c>
      <c r="E159" t="s">
        <v>702</v>
      </c>
      <c r="F159">
        <v>1140</v>
      </c>
    </row>
    <row r="160" spans="1:6" x14ac:dyDescent="0.25">
      <c r="A160">
        <v>5</v>
      </c>
      <c r="C160" t="s">
        <v>701</v>
      </c>
      <c r="D160" t="s">
        <v>815</v>
      </c>
      <c r="E160" t="s">
        <v>702</v>
      </c>
      <c r="F160">
        <v>720</v>
      </c>
    </row>
    <row r="161" spans="1:6" x14ac:dyDescent="0.25">
      <c r="A161">
        <v>5</v>
      </c>
      <c r="C161" t="s">
        <v>701</v>
      </c>
      <c r="D161" t="s">
        <v>816</v>
      </c>
      <c r="E161" t="s">
        <v>702</v>
      </c>
      <c r="F161">
        <v>3500</v>
      </c>
    </row>
    <row r="162" spans="1:6" x14ac:dyDescent="0.25">
      <c r="A162">
        <v>5</v>
      </c>
      <c r="C162" t="s">
        <v>701</v>
      </c>
      <c r="D162" t="s">
        <v>817</v>
      </c>
      <c r="E162" t="s">
        <v>702</v>
      </c>
      <c r="F162">
        <v>2200</v>
      </c>
    </row>
    <row r="163" spans="1:6" x14ac:dyDescent="0.25">
      <c r="A163">
        <v>5</v>
      </c>
      <c r="C163" t="s">
        <v>701</v>
      </c>
      <c r="D163" t="s">
        <v>606</v>
      </c>
      <c r="E163" t="s">
        <v>702</v>
      </c>
      <c r="F163">
        <v>22480</v>
      </c>
    </row>
    <row r="164" spans="1:6" x14ac:dyDescent="0.25">
      <c r="A164">
        <v>5</v>
      </c>
      <c r="C164" t="s">
        <v>701</v>
      </c>
      <c r="D164" t="s">
        <v>608</v>
      </c>
      <c r="E164" t="s">
        <v>702</v>
      </c>
      <c r="F164">
        <v>12000</v>
      </c>
    </row>
    <row r="165" spans="1:6" x14ac:dyDescent="0.25">
      <c r="A165">
        <v>5</v>
      </c>
      <c r="C165" t="s">
        <v>701</v>
      </c>
      <c r="D165" t="s">
        <v>609</v>
      </c>
      <c r="E165" t="s">
        <v>702</v>
      </c>
      <c r="F165">
        <v>924.99999999999989</v>
      </c>
    </row>
    <row r="166" spans="1:6" x14ac:dyDescent="0.25">
      <c r="A166">
        <v>5</v>
      </c>
      <c r="C166" t="s">
        <v>701</v>
      </c>
      <c r="D166" t="s">
        <v>610</v>
      </c>
      <c r="E166" t="s">
        <v>702</v>
      </c>
      <c r="F166">
        <v>900</v>
      </c>
    </row>
    <row r="167" spans="1:6" x14ac:dyDescent="0.25">
      <c r="A167">
        <v>5</v>
      </c>
      <c r="C167" t="s">
        <v>701</v>
      </c>
      <c r="D167" t="s">
        <v>818</v>
      </c>
      <c r="E167" t="s">
        <v>702</v>
      </c>
      <c r="F167">
        <v>850</v>
      </c>
    </row>
    <row r="168" spans="1:6" x14ac:dyDescent="0.25">
      <c r="A168">
        <v>5</v>
      </c>
      <c r="C168" t="s">
        <v>701</v>
      </c>
      <c r="D168" t="s">
        <v>819</v>
      </c>
      <c r="E168" t="s">
        <v>702</v>
      </c>
      <c r="F168">
        <v>1280</v>
      </c>
    </row>
    <row r="169" spans="1:6" x14ac:dyDescent="0.25">
      <c r="A169">
        <v>5</v>
      </c>
      <c r="C169" t="s">
        <v>701</v>
      </c>
      <c r="D169" t="s">
        <v>820</v>
      </c>
      <c r="E169" t="s">
        <v>702</v>
      </c>
      <c r="F169">
        <v>8800</v>
      </c>
    </row>
    <row r="170" spans="1:6" x14ac:dyDescent="0.25">
      <c r="A170">
        <v>5</v>
      </c>
      <c r="C170" t="s">
        <v>701</v>
      </c>
      <c r="D170" t="s">
        <v>618</v>
      </c>
      <c r="E170" t="s">
        <v>702</v>
      </c>
      <c r="F170">
        <v>1820</v>
      </c>
    </row>
    <row r="171" spans="1:6" x14ac:dyDescent="0.25">
      <c r="C171" t="s">
        <v>701</v>
      </c>
      <c r="D171" t="s">
        <v>619</v>
      </c>
      <c r="E171" t="s">
        <v>702</v>
      </c>
      <c r="F171">
        <v>8650</v>
      </c>
    </row>
    <row r="172" spans="1:6" x14ac:dyDescent="0.25">
      <c r="C172" t="s">
        <v>701</v>
      </c>
      <c r="D172" t="s">
        <v>821</v>
      </c>
      <c r="E172" t="s">
        <v>702</v>
      </c>
      <c r="F172">
        <v>1100</v>
      </c>
    </row>
    <row r="173" spans="1:6" x14ac:dyDescent="0.25">
      <c r="C173" t="s">
        <v>701</v>
      </c>
      <c r="D173" t="s">
        <v>620</v>
      </c>
      <c r="E173" t="s">
        <v>702</v>
      </c>
      <c r="F173">
        <v>1350</v>
      </c>
    </row>
    <row r="174" spans="1:6" x14ac:dyDescent="0.25">
      <c r="C174" t="s">
        <v>701</v>
      </c>
      <c r="D174" t="s">
        <v>822</v>
      </c>
      <c r="E174" t="s">
        <v>702</v>
      </c>
      <c r="F174">
        <v>21500</v>
      </c>
    </row>
    <row r="175" spans="1:6" x14ac:dyDescent="0.25">
      <c r="C175" t="s">
        <v>701</v>
      </c>
      <c r="D175" t="s">
        <v>823</v>
      </c>
      <c r="E175" t="s">
        <v>702</v>
      </c>
      <c r="F175">
        <v>1170</v>
      </c>
    </row>
    <row r="176" spans="1:6" x14ac:dyDescent="0.25">
      <c r="C176" t="s">
        <v>701</v>
      </c>
      <c r="D176" t="s">
        <v>623</v>
      </c>
      <c r="E176" t="s">
        <v>702</v>
      </c>
      <c r="F176">
        <v>1200</v>
      </c>
    </row>
    <row r="177" spans="3:6" x14ac:dyDescent="0.25">
      <c r="C177" t="s">
        <v>701</v>
      </c>
      <c r="D177" t="s">
        <v>824</v>
      </c>
      <c r="E177" t="s">
        <v>702</v>
      </c>
      <c r="F177">
        <v>940</v>
      </c>
    </row>
    <row r="178" spans="3:6" x14ac:dyDescent="0.25">
      <c r="C178" t="s">
        <v>701</v>
      </c>
      <c r="D178" t="s">
        <v>630</v>
      </c>
      <c r="E178" t="s">
        <v>702</v>
      </c>
      <c r="F178">
        <v>900</v>
      </c>
    </row>
    <row r="179" spans="3:6" x14ac:dyDescent="0.25">
      <c r="C179" t="s">
        <v>701</v>
      </c>
      <c r="D179" t="s">
        <v>631</v>
      </c>
      <c r="E179" t="s">
        <v>702</v>
      </c>
      <c r="F179">
        <v>1030</v>
      </c>
    </row>
    <row r="180" spans="3:6" x14ac:dyDescent="0.25">
      <c r="C180" t="s">
        <v>701</v>
      </c>
      <c r="D180" t="s">
        <v>825</v>
      </c>
      <c r="E180" t="s">
        <v>702</v>
      </c>
      <c r="F180">
        <v>30</v>
      </c>
    </row>
    <row r="181" spans="3:6" x14ac:dyDescent="0.25">
      <c r="C181" t="s">
        <v>701</v>
      </c>
      <c r="D181" t="s">
        <v>638</v>
      </c>
      <c r="E181" t="s">
        <v>702</v>
      </c>
      <c r="F181">
        <v>2400</v>
      </c>
    </row>
    <row r="182" spans="3:6" x14ac:dyDescent="0.25">
      <c r="C182" t="s">
        <v>701</v>
      </c>
      <c r="D182" t="s">
        <v>826</v>
      </c>
      <c r="E182" t="s">
        <v>702</v>
      </c>
      <c r="F182">
        <v>2750</v>
      </c>
    </row>
    <row r="183" spans="3:6" x14ac:dyDescent="0.25">
      <c r="C183" t="s">
        <v>701</v>
      </c>
      <c r="D183" t="s">
        <v>639</v>
      </c>
      <c r="E183" t="s">
        <v>702</v>
      </c>
      <c r="F183">
        <v>860</v>
      </c>
    </row>
    <row r="184" spans="3:6" x14ac:dyDescent="0.25">
      <c r="C184" t="s">
        <v>701</v>
      </c>
      <c r="D184" t="s">
        <v>827</v>
      </c>
      <c r="E184" t="s">
        <v>702</v>
      </c>
      <c r="F184">
        <v>190</v>
      </c>
    </row>
    <row r="185" spans="3:6" x14ac:dyDescent="0.25">
      <c r="C185" t="s">
        <v>701</v>
      </c>
      <c r="D185" t="s">
        <v>633</v>
      </c>
      <c r="E185" t="s">
        <v>702</v>
      </c>
      <c r="F185">
        <v>2170</v>
      </c>
    </row>
    <row r="186" spans="3:6" x14ac:dyDescent="0.25">
      <c r="C186" t="s">
        <v>701</v>
      </c>
      <c r="D186" t="s">
        <v>828</v>
      </c>
      <c r="E186" t="s">
        <v>702</v>
      </c>
      <c r="F186">
        <v>1390</v>
      </c>
    </row>
    <row r="187" spans="3:6" x14ac:dyDescent="0.25">
      <c r="C187" t="s">
        <v>701</v>
      </c>
      <c r="D187" t="s">
        <v>829</v>
      </c>
      <c r="E187" t="s">
        <v>702</v>
      </c>
      <c r="F187">
        <v>5000</v>
      </c>
    </row>
    <row r="188" spans="3:6" x14ac:dyDescent="0.25">
      <c r="C188" t="s">
        <v>701</v>
      </c>
      <c r="D188" t="s">
        <v>830</v>
      </c>
      <c r="E188" t="s">
        <v>702</v>
      </c>
      <c r="F188">
        <v>2650</v>
      </c>
    </row>
    <row r="189" spans="3:6" x14ac:dyDescent="0.25">
      <c r="C189" t="s">
        <v>701</v>
      </c>
      <c r="D189" t="s">
        <v>831</v>
      </c>
      <c r="E189" t="s">
        <v>702</v>
      </c>
      <c r="F189">
        <v>5000</v>
      </c>
    </row>
    <row r="190" spans="3:6" x14ac:dyDescent="0.25">
      <c r="C190" t="s">
        <v>701</v>
      </c>
      <c r="D190" t="s">
        <v>832</v>
      </c>
      <c r="E190" t="s">
        <v>702</v>
      </c>
      <c r="F190">
        <v>8850</v>
      </c>
    </row>
    <row r="191" spans="3:6" x14ac:dyDescent="0.25">
      <c r="C191" t="s">
        <v>701</v>
      </c>
      <c r="D191" t="s">
        <v>643</v>
      </c>
      <c r="E191" t="s">
        <v>702</v>
      </c>
      <c r="F191">
        <v>8800</v>
      </c>
    </row>
    <row r="192" spans="3:6" x14ac:dyDescent="0.25">
      <c r="C192" t="s">
        <v>701</v>
      </c>
      <c r="D192" t="s">
        <v>833</v>
      </c>
      <c r="E192" t="s">
        <v>702</v>
      </c>
      <c r="F192">
        <v>1070</v>
      </c>
    </row>
    <row r="193" spans="3:6" x14ac:dyDescent="0.25">
      <c r="C193" t="s">
        <v>701</v>
      </c>
      <c r="D193" t="s">
        <v>644</v>
      </c>
      <c r="E193" t="s">
        <v>702</v>
      </c>
      <c r="F193">
        <v>21400</v>
      </c>
    </row>
    <row r="194" spans="3:6" x14ac:dyDescent="0.25">
      <c r="C194" t="s">
        <v>701</v>
      </c>
      <c r="D194" t="s">
        <v>645</v>
      </c>
      <c r="E194" t="s">
        <v>702</v>
      </c>
      <c r="F194">
        <v>12300</v>
      </c>
    </row>
    <row r="195" spans="3:6" x14ac:dyDescent="0.25">
      <c r="C195" t="s">
        <v>701</v>
      </c>
      <c r="D195" t="s">
        <v>834</v>
      </c>
      <c r="E195" t="s">
        <v>702</v>
      </c>
      <c r="F195">
        <v>2200</v>
      </c>
    </row>
    <row r="196" spans="3:6" x14ac:dyDescent="0.25">
      <c r="C196" t="s">
        <v>701</v>
      </c>
      <c r="D196" t="s">
        <v>835</v>
      </c>
      <c r="E196" t="s">
        <v>702</v>
      </c>
      <c r="F196">
        <v>305</v>
      </c>
    </row>
    <row r="197" spans="3:6" x14ac:dyDescent="0.25">
      <c r="C197" t="s">
        <v>701</v>
      </c>
      <c r="D197" t="s">
        <v>646</v>
      </c>
      <c r="E197" t="s">
        <v>702</v>
      </c>
      <c r="F197">
        <v>1070</v>
      </c>
    </row>
    <row r="198" spans="3:6" x14ac:dyDescent="0.25">
      <c r="C198" t="s">
        <v>701</v>
      </c>
      <c r="D198" t="s">
        <v>836</v>
      </c>
      <c r="E198" t="s">
        <v>702</v>
      </c>
      <c r="F198">
        <v>1200</v>
      </c>
    </row>
    <row r="199" spans="3:6" x14ac:dyDescent="0.25">
      <c r="C199" t="s">
        <v>701</v>
      </c>
      <c r="D199" t="s">
        <v>837</v>
      </c>
      <c r="E199" t="s">
        <v>702</v>
      </c>
      <c r="F199">
        <v>1100</v>
      </c>
    </row>
    <row r="200" spans="3:6" x14ac:dyDescent="0.25">
      <c r="C200" t="s">
        <v>701</v>
      </c>
      <c r="D200" t="s">
        <v>838</v>
      </c>
      <c r="E200" t="s">
        <v>702</v>
      </c>
      <c r="F200">
        <v>920</v>
      </c>
    </row>
    <row r="201" spans="3:6" x14ac:dyDescent="0.25">
      <c r="C201" t="s">
        <v>701</v>
      </c>
      <c r="D201" t="s">
        <v>647</v>
      </c>
      <c r="E201" t="s">
        <v>702</v>
      </c>
      <c r="F201">
        <v>1520</v>
      </c>
    </row>
    <row r="202" spans="3:6" x14ac:dyDescent="0.25">
      <c r="C202" t="s">
        <v>701</v>
      </c>
      <c r="D202" t="s">
        <v>839</v>
      </c>
      <c r="E202" t="s">
        <v>702</v>
      </c>
      <c r="F202">
        <v>1500</v>
      </c>
    </row>
    <row r="203" spans="3:6" x14ac:dyDescent="0.25">
      <c r="C203" t="s">
        <v>701</v>
      </c>
      <c r="D203" t="s">
        <v>650</v>
      </c>
      <c r="E203" t="s">
        <v>702</v>
      </c>
      <c r="F203">
        <v>2250</v>
      </c>
    </row>
    <row r="204" spans="3:6" x14ac:dyDescent="0.25">
      <c r="C204" t="s">
        <v>701</v>
      </c>
      <c r="D204" t="s">
        <v>652</v>
      </c>
      <c r="E204" t="s">
        <v>702</v>
      </c>
      <c r="F204">
        <v>4400</v>
      </c>
    </row>
    <row r="205" spans="3:6" x14ac:dyDescent="0.25">
      <c r="C205" t="s">
        <v>701</v>
      </c>
      <c r="D205" t="s">
        <v>840</v>
      </c>
      <c r="E205" t="s">
        <v>702</v>
      </c>
      <c r="F205">
        <v>2575</v>
      </c>
    </row>
    <row r="206" spans="3:6" x14ac:dyDescent="0.25">
      <c r="C206" t="s">
        <v>701</v>
      </c>
      <c r="D206" t="s">
        <v>841</v>
      </c>
      <c r="E206" t="s">
        <v>702</v>
      </c>
      <c r="F206">
        <v>2200</v>
      </c>
    </row>
    <row r="207" spans="3:6" x14ac:dyDescent="0.25">
      <c r="C207" t="s">
        <v>701</v>
      </c>
      <c r="D207" t="s">
        <v>842</v>
      </c>
      <c r="E207" t="s">
        <v>702</v>
      </c>
      <c r="F207">
        <v>2100</v>
      </c>
    </row>
    <row r="208" spans="3:6" x14ac:dyDescent="0.25">
      <c r="C208" t="s">
        <v>701</v>
      </c>
      <c r="D208" t="s">
        <v>653</v>
      </c>
      <c r="E208" t="s">
        <v>702</v>
      </c>
      <c r="F208">
        <v>2330</v>
      </c>
    </row>
    <row r="209" spans="3:6" x14ac:dyDescent="0.25">
      <c r="C209" t="s">
        <v>701</v>
      </c>
      <c r="D209" t="s">
        <v>655</v>
      </c>
      <c r="E209" t="s">
        <v>702</v>
      </c>
      <c r="F209">
        <v>10500</v>
      </c>
    </row>
    <row r="210" spans="3:6" x14ac:dyDescent="0.25">
      <c r="C210" t="s">
        <v>701</v>
      </c>
      <c r="D210" t="s">
        <v>843</v>
      </c>
      <c r="E210" t="s">
        <v>702</v>
      </c>
      <c r="F210">
        <v>2950</v>
      </c>
    </row>
    <row r="211" spans="3:6" x14ac:dyDescent="0.25">
      <c r="C211" t="s">
        <v>701</v>
      </c>
      <c r="D211" t="s">
        <v>656</v>
      </c>
      <c r="E211" t="s">
        <v>702</v>
      </c>
      <c r="F211">
        <v>2950</v>
      </c>
    </row>
    <row r="212" spans="3:6" x14ac:dyDescent="0.25">
      <c r="C212" t="s">
        <v>701</v>
      </c>
      <c r="D212" t="s">
        <v>661</v>
      </c>
      <c r="E212" t="s">
        <v>702</v>
      </c>
      <c r="F212">
        <v>100</v>
      </c>
    </row>
    <row r="213" spans="3:6" x14ac:dyDescent="0.25">
      <c r="C213" t="s">
        <v>701</v>
      </c>
      <c r="D213" t="s">
        <v>844</v>
      </c>
      <c r="E213" t="s">
        <v>702</v>
      </c>
      <c r="F213">
        <v>2700</v>
      </c>
    </row>
    <row r="214" spans="3:6" x14ac:dyDescent="0.25">
      <c r="C214" t="s">
        <v>701</v>
      </c>
      <c r="D214" t="s">
        <v>657</v>
      </c>
      <c r="E214" t="s">
        <v>702</v>
      </c>
      <c r="F214">
        <v>980</v>
      </c>
    </row>
    <row r="215" spans="3:6" x14ac:dyDescent="0.25">
      <c r="C215" t="s">
        <v>701</v>
      </c>
      <c r="D215" t="s">
        <v>660</v>
      </c>
      <c r="E215" t="s">
        <v>702</v>
      </c>
      <c r="F215">
        <v>1650</v>
      </c>
    </row>
    <row r="216" spans="3:6" x14ac:dyDescent="0.25">
      <c r="C216" t="s">
        <v>701</v>
      </c>
      <c r="D216" t="s">
        <v>845</v>
      </c>
      <c r="E216" t="s">
        <v>702</v>
      </c>
      <c r="F216">
        <v>950</v>
      </c>
    </row>
    <row r="217" spans="3:6" x14ac:dyDescent="0.25">
      <c r="C217" t="s">
        <v>701</v>
      </c>
      <c r="D217" t="s">
        <v>846</v>
      </c>
      <c r="E217" t="s">
        <v>702</v>
      </c>
      <c r="F217">
        <v>1500</v>
      </c>
    </row>
    <row r="218" spans="3:6" x14ac:dyDescent="0.25">
      <c r="C218" t="s">
        <v>701</v>
      </c>
      <c r="D218" t="s">
        <v>662</v>
      </c>
      <c r="E218" t="s">
        <v>702</v>
      </c>
      <c r="F218">
        <v>2650.0000000000005</v>
      </c>
    </row>
    <row r="219" spans="3:6" x14ac:dyDescent="0.25">
      <c r="C219" t="s">
        <v>701</v>
      </c>
      <c r="D219" t="s">
        <v>663</v>
      </c>
      <c r="E219" t="s">
        <v>702</v>
      </c>
      <c r="F219">
        <v>7820</v>
      </c>
    </row>
    <row r="220" spans="3:6" x14ac:dyDescent="0.25">
      <c r="C220" t="s">
        <v>701</v>
      </c>
      <c r="D220" t="s">
        <v>847</v>
      </c>
      <c r="E220" t="s">
        <v>702</v>
      </c>
      <c r="F220">
        <v>2550</v>
      </c>
    </row>
    <row r="221" spans="3:6" x14ac:dyDescent="0.25">
      <c r="C221" t="s">
        <v>701</v>
      </c>
      <c r="D221" t="s">
        <v>848</v>
      </c>
      <c r="E221" t="s">
        <v>702</v>
      </c>
      <c r="F221">
        <v>2000</v>
      </c>
    </row>
    <row r="222" spans="3:6" x14ac:dyDescent="0.25">
      <c r="C222" t="s">
        <v>701</v>
      </c>
      <c r="D222" t="s">
        <v>849</v>
      </c>
      <c r="E222" t="s">
        <v>702</v>
      </c>
      <c r="F222">
        <v>1600</v>
      </c>
    </row>
    <row r="223" spans="3:6" x14ac:dyDescent="0.25">
      <c r="C223" t="s">
        <v>701</v>
      </c>
      <c r="D223" t="s">
        <v>850</v>
      </c>
      <c r="E223" t="s">
        <v>702</v>
      </c>
      <c r="F223">
        <v>2750</v>
      </c>
    </row>
    <row r="224" spans="3:6" x14ac:dyDescent="0.25">
      <c r="C224" t="s">
        <v>701</v>
      </c>
      <c r="D224" t="s">
        <v>851</v>
      </c>
      <c r="E224" t="s">
        <v>702</v>
      </c>
      <c r="F224">
        <v>950</v>
      </c>
    </row>
    <row r="225" spans="2:6" x14ac:dyDescent="0.25">
      <c r="C225" t="s">
        <v>701</v>
      </c>
      <c r="D225" t="s">
        <v>852</v>
      </c>
      <c r="E225" t="s">
        <v>702</v>
      </c>
      <c r="F225">
        <v>950</v>
      </c>
    </row>
    <row r="226" spans="2:6" x14ac:dyDescent="0.25">
      <c r="C226" t="s">
        <v>701</v>
      </c>
      <c r="D226" t="s">
        <v>853</v>
      </c>
      <c r="E226" t="s">
        <v>702</v>
      </c>
      <c r="F226">
        <v>16600</v>
      </c>
    </row>
    <row r="227" spans="2:6" x14ac:dyDescent="0.25">
      <c r="C227" t="s">
        <v>701</v>
      </c>
      <c r="D227" t="s">
        <v>854</v>
      </c>
      <c r="E227" t="s">
        <v>702</v>
      </c>
      <c r="F227">
        <v>1050</v>
      </c>
    </row>
    <row r="228" spans="2:6" x14ac:dyDescent="0.25">
      <c r="C228" t="s">
        <v>701</v>
      </c>
      <c r="D228" t="s">
        <v>666</v>
      </c>
      <c r="E228" t="s">
        <v>702</v>
      </c>
      <c r="F228">
        <v>6250</v>
      </c>
    </row>
    <row r="229" spans="2:6" x14ac:dyDescent="0.25">
      <c r="C229" t="s">
        <v>701</v>
      </c>
      <c r="D229" t="s">
        <v>667</v>
      </c>
      <c r="E229" t="s">
        <v>702</v>
      </c>
      <c r="F229">
        <v>11700</v>
      </c>
    </row>
    <row r="230" spans="2:6" x14ac:dyDescent="0.25">
      <c r="B230">
        <v>-1</v>
      </c>
      <c r="C230" t="s">
        <v>701</v>
      </c>
      <c r="D230" t="s">
        <v>855</v>
      </c>
      <c r="E230" t="s">
        <v>702</v>
      </c>
    </row>
    <row r="231" spans="2:6" x14ac:dyDescent="0.25">
      <c r="C231" t="s">
        <v>701</v>
      </c>
      <c r="D231" t="s">
        <v>680</v>
      </c>
      <c r="E231" t="s">
        <v>702</v>
      </c>
      <c r="F231">
        <v>7280</v>
      </c>
    </row>
    <row r="232" spans="2:6" x14ac:dyDescent="0.25">
      <c r="C232" t="s">
        <v>701</v>
      </c>
      <c r="D232" t="s">
        <v>681</v>
      </c>
      <c r="E232" t="s">
        <v>702</v>
      </c>
      <c r="F232">
        <v>4500</v>
      </c>
    </row>
    <row r="233" spans="2:6" x14ac:dyDescent="0.25">
      <c r="C233" t="s">
        <v>701</v>
      </c>
      <c r="D233" t="s">
        <v>856</v>
      </c>
      <c r="E233" t="s">
        <v>702</v>
      </c>
      <c r="F233">
        <v>3550</v>
      </c>
    </row>
    <row r="234" spans="2:6" x14ac:dyDescent="0.25">
      <c r="C234" t="s">
        <v>701</v>
      </c>
      <c r="D234" t="s">
        <v>857</v>
      </c>
      <c r="E234" t="s">
        <v>702</v>
      </c>
      <c r="F234">
        <v>3100</v>
      </c>
    </row>
    <row r="235" spans="2:6" x14ac:dyDescent="0.25">
      <c r="C235" t="s">
        <v>701</v>
      </c>
      <c r="D235" t="s">
        <v>682</v>
      </c>
      <c r="E235" t="s">
        <v>702</v>
      </c>
      <c r="F235">
        <v>19200</v>
      </c>
    </row>
    <row r="236" spans="2:6" x14ac:dyDescent="0.25">
      <c r="C236" t="s">
        <v>701</v>
      </c>
      <c r="D236" t="s">
        <v>684</v>
      </c>
      <c r="E236" t="s">
        <v>702</v>
      </c>
      <c r="F236">
        <v>19100</v>
      </c>
    </row>
    <row r="237" spans="2:6" x14ac:dyDescent="0.25">
      <c r="C237" t="s">
        <v>701</v>
      </c>
      <c r="D237" t="s">
        <v>858</v>
      </c>
      <c r="E237" t="s">
        <v>702</v>
      </c>
      <c r="F237">
        <v>80</v>
      </c>
    </row>
    <row r="238" spans="2:6" x14ac:dyDescent="0.25">
      <c r="C238" t="s">
        <v>701</v>
      </c>
      <c r="D238" t="s">
        <v>685</v>
      </c>
      <c r="E238" t="s">
        <v>702</v>
      </c>
      <c r="F238">
        <v>6100</v>
      </c>
    </row>
    <row r="239" spans="2:6" x14ac:dyDescent="0.25">
      <c r="C239" t="s">
        <v>701</v>
      </c>
      <c r="D239" t="s">
        <v>859</v>
      </c>
      <c r="E239" t="s">
        <v>702</v>
      </c>
      <c r="F239">
        <v>1800</v>
      </c>
    </row>
    <row r="240" spans="2:6" x14ac:dyDescent="0.25">
      <c r="C240" t="s">
        <v>701</v>
      </c>
      <c r="D240" t="s">
        <v>860</v>
      </c>
      <c r="E240" t="s">
        <v>702</v>
      </c>
      <c r="F240">
        <v>8750</v>
      </c>
    </row>
    <row r="241" spans="2:6" x14ac:dyDescent="0.25">
      <c r="B241">
        <v>-1</v>
      </c>
      <c r="C241" t="s">
        <v>701</v>
      </c>
      <c r="D241" t="s">
        <v>861</v>
      </c>
      <c r="E241" t="s">
        <v>702</v>
      </c>
    </row>
    <row r="242" spans="2:6" x14ac:dyDescent="0.25">
      <c r="C242" t="s">
        <v>701</v>
      </c>
      <c r="D242" t="s">
        <v>862</v>
      </c>
      <c r="E242" t="s">
        <v>702</v>
      </c>
      <c r="F242">
        <v>650</v>
      </c>
    </row>
    <row r="243" spans="2:6" x14ac:dyDescent="0.25">
      <c r="C243" t="s">
        <v>701</v>
      </c>
      <c r="D243" t="s">
        <v>689</v>
      </c>
      <c r="E243" t="s">
        <v>702</v>
      </c>
      <c r="F243">
        <v>7120</v>
      </c>
    </row>
  </sheetData>
  <conditionalFormatting sqref="B2:B783">
    <cfRule type="expression" dxfId="3" priority="1">
      <formula>ISBLANK(B2)</formula>
    </cfRule>
    <cfRule type="cellIs" dxfId="2" priority="2" operator="notEqual">
      <formula>1</formula>
    </cfRule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A6E32-369F-482E-B512-F604D3D4B4F3}">
  <sheetPr codeName="Sheet6"/>
  <dimension ref="A1:H6"/>
  <sheetViews>
    <sheetView workbookViewId="0">
      <pane ySplit="1" topLeftCell="A2" activePane="bottomLeft" state="frozen"/>
      <selection pane="bottomLeft" activeCell="B5" sqref="B5"/>
    </sheetView>
  </sheetViews>
  <sheetFormatPr defaultRowHeight="15" x14ac:dyDescent="0.25"/>
  <cols>
    <col min="1" max="1" width="6" bestFit="1" customWidth="1"/>
    <col min="2" max="2" width="6.42578125" bestFit="1" customWidth="1"/>
    <col min="3" max="3" width="6.28515625" bestFit="1" customWidth="1"/>
    <col min="4" max="4" width="10.140625" bestFit="1" customWidth="1"/>
    <col min="5" max="5" width="20.42578125" bestFit="1" customWidth="1"/>
    <col min="6" max="6" width="21" bestFit="1" customWidth="1"/>
    <col min="7" max="7" width="7.5703125" bestFit="1" customWidth="1"/>
    <col min="8" max="8" width="8.5703125" bestFit="1" customWidth="1"/>
  </cols>
  <sheetData>
    <row r="1" spans="1:8" x14ac:dyDescent="0.25">
      <c r="A1" t="s">
        <v>252</v>
      </c>
      <c r="B1" t="s">
        <v>0</v>
      </c>
      <c r="C1" t="s">
        <v>253</v>
      </c>
      <c r="D1" t="s">
        <v>277</v>
      </c>
      <c r="E1" t="s">
        <v>292</v>
      </c>
      <c r="F1" t="s">
        <v>3</v>
      </c>
      <c r="G1" t="s">
        <v>293</v>
      </c>
      <c r="H1" t="s">
        <v>33</v>
      </c>
    </row>
    <row r="2" spans="1:8" x14ac:dyDescent="0.25">
      <c r="A2">
        <v>1</v>
      </c>
      <c r="B2">
        <v>1</v>
      </c>
      <c r="C2" t="s">
        <v>368</v>
      </c>
      <c r="E2" t="s">
        <v>291</v>
      </c>
      <c r="F2" t="s">
        <v>294</v>
      </c>
      <c r="G2" t="s">
        <v>295</v>
      </c>
      <c r="H2" s="4">
        <v>6.6739999999999994E-11</v>
      </c>
    </row>
    <row r="3" spans="1:8" x14ac:dyDescent="0.25">
      <c r="A3">
        <v>2</v>
      </c>
      <c r="B3">
        <v>1</v>
      </c>
      <c r="C3" t="s">
        <v>369</v>
      </c>
      <c r="E3" s="11" t="s">
        <v>297</v>
      </c>
      <c r="F3" t="s">
        <v>296</v>
      </c>
      <c r="G3" t="s">
        <v>295</v>
      </c>
      <c r="H3">
        <v>9.8070000000000004</v>
      </c>
    </row>
    <row r="4" spans="1:8" x14ac:dyDescent="0.25">
      <c r="A4">
        <v>3</v>
      </c>
      <c r="B4">
        <v>1</v>
      </c>
      <c r="C4" t="s">
        <v>394</v>
      </c>
      <c r="E4" t="s">
        <v>393</v>
      </c>
      <c r="F4" t="s">
        <v>390</v>
      </c>
      <c r="G4" t="s">
        <v>295</v>
      </c>
      <c r="H4">
        <v>8.3140000000000001</v>
      </c>
    </row>
    <row r="5" spans="1:8" x14ac:dyDescent="0.25">
      <c r="A5">
        <v>4</v>
      </c>
      <c r="B5">
        <v>1</v>
      </c>
      <c r="C5" t="s">
        <v>483</v>
      </c>
      <c r="E5" t="s">
        <v>472</v>
      </c>
      <c r="F5" t="s">
        <v>473</v>
      </c>
      <c r="G5" t="s">
        <v>295</v>
      </c>
      <c r="H5" s="4">
        <v>5.9720000000000003E+24</v>
      </c>
    </row>
    <row r="6" spans="1:8" x14ac:dyDescent="0.25">
      <c r="A6">
        <v>5</v>
      </c>
      <c r="B6">
        <v>1</v>
      </c>
      <c r="C6" t="s">
        <v>484</v>
      </c>
      <c r="E6" t="s">
        <v>474</v>
      </c>
      <c r="F6" t="s">
        <v>475</v>
      </c>
      <c r="G6" t="s">
        <v>295</v>
      </c>
      <c r="H6" s="4">
        <v>6371000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ED2D-2265-4FFD-A331-FA1AD67BE68A}">
  <sheetPr codeName="Sheet2"/>
  <dimension ref="A1:B52"/>
  <sheetViews>
    <sheetView workbookViewId="0">
      <selection activeCell="B9" sqref="B9"/>
    </sheetView>
  </sheetViews>
  <sheetFormatPr defaultRowHeight="15" x14ac:dyDescent="0.25"/>
  <cols>
    <col min="1" max="1" width="30.85546875" customWidth="1"/>
    <col min="2" max="2" width="76.85546875" customWidth="1"/>
  </cols>
  <sheetData>
    <row r="1" spans="1:2" x14ac:dyDescent="0.25">
      <c r="A1" s="9" t="s">
        <v>32</v>
      </c>
      <c r="B1" s="9" t="s">
        <v>33</v>
      </c>
    </row>
    <row r="2" spans="1:2" x14ac:dyDescent="0.25">
      <c r="A2" s="6" t="str">
        <f>IF((Master!A5=""),"",Master!A5)</f>
        <v>CsvFormatNumber</v>
      </c>
      <c r="B2" s="7" t="str">
        <f>IF((Master!B5=""),"",Master!B5)</f>
        <v>1.0.0.0</v>
      </c>
    </row>
    <row r="3" spans="1:2" x14ac:dyDescent="0.25">
      <c r="A3" s="6" t="str">
        <f>IF((Master!A6=""),"",Master!A6)</f>
        <v>PackageName</v>
      </c>
      <c r="B3" s="7" t="str">
        <f>IF((Master!B6=""),"",Master!B6)</f>
        <v>AnyEquations.EquationLibrary</v>
      </c>
    </row>
    <row r="4" spans="1:2" x14ac:dyDescent="0.25">
      <c r="A4" s="6" t="str">
        <f>IF((Master!A7=""),"",Master!A7)</f>
        <v>LibraryName</v>
      </c>
      <c r="B4" s="7" t="str">
        <f>IF((Master!B7=""),"",Master!B7)</f>
        <v>AnyEqLibrary</v>
      </c>
    </row>
    <row r="5" spans="1:2" x14ac:dyDescent="0.25">
      <c r="A5" s="6" t="str">
        <f>IF((Master!A8=""),"",Master!A8)</f>
        <v>LibraryDescription</v>
      </c>
      <c r="B5" s="7" t="str">
        <f>IF((Master!B8=""),"",Master!B8)</f>
        <v>Default content for AnyEquation</v>
      </c>
    </row>
    <row r="6" spans="1:2" x14ac:dyDescent="0.25">
      <c r="A6" s="6" t="str">
        <f>IF((Master!A9=""),"",Master!A9)</f>
        <v>EquationLibraryName</v>
      </c>
      <c r="B6" s="7" t="str">
        <f>IF((Master!B9=""),"",Master!B9)</f>
        <v>Common equations</v>
      </c>
    </row>
    <row r="7" spans="1:2" x14ac:dyDescent="0.25">
      <c r="A7" s="6" t="str">
        <f>IF((Master!A10=""),"",Master!A10)</f>
        <v>EquationLibraryDescription</v>
      </c>
      <c r="B7" s="7" t="str">
        <f>IF((Master!B10=""),"",Master!B10)</f>
        <v>Common equations</v>
      </c>
    </row>
    <row r="8" spans="1:2" x14ac:dyDescent="0.25">
      <c r="A8" s="6" t="str">
        <f>IF((Master!A11=""),"",Master!A11)</f>
        <v>LibraryUrl</v>
      </c>
      <c r="B8" s="7" t="str">
        <f>IF((Master!B11=""),"",Master!B11)</f>
        <v/>
      </c>
    </row>
    <row r="9" spans="1:2" x14ac:dyDescent="0.25">
      <c r="A9" s="6" t="str">
        <f>IF((Master!A14=""),"",Master!A14)</f>
        <v>ReferencesFile2</v>
      </c>
      <c r="B9" s="8" t="str">
        <f>IF((Master!B14=""),"",Master!B14 &amp; ".csv")</f>
        <v/>
      </c>
    </row>
    <row r="10" spans="1:2" x14ac:dyDescent="0.25">
      <c r="A10" s="6" t="str">
        <f>IF((Master!A15=""),"",Master!A15)</f>
        <v>ReferencesFile3</v>
      </c>
      <c r="B10" s="8" t="str">
        <f>IF((Master!B15=""),"",Master!B15 &amp; ".csv")</f>
        <v/>
      </c>
    </row>
    <row r="11" spans="1:2" x14ac:dyDescent="0.25">
      <c r="A11" s="6" t="str">
        <f>IF((Master!A16=""),"",Master!A16)</f>
        <v>ReferencesFile4</v>
      </c>
      <c r="B11" s="8" t="str">
        <f>IF((Master!B16=""),"",Master!B16 &amp; ".csv")</f>
        <v/>
      </c>
    </row>
    <row r="12" spans="1:2" x14ac:dyDescent="0.25">
      <c r="A12" s="6" t="str">
        <f>IF((Master!A17=""),"",Master!A17)</f>
        <v>ReferencesFile5</v>
      </c>
      <c r="B12" s="8" t="str">
        <f>IF((Master!B17=""),"",Master!B17 &amp; ".csv")</f>
        <v/>
      </c>
    </row>
    <row r="13" spans="1:2" x14ac:dyDescent="0.25">
      <c r="A13" s="6" t="str">
        <f>IF((Master!A18=""),"",Master!A18)</f>
        <v>ReferencesFile6</v>
      </c>
      <c r="B13" s="8" t="str">
        <f>IF((Master!B18=""),"",Master!B18 &amp; ".csv")</f>
        <v/>
      </c>
    </row>
    <row r="14" spans="1:2" x14ac:dyDescent="0.25">
      <c r="A14" s="6" t="str">
        <f>IF((Master!A19=""),"",Master!A19)</f>
        <v>ReferencesFile7</v>
      </c>
      <c r="B14" s="8" t="str">
        <f>IF((Master!B19=""),"",Master!B19 &amp; ".csv")</f>
        <v/>
      </c>
    </row>
    <row r="15" spans="1:2" x14ac:dyDescent="0.25">
      <c r="A15" s="6" t="str">
        <f>IF((Master!A20=""),"",Master!A20)</f>
        <v>ReferencesFile8</v>
      </c>
      <c r="B15" s="8" t="str">
        <f>IF((Master!B20=""),"",Master!B20 &amp; ".csv")</f>
        <v/>
      </c>
    </row>
    <row r="16" spans="1:2" x14ac:dyDescent="0.25">
      <c r="A16" s="6" t="str">
        <f>IF((Master!A21=""),"",Master!A21)</f>
        <v>ReferencesFile9</v>
      </c>
      <c r="B16" s="8" t="str">
        <f>IF((Master!B21=""),"",Master!B21 &amp; ".csv")</f>
        <v/>
      </c>
    </row>
    <row r="17" spans="1:2" x14ac:dyDescent="0.25">
      <c r="A17" s="6" t="str">
        <f>IF((Master!A22=""),"",Master!A22)</f>
        <v>ParamTypesFile1</v>
      </c>
      <c r="B17" s="8" t="str">
        <f>IF((Master!B22=""),"",Master!B22 &amp; ".csv")</f>
        <v>AnyEq_ParamTypes1.csv</v>
      </c>
    </row>
    <row r="18" spans="1:2" x14ac:dyDescent="0.25">
      <c r="A18" s="6" t="str">
        <f>IF((Master!A23=""),"",Master!A23)</f>
        <v>ParamTypesFile2</v>
      </c>
      <c r="B18" s="8" t="str">
        <f>IF((Master!B23=""),"",Master!B23 &amp; ".csv")</f>
        <v/>
      </c>
    </row>
    <row r="19" spans="1:2" x14ac:dyDescent="0.25">
      <c r="A19" s="6" t="str">
        <f>IF((Master!A24=""),"",Master!A24)</f>
        <v>ParamTypesFile3</v>
      </c>
      <c r="B19" s="8" t="str">
        <f>IF((Master!B24=""),"",Master!B24 &amp; ".csv")</f>
        <v/>
      </c>
    </row>
    <row r="20" spans="1:2" x14ac:dyDescent="0.25">
      <c r="A20" s="6" t="str">
        <f>IF((Master!A25=""),"",Master!A25)</f>
        <v>ParamTypesFile4</v>
      </c>
      <c r="B20" s="8" t="str">
        <f>IF((Master!B25=""),"",Master!B25 &amp; ".csv")</f>
        <v/>
      </c>
    </row>
    <row r="21" spans="1:2" x14ac:dyDescent="0.25">
      <c r="A21" s="6" t="str">
        <f>IF((Master!A26=""),"",Master!A26)</f>
        <v>ParamTypesFile5</v>
      </c>
      <c r="B21" s="8" t="str">
        <f>IF((Master!B26=""),"",Master!B26 &amp; ".csv")</f>
        <v/>
      </c>
    </row>
    <row r="22" spans="1:2" x14ac:dyDescent="0.25">
      <c r="A22" s="6" t="str">
        <f>IF((Master!A27=""),"",Master!A27)</f>
        <v>ParamTypesFile6</v>
      </c>
      <c r="B22" s="8" t="str">
        <f>IF((Master!B27=""),"",Master!B27 &amp; ".csv")</f>
        <v/>
      </c>
    </row>
    <row r="23" spans="1:2" x14ac:dyDescent="0.25">
      <c r="A23" s="6" t="str">
        <f>IF((Master!A28=""),"",Master!A28)</f>
        <v>ParamTypesFile7</v>
      </c>
      <c r="B23" s="8" t="str">
        <f>IF((Master!B28=""),"",Master!B28 &amp; ".csv")</f>
        <v/>
      </c>
    </row>
    <row r="24" spans="1:2" x14ac:dyDescent="0.25">
      <c r="A24" s="6" t="str">
        <f>IF((Master!A29=""),"",Master!A29)</f>
        <v>ParamTypesFile8</v>
      </c>
      <c r="B24" s="8" t="str">
        <f>IF((Master!B29=""),"",Master!B29 &amp; ".csv")</f>
        <v/>
      </c>
    </row>
    <row r="25" spans="1:2" x14ac:dyDescent="0.25">
      <c r="A25" s="6" t="str">
        <f>IF((Master!A30=""),"",Master!A30)</f>
        <v>ParamTypesFile9</v>
      </c>
      <c r="B25" s="8" t="str">
        <f>IF((Master!B30=""),"",Master!B30 &amp; ".csv")</f>
        <v/>
      </c>
    </row>
    <row r="26" spans="1:2" x14ac:dyDescent="0.25">
      <c r="A26" s="6" t="str">
        <f>IF((Master!A31=""),"",Master!A31)</f>
        <v>UomFile1</v>
      </c>
      <c r="B26" s="8" t="str">
        <f>IF((Master!B31=""),"",Master!B31 &amp; ".csv")</f>
        <v>AnyEq_Uom1.csv</v>
      </c>
    </row>
    <row r="27" spans="1:2" x14ac:dyDescent="0.25">
      <c r="A27" s="6" t="str">
        <f>IF((Master!A32=""),"",Master!A32)</f>
        <v>UomFile2</v>
      </c>
      <c r="B27" s="8" t="str">
        <f>IF((Master!B32=""),"",Master!B32 &amp; ".csv")</f>
        <v/>
      </c>
    </row>
    <row r="28" spans="1:2" x14ac:dyDescent="0.25">
      <c r="A28" s="6" t="str">
        <f>IF((Master!A33=""),"",Master!A33)</f>
        <v>UomFile3</v>
      </c>
      <c r="B28" s="8" t="str">
        <f>IF((Master!B33=""),"",Master!B33 &amp; ".csv")</f>
        <v/>
      </c>
    </row>
    <row r="29" spans="1:2" x14ac:dyDescent="0.25">
      <c r="A29" s="6" t="str">
        <f>IF((Master!A34=""),"",Master!A34)</f>
        <v>UomFile4</v>
      </c>
      <c r="B29" s="8" t="str">
        <f>IF((Master!B34=""),"",Master!B34 &amp; ".csv")</f>
        <v/>
      </c>
    </row>
    <row r="30" spans="1:2" x14ac:dyDescent="0.25">
      <c r="A30" s="6" t="str">
        <f>IF((Master!A35=""),"",Master!A35)</f>
        <v>UomFile5</v>
      </c>
      <c r="B30" s="8" t="str">
        <f>IF((Master!B35=""),"",Master!B35 &amp; ".csv")</f>
        <v/>
      </c>
    </row>
    <row r="31" spans="1:2" x14ac:dyDescent="0.25">
      <c r="A31" s="6" t="str">
        <f>IF((Master!A36=""),"",Master!A36)</f>
        <v>UomFile6</v>
      </c>
      <c r="B31" s="8" t="str">
        <f>IF((Master!B36=""),"",Master!B36 &amp; ".csv")</f>
        <v/>
      </c>
    </row>
    <row r="32" spans="1:2" x14ac:dyDescent="0.25">
      <c r="A32" s="6" t="str">
        <f>IF((Master!A37=""),"",Master!A37)</f>
        <v>UomFile7</v>
      </c>
      <c r="B32" s="8" t="str">
        <f>IF((Master!B37=""),"",Master!B37 &amp; ".csv")</f>
        <v/>
      </c>
    </row>
    <row r="33" spans="1:2" x14ac:dyDescent="0.25">
      <c r="A33" s="6" t="str">
        <f>IF((Master!A38=""),"",Master!A38)</f>
        <v>UomFile8</v>
      </c>
      <c r="B33" s="8" t="str">
        <f>IF((Master!B38=""),"",Master!B38 &amp; ".csv")</f>
        <v/>
      </c>
    </row>
    <row r="34" spans="1:2" x14ac:dyDescent="0.25">
      <c r="A34" s="6" t="str">
        <f>IF((Master!A39=""),"",Master!A39)</f>
        <v>UomFile9</v>
      </c>
      <c r="B34" s="8" t="str">
        <f>IF((Master!B39=""),"",Master!B39 &amp; ".csv")</f>
        <v/>
      </c>
    </row>
    <row r="35" spans="1:2" x14ac:dyDescent="0.25">
      <c r="A35" s="6" t="str">
        <f>IF((Master!A40=""),"",Master!A40)</f>
        <v>ConstantsFile1</v>
      </c>
      <c r="B35" s="8" t="str">
        <f>IF((Master!B40=""),"",Master!B40 &amp; ".csv")</f>
        <v>AnyEq_Constants1.csv</v>
      </c>
    </row>
    <row r="36" spans="1:2" x14ac:dyDescent="0.25">
      <c r="A36" s="6" t="str">
        <f>IF((Master!A41=""),"",Master!A41)</f>
        <v>ConstantsFile2</v>
      </c>
      <c r="B36" s="8" t="str">
        <f>IF((Master!B41=""),"",Master!B41 &amp; ".csv")</f>
        <v/>
      </c>
    </row>
    <row r="37" spans="1:2" x14ac:dyDescent="0.25">
      <c r="A37" s="6" t="str">
        <f>IF((Master!A42=""),"",Master!A42)</f>
        <v>ConstantsFile3</v>
      </c>
      <c r="B37" s="8" t="str">
        <f>IF((Master!B42=""),"",Master!B42 &amp; ".csv")</f>
        <v/>
      </c>
    </row>
    <row r="38" spans="1:2" x14ac:dyDescent="0.25">
      <c r="A38" s="6" t="str">
        <f>IF((Master!A43=""),"",Master!A43)</f>
        <v>ConstantsFile4</v>
      </c>
      <c r="B38" s="8" t="str">
        <f>IF((Master!B43=""),"",Master!B43 &amp; ".csv")</f>
        <v/>
      </c>
    </row>
    <row r="39" spans="1:2" x14ac:dyDescent="0.25">
      <c r="A39" s="6" t="str">
        <f>IF((Master!A44=""),"",Master!A44)</f>
        <v>ConstantsFile5</v>
      </c>
      <c r="B39" s="8" t="str">
        <f>IF((Master!B44=""),"",Master!B44 &amp; ".csv")</f>
        <v/>
      </c>
    </row>
    <row r="40" spans="1:2" x14ac:dyDescent="0.25">
      <c r="A40" s="6" t="str">
        <f>IF((Master!A45=""),"",Master!A45)</f>
        <v>ConstantsFile6</v>
      </c>
      <c r="B40" s="8" t="str">
        <f>IF((Master!B45=""),"",Master!B45 &amp; ".csv")</f>
        <v/>
      </c>
    </row>
    <row r="41" spans="1:2" x14ac:dyDescent="0.25">
      <c r="A41" s="6" t="str">
        <f>IF((Master!A46=""),"",Master!A46)</f>
        <v>ConstantsFile7</v>
      </c>
      <c r="B41" s="8" t="str">
        <f>IF((Master!B46=""),"",Master!B46 &amp; ".csv")</f>
        <v/>
      </c>
    </row>
    <row r="42" spans="1:2" x14ac:dyDescent="0.25">
      <c r="A42" s="6" t="str">
        <f>IF((Master!A47=""),"",Master!A47)</f>
        <v>ConstantsFile8</v>
      </c>
      <c r="B42" s="8" t="str">
        <f>IF((Master!B47=""),"",Master!B47 &amp; ".csv")</f>
        <v/>
      </c>
    </row>
    <row r="43" spans="1:2" x14ac:dyDescent="0.25">
      <c r="A43" s="6" t="str">
        <f>IF((Master!A48=""),"",Master!A48)</f>
        <v>ConstantsFile9</v>
      </c>
      <c r="B43" s="8" t="str">
        <f>IF((Master!B48=""),"",Master!B48 &amp; ".csv")</f>
        <v/>
      </c>
    </row>
    <row r="44" spans="1:2" x14ac:dyDescent="0.25">
      <c r="A44" s="6" t="str">
        <f>IF((Master!A49=""),"",Master!A49)</f>
        <v>EquationFile1</v>
      </c>
      <c r="B44" s="8" t="str">
        <f>IF((Master!B49=""),"",Master!B49 &amp; ".csv")</f>
        <v>AnyEq_Equations1.csv</v>
      </c>
    </row>
    <row r="45" spans="1:2" x14ac:dyDescent="0.25">
      <c r="A45" s="6" t="str">
        <f>IF((Master!A50=""),"",Master!A50)</f>
        <v>EquationFile2</v>
      </c>
      <c r="B45" s="8" t="str">
        <f>IF((Master!B50=""),"",Master!B50 &amp; ".csv")</f>
        <v/>
      </c>
    </row>
    <row r="46" spans="1:2" x14ac:dyDescent="0.25">
      <c r="A46" s="6" t="str">
        <f>IF((Master!A51=""),"",Master!A51)</f>
        <v>EquationFile3</v>
      </c>
      <c r="B46" s="8" t="str">
        <f>IF((Master!B51=""),"",Master!B51 &amp; ".csv")</f>
        <v/>
      </c>
    </row>
    <row r="47" spans="1:2" x14ac:dyDescent="0.25">
      <c r="A47" s="6" t="str">
        <f>IF((Master!A52=""),"",Master!A52)</f>
        <v>EquationFile4</v>
      </c>
      <c r="B47" s="8" t="str">
        <f>IF((Master!B52=""),"",Master!B52 &amp; ".csv")</f>
        <v/>
      </c>
    </row>
    <row r="48" spans="1:2" x14ac:dyDescent="0.25">
      <c r="A48" s="6" t="str">
        <f>IF((Master!A53=""),"",Master!A53)</f>
        <v>EquationFile5</v>
      </c>
      <c r="B48" s="8" t="str">
        <f>IF((Master!B53=""),"",Master!B53 &amp; ".csv")</f>
        <v/>
      </c>
    </row>
    <row r="49" spans="1:2" x14ac:dyDescent="0.25">
      <c r="A49" s="6" t="str">
        <f>IF((Master!A54=""),"",Master!A54)</f>
        <v>EquationFile6</v>
      </c>
      <c r="B49" s="8" t="str">
        <f>IF((Master!B54=""),"",Master!B54 &amp; ".csv")</f>
        <v/>
      </c>
    </row>
    <row r="50" spans="1:2" x14ac:dyDescent="0.25">
      <c r="A50" s="6" t="str">
        <f>IF((Master!A55=""),"",Master!A55)</f>
        <v>EquationFile7</v>
      </c>
      <c r="B50" s="8" t="str">
        <f>IF((Master!B55=""),"",Master!B55 &amp; ".csv")</f>
        <v/>
      </c>
    </row>
    <row r="51" spans="1:2" x14ac:dyDescent="0.25">
      <c r="A51" s="6" t="str">
        <f>IF((Master!A56=""),"",Master!A56)</f>
        <v>EquationFile8</v>
      </c>
      <c r="B51" s="8" t="str">
        <f>IF((Master!B56=""),"",Master!B56 &amp; ".csv")</f>
        <v/>
      </c>
    </row>
    <row r="52" spans="1:2" x14ac:dyDescent="0.25">
      <c r="A52" s="6" t="str">
        <f>IF((Master!A57=""),"",Master!A57)</f>
        <v>EquationFile9</v>
      </c>
      <c r="B52" s="8" t="str">
        <f>IF((Master!B57=""),"",Master!B57 &amp; ".csv")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CF764-69E0-4CB7-97BD-830DA2C6A8D0}">
  <sheetPr codeName="Sheet3"/>
  <dimension ref="A1:E7"/>
  <sheetViews>
    <sheetView workbookViewId="0">
      <selection activeCell="B9" sqref="B9"/>
    </sheetView>
  </sheetViews>
  <sheetFormatPr defaultRowHeight="15" x14ac:dyDescent="0.25"/>
  <cols>
    <col min="2" max="2" width="36.140625" customWidth="1"/>
    <col min="3" max="3" width="14.85546875" customWidth="1"/>
  </cols>
  <sheetData>
    <row r="1" spans="1:5" x14ac:dyDescent="0.25">
      <c r="A1" t="s">
        <v>252</v>
      </c>
      <c r="B1" t="s">
        <v>253</v>
      </c>
      <c r="C1" t="s">
        <v>3</v>
      </c>
      <c r="D1" t="s">
        <v>254</v>
      </c>
      <c r="E1" t="s">
        <v>866</v>
      </c>
    </row>
    <row r="2" spans="1:5" x14ac:dyDescent="0.25">
      <c r="A2">
        <v>1</v>
      </c>
      <c r="B2" t="s">
        <v>255</v>
      </c>
    </row>
    <row r="3" spans="1:5" x14ac:dyDescent="0.25">
      <c r="A3">
        <v>2</v>
      </c>
      <c r="B3" t="s">
        <v>256</v>
      </c>
      <c r="D3" s="1" t="s">
        <v>446</v>
      </c>
    </row>
    <row r="4" spans="1:5" x14ac:dyDescent="0.25">
      <c r="A4">
        <v>3</v>
      </c>
      <c r="B4" t="s">
        <v>447</v>
      </c>
      <c r="D4" t="s">
        <v>81</v>
      </c>
    </row>
    <row r="5" spans="1:5" x14ac:dyDescent="0.25">
      <c r="A5">
        <v>4</v>
      </c>
      <c r="B5" t="s">
        <v>482</v>
      </c>
    </row>
    <row r="6" spans="1:5" x14ac:dyDescent="0.25">
      <c r="A6">
        <v>5</v>
      </c>
      <c r="B6" s="18" t="s">
        <v>700</v>
      </c>
      <c r="C6" s="18" t="s">
        <v>699</v>
      </c>
      <c r="D6" s="1" t="s">
        <v>698</v>
      </c>
      <c r="E6" t="s">
        <v>867</v>
      </c>
    </row>
    <row r="7" spans="1:5" x14ac:dyDescent="0.25">
      <c r="A7">
        <v>6</v>
      </c>
      <c r="B7" t="s">
        <v>864</v>
      </c>
      <c r="C7" t="s">
        <v>863</v>
      </c>
      <c r="D7" s="1" t="s">
        <v>865</v>
      </c>
      <c r="E7" t="s">
        <v>867</v>
      </c>
    </row>
  </sheetData>
  <hyperlinks>
    <hyperlink ref="D3" r:id="rId1" xr:uid="{C12BA6B3-712B-4EE1-AFFA-5F7D720C6F16}"/>
    <hyperlink ref="D6" r:id="rId2" xr:uid="{2F468933-CCF1-423D-9377-F0F54D436042}"/>
    <hyperlink ref="D7" r:id="rId3" xr:uid="{CAC8B4FF-BCAC-4DB2-96A2-B74B6F3D603E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C0450-ACBF-4E16-AE07-E60C586C33F4}">
  <sheetPr codeName="Sheet5"/>
  <dimension ref="A1:U7"/>
  <sheetViews>
    <sheetView workbookViewId="0">
      <selection activeCell="B34" sqref="B34"/>
    </sheetView>
  </sheetViews>
  <sheetFormatPr defaultRowHeight="15" x14ac:dyDescent="0.25"/>
  <sheetData>
    <row r="1" spans="1:21" ht="45" x14ac:dyDescent="0.25">
      <c r="A1" t="s">
        <v>252</v>
      </c>
      <c r="B1" s="12" t="s">
        <v>0</v>
      </c>
      <c r="C1" t="s">
        <v>253</v>
      </c>
      <c r="D1" t="s">
        <v>376</v>
      </c>
      <c r="E1" s="13" t="s">
        <v>277</v>
      </c>
      <c r="F1" t="s">
        <v>3</v>
      </c>
      <c r="G1" t="s">
        <v>377</v>
      </c>
      <c r="H1" t="s">
        <v>378</v>
      </c>
      <c r="I1" t="s">
        <v>379</v>
      </c>
      <c r="J1" t="s">
        <v>380</v>
      </c>
      <c r="K1" t="s">
        <v>381</v>
      </c>
      <c r="L1" s="2" t="s">
        <v>281</v>
      </c>
      <c r="M1" s="2" t="s">
        <v>282</v>
      </c>
      <c r="N1" s="2" t="s">
        <v>283</v>
      </c>
      <c r="O1" s="2" t="s">
        <v>284</v>
      </c>
      <c r="P1" s="2" t="s">
        <v>285</v>
      </c>
      <c r="Q1" s="2" t="s">
        <v>286</v>
      </c>
      <c r="R1" s="2" t="s">
        <v>287</v>
      </c>
      <c r="S1" s="2" t="s">
        <v>288</v>
      </c>
      <c r="T1" s="2" t="s">
        <v>289</v>
      </c>
      <c r="U1" s="2" t="s">
        <v>290</v>
      </c>
    </row>
    <row r="2" spans="1:21" x14ac:dyDescent="0.25">
      <c r="A2" s="14">
        <v>1</v>
      </c>
      <c r="B2" s="15">
        <v>1</v>
      </c>
      <c r="C2" s="14" t="s">
        <v>383</v>
      </c>
      <c r="D2" s="14" t="s">
        <v>383</v>
      </c>
      <c r="E2" s="14">
        <v>2</v>
      </c>
      <c r="F2" s="14" t="s">
        <v>384</v>
      </c>
      <c r="G2" s="14" t="s">
        <v>382</v>
      </c>
      <c r="H2" s="14">
        <v>0</v>
      </c>
      <c r="I2" s="14">
        <v>0.01</v>
      </c>
      <c r="J2" s="14">
        <v>1</v>
      </c>
      <c r="K2" s="14">
        <v>0</v>
      </c>
      <c r="L2">
        <v>0</v>
      </c>
      <c r="M2">
        <v>1</v>
      </c>
      <c r="N2">
        <v>-1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25">
      <c r="A3">
        <v>2</v>
      </c>
      <c r="B3">
        <v>1</v>
      </c>
      <c r="C3" t="s">
        <v>455</v>
      </c>
      <c r="D3" t="s">
        <v>455</v>
      </c>
      <c r="E3">
        <v>2</v>
      </c>
      <c r="F3" t="s">
        <v>456</v>
      </c>
      <c r="G3" t="s">
        <v>457</v>
      </c>
      <c r="H3">
        <v>0</v>
      </c>
      <c r="I3" s="4">
        <v>1000</v>
      </c>
      <c r="J3">
        <v>1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25">
      <c r="A4">
        <v>3</v>
      </c>
      <c r="B4">
        <v>1</v>
      </c>
      <c r="C4" t="s">
        <v>458</v>
      </c>
      <c r="D4" t="s">
        <v>459</v>
      </c>
      <c r="E4">
        <v>2</v>
      </c>
      <c r="F4" t="s">
        <v>458</v>
      </c>
      <c r="G4" t="s">
        <v>457</v>
      </c>
      <c r="H4">
        <v>0</v>
      </c>
      <c r="I4" s="4">
        <v>1000000000</v>
      </c>
      <c r="J4">
        <v>1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25">
      <c r="A5">
        <v>4</v>
      </c>
      <c r="B5">
        <v>1</v>
      </c>
      <c r="C5" t="s">
        <v>460</v>
      </c>
      <c r="D5" t="s">
        <v>461</v>
      </c>
      <c r="E5">
        <v>2</v>
      </c>
      <c r="F5" t="s">
        <v>460</v>
      </c>
      <c r="G5" t="s">
        <v>457</v>
      </c>
      <c r="H5">
        <v>0</v>
      </c>
      <c r="I5" s="4">
        <v>1000000000000000</v>
      </c>
      <c r="J5">
        <v>1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 x14ac:dyDescent="0.25">
      <c r="A6">
        <v>5</v>
      </c>
      <c r="B6">
        <v>1</v>
      </c>
      <c r="C6" t="s">
        <v>462</v>
      </c>
      <c r="D6" t="s">
        <v>463</v>
      </c>
      <c r="E6">
        <v>2</v>
      </c>
      <c r="F6" t="s">
        <v>462</v>
      </c>
      <c r="G6" t="s">
        <v>457</v>
      </c>
      <c r="H6">
        <v>0</v>
      </c>
      <c r="I6" s="4">
        <v>1E+21</v>
      </c>
      <c r="J6">
        <v>1</v>
      </c>
      <c r="K6">
        <v>0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 x14ac:dyDescent="0.25">
      <c r="A7">
        <v>6</v>
      </c>
      <c r="B7">
        <v>1</v>
      </c>
      <c r="C7" t="s">
        <v>464</v>
      </c>
      <c r="D7" t="s">
        <v>465</v>
      </c>
      <c r="E7">
        <v>2</v>
      </c>
      <c r="F7" t="s">
        <v>464</v>
      </c>
      <c r="G7" t="s">
        <v>457</v>
      </c>
      <c r="H7">
        <v>0</v>
      </c>
      <c r="I7" s="4">
        <v>1E+27</v>
      </c>
      <c r="J7">
        <v>1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915E-9146-454E-89FB-126BDD3D0A4F}">
  <sheetPr codeName="Sheet4"/>
  <dimension ref="A1:R3"/>
  <sheetViews>
    <sheetView workbookViewId="0">
      <pane ySplit="1" topLeftCell="A2" activePane="bottomLeft" state="frozen"/>
      <selection pane="bottomLeft" activeCell="F3" sqref="F3"/>
    </sheetView>
  </sheetViews>
  <sheetFormatPr defaultRowHeight="15" x14ac:dyDescent="0.25"/>
  <cols>
    <col min="1" max="1" width="6" bestFit="1" customWidth="1"/>
    <col min="2" max="2" width="6.42578125" bestFit="1" customWidth="1"/>
    <col min="3" max="3" width="6.28515625" bestFit="1" customWidth="1"/>
    <col min="4" max="4" width="10.140625" bestFit="1" customWidth="1"/>
    <col min="5" max="5" width="6.42578125" bestFit="1" customWidth="1"/>
    <col min="6" max="6" width="11.140625" bestFit="1" customWidth="1"/>
    <col min="7" max="7" width="9.5703125" bestFit="1" customWidth="1"/>
    <col min="8" max="8" width="11.42578125" bestFit="1" customWidth="1"/>
    <col min="9" max="9" width="10" bestFit="1" customWidth="1"/>
    <col min="10" max="10" width="11.5703125" bestFit="1" customWidth="1"/>
    <col min="11" max="11" width="10" bestFit="1" customWidth="1"/>
    <col min="12" max="12" width="19" bestFit="1" customWidth="1"/>
    <col min="13" max="13" width="17.42578125" bestFit="1" customWidth="1"/>
    <col min="14" max="14" width="24.85546875" bestFit="1" customWidth="1"/>
    <col min="15" max="15" width="15.42578125" bestFit="1" customWidth="1"/>
    <col min="16" max="16" width="15.85546875" bestFit="1" customWidth="1"/>
    <col min="17" max="17" width="15.28515625" bestFit="1" customWidth="1"/>
    <col min="18" max="18" width="13.5703125" bestFit="1" customWidth="1"/>
  </cols>
  <sheetData>
    <row r="1" spans="1:18" x14ac:dyDescent="0.25">
      <c r="A1" t="s">
        <v>252</v>
      </c>
      <c r="B1" t="s">
        <v>0</v>
      </c>
      <c r="C1" t="s">
        <v>253</v>
      </c>
      <c r="D1" t="s">
        <v>277</v>
      </c>
      <c r="E1" t="s">
        <v>278</v>
      </c>
      <c r="F1" t="s">
        <v>3</v>
      </c>
      <c r="G1" t="s">
        <v>279</v>
      </c>
      <c r="H1" t="s">
        <v>280</v>
      </c>
      <c r="I1" t="s">
        <v>281</v>
      </c>
      <c r="J1" t="s">
        <v>282</v>
      </c>
      <c r="K1" t="s">
        <v>283</v>
      </c>
      <c r="L1" t="s">
        <v>284</v>
      </c>
      <c r="M1" t="s">
        <v>285</v>
      </c>
      <c r="N1" t="s">
        <v>286</v>
      </c>
      <c r="O1" t="s">
        <v>287</v>
      </c>
      <c r="P1" t="s">
        <v>288</v>
      </c>
      <c r="Q1" t="s">
        <v>289</v>
      </c>
      <c r="R1" t="s">
        <v>290</v>
      </c>
    </row>
    <row r="2" spans="1:18" x14ac:dyDescent="0.25">
      <c r="B2">
        <v>1</v>
      </c>
      <c r="C2" t="s">
        <v>291</v>
      </c>
      <c r="F2" t="s">
        <v>291</v>
      </c>
      <c r="G2" t="s">
        <v>392</v>
      </c>
      <c r="I2">
        <v>-1</v>
      </c>
      <c r="J2">
        <v>3</v>
      </c>
      <c r="K2">
        <v>-2</v>
      </c>
    </row>
    <row r="3" spans="1:18" x14ac:dyDescent="0.25">
      <c r="B3">
        <v>1</v>
      </c>
      <c r="C3" t="s">
        <v>393</v>
      </c>
      <c r="F3" t="s">
        <v>393</v>
      </c>
      <c r="G3" t="s">
        <v>391</v>
      </c>
      <c r="I3">
        <v>1</v>
      </c>
      <c r="J3">
        <v>2</v>
      </c>
      <c r="K3">
        <v>-2</v>
      </c>
      <c r="L3">
        <v>0</v>
      </c>
      <c r="M3">
        <v>-1</v>
      </c>
      <c r="N3">
        <v>-1</v>
      </c>
      <c r="O3">
        <v>0</v>
      </c>
      <c r="P3">
        <v>0</v>
      </c>
      <c r="Q3">
        <v>0</v>
      </c>
      <c r="R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37405-E74C-4C2A-8F5F-369E6108E553}">
  <sheetPr codeName="Sheet9"/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115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1A419-AAC2-4DA9-862C-DE8B66B6D13D}">
  <sheetPr codeName="Sheet8"/>
  <dimension ref="B2:B10"/>
  <sheetViews>
    <sheetView workbookViewId="0">
      <selection activeCell="B8" sqref="B8"/>
    </sheetView>
  </sheetViews>
  <sheetFormatPr defaultRowHeight="15" x14ac:dyDescent="0.25"/>
  <sheetData>
    <row r="2" spans="2:2" x14ac:dyDescent="0.25">
      <c r="B2" s="1" t="s">
        <v>34</v>
      </c>
    </row>
    <row r="4" spans="2:2" x14ac:dyDescent="0.25">
      <c r="B4" s="1" t="s">
        <v>75</v>
      </c>
    </row>
    <row r="6" spans="2:2" x14ac:dyDescent="0.25">
      <c r="B6" s="1" t="s">
        <v>81</v>
      </c>
    </row>
    <row r="8" spans="2:2" x14ac:dyDescent="0.25">
      <c r="B8" s="1" t="s">
        <v>84</v>
      </c>
    </row>
    <row r="10" spans="2:2" x14ac:dyDescent="0.25">
      <c r="B10" s="1" t="s">
        <v>85</v>
      </c>
    </row>
  </sheetData>
  <hyperlinks>
    <hyperlink ref="B2" r:id="rId1" xr:uid="{1D6C51FD-6549-4031-9ED5-61D550C00403}"/>
    <hyperlink ref="B4" r:id="rId2" xr:uid="{A7E6B3A1-3259-46D1-A596-412A5F4C01E4}"/>
    <hyperlink ref="B6" r:id="rId3" xr:uid="{FE7B1FD3-BA1D-473C-A743-6A16C5BBC92D}"/>
    <hyperlink ref="B8" r:id="rId4" xr:uid="{2B9C8586-1604-43E2-B7BD-B458CAF79013}"/>
    <hyperlink ref="B10" r:id="rId5" xr:uid="{6E7A2491-D608-492E-BDC5-3080AB4FA68B}"/>
  </hyperlinks>
  <pageMargins left="0.7" right="0.7" top="0.75" bottom="0.75" header="0.3" footer="0.3"/>
  <pageSetup paperSize="9" orientation="portrait" horizontalDpi="4294967293" verticalDpi="0"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Master</vt:lpstr>
      <vt:lpstr>AnyEq_Equations1</vt:lpstr>
      <vt:lpstr>AntEq_Data1</vt:lpstr>
      <vt:lpstr>AntEq_Data2</vt:lpstr>
      <vt:lpstr>AnyEq_Constants1</vt:lpstr>
      <vt:lpstr>AnyEq_Info</vt:lpstr>
      <vt:lpstr>AnyEq_References1</vt:lpstr>
      <vt:lpstr>AnyEq_Uom1</vt:lpstr>
      <vt:lpstr>AnyEq_ParamTypes1</vt:lpstr>
      <vt:lpstr>UOMSet_British</vt:lpstr>
      <vt:lpstr>Links</vt:lpstr>
      <vt:lpstr>rngFilenames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Antw</dc:creator>
  <cp:lastModifiedBy>Antw</cp:lastModifiedBy>
  <dcterms:created xsi:type="dcterms:W3CDTF">2018-02-25T20:17:49Z</dcterms:created>
  <dcterms:modified xsi:type="dcterms:W3CDTF">2018-03-18T09:57:06Z</dcterms:modified>
</cp:coreProperties>
</file>