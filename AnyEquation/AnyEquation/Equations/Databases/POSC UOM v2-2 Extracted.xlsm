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comments2.xml" ContentType="application/vnd.openxmlformats-officedocument.spreadsheetml.comments+xml"/>
  <Override PartName="/xl/printerSettings/printerSettings2.bin" ContentType="application/vnd.openxmlformats-officedocument.spreadsheetml.printerSettings"/>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730" codeName="{91B80F79-697F-C00D-A1F8-6C9A07846A5C}"/>
  <workbookPr codeName="ThisWorkbook" defaultThemeVersion="124226"/>
  <mc:AlternateContent xmlns:mc="http://schemas.openxmlformats.org/markup-compatibility/2006">
    <mc:Choice Requires="x15">
      <x15ac:absPath xmlns:x15ac="http://schemas.microsoft.com/office/spreadsheetml/2010/11/ac" url="C:\Users\Antw\Source\Repos\AnyEquation\AnyEquation\AnyEquation\Equations\Databases\"/>
    </mc:Choice>
  </mc:AlternateContent>
  <bookViews>
    <workbookView xWindow="120" yWindow="150" windowWidth="18840" windowHeight="7140" firstSheet="2" activeTab="8" xr2:uid="{00000000-000D-0000-FFFF-FFFF00000000}"/>
  </bookViews>
  <sheets>
    <sheet name="Table of Base Units" sheetId="2" r:id="rId1"/>
    <sheet name="Table of Customary Units" sheetId="3" r:id="rId2"/>
    <sheet name="Notes" sheetId="4" r:id="rId3"/>
    <sheet name="Extract" sheetId="8" r:id="rId4"/>
    <sheet name="CoreSI" sheetId="10" r:id="rId5"/>
    <sheet name="ParamPopularity" sheetId="13" r:id="rId6"/>
    <sheet name="tblInfo" sheetId="14" r:id="rId7"/>
    <sheet name="tblParamTypes" sheetId="5" r:id="rId8"/>
    <sheet name="tblUOM" sheetId="6" r:id="rId9"/>
    <sheet name="Sheet1" sheetId="12" r:id="rId10"/>
    <sheet name="tblUomParts" sheetId="7" r:id="rId11"/>
  </sheets>
  <functionGroups builtInGroupCount="19"/>
  <definedNames>
    <definedName name="rngBaseUnits">'Table of Base Units'!$A$1:$F$267</definedName>
    <definedName name="rngCoreUom">CoreSI!$A$3:$O$174</definedName>
    <definedName name="rngCustomaryUnits">'Table of Customary Units'!$A$1:$J$2184</definedName>
    <definedName name="rngHdrParamTypes">tblParamTypes!$A$1:$R$1</definedName>
    <definedName name="rngParamPopularity">ParamPopularity!$B$2:$C$260</definedName>
    <definedName name="rngParamTypes">tblParamTypes!$A$2:$R$2221</definedName>
    <definedName name="rngUOM">tblUOM!$A$2:$M$3704</definedName>
  </definedNames>
  <calcPr calcId="171027"/>
</workbook>
</file>

<file path=xl/calcChain.xml><?xml version="1.0" encoding="utf-8"?>
<calcChain xmlns="http://schemas.openxmlformats.org/spreadsheetml/2006/main">
  <c r="N1140" i="6" l="1" a="1"/>
  <c r="N1140" i="6" s="1"/>
  <c r="N1139" i="6" a="1"/>
  <c r="N1139" i="6" s="1"/>
  <c r="N1138" i="6" a="1"/>
  <c r="N1138" i="6" s="1"/>
  <c r="N1137" i="6" a="1"/>
  <c r="N1137" i="6" s="1"/>
  <c r="N1136" i="6" a="1"/>
  <c r="N1136" i="6" s="1"/>
  <c r="N1135" i="6" a="1"/>
  <c r="N1135" i="6" s="1"/>
  <c r="N1134" i="6" a="1"/>
  <c r="N1134" i="6" s="1"/>
  <c r="N1133" i="6" a="1"/>
  <c r="N1133" i="6" s="1"/>
  <c r="N1132" i="6" a="1"/>
  <c r="N1132" i="6" s="1"/>
  <c r="N1131" i="6" a="1"/>
  <c r="N1131" i="6" s="1"/>
  <c r="N1130" i="6" a="1"/>
  <c r="N1130" i="6" s="1"/>
  <c r="N1129" i="6" a="1"/>
  <c r="N1129" i="6" s="1"/>
  <c r="N1128" i="6" a="1"/>
  <c r="N1128" i="6" s="1"/>
  <c r="N1127" i="6" a="1"/>
  <c r="N1127" i="6" s="1"/>
  <c r="N1126" i="6" a="1"/>
  <c r="N1126" i="6" s="1"/>
  <c r="N1125" i="6" a="1"/>
  <c r="N1125" i="6" s="1"/>
  <c r="N1124" i="6" a="1"/>
  <c r="N1124" i="6" s="1"/>
  <c r="N1123" i="6" a="1"/>
  <c r="N1123" i="6" s="1"/>
  <c r="N1122" i="6" a="1"/>
  <c r="N1122" i="6" s="1"/>
  <c r="N1121" i="6" a="1"/>
  <c r="N1121" i="6" s="1"/>
  <c r="N1120" i="6" a="1"/>
  <c r="N1120" i="6" s="1"/>
  <c r="N1119" i="6" a="1"/>
  <c r="N1119" i="6" s="1"/>
  <c r="N1118" i="6" a="1"/>
  <c r="N1118" i="6" s="1"/>
  <c r="N1117" i="6" a="1"/>
  <c r="N1117" i="6" s="1"/>
  <c r="N1116" i="6" a="1"/>
  <c r="N1116" i="6" s="1"/>
  <c r="N1115" i="6" a="1"/>
  <c r="N1115" i="6" s="1"/>
  <c r="N1114" i="6" a="1"/>
  <c r="N1114" i="6" s="1"/>
  <c r="N1113" i="6" a="1"/>
  <c r="N1113" i="6" s="1"/>
  <c r="N1112" i="6" a="1"/>
  <c r="N1112" i="6" s="1"/>
  <c r="N1111" i="6" a="1"/>
  <c r="N1111" i="6" s="1"/>
  <c r="N1110" i="6" a="1"/>
  <c r="N1110" i="6" s="1"/>
  <c r="N1109" i="6" a="1"/>
  <c r="N1109" i="6" s="1"/>
  <c r="N1108" i="6" a="1"/>
  <c r="N1108" i="6" s="1"/>
  <c r="N1107" i="6" a="1"/>
  <c r="N1107" i="6" s="1"/>
  <c r="N1106" i="6" a="1"/>
  <c r="N1106" i="6" s="1"/>
  <c r="N1105" i="6" a="1"/>
  <c r="N1105" i="6" s="1"/>
  <c r="N1104" i="6" a="1"/>
  <c r="N1104" i="6" s="1"/>
  <c r="N1103" i="6" a="1"/>
  <c r="N1103" i="6" s="1"/>
  <c r="N1102" i="6" a="1"/>
  <c r="N1102" i="6" s="1"/>
  <c r="N1101" i="6" a="1"/>
  <c r="N1101" i="6" s="1"/>
  <c r="N1100" i="6" a="1"/>
  <c r="N1100" i="6" s="1"/>
  <c r="N1099" i="6" a="1"/>
  <c r="N1099" i="6" s="1"/>
  <c r="N1098" i="6" a="1"/>
  <c r="N1098" i="6" s="1"/>
  <c r="N1097" i="6" a="1"/>
  <c r="N1097" i="6" s="1"/>
  <c r="N1096" i="6" a="1"/>
  <c r="N1096" i="6" s="1"/>
  <c r="N1095" i="6" a="1"/>
  <c r="N1095" i="6" s="1"/>
  <c r="N1094" i="6" a="1"/>
  <c r="N1094" i="6" s="1"/>
  <c r="N1093" i="6" a="1"/>
  <c r="N1093" i="6" s="1"/>
  <c r="N1092" i="6" a="1"/>
  <c r="N1092" i="6" s="1"/>
  <c r="N1091" i="6" a="1"/>
  <c r="N1091" i="6" s="1"/>
  <c r="N1090" i="6" a="1"/>
  <c r="N1090" i="6" s="1"/>
  <c r="N1089" i="6" a="1"/>
  <c r="N1089" i="6" s="1"/>
  <c r="N1088" i="6" a="1"/>
  <c r="N1088" i="6" s="1"/>
  <c r="N1087" i="6" a="1"/>
  <c r="N1087" i="6" s="1"/>
  <c r="N1086" i="6" a="1"/>
  <c r="N1086" i="6" s="1"/>
  <c r="N1085" i="6" a="1"/>
  <c r="N1085" i="6" s="1"/>
  <c r="N1084" i="6" a="1"/>
  <c r="N1084" i="6" s="1"/>
  <c r="N1083" i="6" a="1"/>
  <c r="N1083" i="6" s="1"/>
  <c r="N1082" i="6" a="1"/>
  <c r="N1082" i="6" s="1"/>
  <c r="N1081" i="6" a="1"/>
  <c r="N1081" i="6" s="1"/>
  <c r="N1080" i="6" a="1"/>
  <c r="N1080" i="6" s="1"/>
  <c r="N1079" i="6" a="1"/>
  <c r="N1079" i="6" s="1"/>
  <c r="N1078" i="6" a="1"/>
  <c r="N1078" i="6" s="1"/>
  <c r="N1077" i="6" a="1"/>
  <c r="N1077" i="6" s="1"/>
  <c r="N1076" i="6" a="1"/>
  <c r="N1076" i="6" s="1"/>
  <c r="N1075" i="6" a="1"/>
  <c r="N1075" i="6" s="1"/>
  <c r="N1074" i="6" a="1"/>
  <c r="N1074" i="6" s="1"/>
  <c r="N1073" i="6" a="1"/>
  <c r="N1073" i="6" s="1"/>
  <c r="N1072" i="6" a="1"/>
  <c r="N1072" i="6" s="1"/>
  <c r="N1071" i="6" a="1"/>
  <c r="N1071" i="6" s="1"/>
  <c r="N1070" i="6" a="1"/>
  <c r="N1070" i="6" s="1"/>
  <c r="N1069" i="6" a="1"/>
  <c r="N1069" i="6" s="1"/>
  <c r="N1068" i="6" a="1"/>
  <c r="N1068" i="6" s="1"/>
  <c r="N1067" i="6" a="1"/>
  <c r="N1067" i="6" s="1"/>
  <c r="N1066" i="6" a="1"/>
  <c r="N1066" i="6" s="1"/>
  <c r="N1065" i="6" a="1"/>
  <c r="N1065" i="6" s="1"/>
  <c r="N1064" i="6" a="1"/>
  <c r="N1064" i="6" s="1"/>
  <c r="N1063" i="6" a="1"/>
  <c r="N1063" i="6" s="1"/>
  <c r="N1062" i="6" a="1"/>
  <c r="N1062" i="6" s="1"/>
  <c r="N1061" i="6" a="1"/>
  <c r="N1061" i="6" s="1"/>
  <c r="N1060" i="6" a="1"/>
  <c r="N1060" i="6" s="1"/>
  <c r="N1059" i="6" a="1"/>
  <c r="N1059" i="6" s="1"/>
  <c r="N1058" i="6" a="1"/>
  <c r="N1058" i="6" s="1"/>
  <c r="N1057" i="6" a="1"/>
  <c r="N1057" i="6" s="1"/>
  <c r="N1056" i="6" a="1"/>
  <c r="N1056" i="6" s="1"/>
  <c r="N1055" i="6" a="1"/>
  <c r="N1055" i="6" s="1"/>
  <c r="N1054" i="6" a="1"/>
  <c r="N1054" i="6" s="1"/>
  <c r="N1053" i="6" a="1"/>
  <c r="N1053" i="6" s="1"/>
  <c r="N1052" i="6" a="1"/>
  <c r="N1052" i="6" s="1"/>
  <c r="N1051" i="6" a="1"/>
  <c r="N1051" i="6" s="1"/>
  <c r="N1050" i="6" a="1"/>
  <c r="N1050" i="6" s="1"/>
  <c r="N1049" i="6" a="1"/>
  <c r="N1049" i="6" s="1"/>
  <c r="N1048" i="6" a="1"/>
  <c r="N1048" i="6" s="1"/>
  <c r="N1047" i="6" a="1"/>
  <c r="N1047" i="6" s="1"/>
  <c r="N1046" i="6" a="1"/>
  <c r="N1046" i="6" s="1"/>
  <c r="N1045" i="6" a="1"/>
  <c r="N1045" i="6" s="1"/>
  <c r="N1044" i="6" a="1"/>
  <c r="N1044" i="6" s="1"/>
  <c r="N1043" i="6" a="1"/>
  <c r="N1043" i="6" s="1"/>
  <c r="N1042" i="6" a="1"/>
  <c r="N1042" i="6" s="1"/>
  <c r="N1041" i="6" a="1"/>
  <c r="N1041" i="6" s="1"/>
  <c r="N1040" i="6" a="1"/>
  <c r="N1040" i="6" s="1"/>
  <c r="N1039" i="6" a="1"/>
  <c r="N1039" i="6" s="1"/>
  <c r="N1038" i="6" a="1"/>
  <c r="N1038" i="6" s="1"/>
  <c r="N1037" i="6" a="1"/>
  <c r="N1037" i="6" s="1"/>
  <c r="N1036" i="6" a="1"/>
  <c r="N1036" i="6" s="1"/>
  <c r="N1035" i="6" a="1"/>
  <c r="N1035" i="6" s="1"/>
  <c r="N1034" i="6" a="1"/>
  <c r="N1034" i="6" s="1"/>
  <c r="N1033" i="6" a="1"/>
  <c r="N1033" i="6" s="1"/>
  <c r="N1032" i="6" a="1"/>
  <c r="N1032" i="6" s="1"/>
  <c r="N1031" i="6" a="1"/>
  <c r="N1031" i="6" s="1"/>
  <c r="N1030" i="6" a="1"/>
  <c r="N1030" i="6" s="1"/>
  <c r="N1029" i="6" a="1"/>
  <c r="N1029" i="6" s="1"/>
  <c r="N1028" i="6" a="1"/>
  <c r="N1028" i="6" s="1"/>
  <c r="N1027" i="6" a="1"/>
  <c r="N1027" i="6" s="1"/>
  <c r="N1026" i="6" a="1"/>
  <c r="N1026" i="6" s="1"/>
  <c r="N1025" i="6" a="1"/>
  <c r="N1025" i="6" s="1"/>
  <c r="N1024" i="6" a="1"/>
  <c r="N1024" i="6" s="1"/>
  <c r="N1023" i="6" a="1"/>
  <c r="N1023" i="6" s="1"/>
  <c r="N1022" i="6" a="1"/>
  <c r="N1022" i="6" s="1"/>
  <c r="N1021" i="6" a="1"/>
  <c r="N1021" i="6" s="1"/>
  <c r="N1020" i="6" a="1"/>
  <c r="N1020" i="6" s="1"/>
  <c r="N1019" i="6" a="1"/>
  <c r="N1019" i="6" s="1"/>
  <c r="N1018" i="6" a="1"/>
  <c r="N1018" i="6" s="1"/>
  <c r="N1017" i="6" a="1"/>
  <c r="N1017" i="6" s="1"/>
  <c r="N1016" i="6" a="1"/>
  <c r="N1016" i="6" s="1"/>
  <c r="N1015" i="6" a="1"/>
  <c r="N1015" i="6" s="1"/>
  <c r="N1014" i="6" a="1"/>
  <c r="N1014" i="6" s="1"/>
  <c r="N1013" i="6" a="1"/>
  <c r="N1013" i="6" s="1"/>
  <c r="N1012" i="6" a="1"/>
  <c r="N1012" i="6" s="1"/>
  <c r="N1011" i="6" a="1"/>
  <c r="N1011" i="6" s="1"/>
  <c r="N1010" i="6" a="1"/>
  <c r="N1010" i="6" s="1"/>
  <c r="N1009" i="6" a="1"/>
  <c r="N1009" i="6" s="1"/>
  <c r="N1008" i="6" a="1"/>
  <c r="N1008" i="6" s="1"/>
  <c r="N1007" i="6" a="1"/>
  <c r="N1007" i="6" s="1"/>
  <c r="N1006" i="6" a="1"/>
  <c r="N1006" i="6" s="1"/>
  <c r="N1005" i="6" a="1"/>
  <c r="N1005" i="6" s="1"/>
  <c r="N1004" i="6" a="1"/>
  <c r="N1004" i="6" s="1"/>
  <c r="N1003" i="6" a="1"/>
  <c r="N1003" i="6" s="1"/>
  <c r="N1002" i="6" a="1"/>
  <c r="N1002" i="6" s="1"/>
  <c r="N1001" i="6" a="1"/>
  <c r="N1001" i="6" s="1"/>
  <c r="N1000" i="6" a="1"/>
  <c r="N1000" i="6" s="1"/>
  <c r="N999" i="6" a="1"/>
  <c r="N999" i="6" s="1"/>
  <c r="N998" i="6" a="1"/>
  <c r="N998" i="6" s="1"/>
  <c r="N997" i="6" a="1"/>
  <c r="N997" i="6" s="1"/>
  <c r="N996" i="6" a="1"/>
  <c r="N996" i="6" s="1"/>
  <c r="N995" i="6" a="1"/>
  <c r="N995" i="6" s="1"/>
  <c r="N994" i="6" a="1"/>
  <c r="N994" i="6" s="1"/>
  <c r="N993" i="6" a="1"/>
  <c r="N993" i="6" s="1"/>
  <c r="N992" i="6" a="1"/>
  <c r="N992" i="6" s="1"/>
  <c r="N991" i="6" a="1"/>
  <c r="N991" i="6" s="1"/>
  <c r="N990" i="6" a="1"/>
  <c r="N990" i="6" s="1"/>
  <c r="N989" i="6" a="1"/>
  <c r="N989" i="6" s="1"/>
  <c r="N988" i="6" a="1"/>
  <c r="N988" i="6" s="1"/>
  <c r="N987" i="6" a="1"/>
  <c r="N987" i="6" s="1"/>
  <c r="N986" i="6" a="1"/>
  <c r="N986" i="6" s="1"/>
  <c r="N985" i="6" a="1"/>
  <c r="N985" i="6" s="1"/>
  <c r="N984" i="6" a="1"/>
  <c r="N984" i="6" s="1"/>
  <c r="N983" i="6" a="1"/>
  <c r="N983" i="6" s="1"/>
  <c r="N982" i="6" a="1"/>
  <c r="N982" i="6" s="1"/>
  <c r="N981" i="6" a="1"/>
  <c r="N981" i="6" s="1"/>
  <c r="N980" i="6" a="1"/>
  <c r="N980" i="6" s="1"/>
  <c r="N979" i="6" a="1"/>
  <c r="N979" i="6" s="1"/>
  <c r="N978" i="6" a="1"/>
  <c r="N978" i="6" s="1"/>
  <c r="N977" i="6" a="1"/>
  <c r="N977" i="6" s="1"/>
  <c r="N976" i="6" a="1"/>
  <c r="N976" i="6" s="1"/>
  <c r="N975" i="6" a="1"/>
  <c r="N975" i="6" s="1"/>
  <c r="N974" i="6" a="1"/>
  <c r="N974" i="6" s="1"/>
  <c r="N973" i="6" a="1"/>
  <c r="N973" i="6" s="1"/>
  <c r="N972" i="6" a="1"/>
  <c r="N972" i="6" s="1"/>
  <c r="N971" i="6" a="1"/>
  <c r="N971" i="6" s="1"/>
  <c r="N970" i="6" a="1"/>
  <c r="N970" i="6" s="1"/>
  <c r="N969" i="6" a="1"/>
  <c r="N969" i="6" s="1"/>
  <c r="N968" i="6" a="1"/>
  <c r="N968" i="6" s="1"/>
  <c r="N967" i="6" a="1"/>
  <c r="N967" i="6" s="1"/>
  <c r="N966" i="6" a="1"/>
  <c r="N966" i="6" s="1"/>
  <c r="N965" i="6" a="1"/>
  <c r="N965" i="6" s="1"/>
  <c r="N964" i="6" a="1"/>
  <c r="N964" i="6" s="1"/>
  <c r="N963" i="6" a="1"/>
  <c r="N963" i="6" s="1"/>
  <c r="N962" i="6" a="1"/>
  <c r="N962" i="6" s="1"/>
  <c r="N961" i="6" a="1"/>
  <c r="N961" i="6" s="1"/>
  <c r="N960" i="6" a="1"/>
  <c r="N960" i="6" s="1"/>
  <c r="N959" i="6" a="1"/>
  <c r="N959" i="6" s="1"/>
  <c r="N958" i="6" a="1"/>
  <c r="N958" i="6" s="1"/>
  <c r="N957" i="6" a="1"/>
  <c r="N957" i="6" s="1"/>
  <c r="N956" i="6" a="1"/>
  <c r="N956" i="6" s="1"/>
  <c r="N955" i="6" a="1"/>
  <c r="N955" i="6" s="1"/>
  <c r="N954" i="6" a="1"/>
  <c r="N954" i="6" s="1"/>
  <c r="N953" i="6" a="1"/>
  <c r="N953" i="6" s="1"/>
  <c r="N952" i="6" a="1"/>
  <c r="N952" i="6" s="1"/>
  <c r="N951" i="6" a="1"/>
  <c r="N951" i="6" s="1"/>
  <c r="N950" i="6" a="1"/>
  <c r="N950" i="6" s="1"/>
  <c r="N949" i="6" a="1"/>
  <c r="N949" i="6" s="1"/>
  <c r="N948" i="6" a="1"/>
  <c r="N948" i="6" s="1"/>
  <c r="N947" i="6" a="1"/>
  <c r="N947" i="6" s="1"/>
  <c r="N946" i="6" a="1"/>
  <c r="N946" i="6" s="1"/>
  <c r="N945" i="6" a="1"/>
  <c r="N945" i="6" s="1"/>
  <c r="N944" i="6" a="1"/>
  <c r="N944" i="6" s="1"/>
  <c r="N943" i="6" a="1"/>
  <c r="N943" i="6" s="1"/>
  <c r="N942" i="6" a="1"/>
  <c r="N942" i="6" s="1"/>
  <c r="N941" i="6" a="1"/>
  <c r="N941" i="6" s="1"/>
  <c r="N940" i="6" a="1"/>
  <c r="N940" i="6" s="1"/>
  <c r="N939" i="6" a="1"/>
  <c r="N939" i="6" s="1"/>
  <c r="N938" i="6" a="1"/>
  <c r="N938" i="6" s="1"/>
  <c r="N937" i="6" a="1"/>
  <c r="N937" i="6" s="1"/>
  <c r="N936" i="6" a="1"/>
  <c r="N936" i="6" s="1"/>
  <c r="N935" i="6" a="1"/>
  <c r="N935" i="6" s="1"/>
  <c r="N934" i="6" a="1"/>
  <c r="N934" i="6" s="1"/>
  <c r="N933" i="6" a="1"/>
  <c r="N933" i="6" s="1"/>
  <c r="N932" i="6" a="1"/>
  <c r="N932" i="6" s="1"/>
  <c r="N931" i="6" a="1"/>
  <c r="N931" i="6" s="1"/>
  <c r="N930" i="6" a="1"/>
  <c r="N930" i="6" s="1"/>
  <c r="N929" i="6" a="1"/>
  <c r="N929" i="6" s="1"/>
  <c r="N928" i="6" a="1"/>
  <c r="N928" i="6" s="1"/>
  <c r="N927" i="6" a="1"/>
  <c r="N927" i="6" s="1"/>
  <c r="N926" i="6" a="1"/>
  <c r="N926" i="6" s="1"/>
  <c r="N925" i="6" a="1"/>
  <c r="N925" i="6" s="1"/>
  <c r="N924" i="6" a="1"/>
  <c r="N924" i="6" s="1"/>
  <c r="N923" i="6" a="1"/>
  <c r="N923" i="6" s="1"/>
  <c r="N922" i="6" a="1"/>
  <c r="N922" i="6" s="1"/>
  <c r="N921" i="6" a="1"/>
  <c r="N921" i="6" s="1"/>
  <c r="N920" i="6" a="1"/>
  <c r="N920" i="6" s="1"/>
  <c r="N919" i="6" a="1"/>
  <c r="N919" i="6" s="1"/>
  <c r="N918" i="6" a="1"/>
  <c r="N918" i="6" s="1"/>
  <c r="N917" i="6" a="1"/>
  <c r="N917" i="6" s="1"/>
  <c r="N916" i="6" a="1"/>
  <c r="N916" i="6" s="1"/>
  <c r="N915" i="6" a="1"/>
  <c r="N915" i="6" s="1"/>
  <c r="N914" i="6" a="1"/>
  <c r="N914" i="6" s="1"/>
  <c r="N913" i="6" a="1"/>
  <c r="N913" i="6" s="1"/>
  <c r="N912" i="6" a="1"/>
  <c r="N912" i="6" s="1"/>
  <c r="N911" i="6" a="1"/>
  <c r="N911" i="6" s="1"/>
  <c r="N910" i="6" a="1"/>
  <c r="N910" i="6" s="1"/>
  <c r="N909" i="6" a="1"/>
  <c r="N909" i="6" s="1"/>
  <c r="N908" i="6" a="1"/>
  <c r="N908" i="6" s="1"/>
  <c r="N907" i="6" a="1"/>
  <c r="N907" i="6" s="1"/>
  <c r="N906" i="6" a="1"/>
  <c r="N906" i="6" s="1"/>
  <c r="N905" i="6" a="1"/>
  <c r="N905" i="6" s="1"/>
  <c r="N904" i="6" a="1"/>
  <c r="N904" i="6" s="1"/>
  <c r="N903" i="6" a="1"/>
  <c r="N903" i="6" s="1"/>
  <c r="N902" i="6" a="1"/>
  <c r="N902" i="6" s="1"/>
  <c r="N901" i="6" a="1"/>
  <c r="N901" i="6" s="1"/>
  <c r="N900" i="6" a="1"/>
  <c r="N900" i="6" s="1"/>
  <c r="N899" i="6" a="1"/>
  <c r="N899" i="6" s="1"/>
  <c r="N898" i="6" a="1"/>
  <c r="N898" i="6" s="1"/>
  <c r="N897" i="6" a="1"/>
  <c r="N897" i="6" s="1"/>
  <c r="N896" i="6" a="1"/>
  <c r="N896" i="6" s="1"/>
  <c r="N895" i="6" a="1"/>
  <c r="N895" i="6" s="1"/>
  <c r="N894" i="6" a="1"/>
  <c r="N894" i="6" s="1"/>
  <c r="N893" i="6" a="1"/>
  <c r="N893" i="6" s="1"/>
  <c r="N892" i="6" a="1"/>
  <c r="N892" i="6" s="1"/>
  <c r="N891" i="6" a="1"/>
  <c r="N891" i="6" s="1"/>
  <c r="N890" i="6" a="1"/>
  <c r="N890" i="6" s="1"/>
  <c r="N889" i="6" a="1"/>
  <c r="N889" i="6" s="1"/>
  <c r="N888" i="6" a="1"/>
  <c r="N888" i="6" s="1"/>
  <c r="N887" i="6" a="1"/>
  <c r="N887" i="6" s="1"/>
  <c r="N886" i="6" a="1"/>
  <c r="N886" i="6" s="1"/>
  <c r="N885" i="6" a="1"/>
  <c r="N885" i="6" s="1"/>
  <c r="N884" i="6" a="1"/>
  <c r="N884" i="6" s="1"/>
  <c r="N883" i="6" a="1"/>
  <c r="N883" i="6" s="1"/>
  <c r="N882" i="6" a="1"/>
  <c r="N882" i="6" s="1"/>
  <c r="N881" i="6" a="1"/>
  <c r="N881" i="6" s="1"/>
  <c r="N880" i="6" a="1"/>
  <c r="N880" i="6" s="1"/>
  <c r="N879" i="6" a="1"/>
  <c r="N879" i="6" s="1"/>
  <c r="N878" i="6" a="1"/>
  <c r="N878" i="6" s="1"/>
  <c r="N877" i="6" a="1"/>
  <c r="N877" i="6" s="1"/>
  <c r="N876" i="6" a="1"/>
  <c r="N876" i="6" s="1"/>
  <c r="N875" i="6" a="1"/>
  <c r="N875" i="6" s="1"/>
  <c r="N874" i="6" a="1"/>
  <c r="N874" i="6" s="1"/>
  <c r="N873" i="6" a="1"/>
  <c r="N873" i="6" s="1"/>
  <c r="N872" i="6" a="1"/>
  <c r="N872" i="6" s="1"/>
  <c r="N871" i="6" a="1"/>
  <c r="N871" i="6" s="1"/>
  <c r="N870" i="6" a="1"/>
  <c r="N870" i="6" s="1"/>
  <c r="N869" i="6" a="1"/>
  <c r="N869" i="6" s="1"/>
  <c r="N868" i="6" a="1"/>
  <c r="N868" i="6" s="1"/>
  <c r="N867" i="6" a="1"/>
  <c r="N867" i="6" s="1"/>
  <c r="N866" i="6" a="1"/>
  <c r="N866" i="6" s="1"/>
  <c r="N865" i="6" a="1"/>
  <c r="N865" i="6" s="1"/>
  <c r="N864" i="6" a="1"/>
  <c r="N864" i="6" s="1"/>
  <c r="N863" i="6" a="1"/>
  <c r="N863" i="6" s="1"/>
  <c r="N862" i="6" a="1"/>
  <c r="N862" i="6" s="1"/>
  <c r="N861" i="6" a="1"/>
  <c r="N861" i="6" s="1"/>
  <c r="N860" i="6" a="1"/>
  <c r="N860" i="6" s="1"/>
  <c r="N859" i="6" a="1"/>
  <c r="N859" i="6" s="1"/>
  <c r="N858" i="6" a="1"/>
  <c r="N858" i="6" s="1"/>
  <c r="N857" i="6" a="1"/>
  <c r="N857" i="6" s="1"/>
  <c r="N856" i="6" a="1"/>
  <c r="N856" i="6" s="1"/>
  <c r="N855" i="6" a="1"/>
  <c r="N855" i="6" s="1"/>
  <c r="N854" i="6" a="1"/>
  <c r="N854" i="6" s="1"/>
  <c r="N853" i="6" a="1"/>
  <c r="N853" i="6" s="1"/>
  <c r="N852" i="6" a="1"/>
  <c r="N852" i="6" s="1"/>
  <c r="N851" i="6" a="1"/>
  <c r="N851" i="6" s="1"/>
  <c r="N850" i="6" a="1"/>
  <c r="N850" i="6" s="1"/>
  <c r="N849" i="6" a="1"/>
  <c r="N849" i="6" s="1"/>
  <c r="N848" i="6" a="1"/>
  <c r="N848" i="6" s="1"/>
  <c r="N847" i="6" a="1"/>
  <c r="N847" i="6" s="1"/>
  <c r="N846" i="6" a="1"/>
  <c r="N846" i="6" s="1"/>
  <c r="N845" i="6" a="1"/>
  <c r="N845" i="6" s="1"/>
  <c r="N844" i="6" a="1"/>
  <c r="N844" i="6" s="1"/>
  <c r="N843" i="6" a="1"/>
  <c r="N843" i="6" s="1"/>
  <c r="N842" i="6" a="1"/>
  <c r="N842" i="6" s="1"/>
  <c r="N841" i="6" a="1"/>
  <c r="N841" i="6" s="1"/>
  <c r="N840" i="6" a="1"/>
  <c r="N840" i="6" s="1"/>
  <c r="N839" i="6" a="1"/>
  <c r="N839" i="6" s="1"/>
  <c r="N838" i="6" a="1"/>
  <c r="N838" i="6" s="1"/>
  <c r="N837" i="6" a="1"/>
  <c r="N837" i="6" s="1"/>
  <c r="N836" i="6" a="1"/>
  <c r="N836" i="6" s="1"/>
  <c r="N835" i="6" a="1"/>
  <c r="N835" i="6" s="1"/>
  <c r="N834" i="6" a="1"/>
  <c r="N834" i="6" s="1"/>
  <c r="N833" i="6" a="1"/>
  <c r="N833" i="6" s="1"/>
  <c r="N832" i="6" a="1"/>
  <c r="N832" i="6" s="1"/>
  <c r="N831" i="6" a="1"/>
  <c r="N831" i="6" s="1"/>
  <c r="N830" i="6" a="1"/>
  <c r="N830" i="6" s="1"/>
  <c r="N829" i="6" a="1"/>
  <c r="N829" i="6" s="1"/>
  <c r="N828" i="6" a="1"/>
  <c r="N828" i="6" s="1"/>
  <c r="N827" i="6" a="1"/>
  <c r="N827" i="6" s="1"/>
  <c r="N826" i="6" a="1"/>
  <c r="N826" i="6" s="1"/>
  <c r="N825" i="6" a="1"/>
  <c r="N825" i="6" s="1"/>
  <c r="N824" i="6" a="1"/>
  <c r="N824" i="6" s="1"/>
  <c r="N823" i="6" a="1"/>
  <c r="N823" i="6" s="1"/>
  <c r="N822" i="6" a="1"/>
  <c r="N822" i="6" s="1"/>
  <c r="N821" i="6" a="1"/>
  <c r="N821" i="6" s="1"/>
  <c r="N820" i="6" a="1"/>
  <c r="N820" i="6" s="1"/>
  <c r="N819" i="6" a="1"/>
  <c r="N819" i="6" s="1"/>
  <c r="N818" i="6" a="1"/>
  <c r="N818" i="6" s="1"/>
  <c r="N817" i="6" a="1"/>
  <c r="N817" i="6" s="1"/>
  <c r="N816" i="6" a="1"/>
  <c r="N816" i="6" s="1"/>
  <c r="N815" i="6" a="1"/>
  <c r="N815" i="6" s="1"/>
  <c r="N814" i="6" a="1"/>
  <c r="N814" i="6" s="1"/>
  <c r="N813" i="6" a="1"/>
  <c r="N813" i="6" s="1"/>
  <c r="N812" i="6" a="1"/>
  <c r="N812" i="6" s="1"/>
  <c r="N811" i="6" a="1"/>
  <c r="N811" i="6" s="1"/>
  <c r="N810" i="6" a="1"/>
  <c r="N810" i="6" s="1"/>
  <c r="N809" i="6" a="1"/>
  <c r="N809" i="6" s="1"/>
  <c r="N808" i="6" a="1"/>
  <c r="N808" i="6" s="1"/>
  <c r="N807" i="6" a="1"/>
  <c r="N807" i="6" s="1"/>
  <c r="N806" i="6" a="1"/>
  <c r="N806" i="6" s="1"/>
  <c r="N805" i="6" a="1"/>
  <c r="N805" i="6" s="1"/>
  <c r="N804" i="6" a="1"/>
  <c r="N804" i="6" s="1"/>
  <c r="N803" i="6" a="1"/>
  <c r="N803" i="6" s="1"/>
  <c r="N802" i="6" a="1"/>
  <c r="N802" i="6" s="1"/>
  <c r="N801" i="6" a="1"/>
  <c r="N801" i="6" s="1"/>
  <c r="N800" i="6" a="1"/>
  <c r="N800" i="6" s="1"/>
  <c r="N799" i="6" a="1"/>
  <c r="N799" i="6" s="1"/>
  <c r="N798" i="6" a="1"/>
  <c r="N798" i="6" s="1"/>
  <c r="N797" i="6" a="1"/>
  <c r="N797" i="6" s="1"/>
  <c r="N796" i="6" a="1"/>
  <c r="N796" i="6" s="1"/>
  <c r="N795" i="6" a="1"/>
  <c r="N795" i="6" s="1"/>
  <c r="N794" i="6" a="1"/>
  <c r="N794" i="6" s="1"/>
  <c r="N793" i="6" a="1"/>
  <c r="N793" i="6" s="1"/>
  <c r="N792" i="6" a="1"/>
  <c r="N792" i="6" s="1"/>
  <c r="N791" i="6" a="1"/>
  <c r="N791" i="6" s="1"/>
  <c r="N790" i="6" a="1"/>
  <c r="N790" i="6" s="1"/>
  <c r="N789" i="6" a="1"/>
  <c r="N789" i="6" s="1"/>
  <c r="N788" i="6" a="1"/>
  <c r="N788" i="6" s="1"/>
  <c r="N787" i="6" a="1"/>
  <c r="N787" i="6" s="1"/>
  <c r="N786" i="6" a="1"/>
  <c r="N786" i="6" s="1"/>
  <c r="N785" i="6" a="1"/>
  <c r="N785" i="6" s="1"/>
  <c r="N784" i="6" a="1"/>
  <c r="N784" i="6" s="1"/>
  <c r="N783" i="6" a="1"/>
  <c r="N783" i="6" s="1"/>
  <c r="N782" i="6" a="1"/>
  <c r="N782" i="6" s="1"/>
  <c r="N781" i="6" a="1"/>
  <c r="N781" i="6" s="1"/>
  <c r="N780" i="6" a="1"/>
  <c r="N780" i="6" s="1"/>
  <c r="N779" i="6" a="1"/>
  <c r="N779" i="6" s="1"/>
  <c r="N778" i="6" a="1"/>
  <c r="N778" i="6" s="1"/>
  <c r="N777" i="6" a="1"/>
  <c r="N777" i="6" s="1"/>
  <c r="N776" i="6" a="1"/>
  <c r="N776" i="6" s="1"/>
  <c r="N775" i="6" a="1"/>
  <c r="N775" i="6" s="1"/>
  <c r="N774" i="6" a="1"/>
  <c r="N774" i="6" s="1"/>
  <c r="N773" i="6" a="1"/>
  <c r="N773" i="6" s="1"/>
  <c r="N772" i="6" a="1"/>
  <c r="N772" i="6" s="1"/>
  <c r="N771" i="6" a="1"/>
  <c r="N771" i="6" s="1"/>
  <c r="N770" i="6" a="1"/>
  <c r="N770" i="6" s="1"/>
  <c r="N769" i="6" a="1"/>
  <c r="N769" i="6" s="1"/>
  <c r="N768" i="6" a="1"/>
  <c r="N768" i="6" s="1"/>
  <c r="N767" i="6" a="1"/>
  <c r="N767" i="6" s="1"/>
  <c r="N766" i="6" a="1"/>
  <c r="N766" i="6" s="1"/>
  <c r="N765" i="6" a="1"/>
  <c r="N765" i="6" s="1"/>
  <c r="N764" i="6" a="1"/>
  <c r="N764" i="6" s="1"/>
  <c r="N763" i="6" a="1"/>
  <c r="N763" i="6" s="1"/>
  <c r="N762" i="6" a="1"/>
  <c r="N762" i="6" s="1"/>
  <c r="N761" i="6" a="1"/>
  <c r="N761" i="6" s="1"/>
  <c r="N760" i="6" a="1"/>
  <c r="N760" i="6" s="1"/>
  <c r="N759" i="6" a="1"/>
  <c r="N759" i="6" s="1"/>
  <c r="N758" i="6" a="1"/>
  <c r="N758" i="6" s="1"/>
  <c r="N757" i="6" a="1"/>
  <c r="N757" i="6" s="1"/>
  <c r="N756" i="6" a="1"/>
  <c r="N756" i="6" s="1"/>
  <c r="N755" i="6" a="1"/>
  <c r="N755" i="6" s="1"/>
  <c r="N754" i="6" a="1"/>
  <c r="N754" i="6" s="1"/>
  <c r="N753" i="6" a="1"/>
  <c r="N753" i="6" s="1"/>
  <c r="N752" i="6" a="1"/>
  <c r="N752" i="6" s="1"/>
  <c r="N751" i="6" a="1"/>
  <c r="N751" i="6" s="1"/>
  <c r="N750" i="6" a="1"/>
  <c r="N750" i="6" s="1"/>
  <c r="N749" i="6" a="1"/>
  <c r="N749" i="6" s="1"/>
  <c r="N748" i="6" a="1"/>
  <c r="N748" i="6" s="1"/>
  <c r="N747" i="6" a="1"/>
  <c r="N747" i="6" s="1"/>
  <c r="N746" i="6" a="1"/>
  <c r="N746" i="6" s="1"/>
  <c r="N745" i="6" a="1"/>
  <c r="N745" i="6" s="1"/>
  <c r="N744" i="6" a="1"/>
  <c r="N744" i="6" s="1"/>
  <c r="N743" i="6" a="1"/>
  <c r="N743" i="6" s="1"/>
  <c r="N742" i="6" a="1"/>
  <c r="N742" i="6" s="1"/>
  <c r="N741" i="6" a="1"/>
  <c r="N741" i="6" s="1"/>
  <c r="N740" i="6" a="1"/>
  <c r="N740" i="6" s="1"/>
  <c r="N739" i="6" a="1"/>
  <c r="N739" i="6" s="1"/>
  <c r="N738" i="6" a="1"/>
  <c r="N738" i="6" s="1"/>
  <c r="N737" i="6" a="1"/>
  <c r="N737" i="6" s="1"/>
  <c r="N736" i="6" a="1"/>
  <c r="N736" i="6" s="1"/>
  <c r="N735" i="6" a="1"/>
  <c r="N735" i="6" s="1"/>
  <c r="N734" i="6" a="1"/>
  <c r="N734" i="6" s="1"/>
  <c r="N733" i="6" a="1"/>
  <c r="N733" i="6" s="1"/>
  <c r="N732" i="6" a="1"/>
  <c r="N732" i="6" s="1"/>
  <c r="N731" i="6" a="1"/>
  <c r="N731" i="6" s="1"/>
  <c r="N730" i="6" a="1"/>
  <c r="N730" i="6" s="1"/>
  <c r="N729" i="6" a="1"/>
  <c r="N729" i="6" s="1"/>
  <c r="N728" i="6" a="1"/>
  <c r="N728" i="6" s="1"/>
  <c r="N727" i="6" a="1"/>
  <c r="N727" i="6" s="1"/>
  <c r="N726" i="6" a="1"/>
  <c r="N726" i="6" s="1"/>
  <c r="N725" i="6" a="1"/>
  <c r="N725" i="6" s="1"/>
  <c r="N724" i="6" a="1"/>
  <c r="N724" i="6" s="1"/>
  <c r="N723" i="6" a="1"/>
  <c r="N723" i="6" s="1"/>
  <c r="N722" i="6" a="1"/>
  <c r="N722" i="6" s="1"/>
  <c r="N721" i="6" a="1"/>
  <c r="N721" i="6" s="1"/>
  <c r="N720" i="6" a="1"/>
  <c r="N720" i="6" s="1"/>
  <c r="N719" i="6" a="1"/>
  <c r="N719" i="6" s="1"/>
  <c r="N718" i="6" a="1"/>
  <c r="N718" i="6" s="1"/>
  <c r="N717" i="6" a="1"/>
  <c r="N717" i="6" s="1"/>
  <c r="N716" i="6" a="1"/>
  <c r="N716" i="6" s="1"/>
  <c r="N715" i="6" a="1"/>
  <c r="N715" i="6" s="1"/>
  <c r="N714" i="6" a="1"/>
  <c r="N714" i="6" s="1"/>
  <c r="N713" i="6" a="1"/>
  <c r="N713" i="6" s="1"/>
  <c r="N712" i="6" a="1"/>
  <c r="N712" i="6" s="1"/>
  <c r="N711" i="6" a="1"/>
  <c r="N711" i="6" s="1"/>
  <c r="N710" i="6" a="1"/>
  <c r="N710" i="6" s="1"/>
  <c r="N709" i="6" a="1"/>
  <c r="N709" i="6" s="1"/>
  <c r="N708" i="6" a="1"/>
  <c r="N708" i="6" s="1"/>
  <c r="N707" i="6" a="1"/>
  <c r="N707" i="6" s="1"/>
  <c r="N706" i="6" a="1"/>
  <c r="N706" i="6" s="1"/>
  <c r="N705" i="6" a="1"/>
  <c r="N705" i="6" s="1"/>
  <c r="N704" i="6" a="1"/>
  <c r="N704" i="6" s="1"/>
  <c r="N703" i="6" a="1"/>
  <c r="N703" i="6" s="1"/>
  <c r="N702" i="6" a="1"/>
  <c r="N702" i="6" s="1"/>
  <c r="N701" i="6" a="1"/>
  <c r="N701" i="6" s="1"/>
  <c r="N700" i="6" a="1"/>
  <c r="N700" i="6" s="1"/>
  <c r="N699" i="6" a="1"/>
  <c r="N699" i="6" s="1"/>
  <c r="N698" i="6" a="1"/>
  <c r="N698" i="6" s="1"/>
  <c r="N697" i="6" a="1"/>
  <c r="N697" i="6" s="1"/>
  <c r="N696" i="6" a="1"/>
  <c r="N696" i="6" s="1"/>
  <c r="N695" i="6" a="1"/>
  <c r="N695" i="6" s="1"/>
  <c r="N694" i="6" a="1"/>
  <c r="N694" i="6" s="1"/>
  <c r="N693" i="6" a="1"/>
  <c r="N693" i="6" s="1"/>
  <c r="N692" i="6" a="1"/>
  <c r="N692" i="6" s="1"/>
  <c r="N691" i="6" a="1"/>
  <c r="N691" i="6" s="1"/>
  <c r="N690" i="6" a="1"/>
  <c r="N690" i="6" s="1"/>
  <c r="N689" i="6" a="1"/>
  <c r="N689" i="6" s="1"/>
  <c r="N688" i="6" a="1"/>
  <c r="N688" i="6" s="1"/>
  <c r="N687" i="6" a="1"/>
  <c r="N687" i="6" s="1"/>
  <c r="N686" i="6" a="1"/>
  <c r="N686" i="6" s="1"/>
  <c r="N685" i="6" a="1"/>
  <c r="N685" i="6" s="1"/>
  <c r="N684" i="6" a="1"/>
  <c r="N684" i="6" s="1"/>
  <c r="N683" i="6" a="1"/>
  <c r="N683" i="6" s="1"/>
  <c r="N682" i="6" a="1"/>
  <c r="N682" i="6" s="1"/>
  <c r="N681" i="6" a="1"/>
  <c r="N681" i="6" s="1"/>
  <c r="N680" i="6" a="1"/>
  <c r="N680" i="6" s="1"/>
  <c r="N679" i="6" a="1"/>
  <c r="N679" i="6" s="1"/>
  <c r="N678" i="6" a="1"/>
  <c r="N678" i="6" s="1"/>
  <c r="N677" i="6" a="1"/>
  <c r="N677" i="6" s="1"/>
  <c r="N676" i="6" a="1"/>
  <c r="N676" i="6" s="1"/>
  <c r="N675" i="6" a="1"/>
  <c r="N675" i="6" s="1"/>
  <c r="N674" i="6" a="1"/>
  <c r="N674" i="6" s="1"/>
  <c r="N673" i="6" a="1"/>
  <c r="N673" i="6" s="1"/>
  <c r="N672" i="6" a="1"/>
  <c r="N672" i="6" s="1"/>
  <c r="N671" i="6" a="1"/>
  <c r="N671" i="6" s="1"/>
  <c r="N670" i="6" a="1"/>
  <c r="N670" i="6" s="1"/>
  <c r="N669" i="6" a="1"/>
  <c r="N669" i="6" s="1"/>
  <c r="N668" i="6" a="1"/>
  <c r="N668" i="6" s="1"/>
  <c r="N667" i="6" a="1"/>
  <c r="N667" i="6" s="1"/>
  <c r="N666" i="6" a="1"/>
  <c r="N666" i="6" s="1"/>
  <c r="N665" i="6" a="1"/>
  <c r="N665" i="6" s="1"/>
  <c r="N664" i="6" a="1"/>
  <c r="N664" i="6" s="1"/>
  <c r="N663" i="6" a="1"/>
  <c r="N663" i="6" s="1"/>
  <c r="N662" i="6" a="1"/>
  <c r="N662" i="6" s="1"/>
  <c r="N661" i="6" a="1"/>
  <c r="N661" i="6" s="1"/>
  <c r="N660" i="6" a="1"/>
  <c r="N660" i="6" s="1"/>
  <c r="N659" i="6" a="1"/>
  <c r="N659" i="6" s="1"/>
  <c r="N658" i="6" a="1"/>
  <c r="N658" i="6" s="1"/>
  <c r="N657" i="6" a="1"/>
  <c r="N657" i="6" s="1"/>
  <c r="N656" i="6" a="1"/>
  <c r="N656" i="6" s="1"/>
  <c r="N655" i="6" a="1"/>
  <c r="N655" i="6" s="1"/>
  <c r="N654" i="6" a="1"/>
  <c r="N654" i="6" s="1"/>
  <c r="N653" i="6" a="1"/>
  <c r="N653" i="6" s="1"/>
  <c r="N652" i="6" a="1"/>
  <c r="N652" i="6" s="1"/>
  <c r="N651" i="6" a="1"/>
  <c r="N651" i="6" s="1"/>
  <c r="N650" i="6" a="1"/>
  <c r="N650" i="6" s="1"/>
  <c r="N649" i="6" a="1"/>
  <c r="N649" i="6" s="1"/>
  <c r="N648" i="6" a="1"/>
  <c r="N648" i="6" s="1"/>
  <c r="N647" i="6" a="1"/>
  <c r="N647" i="6" s="1"/>
  <c r="N646" i="6" a="1"/>
  <c r="N646" i="6" s="1"/>
  <c r="N645" i="6" a="1"/>
  <c r="N645" i="6" s="1"/>
  <c r="N644" i="6" a="1"/>
  <c r="N644" i="6" s="1"/>
  <c r="N643" i="6" a="1"/>
  <c r="N643" i="6" s="1"/>
  <c r="N642" i="6" a="1"/>
  <c r="N642" i="6" s="1"/>
  <c r="N641" i="6" a="1"/>
  <c r="N641" i="6" s="1"/>
  <c r="N640" i="6" a="1"/>
  <c r="N640" i="6" s="1"/>
  <c r="N639" i="6" a="1"/>
  <c r="N639" i="6" s="1"/>
  <c r="N638" i="6" a="1"/>
  <c r="N638" i="6" s="1"/>
  <c r="N637" i="6" a="1"/>
  <c r="N637" i="6" s="1"/>
  <c r="N636" i="6" a="1"/>
  <c r="N636" i="6" s="1"/>
  <c r="N635" i="6" a="1"/>
  <c r="N635" i="6" s="1"/>
  <c r="N634" i="6" a="1"/>
  <c r="N634" i="6" s="1"/>
  <c r="N633" i="6" a="1"/>
  <c r="N633" i="6" s="1"/>
  <c r="N632" i="6" a="1"/>
  <c r="N632" i="6" s="1"/>
  <c r="N631" i="6" a="1"/>
  <c r="N631" i="6" s="1"/>
  <c r="N630" i="6" a="1"/>
  <c r="N630" i="6" s="1"/>
  <c r="N629" i="6" a="1"/>
  <c r="N629" i="6" s="1"/>
  <c r="N628" i="6" a="1"/>
  <c r="N628" i="6" s="1"/>
  <c r="N627" i="6" a="1"/>
  <c r="N627" i="6" s="1"/>
  <c r="N626" i="6" a="1"/>
  <c r="N626" i="6" s="1"/>
  <c r="N625" i="6" a="1"/>
  <c r="N625" i="6" s="1"/>
  <c r="N624" i="6" a="1"/>
  <c r="N624" i="6" s="1"/>
  <c r="N623" i="6" a="1"/>
  <c r="N623" i="6" s="1"/>
  <c r="N622" i="6" a="1"/>
  <c r="N622" i="6" s="1"/>
  <c r="N621" i="6" a="1"/>
  <c r="N621" i="6" s="1"/>
  <c r="N620" i="6" a="1"/>
  <c r="N620" i="6" s="1"/>
  <c r="N619" i="6" a="1"/>
  <c r="N619" i="6" s="1"/>
  <c r="N618" i="6" a="1"/>
  <c r="N618" i="6" s="1"/>
  <c r="N617" i="6" a="1"/>
  <c r="N617" i="6" s="1"/>
  <c r="N616" i="6" a="1"/>
  <c r="N616" i="6" s="1"/>
  <c r="N615" i="6" a="1"/>
  <c r="N615" i="6" s="1"/>
  <c r="N614" i="6" a="1"/>
  <c r="N614" i="6" s="1"/>
  <c r="N613" i="6" a="1"/>
  <c r="N613" i="6" s="1"/>
  <c r="N612" i="6" a="1"/>
  <c r="N612" i="6" s="1"/>
  <c r="N611" i="6" a="1"/>
  <c r="N611" i="6" s="1"/>
  <c r="N610" i="6" a="1"/>
  <c r="N610" i="6" s="1"/>
  <c r="N609" i="6" a="1"/>
  <c r="N609" i="6" s="1"/>
  <c r="N608" i="6" a="1"/>
  <c r="N608" i="6" s="1"/>
  <c r="N607" i="6" a="1"/>
  <c r="N607" i="6" s="1"/>
  <c r="N606" i="6" a="1"/>
  <c r="N606" i="6" s="1"/>
  <c r="N605" i="6" a="1"/>
  <c r="N605" i="6" s="1"/>
  <c r="N604" i="6" a="1"/>
  <c r="N604" i="6" s="1"/>
  <c r="N603" i="6" a="1"/>
  <c r="N603" i="6" s="1"/>
  <c r="N602" i="6" a="1"/>
  <c r="N602" i="6" s="1"/>
  <c r="N601" i="6" a="1"/>
  <c r="N601" i="6" s="1"/>
  <c r="N600" i="6" a="1"/>
  <c r="N600" i="6" s="1"/>
  <c r="N599" i="6" a="1"/>
  <c r="N599" i="6" s="1"/>
  <c r="N598" i="6" a="1"/>
  <c r="N598" i="6" s="1"/>
  <c r="N597" i="6" a="1"/>
  <c r="N597" i="6" s="1"/>
  <c r="N596" i="6" a="1"/>
  <c r="N596" i="6" s="1"/>
  <c r="N595" i="6" a="1"/>
  <c r="N595" i="6" s="1"/>
  <c r="N594" i="6" a="1"/>
  <c r="N594" i="6" s="1"/>
  <c r="N593" i="6" a="1"/>
  <c r="N593" i="6" s="1"/>
  <c r="N592" i="6" a="1"/>
  <c r="N592" i="6" s="1"/>
  <c r="N591" i="6" a="1"/>
  <c r="N591" i="6" s="1"/>
  <c r="N590" i="6" a="1"/>
  <c r="N590" i="6" s="1"/>
  <c r="N589" i="6" a="1"/>
  <c r="N589" i="6" s="1"/>
  <c r="N588" i="6" a="1"/>
  <c r="N588" i="6" s="1"/>
  <c r="N587" i="6" a="1"/>
  <c r="N587" i="6" s="1"/>
  <c r="N586" i="6" a="1"/>
  <c r="N586" i="6" s="1"/>
  <c r="N585" i="6" a="1"/>
  <c r="N585" i="6" s="1"/>
  <c r="N584" i="6" a="1"/>
  <c r="N584" i="6" s="1"/>
  <c r="N583" i="6" a="1"/>
  <c r="N583" i="6" s="1"/>
  <c r="N582" i="6" a="1"/>
  <c r="N582" i="6" s="1"/>
  <c r="N581" i="6" a="1"/>
  <c r="N581" i="6" s="1"/>
  <c r="N580" i="6" a="1"/>
  <c r="N580" i="6" s="1"/>
  <c r="N579" i="6" a="1"/>
  <c r="N579" i="6" s="1"/>
  <c r="N578" i="6" a="1"/>
  <c r="N578" i="6" s="1"/>
  <c r="N577" i="6" a="1"/>
  <c r="N577" i="6" s="1"/>
  <c r="N576" i="6" a="1"/>
  <c r="N576" i="6" s="1"/>
  <c r="N575" i="6" a="1"/>
  <c r="N575" i="6" s="1"/>
  <c r="N574" i="6" a="1"/>
  <c r="N574" i="6" s="1"/>
  <c r="N573" i="6" a="1"/>
  <c r="N573" i="6" s="1"/>
  <c r="N572" i="6" a="1"/>
  <c r="N572" i="6" s="1"/>
  <c r="N571" i="6" a="1"/>
  <c r="N571" i="6" s="1"/>
  <c r="N570" i="6" a="1"/>
  <c r="N570" i="6" s="1"/>
  <c r="N569" i="6" a="1"/>
  <c r="N569" i="6" s="1"/>
  <c r="N568" i="6" a="1"/>
  <c r="N568" i="6" s="1"/>
  <c r="N567" i="6" a="1"/>
  <c r="N567" i="6" s="1"/>
  <c r="N566" i="6" a="1"/>
  <c r="N566" i="6" s="1"/>
  <c r="N565" i="6" a="1"/>
  <c r="N565" i="6" s="1"/>
  <c r="N564" i="6" a="1"/>
  <c r="N564" i="6" s="1"/>
  <c r="N563" i="6" a="1"/>
  <c r="N563" i="6" s="1"/>
  <c r="N562" i="6" a="1"/>
  <c r="N562" i="6" s="1"/>
  <c r="N561" i="6" a="1"/>
  <c r="N561" i="6" s="1"/>
  <c r="N560" i="6" a="1"/>
  <c r="N560" i="6" s="1"/>
  <c r="N559" i="6" a="1"/>
  <c r="N559" i="6" s="1"/>
  <c r="N558" i="6" a="1"/>
  <c r="N558" i="6" s="1"/>
  <c r="N557" i="6" a="1"/>
  <c r="N557" i="6" s="1"/>
  <c r="N556" i="6" a="1"/>
  <c r="N556" i="6" s="1"/>
  <c r="N555" i="6" a="1"/>
  <c r="N555" i="6" s="1"/>
  <c r="N554" i="6" a="1"/>
  <c r="N554" i="6" s="1"/>
  <c r="N553" i="6" a="1"/>
  <c r="N553" i="6" s="1"/>
  <c r="N552" i="6" a="1"/>
  <c r="N552" i="6" s="1"/>
  <c r="N551" i="6" a="1"/>
  <c r="N551" i="6" s="1"/>
  <c r="N550" i="6" a="1"/>
  <c r="N550" i="6" s="1"/>
  <c r="N549" i="6" a="1"/>
  <c r="N549" i="6" s="1"/>
  <c r="N548" i="6" a="1"/>
  <c r="N548" i="6" s="1"/>
  <c r="N547" i="6" a="1"/>
  <c r="N547" i="6" s="1"/>
  <c r="N546" i="6" a="1"/>
  <c r="N546" i="6" s="1"/>
  <c r="W546" i="6" s="1"/>
  <c r="N545" i="6" a="1"/>
  <c r="N545" i="6" s="1"/>
  <c r="N544" i="6" a="1"/>
  <c r="N544" i="6" s="1"/>
  <c r="N543" i="6" a="1"/>
  <c r="N543" i="6" s="1"/>
  <c r="N542" i="6" a="1"/>
  <c r="N542" i="6" s="1"/>
  <c r="N541" i="6" a="1"/>
  <c r="N541" i="6" s="1"/>
  <c r="N540" i="6" a="1"/>
  <c r="N540" i="6" s="1"/>
  <c r="N539" i="6" a="1"/>
  <c r="N539" i="6" s="1"/>
  <c r="N538" i="6" a="1"/>
  <c r="N538" i="6" s="1"/>
  <c r="N537" i="6" a="1"/>
  <c r="N537" i="6" s="1"/>
  <c r="N536" i="6" a="1"/>
  <c r="N536" i="6" s="1"/>
  <c r="N535" i="6" a="1"/>
  <c r="N535" i="6" s="1"/>
  <c r="N534" i="6" a="1"/>
  <c r="N534" i="6" s="1"/>
  <c r="N533" i="6" a="1"/>
  <c r="N533" i="6" s="1"/>
  <c r="Y533" i="6" s="1"/>
  <c r="N532" i="6" a="1"/>
  <c r="N532" i="6" s="1"/>
  <c r="N531" i="6" a="1"/>
  <c r="N531" i="6" s="1"/>
  <c r="N530" i="6" a="1"/>
  <c r="N530" i="6" s="1"/>
  <c r="N529" i="6" a="1"/>
  <c r="N529" i="6" s="1"/>
  <c r="N528" i="6" a="1"/>
  <c r="N528" i="6" s="1"/>
  <c r="N527" i="6" a="1"/>
  <c r="N527" i="6" s="1"/>
  <c r="N526" i="6" a="1"/>
  <c r="N526" i="6" s="1"/>
  <c r="N525" i="6" a="1"/>
  <c r="N525" i="6" s="1"/>
  <c r="N524" i="6" a="1"/>
  <c r="N524" i="6" s="1"/>
  <c r="N523" i="6" a="1"/>
  <c r="N523" i="6" s="1"/>
  <c r="N522" i="6" a="1"/>
  <c r="N522" i="6" s="1"/>
  <c r="N521" i="6" a="1"/>
  <c r="N521" i="6" s="1"/>
  <c r="N520" i="6" a="1"/>
  <c r="N520" i="6" s="1"/>
  <c r="N519" i="6" a="1"/>
  <c r="N519" i="6" s="1"/>
  <c r="N518" i="6" a="1"/>
  <c r="N518" i="6" s="1"/>
  <c r="N517" i="6" a="1"/>
  <c r="N517" i="6" s="1"/>
  <c r="N516" i="6" a="1"/>
  <c r="N516" i="6" s="1"/>
  <c r="N515" i="6" a="1"/>
  <c r="N515" i="6" s="1"/>
  <c r="N514" i="6" a="1"/>
  <c r="N514" i="6" s="1"/>
  <c r="N513" i="6" a="1"/>
  <c r="N513" i="6" s="1"/>
  <c r="N512" i="6" a="1"/>
  <c r="N512" i="6" s="1"/>
  <c r="N511" i="6" a="1"/>
  <c r="N511" i="6" s="1"/>
  <c r="N510" i="6" a="1"/>
  <c r="N510" i="6" s="1"/>
  <c r="N509" i="6" a="1"/>
  <c r="N509" i="6" s="1"/>
  <c r="N508" i="6" a="1"/>
  <c r="N508" i="6" s="1"/>
  <c r="N507" i="6" a="1"/>
  <c r="N507" i="6" s="1"/>
  <c r="N506" i="6" a="1"/>
  <c r="N506" i="6" s="1"/>
  <c r="N505" i="6" a="1"/>
  <c r="N505" i="6" s="1"/>
  <c r="N504" i="6" a="1"/>
  <c r="N504" i="6" s="1"/>
  <c r="N503" i="6" a="1"/>
  <c r="N503" i="6" s="1"/>
  <c r="N502" i="6" a="1"/>
  <c r="N502" i="6" s="1"/>
  <c r="N501" i="6" a="1"/>
  <c r="N501" i="6" s="1"/>
  <c r="N500" i="6" a="1"/>
  <c r="N500" i="6" s="1"/>
  <c r="N499" i="6" a="1"/>
  <c r="N499" i="6" s="1"/>
  <c r="N498" i="6" a="1"/>
  <c r="N498" i="6" s="1"/>
  <c r="N497" i="6" a="1"/>
  <c r="N497" i="6" s="1"/>
  <c r="N496" i="6" a="1"/>
  <c r="N496" i="6" s="1"/>
  <c r="N495" i="6" a="1"/>
  <c r="N495" i="6" s="1"/>
  <c r="U495" i="6" s="1"/>
  <c r="N494" i="6" a="1"/>
  <c r="N494" i="6" s="1"/>
  <c r="N493" i="6" a="1"/>
  <c r="N493" i="6" s="1"/>
  <c r="N492" i="6" a="1"/>
  <c r="N492" i="6" s="1"/>
  <c r="N491" i="6" a="1"/>
  <c r="N491" i="6" s="1"/>
  <c r="N490" i="6" a="1"/>
  <c r="N490" i="6" s="1"/>
  <c r="N489" i="6" a="1"/>
  <c r="N489" i="6" s="1"/>
  <c r="Q489" i="6" s="1"/>
  <c r="N488" i="6" a="1"/>
  <c r="N488" i="6" s="1"/>
  <c r="N487" i="6" a="1"/>
  <c r="N487" i="6" s="1"/>
  <c r="N486" i="6" a="1"/>
  <c r="N486" i="6" s="1"/>
  <c r="N485" i="6" a="1"/>
  <c r="N485" i="6" s="1"/>
  <c r="N484" i="6" a="1"/>
  <c r="N484" i="6" s="1"/>
  <c r="N483" i="6" a="1"/>
  <c r="N483" i="6" s="1"/>
  <c r="N482" i="6" a="1"/>
  <c r="N482" i="6" s="1"/>
  <c r="N481" i="6" a="1"/>
  <c r="N481" i="6" s="1"/>
  <c r="N480" i="6" a="1"/>
  <c r="N480" i="6" s="1"/>
  <c r="N479" i="6" a="1"/>
  <c r="N479" i="6" s="1"/>
  <c r="N478" i="6" a="1"/>
  <c r="N478" i="6" s="1"/>
  <c r="N477" i="6" a="1"/>
  <c r="N477" i="6" s="1"/>
  <c r="N476" i="6" a="1"/>
  <c r="N476" i="6" s="1"/>
  <c r="N475" i="6" a="1"/>
  <c r="N475" i="6" s="1"/>
  <c r="N474" i="6" a="1"/>
  <c r="N474" i="6" s="1"/>
  <c r="N473" i="6" a="1"/>
  <c r="N473" i="6" s="1"/>
  <c r="N472" i="6" a="1"/>
  <c r="N472" i="6" s="1"/>
  <c r="N471" i="6" a="1"/>
  <c r="N471" i="6" s="1"/>
  <c r="N470" i="6" a="1"/>
  <c r="N470" i="6" s="1"/>
  <c r="N469" i="6" a="1"/>
  <c r="N469" i="6" s="1"/>
  <c r="N468" i="6" a="1"/>
  <c r="N468" i="6" s="1"/>
  <c r="N467" i="6" a="1"/>
  <c r="N467" i="6" s="1"/>
  <c r="N466" i="6" a="1"/>
  <c r="N466" i="6" s="1"/>
  <c r="N465" i="6" a="1"/>
  <c r="N465" i="6" s="1"/>
  <c r="N464" i="6" a="1"/>
  <c r="N464" i="6" s="1"/>
  <c r="N463" i="6" a="1"/>
  <c r="N463" i="6" s="1"/>
  <c r="N462" i="6" a="1"/>
  <c r="N462" i="6" s="1"/>
  <c r="N461" i="6" a="1"/>
  <c r="N461" i="6" s="1"/>
  <c r="N460" i="6" a="1"/>
  <c r="N460" i="6" s="1"/>
  <c r="N459" i="6" a="1"/>
  <c r="N459" i="6" s="1"/>
  <c r="N458" i="6" a="1"/>
  <c r="N458" i="6" s="1"/>
  <c r="N457" i="6" a="1"/>
  <c r="N457" i="6" s="1"/>
  <c r="Q457" i="6" s="1"/>
  <c r="N456" i="6" a="1"/>
  <c r="N456" i="6" s="1"/>
  <c r="N455" i="6" a="1"/>
  <c r="N455" i="6" s="1"/>
  <c r="N454" i="6" a="1"/>
  <c r="N454" i="6" s="1"/>
  <c r="N453" i="6" a="1"/>
  <c r="N453" i="6" s="1"/>
  <c r="N452" i="6" a="1"/>
  <c r="N452" i="6" s="1"/>
  <c r="N451" i="6" a="1"/>
  <c r="N451" i="6" s="1"/>
  <c r="N450" i="6" a="1"/>
  <c r="N450" i="6" s="1"/>
  <c r="N449" i="6" a="1"/>
  <c r="N449" i="6" s="1"/>
  <c r="N448" i="6" a="1"/>
  <c r="N448" i="6" s="1"/>
  <c r="N447" i="6" a="1"/>
  <c r="N447" i="6" s="1"/>
  <c r="N446" i="6" a="1"/>
  <c r="N446" i="6" s="1"/>
  <c r="N445" i="6" a="1"/>
  <c r="N445" i="6" s="1"/>
  <c r="N444" i="6" a="1"/>
  <c r="N444" i="6" s="1"/>
  <c r="N443" i="6" a="1"/>
  <c r="N443" i="6" s="1"/>
  <c r="N442" i="6" a="1"/>
  <c r="N442" i="6" s="1"/>
  <c r="N441" i="6" a="1"/>
  <c r="N441" i="6" s="1"/>
  <c r="N440" i="6" a="1"/>
  <c r="N440" i="6" s="1"/>
  <c r="N439" i="6" a="1"/>
  <c r="N439" i="6" s="1"/>
  <c r="N438" i="6" a="1"/>
  <c r="N438" i="6" s="1"/>
  <c r="N437" i="6" a="1"/>
  <c r="N437" i="6" s="1"/>
  <c r="N436" i="6" a="1"/>
  <c r="N436" i="6" s="1"/>
  <c r="N435" i="6" a="1"/>
  <c r="N435" i="6" s="1"/>
  <c r="N434" i="6" a="1"/>
  <c r="N434" i="6" s="1"/>
  <c r="N433" i="6" a="1"/>
  <c r="N433" i="6" s="1"/>
  <c r="N432" i="6" a="1"/>
  <c r="N432" i="6" s="1"/>
  <c r="N431" i="6" a="1"/>
  <c r="N431" i="6" s="1"/>
  <c r="R431" i="6" s="1"/>
  <c r="N430" i="6" a="1"/>
  <c r="N430" i="6" s="1"/>
  <c r="N429" i="6" a="1"/>
  <c r="N429" i="6" s="1"/>
  <c r="N428" i="6" a="1"/>
  <c r="N428" i="6" s="1"/>
  <c r="N427" i="6" a="1"/>
  <c r="N427" i="6" s="1"/>
  <c r="N426" i="6" a="1"/>
  <c r="N426" i="6" s="1"/>
  <c r="N425" i="6" a="1"/>
  <c r="N425" i="6" s="1"/>
  <c r="N424" i="6" a="1"/>
  <c r="N424" i="6" s="1"/>
  <c r="N423" i="6" a="1"/>
  <c r="N423" i="6" s="1"/>
  <c r="N422" i="6" a="1"/>
  <c r="N422" i="6" s="1"/>
  <c r="N421" i="6" a="1"/>
  <c r="N421" i="6" s="1"/>
  <c r="V421" i="6" s="1"/>
  <c r="N420" i="6" a="1"/>
  <c r="N420" i="6" s="1"/>
  <c r="N419" i="6" a="1"/>
  <c r="N419" i="6" s="1"/>
  <c r="N418" i="6" a="1"/>
  <c r="N418" i="6" s="1"/>
  <c r="N417" i="6" a="1"/>
  <c r="N417" i="6" s="1"/>
  <c r="N416" i="6" a="1"/>
  <c r="N416" i="6" s="1"/>
  <c r="N415" i="6" a="1"/>
  <c r="N415" i="6" s="1"/>
  <c r="N414" i="6" a="1"/>
  <c r="N414" i="6" s="1"/>
  <c r="N413" i="6" a="1"/>
  <c r="N413" i="6" s="1"/>
  <c r="N412" i="6" a="1"/>
  <c r="N412" i="6" s="1"/>
  <c r="N411" i="6" a="1"/>
  <c r="N411" i="6" s="1"/>
  <c r="N410" i="6" a="1"/>
  <c r="N410" i="6" s="1"/>
  <c r="N409" i="6" a="1"/>
  <c r="N409" i="6" s="1"/>
  <c r="N408" i="6" a="1"/>
  <c r="N408" i="6" s="1"/>
  <c r="N407" i="6" a="1"/>
  <c r="N407" i="6" s="1"/>
  <c r="N406" i="6" a="1"/>
  <c r="N406" i="6" s="1"/>
  <c r="N405" i="6" a="1"/>
  <c r="N405" i="6" s="1"/>
  <c r="V405" i="6" s="1"/>
  <c r="N404" i="6" a="1"/>
  <c r="N404" i="6" s="1"/>
  <c r="N403" i="6" a="1"/>
  <c r="N403" i="6" s="1"/>
  <c r="N402" i="6" a="1"/>
  <c r="N402" i="6" s="1"/>
  <c r="N401" i="6" a="1"/>
  <c r="N401" i="6" s="1"/>
  <c r="N400" i="6" a="1"/>
  <c r="N400" i="6" s="1"/>
  <c r="N399" i="6" a="1"/>
  <c r="N399" i="6" s="1"/>
  <c r="N398" i="6" a="1"/>
  <c r="N398" i="6" s="1"/>
  <c r="N397" i="6" a="1"/>
  <c r="N397" i="6" s="1"/>
  <c r="N396" i="6" a="1"/>
  <c r="N396" i="6" s="1"/>
  <c r="N395" i="6" a="1"/>
  <c r="N395" i="6" s="1"/>
  <c r="N394" i="6" a="1"/>
  <c r="N394" i="6" s="1"/>
  <c r="N393" i="6" a="1"/>
  <c r="N393" i="6" s="1"/>
  <c r="N392" i="6" a="1"/>
  <c r="N392" i="6" s="1"/>
  <c r="N391" i="6" a="1"/>
  <c r="N391" i="6" s="1"/>
  <c r="N390" i="6" a="1"/>
  <c r="N390" i="6" s="1"/>
  <c r="N389" i="6" a="1"/>
  <c r="N389" i="6" s="1"/>
  <c r="N388" i="6" a="1"/>
  <c r="N388" i="6" s="1"/>
  <c r="N387" i="6" a="1"/>
  <c r="N387" i="6" s="1"/>
  <c r="N386" i="6" a="1"/>
  <c r="N386" i="6" s="1"/>
  <c r="N385" i="6" a="1"/>
  <c r="N385" i="6" s="1"/>
  <c r="P385" i="6" s="1"/>
  <c r="N384" i="6" a="1"/>
  <c r="N384" i="6" s="1"/>
  <c r="N383" i="6" a="1"/>
  <c r="N383" i="6" s="1"/>
  <c r="N382" i="6" a="1"/>
  <c r="N382" i="6" s="1"/>
  <c r="N381" i="6" a="1"/>
  <c r="N381" i="6" s="1"/>
  <c r="N380" i="6" a="1"/>
  <c r="N380" i="6" s="1"/>
  <c r="N379" i="6" a="1"/>
  <c r="N379" i="6" s="1"/>
  <c r="N378" i="6" a="1"/>
  <c r="N378" i="6" s="1"/>
  <c r="N377" i="6" a="1"/>
  <c r="N377" i="6" s="1"/>
  <c r="N376" i="6" a="1"/>
  <c r="N376" i="6" s="1"/>
  <c r="N375" i="6" a="1"/>
  <c r="N375" i="6" s="1"/>
  <c r="N374" i="6" a="1"/>
  <c r="N374" i="6" s="1"/>
  <c r="N373" i="6" a="1"/>
  <c r="N373" i="6" s="1"/>
  <c r="N372" i="6" a="1"/>
  <c r="N372" i="6" s="1"/>
  <c r="N371" i="6" a="1"/>
  <c r="N371" i="6" s="1"/>
  <c r="N370" i="6" a="1"/>
  <c r="N370" i="6" s="1"/>
  <c r="N369" i="6" a="1"/>
  <c r="N369" i="6" s="1"/>
  <c r="N368" i="6" a="1"/>
  <c r="N368" i="6" s="1"/>
  <c r="N367" i="6" a="1"/>
  <c r="N367" i="6" s="1"/>
  <c r="Y367" i="6" s="1"/>
  <c r="N366" i="6" a="1"/>
  <c r="N366" i="6" s="1"/>
  <c r="N365" i="6" a="1"/>
  <c r="N365" i="6" s="1"/>
  <c r="X365" i="6" s="1"/>
  <c r="N364" i="6" a="1"/>
  <c r="N364" i="6" s="1"/>
  <c r="N363" i="6" a="1"/>
  <c r="N363" i="6" s="1"/>
  <c r="N362" i="6" a="1"/>
  <c r="N362" i="6" s="1"/>
  <c r="N361" i="6" a="1"/>
  <c r="N361" i="6" s="1"/>
  <c r="P361" i="6" s="1"/>
  <c r="N360" i="6" a="1"/>
  <c r="N360" i="6" s="1"/>
  <c r="N359" i="6" a="1"/>
  <c r="N359" i="6" s="1"/>
  <c r="Y359" i="6" s="1"/>
  <c r="N358" i="6" a="1"/>
  <c r="N358" i="6" s="1"/>
  <c r="N357" i="6" a="1"/>
  <c r="N357" i="6" s="1"/>
  <c r="N356" i="6" a="1"/>
  <c r="N356" i="6" s="1"/>
  <c r="N355" i="6" a="1"/>
  <c r="N355" i="6" s="1"/>
  <c r="V355" i="6" s="1"/>
  <c r="N354" i="6" a="1"/>
  <c r="N354" i="6" s="1"/>
  <c r="N353" i="6" a="1"/>
  <c r="N353" i="6" s="1"/>
  <c r="N352" i="6" a="1"/>
  <c r="N352" i="6" s="1"/>
  <c r="N351" i="6" a="1"/>
  <c r="N351" i="6" s="1"/>
  <c r="T351" i="6" s="1"/>
  <c r="N350" i="6" a="1"/>
  <c r="N350" i="6" s="1"/>
  <c r="N349" i="6" a="1"/>
  <c r="N349" i="6" s="1"/>
  <c r="N348" i="6" a="1"/>
  <c r="N348" i="6" s="1"/>
  <c r="N347" i="6" a="1"/>
  <c r="N347" i="6" s="1"/>
  <c r="Q347" i="6" s="1"/>
  <c r="N346" i="6" a="1"/>
  <c r="N346" i="6" s="1"/>
  <c r="N345" i="6" a="1"/>
  <c r="N345" i="6" s="1"/>
  <c r="N344" i="6" a="1"/>
  <c r="N344" i="6" s="1"/>
  <c r="N343" i="6" a="1"/>
  <c r="N343" i="6" s="1"/>
  <c r="Y343" i="6" s="1"/>
  <c r="N342" i="6" a="1"/>
  <c r="N342" i="6" s="1"/>
  <c r="N341" i="6" a="1"/>
  <c r="N341" i="6" s="1"/>
  <c r="N340" i="6" a="1"/>
  <c r="N340" i="6" s="1"/>
  <c r="N339" i="6" a="1"/>
  <c r="N339" i="6" s="1"/>
  <c r="N338" i="6" a="1"/>
  <c r="N338" i="6" s="1"/>
  <c r="N337" i="6" a="1"/>
  <c r="N337" i="6" s="1"/>
  <c r="N336" i="6" a="1"/>
  <c r="N336" i="6" s="1"/>
  <c r="N335" i="6" a="1"/>
  <c r="N335" i="6" s="1"/>
  <c r="R335" i="6" s="1"/>
  <c r="N334" i="6" a="1"/>
  <c r="N334" i="6" s="1"/>
  <c r="N333" i="6" a="1"/>
  <c r="N333" i="6" s="1"/>
  <c r="N332" i="6" a="1"/>
  <c r="N332" i="6" s="1"/>
  <c r="N331" i="6" a="1"/>
  <c r="N331" i="6" s="1"/>
  <c r="N330" i="6" a="1"/>
  <c r="N330" i="6" s="1"/>
  <c r="N329" i="6" a="1"/>
  <c r="N329" i="6" s="1"/>
  <c r="V329" i="6" s="1"/>
  <c r="N328" i="6" a="1"/>
  <c r="N328" i="6" s="1"/>
  <c r="N327" i="6" a="1"/>
  <c r="N327" i="6" s="1"/>
  <c r="N326" i="6" a="1"/>
  <c r="N326" i="6" s="1"/>
  <c r="N325" i="6" a="1"/>
  <c r="N325" i="6" s="1"/>
  <c r="N324" i="6" a="1"/>
  <c r="N324" i="6" s="1"/>
  <c r="N323" i="6" a="1"/>
  <c r="N323" i="6" s="1"/>
  <c r="R323" i="6" s="1"/>
  <c r="N322" i="6" a="1"/>
  <c r="N322" i="6" s="1"/>
  <c r="N321" i="6" a="1"/>
  <c r="N321" i="6" s="1"/>
  <c r="N320" i="6" a="1"/>
  <c r="N320" i="6" s="1"/>
  <c r="N319" i="6" a="1"/>
  <c r="N319" i="6" s="1"/>
  <c r="R319" i="6" s="1"/>
  <c r="N318" i="6" a="1"/>
  <c r="N318" i="6" s="1"/>
  <c r="N317" i="6" a="1"/>
  <c r="N317" i="6" s="1"/>
  <c r="N316" i="6" a="1"/>
  <c r="N316" i="6" s="1"/>
  <c r="N315" i="6" a="1"/>
  <c r="N315" i="6" s="1"/>
  <c r="N314" i="6" a="1"/>
  <c r="N314" i="6" s="1"/>
  <c r="N313" i="6" a="1"/>
  <c r="N313" i="6" s="1"/>
  <c r="V313" i="6" s="1"/>
  <c r="N312" i="6" a="1"/>
  <c r="N312" i="6" s="1"/>
  <c r="N311" i="6" a="1"/>
  <c r="N311" i="6" s="1"/>
  <c r="N310" i="6" a="1"/>
  <c r="N310" i="6" s="1"/>
  <c r="N309" i="6" a="1"/>
  <c r="N309" i="6" s="1"/>
  <c r="V309" i="6" s="1"/>
  <c r="N308" i="6" a="1"/>
  <c r="N308" i="6" s="1"/>
  <c r="N307" i="6" a="1"/>
  <c r="N307" i="6" s="1"/>
  <c r="R307" i="6" s="1"/>
  <c r="N306" i="6" a="1"/>
  <c r="N306" i="6" s="1"/>
  <c r="N305" i="6" a="1"/>
  <c r="N305" i="6" s="1"/>
  <c r="N304" i="6" a="1"/>
  <c r="N304" i="6" s="1"/>
  <c r="N303" i="6" a="1"/>
  <c r="N303" i="6" s="1"/>
  <c r="R303" i="6" s="1"/>
  <c r="N302" i="6" a="1"/>
  <c r="N302" i="6" s="1"/>
  <c r="N301" i="6" a="1"/>
  <c r="N301" i="6" s="1"/>
  <c r="N300" i="6" a="1"/>
  <c r="N300" i="6" s="1"/>
  <c r="N299" i="6" a="1"/>
  <c r="N299" i="6" s="1"/>
  <c r="N298" i="6" a="1"/>
  <c r="N298" i="6" s="1"/>
  <c r="N297" i="6" a="1"/>
  <c r="N297" i="6" s="1"/>
  <c r="V297" i="6" s="1"/>
  <c r="N296" i="6" a="1"/>
  <c r="N296" i="6" s="1"/>
  <c r="N295" i="6" a="1"/>
  <c r="N295" i="6" s="1"/>
  <c r="R295" i="6" s="1"/>
  <c r="N294" i="6" a="1"/>
  <c r="N294" i="6" s="1"/>
  <c r="N293" i="6" a="1"/>
  <c r="N293" i="6" s="1"/>
  <c r="V293" i="6" s="1"/>
  <c r="N292" i="6" a="1"/>
  <c r="N292" i="6" s="1"/>
  <c r="N291" i="6" a="1"/>
  <c r="N291" i="6" s="1"/>
  <c r="R291" i="6" s="1"/>
  <c r="N290" i="6" a="1"/>
  <c r="N290" i="6" s="1"/>
  <c r="N289" i="6" a="1"/>
  <c r="N289" i="6" s="1"/>
  <c r="N288" i="6" a="1"/>
  <c r="N288" i="6" s="1"/>
  <c r="X288" i="6" s="1"/>
  <c r="N287" i="6" a="1"/>
  <c r="N287" i="6" s="1"/>
  <c r="R287" i="6" s="1"/>
  <c r="N286" i="6" a="1"/>
  <c r="N286" i="6" s="1"/>
  <c r="N285" i="6" a="1"/>
  <c r="N285" i="6" s="1"/>
  <c r="N284" i="6" a="1"/>
  <c r="N284" i="6" s="1"/>
  <c r="N283" i="6" a="1"/>
  <c r="N283" i="6" s="1"/>
  <c r="N282" i="6" a="1"/>
  <c r="N282" i="6" s="1"/>
  <c r="N281" i="6" a="1"/>
  <c r="N281" i="6" s="1"/>
  <c r="V281" i="6" s="1"/>
  <c r="N280" i="6" a="1"/>
  <c r="N280" i="6" s="1"/>
  <c r="X280" i="6" s="1"/>
  <c r="N279" i="6" a="1"/>
  <c r="N279" i="6" s="1"/>
  <c r="R279" i="6" s="1"/>
  <c r="N278" i="6" a="1"/>
  <c r="N278" i="6" s="1"/>
  <c r="N277" i="6" a="1"/>
  <c r="N277" i="6" s="1"/>
  <c r="V277" i="6" s="1"/>
  <c r="N276" i="6" a="1"/>
  <c r="N276" i="6" s="1"/>
  <c r="N275" i="6" a="1"/>
  <c r="N275" i="6" s="1"/>
  <c r="R275" i="6" s="1"/>
  <c r="N274" i="6" a="1"/>
  <c r="N274" i="6" s="1"/>
  <c r="N273" i="6" a="1"/>
  <c r="N273" i="6" s="1"/>
  <c r="N272" i="6" a="1"/>
  <c r="N272" i="6" s="1"/>
  <c r="N271" i="6" a="1"/>
  <c r="N271" i="6" s="1"/>
  <c r="R271" i="6" s="1"/>
  <c r="N270" i="6" a="1"/>
  <c r="N270" i="6" s="1"/>
  <c r="N269" i="6" a="1"/>
  <c r="N269" i="6" s="1"/>
  <c r="N268" i="6" a="1"/>
  <c r="N268" i="6" s="1"/>
  <c r="N267" i="6" a="1"/>
  <c r="N267" i="6" s="1"/>
  <c r="N266" i="6" a="1"/>
  <c r="N266" i="6" s="1"/>
  <c r="N265" i="6" a="1"/>
  <c r="N265" i="6" s="1"/>
  <c r="V265" i="6" s="1"/>
  <c r="N264" i="6" a="1"/>
  <c r="N264" i="6" s="1"/>
  <c r="N263" i="6" a="1"/>
  <c r="N263" i="6" s="1"/>
  <c r="R263" i="6" s="1"/>
  <c r="N262" i="6" a="1"/>
  <c r="N262" i="6" s="1"/>
  <c r="N261" i="6" a="1"/>
  <c r="N261" i="6" s="1"/>
  <c r="V261" i="6" s="1"/>
  <c r="N260" i="6" a="1"/>
  <c r="N260" i="6" s="1"/>
  <c r="N259" i="6" a="1"/>
  <c r="N259" i="6" s="1"/>
  <c r="N258" i="6" a="1"/>
  <c r="N258" i="6" s="1"/>
  <c r="N257" i="6" a="1"/>
  <c r="N257" i="6" s="1"/>
  <c r="N256" i="6" a="1"/>
  <c r="N256" i="6" s="1"/>
  <c r="N255" i="6" a="1"/>
  <c r="N255" i="6" s="1"/>
  <c r="N254" i="6" a="1"/>
  <c r="N254" i="6" s="1"/>
  <c r="N253" i="6" a="1"/>
  <c r="N253" i="6" s="1"/>
  <c r="N252" i="6" a="1"/>
  <c r="N252" i="6" s="1"/>
  <c r="N251" i="6" a="1"/>
  <c r="N251" i="6" s="1"/>
  <c r="N250" i="6" a="1"/>
  <c r="N250" i="6" s="1"/>
  <c r="N249" i="6" a="1"/>
  <c r="N249" i="6" s="1"/>
  <c r="V249" i="6" s="1"/>
  <c r="N248" i="6" a="1"/>
  <c r="N248" i="6" s="1"/>
  <c r="N247" i="6" a="1"/>
  <c r="N247" i="6" s="1"/>
  <c r="R247" i="6" s="1"/>
  <c r="N246" i="6" a="1"/>
  <c r="N246" i="6" s="1"/>
  <c r="N245" i="6" a="1"/>
  <c r="N245" i="6" s="1"/>
  <c r="V245" i="6" s="1"/>
  <c r="N244" i="6" a="1"/>
  <c r="N244" i="6" s="1"/>
  <c r="N243" i="6" a="1"/>
  <c r="N243" i="6" s="1"/>
  <c r="N242" i="6" a="1"/>
  <c r="N242" i="6" s="1"/>
  <c r="N241" i="6" a="1"/>
  <c r="N241" i="6" s="1"/>
  <c r="N240" i="6" a="1"/>
  <c r="N240" i="6" s="1"/>
  <c r="N239" i="6" a="1"/>
  <c r="N239" i="6" s="1"/>
  <c r="N238" i="6" a="1"/>
  <c r="N238" i="6" s="1"/>
  <c r="N237" i="6" a="1"/>
  <c r="N237" i="6" s="1"/>
  <c r="N236" i="6" a="1"/>
  <c r="N236" i="6" s="1"/>
  <c r="N235" i="6" a="1"/>
  <c r="N235" i="6" s="1"/>
  <c r="N234" i="6" a="1"/>
  <c r="N234" i="6" s="1"/>
  <c r="N233" i="6" a="1"/>
  <c r="N233" i="6" s="1"/>
  <c r="V233" i="6" s="1"/>
  <c r="N232" i="6" a="1"/>
  <c r="N232" i="6" s="1"/>
  <c r="N231" i="6" a="1"/>
  <c r="N231" i="6" s="1"/>
  <c r="R231" i="6" s="1"/>
  <c r="N230" i="6" a="1"/>
  <c r="N230" i="6" s="1"/>
  <c r="T230" i="6" s="1"/>
  <c r="N229" i="6" a="1"/>
  <c r="N229" i="6" s="1"/>
  <c r="V229" i="6" s="1"/>
  <c r="N228" i="6" a="1"/>
  <c r="N228" i="6" s="1"/>
  <c r="N227" i="6" a="1"/>
  <c r="N227" i="6" s="1"/>
  <c r="N226" i="6" a="1"/>
  <c r="N226" i="6" s="1"/>
  <c r="N225" i="6" a="1"/>
  <c r="N225" i="6" s="1"/>
  <c r="N224" i="6" a="1"/>
  <c r="N224" i="6" s="1"/>
  <c r="N223" i="6" a="1"/>
  <c r="N223" i="6" s="1"/>
  <c r="N222" i="6" a="1"/>
  <c r="N222" i="6" s="1"/>
  <c r="N221" i="6" a="1"/>
  <c r="N221" i="6" s="1"/>
  <c r="N220" i="6" a="1"/>
  <c r="N220" i="6" s="1"/>
  <c r="N219" i="6" a="1"/>
  <c r="N219" i="6" s="1"/>
  <c r="N218" i="6" a="1"/>
  <c r="N218" i="6" s="1"/>
  <c r="N217" i="6" a="1"/>
  <c r="N217" i="6" s="1"/>
  <c r="V217" i="6" s="1"/>
  <c r="N216" i="6" a="1"/>
  <c r="N216" i="6" s="1"/>
  <c r="N215" i="6" a="1"/>
  <c r="N215" i="6" s="1"/>
  <c r="R215" i="6" s="1"/>
  <c r="N214" i="6" a="1"/>
  <c r="N214" i="6" s="1"/>
  <c r="N213" i="6" a="1"/>
  <c r="N213" i="6" s="1"/>
  <c r="V213" i="6" s="1"/>
  <c r="N212" i="6" a="1"/>
  <c r="N212" i="6" s="1"/>
  <c r="N211" i="6" a="1"/>
  <c r="N211" i="6" s="1"/>
  <c r="R211" i="6" s="1"/>
  <c r="N210" i="6" a="1"/>
  <c r="N210" i="6" s="1"/>
  <c r="N209" i="6" a="1"/>
  <c r="N209" i="6" s="1"/>
  <c r="N208" i="6" a="1"/>
  <c r="N208" i="6" s="1"/>
  <c r="N207" i="6" a="1"/>
  <c r="N207" i="6" s="1"/>
  <c r="R207" i="6" s="1"/>
  <c r="N206" i="6" a="1"/>
  <c r="N206" i="6" s="1"/>
  <c r="N205" i="6" a="1"/>
  <c r="N205" i="6" s="1"/>
  <c r="N204" i="6" a="1"/>
  <c r="N204" i="6" s="1"/>
  <c r="X204" i="6" s="1"/>
  <c r="N203" i="6" a="1"/>
  <c r="N203" i="6" s="1"/>
  <c r="N202" i="6" a="1"/>
  <c r="N202" i="6" s="1"/>
  <c r="T202" i="6" s="1"/>
  <c r="N201" i="6" a="1"/>
  <c r="N201" i="6" s="1"/>
  <c r="V201" i="6" s="1"/>
  <c r="N200" i="6" a="1"/>
  <c r="N200" i="6" s="1"/>
  <c r="N199" i="6" a="1"/>
  <c r="N199" i="6" s="1"/>
  <c r="N198" i="6" a="1"/>
  <c r="N198" i="6" s="1"/>
  <c r="T198" i="6" s="1"/>
  <c r="N197" i="6" a="1"/>
  <c r="N197" i="6" s="1"/>
  <c r="V197" i="6" s="1"/>
  <c r="N196" i="6" a="1"/>
  <c r="N196" i="6" s="1"/>
  <c r="P196" i="6" s="1"/>
  <c r="N195" i="6" a="1"/>
  <c r="N195" i="6" s="1"/>
  <c r="N194" i="6" a="1"/>
  <c r="N194" i="6" s="1"/>
  <c r="N193" i="6" a="1"/>
  <c r="N193" i="6" s="1"/>
  <c r="N192" i="6" a="1"/>
  <c r="N192" i="6" s="1"/>
  <c r="P192" i="6" s="1"/>
  <c r="N191" i="6" a="1"/>
  <c r="N191" i="6" s="1"/>
  <c r="N190" i="6" a="1"/>
  <c r="N190" i="6" s="1"/>
  <c r="N189" i="6" a="1"/>
  <c r="N189" i="6" s="1"/>
  <c r="N188" i="6" a="1"/>
  <c r="N188" i="6" s="1"/>
  <c r="X188" i="6" s="1"/>
  <c r="N187" i="6" a="1"/>
  <c r="N187" i="6" s="1"/>
  <c r="N186" i="6" a="1"/>
  <c r="N186" i="6" s="1"/>
  <c r="T186" i="6" s="1"/>
  <c r="N185" i="6" a="1"/>
  <c r="N185" i="6" s="1"/>
  <c r="N184" i="6" a="1"/>
  <c r="N184" i="6" s="1"/>
  <c r="X184" i="6" s="1"/>
  <c r="N183" i="6" a="1"/>
  <c r="N183" i="6" s="1"/>
  <c r="N182" i="6" a="1"/>
  <c r="N182" i="6" s="1"/>
  <c r="T182" i="6" s="1"/>
  <c r="N181" i="6" a="1"/>
  <c r="N181" i="6" s="1"/>
  <c r="V181" i="6" s="1"/>
  <c r="N180" i="6" a="1"/>
  <c r="N180" i="6" s="1"/>
  <c r="N179" i="6" a="1"/>
  <c r="N179" i="6" s="1"/>
  <c r="N178" i="6" a="1"/>
  <c r="N178" i="6" s="1"/>
  <c r="T178" i="6" s="1"/>
  <c r="N177" i="6" a="1"/>
  <c r="N177" i="6" s="1"/>
  <c r="N176" i="6" a="1"/>
  <c r="N176" i="6" s="1"/>
  <c r="X176" i="6" s="1"/>
  <c r="N175" i="6" a="1"/>
  <c r="N175" i="6" s="1"/>
  <c r="N174" i="6" a="1"/>
  <c r="N174" i="6" s="1"/>
  <c r="S174" i="6" s="1"/>
  <c r="N173" i="6" a="1"/>
  <c r="N173" i="6" s="1"/>
  <c r="Y173" i="6" s="1"/>
  <c r="N172" i="6" a="1"/>
  <c r="N172" i="6" s="1"/>
  <c r="S172" i="6" s="1"/>
  <c r="N171" i="6" a="1"/>
  <c r="N171" i="6" s="1"/>
  <c r="Y171" i="6" s="1"/>
  <c r="N170" i="6" a="1"/>
  <c r="N170" i="6" s="1"/>
  <c r="W170" i="6" s="1"/>
  <c r="N169" i="6" a="1"/>
  <c r="N169" i="6" s="1"/>
  <c r="Q169" i="6" s="1"/>
  <c r="N168" i="6" a="1"/>
  <c r="N168" i="6" s="1"/>
  <c r="W168" i="6" s="1"/>
  <c r="N167" i="6" a="1"/>
  <c r="N167" i="6" s="1"/>
  <c r="Y167" i="6" s="1"/>
  <c r="N166" i="6" a="1"/>
  <c r="N166" i="6" s="1"/>
  <c r="S166" i="6" s="1"/>
  <c r="N165" i="6" a="1"/>
  <c r="N165" i="6" s="1"/>
  <c r="N164" i="6" a="1"/>
  <c r="N164" i="6" s="1"/>
  <c r="W164" i="6" s="1"/>
  <c r="N163" i="6" a="1"/>
  <c r="N163" i="6" s="1"/>
  <c r="N162" i="6" a="1"/>
  <c r="N162" i="6" s="1"/>
  <c r="W162" i="6" s="1"/>
  <c r="N161" i="6" a="1"/>
  <c r="N161" i="6" s="1"/>
  <c r="Q161" i="6" s="1"/>
  <c r="N160" i="6" a="1"/>
  <c r="N160" i="6" s="1"/>
  <c r="N159" i="6" a="1"/>
  <c r="N159" i="6" s="1"/>
  <c r="U159" i="6" s="1"/>
  <c r="N158" i="6" a="1"/>
  <c r="N158" i="6" s="1"/>
  <c r="S158" i="6" s="1"/>
  <c r="N157" i="6" a="1"/>
  <c r="N157" i="6" s="1"/>
  <c r="Y157" i="6" s="1"/>
  <c r="N156" i="6" a="1"/>
  <c r="N156" i="6" s="1"/>
  <c r="W156" i="6" s="1"/>
  <c r="N155" i="6" a="1"/>
  <c r="N155" i="6" s="1"/>
  <c r="Q155" i="6" s="1"/>
  <c r="N154" i="6" a="1"/>
  <c r="N154" i="6" s="1"/>
  <c r="W154" i="6" s="1"/>
  <c r="N153" i="6" a="1"/>
  <c r="N153" i="6" s="1"/>
  <c r="Q153" i="6" s="1"/>
  <c r="N152" i="6" a="1"/>
  <c r="N152" i="6" s="1"/>
  <c r="W152" i="6" s="1"/>
  <c r="N151" i="6" a="1"/>
  <c r="N151" i="6" s="1"/>
  <c r="N150" i="6" a="1"/>
  <c r="N150" i="6" s="1"/>
  <c r="S150" i="6" s="1"/>
  <c r="N149" i="6" a="1"/>
  <c r="N149" i="6" s="1"/>
  <c r="Y149" i="6" s="1"/>
  <c r="N148" i="6" a="1"/>
  <c r="N148" i="6" s="1"/>
  <c r="S148" i="6" s="1"/>
  <c r="N147" i="6" a="1"/>
  <c r="N147" i="6" s="1"/>
  <c r="N146" i="6" a="1"/>
  <c r="N146" i="6" s="1"/>
  <c r="W146" i="6" s="1"/>
  <c r="N145" i="6" a="1"/>
  <c r="N145" i="6" s="1"/>
  <c r="Q145" i="6" s="1"/>
  <c r="N144" i="6" a="1"/>
  <c r="N144" i="6" s="1"/>
  <c r="W144" i="6" s="1"/>
  <c r="N143" i="6" a="1"/>
  <c r="N143" i="6" s="1"/>
  <c r="U143" i="6" s="1"/>
  <c r="N142" i="6" a="1"/>
  <c r="N142" i="6" s="1"/>
  <c r="S142" i="6" s="1"/>
  <c r="N141" i="6" a="1"/>
  <c r="N141" i="6" s="1"/>
  <c r="Y141" i="6" s="1"/>
  <c r="N140" i="6" a="1"/>
  <c r="N140" i="6" s="1"/>
  <c r="S140" i="6" s="1"/>
  <c r="N139" i="6" a="1"/>
  <c r="N139" i="6" s="1"/>
  <c r="Q139" i="6" s="1"/>
  <c r="N138" i="6" a="1"/>
  <c r="N138" i="6" s="1"/>
  <c r="N137" i="6" a="1"/>
  <c r="N137" i="6" s="1"/>
  <c r="Q137" i="6" s="1"/>
  <c r="N136" i="6" a="1"/>
  <c r="N136" i="6" s="1"/>
  <c r="W136" i="6" s="1"/>
  <c r="N135" i="6" a="1"/>
  <c r="N135" i="6" s="1"/>
  <c r="U135" i="6" s="1"/>
  <c r="N134" i="6" a="1"/>
  <c r="N134" i="6" s="1"/>
  <c r="S134" i="6" s="1"/>
  <c r="N133" i="6" a="1"/>
  <c r="N133" i="6" s="1"/>
  <c r="Y133" i="6" s="1"/>
  <c r="N132" i="6" a="1"/>
  <c r="N132" i="6" s="1"/>
  <c r="S132" i="6" s="1"/>
  <c r="N131" i="6" a="1"/>
  <c r="N131" i="6" s="1"/>
  <c r="Y131" i="6" s="1"/>
  <c r="N130" i="6" a="1"/>
  <c r="N130" i="6" s="1"/>
  <c r="W130" i="6" s="1"/>
  <c r="N129" i="6" a="1"/>
  <c r="N129" i="6" s="1"/>
  <c r="Q129" i="6" s="1"/>
  <c r="N128" i="6" a="1"/>
  <c r="N128" i="6" s="1"/>
  <c r="W128" i="6" s="1"/>
  <c r="N127" i="6" a="1"/>
  <c r="N127" i="6" s="1"/>
  <c r="Y127" i="6" s="1"/>
  <c r="N126" i="6" a="1"/>
  <c r="N126" i="6" s="1"/>
  <c r="S126" i="6" s="1"/>
  <c r="N125" i="6" a="1"/>
  <c r="N125" i="6" s="1"/>
  <c r="Y125" i="6" s="1"/>
  <c r="N124" i="6" a="1"/>
  <c r="N124" i="6" s="1"/>
  <c r="S124" i="6" s="1"/>
  <c r="N123" i="6" a="1"/>
  <c r="N123" i="6" s="1"/>
  <c r="Q123" i="6" s="1"/>
  <c r="N122" i="6" a="1"/>
  <c r="N122" i="6" s="1"/>
  <c r="N121" i="6" a="1"/>
  <c r="N121" i="6" s="1"/>
  <c r="Q121" i="6" s="1"/>
  <c r="N120" i="6" a="1"/>
  <c r="N120" i="6" s="1"/>
  <c r="W120" i="6" s="1"/>
  <c r="N119" i="6" a="1"/>
  <c r="N119" i="6" s="1"/>
  <c r="N118" i="6" a="1"/>
  <c r="N118" i="6" s="1"/>
  <c r="S118" i="6" s="1"/>
  <c r="N117" i="6" a="1"/>
  <c r="N117" i="6" s="1"/>
  <c r="Y117" i="6" s="1"/>
  <c r="N116" i="6" a="1"/>
  <c r="N116" i="6" s="1"/>
  <c r="W116" i="6" s="1"/>
  <c r="N115" i="6" a="1"/>
  <c r="N115" i="6" s="1"/>
  <c r="Y115" i="6" s="1"/>
  <c r="N114" i="6" a="1"/>
  <c r="N114" i="6" s="1"/>
  <c r="W114" i="6" s="1"/>
  <c r="N113" i="6" a="1"/>
  <c r="N113" i="6" s="1"/>
  <c r="Q113" i="6" s="1"/>
  <c r="N112" i="6" a="1"/>
  <c r="N112" i="6" s="1"/>
  <c r="W112" i="6" s="1"/>
  <c r="N111" i="6" a="1"/>
  <c r="N111" i="6" s="1"/>
  <c r="Y111" i="6" s="1"/>
  <c r="N110" i="6" a="1"/>
  <c r="N110" i="6" s="1"/>
  <c r="S110" i="6" s="1"/>
  <c r="N109" i="6" a="1"/>
  <c r="N109" i="6" s="1"/>
  <c r="Y109" i="6" s="1"/>
  <c r="N108" i="6" a="1"/>
  <c r="N108" i="6" s="1"/>
  <c r="W108" i="6" s="1"/>
  <c r="N107" i="6" a="1"/>
  <c r="N107" i="6" s="1"/>
  <c r="Y107" i="6" s="1"/>
  <c r="N106" i="6" a="1"/>
  <c r="N106" i="6" s="1"/>
  <c r="W106" i="6" s="1"/>
  <c r="N105" i="6" a="1"/>
  <c r="N105" i="6" s="1"/>
  <c r="U105" i="6" s="1"/>
  <c r="N104" i="6" a="1"/>
  <c r="N104" i="6" s="1"/>
  <c r="W104" i="6" s="1"/>
  <c r="N103" i="6" a="1"/>
  <c r="N103" i="6" s="1"/>
  <c r="N102" i="6" a="1"/>
  <c r="N102" i="6" s="1"/>
  <c r="S102" i="6" s="1"/>
  <c r="N101" i="6" a="1"/>
  <c r="N101" i="6" s="1"/>
  <c r="Y101" i="6" s="1"/>
  <c r="N100" i="6" a="1"/>
  <c r="N100" i="6" s="1"/>
  <c r="S100" i="6" s="1"/>
  <c r="N99" i="6" a="1"/>
  <c r="N99" i="6" s="1"/>
  <c r="Q99" i="6" s="1"/>
  <c r="N98" i="6" a="1"/>
  <c r="N98" i="6" s="1"/>
  <c r="W98" i="6" s="1"/>
  <c r="N97" i="6" a="1"/>
  <c r="N97" i="6" s="1"/>
  <c r="Q97" i="6" s="1"/>
  <c r="N96" i="6" a="1"/>
  <c r="N96" i="6" s="1"/>
  <c r="W96" i="6" s="1"/>
  <c r="N95" i="6" a="1"/>
  <c r="N95" i="6" s="1"/>
  <c r="U95" i="6" s="1"/>
  <c r="N94" i="6" a="1"/>
  <c r="N94" i="6" s="1"/>
  <c r="S94" i="6" s="1"/>
  <c r="N93" i="6" a="1"/>
  <c r="N93" i="6" s="1"/>
  <c r="Y93" i="6" s="1"/>
  <c r="N92" i="6" a="1"/>
  <c r="N92" i="6" s="1"/>
  <c r="S92" i="6" s="1"/>
  <c r="N91" i="6" a="1"/>
  <c r="N91" i="6" s="1"/>
  <c r="N90" i="6" a="1"/>
  <c r="N90" i="6" s="1"/>
  <c r="W90" i="6" s="1"/>
  <c r="N89" i="6" a="1"/>
  <c r="N89" i="6" s="1"/>
  <c r="Q89" i="6" s="1"/>
  <c r="N88" i="6" a="1"/>
  <c r="N88" i="6" s="1"/>
  <c r="W88" i="6" s="1"/>
  <c r="N87" i="6" a="1"/>
  <c r="N87" i="6" s="1"/>
  <c r="Y87" i="6" s="1"/>
  <c r="N86" i="6" a="1"/>
  <c r="N86" i="6" s="1"/>
  <c r="S86" i="6" s="1"/>
  <c r="N85" i="6" a="1"/>
  <c r="N85" i="6" s="1"/>
  <c r="Y85" i="6" s="1"/>
  <c r="N84" i="6" a="1"/>
  <c r="N84" i="6" s="1"/>
  <c r="W84" i="6" s="1"/>
  <c r="N83" i="6" a="1"/>
  <c r="N83" i="6" s="1"/>
  <c r="N82" i="6" a="1"/>
  <c r="N82" i="6" s="1"/>
  <c r="W82" i="6" s="1"/>
  <c r="N81" i="6" a="1"/>
  <c r="N81" i="6" s="1"/>
  <c r="U81" i="6" s="1"/>
  <c r="N80" i="6" a="1"/>
  <c r="N80" i="6" s="1"/>
  <c r="W80" i="6" s="1"/>
  <c r="N79" i="6" a="1"/>
  <c r="N79" i="6" s="1"/>
  <c r="N78" i="6" a="1"/>
  <c r="N78" i="6" s="1"/>
  <c r="S78" i="6" s="1"/>
  <c r="N77" i="6" a="1"/>
  <c r="N77" i="6" s="1"/>
  <c r="Y77" i="6" s="1"/>
  <c r="N76" i="6" a="1"/>
  <c r="N76" i="6" s="1"/>
  <c r="W76" i="6" s="1"/>
  <c r="N75" i="6" a="1"/>
  <c r="N75" i="6" s="1"/>
  <c r="Q75" i="6" s="1"/>
  <c r="N74" i="6" a="1"/>
  <c r="N74" i="6" s="1"/>
  <c r="N73" i="6" a="1"/>
  <c r="N73" i="6" s="1"/>
  <c r="U73" i="6" s="1"/>
  <c r="N72" i="6" a="1"/>
  <c r="N72" i="6" s="1"/>
  <c r="W72" i="6" s="1"/>
  <c r="N71" i="6" a="1"/>
  <c r="N71" i="6" s="1"/>
  <c r="N70" i="6" a="1"/>
  <c r="N70" i="6" s="1"/>
  <c r="S70" i="6" s="1"/>
  <c r="N69" i="6" a="1"/>
  <c r="N69" i="6" s="1"/>
  <c r="Y69" i="6" s="1"/>
  <c r="N68" i="6" a="1"/>
  <c r="N68" i="6" s="1"/>
  <c r="W68" i="6" s="1"/>
  <c r="N67" i="6" a="1"/>
  <c r="N67" i="6" s="1"/>
  <c r="Y67" i="6" s="1"/>
  <c r="N66" i="6" a="1"/>
  <c r="N66" i="6" s="1"/>
  <c r="W66" i="6" s="1"/>
  <c r="N65" i="6" a="1"/>
  <c r="N65" i="6" s="1"/>
  <c r="U65" i="6" s="1"/>
  <c r="N64" i="6" a="1"/>
  <c r="N64" i="6" s="1"/>
  <c r="W64" i="6" s="1"/>
  <c r="N63" i="6" a="1"/>
  <c r="N63" i="6" s="1"/>
  <c r="U63" i="6" s="1"/>
  <c r="N62" i="6" a="1"/>
  <c r="N62" i="6" s="1"/>
  <c r="S62" i="6" s="1"/>
  <c r="N61" i="6" a="1"/>
  <c r="N61" i="6" s="1"/>
  <c r="Y61" i="6" s="1"/>
  <c r="N60" i="6" a="1"/>
  <c r="N60" i="6" s="1"/>
  <c r="N59" i="6" a="1"/>
  <c r="N59" i="6" s="1"/>
  <c r="Q59" i="6" s="1"/>
  <c r="N58" i="6" a="1"/>
  <c r="N58" i="6" s="1"/>
  <c r="W58" i="6" s="1"/>
  <c r="N57" i="6" a="1"/>
  <c r="N57" i="6" s="1"/>
  <c r="U57" i="6" s="1"/>
  <c r="N56" i="6" a="1"/>
  <c r="N56" i="6" s="1"/>
  <c r="W56" i="6" s="1"/>
  <c r="N55" i="6" a="1"/>
  <c r="N55" i="6" s="1"/>
  <c r="N54" i="6" a="1"/>
  <c r="N54" i="6" s="1"/>
  <c r="S54" i="6" s="1"/>
  <c r="N53" i="6" a="1"/>
  <c r="N53" i="6" s="1"/>
  <c r="Y53" i="6" s="1"/>
  <c r="N52" i="6" a="1"/>
  <c r="N52" i="6" s="1"/>
  <c r="N51" i="6" a="1"/>
  <c r="N51" i="6" s="1"/>
  <c r="Y51" i="6" s="1"/>
  <c r="N50" i="6" a="1"/>
  <c r="N50" i="6" s="1"/>
  <c r="W50" i="6" s="1"/>
  <c r="N49" i="6" a="1"/>
  <c r="N49" i="6" s="1"/>
  <c r="Q49" i="6" s="1"/>
  <c r="N48" i="6" a="1"/>
  <c r="N48" i="6" s="1"/>
  <c r="W48" i="6" s="1"/>
  <c r="N47" i="6" a="1"/>
  <c r="N47" i="6" s="1"/>
  <c r="U47" i="6" s="1"/>
  <c r="N46" i="6" a="1"/>
  <c r="N46" i="6" s="1"/>
  <c r="S46" i="6" s="1"/>
  <c r="N45" i="6" a="1"/>
  <c r="N45" i="6" s="1"/>
  <c r="Y45" i="6" s="1"/>
  <c r="N44" i="6" a="1"/>
  <c r="N44" i="6" s="1"/>
  <c r="W44" i="6" s="1"/>
  <c r="N43" i="6" a="1"/>
  <c r="N43" i="6" s="1"/>
  <c r="Q43" i="6" s="1"/>
  <c r="N42" i="6" a="1"/>
  <c r="N42" i="6" s="1"/>
  <c r="W42" i="6" s="1"/>
  <c r="N41" i="6" a="1"/>
  <c r="N41" i="6" s="1"/>
  <c r="Q41" i="6" s="1"/>
  <c r="N40" i="6" a="1"/>
  <c r="N40" i="6" s="1"/>
  <c r="W40" i="6" s="1"/>
  <c r="N39" i="6" a="1"/>
  <c r="N39" i="6" s="1"/>
  <c r="N38" i="6" a="1"/>
  <c r="N38" i="6" s="1"/>
  <c r="S38" i="6" s="1"/>
  <c r="N37" i="6" a="1"/>
  <c r="N37" i="6" s="1"/>
  <c r="Y37" i="6" s="1"/>
  <c r="N36" i="6" a="1"/>
  <c r="N36" i="6" s="1"/>
  <c r="W36" i="6" s="1"/>
  <c r="N35" i="6" a="1"/>
  <c r="N35" i="6" s="1"/>
  <c r="Y35" i="6" s="1"/>
  <c r="N34" i="6" a="1"/>
  <c r="N34" i="6" s="1"/>
  <c r="W34" i="6" s="1"/>
  <c r="N33" i="6" a="1"/>
  <c r="N33" i="6" s="1"/>
  <c r="Q33" i="6" s="1"/>
  <c r="N32" i="6" a="1"/>
  <c r="N32" i="6" s="1"/>
  <c r="W32" i="6" s="1"/>
  <c r="N31" i="6" a="1"/>
  <c r="N31" i="6" s="1"/>
  <c r="U31" i="6" s="1"/>
  <c r="N30" i="6" a="1"/>
  <c r="N30" i="6" s="1"/>
  <c r="S30" i="6" s="1"/>
  <c r="N29" i="6" a="1"/>
  <c r="N29" i="6" s="1"/>
  <c r="Y29" i="6" s="1"/>
  <c r="N28" i="6" a="1"/>
  <c r="N28" i="6" s="1"/>
  <c r="W28" i="6" s="1"/>
  <c r="N27" i="6" a="1"/>
  <c r="N27" i="6" s="1"/>
  <c r="Q27" i="6" s="1"/>
  <c r="N26" i="6" a="1"/>
  <c r="N26" i="6" s="1"/>
  <c r="W26" i="6" s="1"/>
  <c r="N25" i="6" a="1"/>
  <c r="N25" i="6" s="1"/>
  <c r="U25" i="6" s="1"/>
  <c r="N24" i="6" a="1"/>
  <c r="N24" i="6" s="1"/>
  <c r="W24" i="6" s="1"/>
  <c r="N23" i="6" a="1"/>
  <c r="N23" i="6" s="1"/>
  <c r="U23" i="6" s="1"/>
  <c r="N22" i="6" a="1"/>
  <c r="N22" i="6" s="1"/>
  <c r="S22" i="6" s="1"/>
  <c r="N21" i="6" a="1"/>
  <c r="N21" i="6" s="1"/>
  <c r="Y21" i="6" s="1"/>
  <c r="N20" i="6" a="1"/>
  <c r="N20" i="6" s="1"/>
  <c r="W20" i="6" s="1"/>
  <c r="N19" i="6" a="1"/>
  <c r="N19" i="6" s="1"/>
  <c r="N18" i="6" a="1"/>
  <c r="N18" i="6" s="1"/>
  <c r="W18" i="6" s="1"/>
  <c r="N17" i="6" a="1"/>
  <c r="N17" i="6" s="1"/>
  <c r="Q17" i="6" s="1"/>
  <c r="N16" i="6" a="1"/>
  <c r="N16" i="6" s="1"/>
  <c r="W16" i="6" s="1"/>
  <c r="N15" i="6" a="1"/>
  <c r="N15" i="6" s="1"/>
  <c r="V15" i="6" s="1"/>
  <c r="N14" i="6" a="1"/>
  <c r="N14" i="6" s="1"/>
  <c r="S14" i="6" s="1"/>
  <c r="N13" i="6" a="1"/>
  <c r="N13" i="6" s="1"/>
  <c r="R13" i="6" s="1"/>
  <c r="N12" i="6" a="1"/>
  <c r="N12" i="6" s="1"/>
  <c r="W12" i="6" s="1"/>
  <c r="N11" i="6" a="1"/>
  <c r="N11" i="6" s="1"/>
  <c r="Y11" i="6" s="1"/>
  <c r="N10" i="6" a="1"/>
  <c r="N10" i="6" s="1"/>
  <c r="S10" i="6" s="1"/>
  <c r="N9" i="6" a="1"/>
  <c r="N9" i="6" s="1"/>
  <c r="U9" i="6" s="1"/>
  <c r="N8" i="6" a="1"/>
  <c r="N8" i="6" s="1"/>
  <c r="W8" i="6" s="1"/>
  <c r="N7" i="6" a="1"/>
  <c r="N7" i="6" s="1"/>
  <c r="V7" i="6" s="1"/>
  <c r="N6" i="6" a="1"/>
  <c r="N6" i="6" s="1"/>
  <c r="S6" i="6" s="1"/>
  <c r="N5" i="6" a="1"/>
  <c r="N5" i="6" s="1"/>
  <c r="U5" i="6" s="1"/>
  <c r="N4" i="6" a="1"/>
  <c r="N4" i="6" s="1"/>
  <c r="W4" i="6" s="1"/>
  <c r="N3" i="6" a="1"/>
  <c r="N3" i="6" s="1"/>
  <c r="Y3" i="6" s="1"/>
  <c r="N2" i="6" a="1"/>
  <c r="N2" i="6" s="1"/>
  <c r="O2" i="6" s="1"/>
  <c r="Q560" i="6"/>
  <c r="W514" i="6"/>
  <c r="S508" i="6"/>
  <c r="W482" i="6"/>
  <c r="T450" i="6"/>
  <c r="P444" i="6"/>
  <c r="T434" i="6"/>
  <c r="T418" i="6"/>
  <c r="X408" i="6"/>
  <c r="P396" i="6"/>
  <c r="X392" i="6"/>
  <c r="X382" i="6"/>
  <c r="V378" i="6"/>
  <c r="S374" i="6"/>
  <c r="P370" i="6"/>
  <c r="P362" i="6"/>
  <c r="T352" i="6"/>
  <c r="R348" i="6"/>
  <c r="X342" i="6"/>
  <c r="V338" i="6"/>
  <c r="X336" i="6"/>
  <c r="P332" i="6"/>
  <c r="T330" i="6"/>
  <c r="X328" i="6"/>
  <c r="T326" i="6"/>
  <c r="V325" i="6"/>
  <c r="P324" i="6"/>
  <c r="T322" i="6"/>
  <c r="P320" i="6"/>
  <c r="X316" i="6"/>
  <c r="T314" i="6"/>
  <c r="X312" i="6"/>
  <c r="T310" i="6"/>
  <c r="P308" i="6"/>
  <c r="T306" i="6"/>
  <c r="P304" i="6"/>
  <c r="X300" i="6"/>
  <c r="T298" i="6"/>
  <c r="X296" i="6"/>
  <c r="T294" i="6"/>
  <c r="T290" i="6"/>
  <c r="X284" i="6"/>
  <c r="T282" i="6"/>
  <c r="T278" i="6"/>
  <c r="T274" i="6"/>
  <c r="X268" i="6"/>
  <c r="T266" i="6"/>
  <c r="X264" i="6"/>
  <c r="T262" i="6"/>
  <c r="T258" i="6"/>
  <c r="P256" i="6"/>
  <c r="X252" i="6"/>
  <c r="T250" i="6"/>
  <c r="X248" i="6"/>
  <c r="T246" i="6"/>
  <c r="T242" i="6"/>
  <c r="X240" i="6"/>
  <c r="P236" i="6"/>
  <c r="T234" i="6"/>
  <c r="X232" i="6"/>
  <c r="T226" i="6"/>
  <c r="X224" i="6"/>
  <c r="X220" i="6"/>
  <c r="T218" i="6"/>
  <c r="X216" i="6"/>
  <c r="T214" i="6"/>
  <c r="P212" i="6"/>
  <c r="T210" i="6"/>
  <c r="X208" i="6"/>
  <c r="X200" i="6"/>
  <c r="T194" i="6"/>
  <c r="V185" i="6"/>
  <c r="R179" i="6"/>
  <c r="Y165" i="6"/>
  <c r="W160" i="6"/>
  <c r="W138" i="6"/>
  <c r="W122" i="6"/>
  <c r="Y83" i="6"/>
  <c r="W74" i="6"/>
  <c r="Q19" i="6"/>
  <c r="O39" i="6" l="1"/>
  <c r="X39" i="6"/>
  <c r="T39" i="6"/>
  <c r="P39" i="6"/>
  <c r="W39" i="6"/>
  <c r="S39" i="6"/>
  <c r="V39" i="6"/>
  <c r="R39" i="6"/>
  <c r="O55" i="6"/>
  <c r="X55" i="6"/>
  <c r="T55" i="6"/>
  <c r="P55" i="6"/>
  <c r="W55" i="6"/>
  <c r="S55" i="6"/>
  <c r="V55" i="6"/>
  <c r="R55" i="6"/>
  <c r="O71" i="6"/>
  <c r="X71" i="6"/>
  <c r="T71" i="6"/>
  <c r="P71" i="6"/>
  <c r="W71" i="6"/>
  <c r="S71" i="6"/>
  <c r="V71" i="6"/>
  <c r="R71" i="6"/>
  <c r="O79" i="6"/>
  <c r="X79" i="6"/>
  <c r="T79" i="6"/>
  <c r="P79" i="6"/>
  <c r="W79" i="6"/>
  <c r="S79" i="6"/>
  <c r="V79" i="6"/>
  <c r="R79" i="6"/>
  <c r="O91" i="6"/>
  <c r="X91" i="6"/>
  <c r="T91" i="6"/>
  <c r="P91" i="6"/>
  <c r="W91" i="6"/>
  <c r="S91" i="6"/>
  <c r="V91" i="6"/>
  <c r="R91" i="6"/>
  <c r="O103" i="6"/>
  <c r="X103" i="6"/>
  <c r="T103" i="6"/>
  <c r="P103" i="6"/>
  <c r="W103" i="6"/>
  <c r="S103" i="6"/>
  <c r="V103" i="6"/>
  <c r="R103" i="6"/>
  <c r="O119" i="6"/>
  <c r="X119" i="6"/>
  <c r="T119" i="6"/>
  <c r="P119" i="6"/>
  <c r="W119" i="6"/>
  <c r="S119" i="6"/>
  <c r="V119" i="6"/>
  <c r="R119" i="6"/>
  <c r="O147" i="6"/>
  <c r="X147" i="6"/>
  <c r="T147" i="6"/>
  <c r="P147" i="6"/>
  <c r="W147" i="6"/>
  <c r="S147" i="6"/>
  <c r="V147" i="6"/>
  <c r="R147" i="6"/>
  <c r="O151" i="6"/>
  <c r="X151" i="6"/>
  <c r="T151" i="6"/>
  <c r="P151" i="6"/>
  <c r="W151" i="6"/>
  <c r="S151" i="6"/>
  <c r="V151" i="6"/>
  <c r="R151" i="6"/>
  <c r="O163" i="6"/>
  <c r="X163" i="6"/>
  <c r="T163" i="6"/>
  <c r="P163" i="6"/>
  <c r="W163" i="6"/>
  <c r="S163" i="6"/>
  <c r="V163" i="6"/>
  <c r="R163" i="6"/>
  <c r="O175" i="6"/>
  <c r="Y175" i="6"/>
  <c r="X175" i="6"/>
  <c r="T175" i="6"/>
  <c r="P175" i="6"/>
  <c r="W175" i="6"/>
  <c r="R175" i="6"/>
  <c r="V175" i="6"/>
  <c r="Q175" i="6"/>
  <c r="U175" i="6"/>
  <c r="O191" i="6"/>
  <c r="Y191" i="6"/>
  <c r="U191" i="6"/>
  <c r="Q191" i="6"/>
  <c r="X191" i="6"/>
  <c r="T191" i="6"/>
  <c r="P191" i="6"/>
  <c r="W191" i="6"/>
  <c r="V191" i="6"/>
  <c r="S191" i="6"/>
  <c r="O195" i="6"/>
  <c r="Y195" i="6"/>
  <c r="U195" i="6"/>
  <c r="Q195" i="6"/>
  <c r="X195" i="6"/>
  <c r="T195" i="6"/>
  <c r="P195" i="6"/>
  <c r="W195" i="6"/>
  <c r="V195" i="6"/>
  <c r="S195" i="6"/>
  <c r="O223" i="6"/>
  <c r="Y223" i="6"/>
  <c r="U223" i="6"/>
  <c r="Q223" i="6"/>
  <c r="X223" i="6"/>
  <c r="T223" i="6"/>
  <c r="P223" i="6"/>
  <c r="W223" i="6"/>
  <c r="V223" i="6"/>
  <c r="S223" i="6"/>
  <c r="O239" i="6"/>
  <c r="Y239" i="6"/>
  <c r="U239" i="6"/>
  <c r="Q239" i="6"/>
  <c r="X239" i="6"/>
  <c r="T239" i="6"/>
  <c r="P239" i="6"/>
  <c r="W239" i="6"/>
  <c r="V239" i="6"/>
  <c r="S239" i="6"/>
  <c r="O255" i="6"/>
  <c r="Y255" i="6"/>
  <c r="U255" i="6"/>
  <c r="Q255" i="6"/>
  <c r="X255" i="6"/>
  <c r="T255" i="6"/>
  <c r="P255" i="6"/>
  <c r="W255" i="6"/>
  <c r="V255" i="6"/>
  <c r="S255" i="6"/>
  <c r="O419" i="6"/>
  <c r="X419" i="6"/>
  <c r="T419" i="6"/>
  <c r="P419" i="6"/>
  <c r="W419" i="6"/>
  <c r="S419" i="6"/>
  <c r="Y419" i="6"/>
  <c r="Q419" i="6"/>
  <c r="V419" i="6"/>
  <c r="U419" i="6"/>
  <c r="R419" i="6"/>
  <c r="O447" i="6"/>
  <c r="X447" i="6"/>
  <c r="T447" i="6"/>
  <c r="P447" i="6"/>
  <c r="W447" i="6"/>
  <c r="S447" i="6"/>
  <c r="Y447" i="6"/>
  <c r="Q447" i="6"/>
  <c r="V447" i="6"/>
  <c r="U447" i="6"/>
  <c r="O463" i="6"/>
  <c r="X463" i="6"/>
  <c r="T463" i="6"/>
  <c r="P463" i="6"/>
  <c r="W463" i="6"/>
  <c r="S463" i="6"/>
  <c r="V463" i="6"/>
  <c r="R463" i="6"/>
  <c r="Q463" i="6"/>
  <c r="Y463" i="6"/>
  <c r="O527" i="6"/>
  <c r="X527" i="6"/>
  <c r="T527" i="6"/>
  <c r="P527" i="6"/>
  <c r="W527" i="6"/>
  <c r="S527" i="6"/>
  <c r="V527" i="6"/>
  <c r="R527" i="6"/>
  <c r="Q527" i="6"/>
  <c r="Y527" i="6"/>
  <c r="O535" i="6"/>
  <c r="X535" i="6"/>
  <c r="T535" i="6"/>
  <c r="P535" i="6"/>
  <c r="W535" i="6"/>
  <c r="S535" i="6"/>
  <c r="V535" i="6"/>
  <c r="R535" i="6"/>
  <c r="Q535" i="6"/>
  <c r="Y535" i="6"/>
  <c r="U535" i="6"/>
  <c r="O551" i="6"/>
  <c r="X551" i="6"/>
  <c r="T551" i="6"/>
  <c r="P551" i="6"/>
  <c r="W551" i="6"/>
  <c r="S551" i="6"/>
  <c r="V551" i="6"/>
  <c r="R551" i="6"/>
  <c r="Q551" i="6"/>
  <c r="Y551" i="6"/>
  <c r="U551" i="6"/>
  <c r="O563" i="6"/>
  <c r="V563" i="6"/>
  <c r="R563" i="6"/>
  <c r="Y563" i="6"/>
  <c r="U563" i="6"/>
  <c r="Q563" i="6"/>
  <c r="X563" i="6"/>
  <c r="P563" i="6"/>
  <c r="W563" i="6"/>
  <c r="T563" i="6"/>
  <c r="S563" i="6"/>
  <c r="O575" i="6"/>
  <c r="V575" i="6"/>
  <c r="R575" i="6"/>
  <c r="Y575" i="6"/>
  <c r="U575" i="6"/>
  <c r="Q575" i="6"/>
  <c r="X575" i="6"/>
  <c r="P575" i="6"/>
  <c r="W575" i="6"/>
  <c r="T575" i="6"/>
  <c r="S575" i="6"/>
  <c r="O579" i="6"/>
  <c r="V579" i="6"/>
  <c r="R579" i="6"/>
  <c r="Y579" i="6"/>
  <c r="U579" i="6"/>
  <c r="Q579" i="6"/>
  <c r="X579" i="6"/>
  <c r="P579" i="6"/>
  <c r="W579" i="6"/>
  <c r="T579" i="6"/>
  <c r="S579" i="6"/>
  <c r="O591" i="6"/>
  <c r="V591" i="6"/>
  <c r="R591" i="6"/>
  <c r="Y591" i="6"/>
  <c r="U591" i="6"/>
  <c r="Q591" i="6"/>
  <c r="X591" i="6"/>
  <c r="P591" i="6"/>
  <c r="W591" i="6"/>
  <c r="T591" i="6"/>
  <c r="S591" i="6"/>
  <c r="O595" i="6"/>
  <c r="V595" i="6"/>
  <c r="R595" i="6"/>
  <c r="Y595" i="6"/>
  <c r="U595" i="6"/>
  <c r="Q595" i="6"/>
  <c r="X595" i="6"/>
  <c r="P595" i="6"/>
  <c r="W595" i="6"/>
  <c r="T595" i="6"/>
  <c r="S595" i="6"/>
  <c r="O599" i="6"/>
  <c r="V599" i="6"/>
  <c r="R599" i="6"/>
  <c r="Y599" i="6"/>
  <c r="U599" i="6"/>
  <c r="Q599" i="6"/>
  <c r="X599" i="6"/>
  <c r="P599" i="6"/>
  <c r="W599" i="6"/>
  <c r="T599" i="6"/>
  <c r="S599" i="6"/>
  <c r="O603" i="6"/>
  <c r="V603" i="6"/>
  <c r="R603" i="6"/>
  <c r="Y603" i="6"/>
  <c r="U603" i="6"/>
  <c r="Q603" i="6"/>
  <c r="X603" i="6"/>
  <c r="P603" i="6"/>
  <c r="W603" i="6"/>
  <c r="T603" i="6"/>
  <c r="S603" i="6"/>
  <c r="O607" i="6"/>
  <c r="V607" i="6"/>
  <c r="R607" i="6"/>
  <c r="Y607" i="6"/>
  <c r="U607" i="6"/>
  <c r="Q607" i="6"/>
  <c r="X607" i="6"/>
  <c r="P607" i="6"/>
  <c r="W607" i="6"/>
  <c r="T607" i="6"/>
  <c r="S607" i="6"/>
  <c r="O611" i="6"/>
  <c r="V611" i="6"/>
  <c r="R611" i="6"/>
  <c r="Y611" i="6"/>
  <c r="U611" i="6"/>
  <c r="Q611" i="6"/>
  <c r="X611" i="6"/>
  <c r="P611" i="6"/>
  <c r="W611" i="6"/>
  <c r="T611" i="6"/>
  <c r="O615" i="6"/>
  <c r="V615" i="6"/>
  <c r="R615" i="6"/>
  <c r="Y615" i="6"/>
  <c r="U615" i="6"/>
  <c r="Q615" i="6"/>
  <c r="X615" i="6"/>
  <c r="P615" i="6"/>
  <c r="W615" i="6"/>
  <c r="T615" i="6"/>
  <c r="S615" i="6"/>
  <c r="O619" i="6"/>
  <c r="V619" i="6"/>
  <c r="R619" i="6"/>
  <c r="Y619" i="6"/>
  <c r="U619" i="6"/>
  <c r="Q619" i="6"/>
  <c r="X619" i="6"/>
  <c r="P619" i="6"/>
  <c r="W619" i="6"/>
  <c r="T619" i="6"/>
  <c r="S619" i="6"/>
  <c r="O623" i="6"/>
  <c r="V623" i="6"/>
  <c r="R623" i="6"/>
  <c r="Y623" i="6"/>
  <c r="U623" i="6"/>
  <c r="Q623" i="6"/>
  <c r="X623" i="6"/>
  <c r="P623" i="6"/>
  <c r="W623" i="6"/>
  <c r="T623" i="6"/>
  <c r="S623" i="6"/>
  <c r="O627" i="6"/>
  <c r="V627" i="6"/>
  <c r="R627" i="6"/>
  <c r="Y627" i="6"/>
  <c r="U627" i="6"/>
  <c r="Q627" i="6"/>
  <c r="X627" i="6"/>
  <c r="P627" i="6"/>
  <c r="W627" i="6"/>
  <c r="T627" i="6"/>
  <c r="S627" i="6"/>
  <c r="O631" i="6"/>
  <c r="V631" i="6"/>
  <c r="R631" i="6"/>
  <c r="Y631" i="6"/>
  <c r="U631" i="6"/>
  <c r="Q631" i="6"/>
  <c r="X631" i="6"/>
  <c r="T631" i="6"/>
  <c r="P631" i="6"/>
  <c r="W631" i="6"/>
  <c r="S631" i="6"/>
  <c r="O635" i="6"/>
  <c r="V635" i="6"/>
  <c r="R635" i="6"/>
  <c r="Y635" i="6"/>
  <c r="U635" i="6"/>
  <c r="Q635" i="6"/>
  <c r="X635" i="6"/>
  <c r="T635" i="6"/>
  <c r="P635" i="6"/>
  <c r="W635" i="6"/>
  <c r="S635" i="6"/>
  <c r="O639" i="6"/>
  <c r="V639" i="6"/>
  <c r="R639" i="6"/>
  <c r="Y639" i="6"/>
  <c r="U639" i="6"/>
  <c r="Q639" i="6"/>
  <c r="X639" i="6"/>
  <c r="T639" i="6"/>
  <c r="P639" i="6"/>
  <c r="W639" i="6"/>
  <c r="S639" i="6"/>
  <c r="O643" i="6"/>
  <c r="V643" i="6"/>
  <c r="R643" i="6"/>
  <c r="Y643" i="6"/>
  <c r="U643" i="6"/>
  <c r="Q643" i="6"/>
  <c r="X643" i="6"/>
  <c r="T643" i="6"/>
  <c r="P643" i="6"/>
  <c r="W643" i="6"/>
  <c r="S643" i="6"/>
  <c r="O647" i="6"/>
  <c r="Y647" i="6"/>
  <c r="U647" i="6"/>
  <c r="Q647" i="6"/>
  <c r="V647" i="6"/>
  <c r="P647" i="6"/>
  <c r="T647" i="6"/>
  <c r="X647" i="6"/>
  <c r="S647" i="6"/>
  <c r="R647" i="6"/>
  <c r="W647" i="6"/>
  <c r="O651" i="6"/>
  <c r="Y651" i="6"/>
  <c r="U651" i="6"/>
  <c r="Q651" i="6"/>
  <c r="X651" i="6"/>
  <c r="S651" i="6"/>
  <c r="W651" i="6"/>
  <c r="R651" i="6"/>
  <c r="V651" i="6"/>
  <c r="P651" i="6"/>
  <c r="T651" i="6"/>
  <c r="O655" i="6"/>
  <c r="V655" i="6"/>
  <c r="R655" i="6"/>
  <c r="Y655" i="6"/>
  <c r="U655" i="6"/>
  <c r="Q655" i="6"/>
  <c r="S655" i="6"/>
  <c r="X655" i="6"/>
  <c r="P655" i="6"/>
  <c r="W655" i="6"/>
  <c r="T655" i="6"/>
  <c r="O659" i="6"/>
  <c r="V659" i="6"/>
  <c r="R659" i="6"/>
  <c r="Y659" i="6"/>
  <c r="U659" i="6"/>
  <c r="Q659" i="6"/>
  <c r="S659" i="6"/>
  <c r="X659" i="6"/>
  <c r="P659" i="6"/>
  <c r="W659" i="6"/>
  <c r="T659" i="6"/>
  <c r="O663" i="6"/>
  <c r="V663" i="6"/>
  <c r="R663" i="6"/>
  <c r="Y663" i="6"/>
  <c r="U663" i="6"/>
  <c r="Q663" i="6"/>
  <c r="S663" i="6"/>
  <c r="X663" i="6"/>
  <c r="P663" i="6"/>
  <c r="W663" i="6"/>
  <c r="T663" i="6"/>
  <c r="O667" i="6"/>
  <c r="V667" i="6"/>
  <c r="R667" i="6"/>
  <c r="Y667" i="6"/>
  <c r="U667" i="6"/>
  <c r="Q667" i="6"/>
  <c r="S667" i="6"/>
  <c r="X667" i="6"/>
  <c r="P667" i="6"/>
  <c r="W667" i="6"/>
  <c r="T667" i="6"/>
  <c r="O671" i="6"/>
  <c r="V671" i="6"/>
  <c r="R671" i="6"/>
  <c r="Y671" i="6"/>
  <c r="U671" i="6"/>
  <c r="Q671" i="6"/>
  <c r="S671" i="6"/>
  <c r="X671" i="6"/>
  <c r="P671" i="6"/>
  <c r="W671" i="6"/>
  <c r="T671" i="6"/>
  <c r="O675" i="6"/>
  <c r="V675" i="6"/>
  <c r="R675" i="6"/>
  <c r="Y675" i="6"/>
  <c r="U675" i="6"/>
  <c r="Q675" i="6"/>
  <c r="S675" i="6"/>
  <c r="X675" i="6"/>
  <c r="P675" i="6"/>
  <c r="W675" i="6"/>
  <c r="T675" i="6"/>
  <c r="O679" i="6"/>
  <c r="V679" i="6"/>
  <c r="R679" i="6"/>
  <c r="Y679" i="6"/>
  <c r="U679" i="6"/>
  <c r="Q679" i="6"/>
  <c r="S679" i="6"/>
  <c r="X679" i="6"/>
  <c r="P679" i="6"/>
  <c r="W679" i="6"/>
  <c r="T679" i="6"/>
  <c r="O683" i="6"/>
  <c r="V683" i="6"/>
  <c r="R683" i="6"/>
  <c r="Y683" i="6"/>
  <c r="U683" i="6"/>
  <c r="Q683" i="6"/>
  <c r="S683" i="6"/>
  <c r="X683" i="6"/>
  <c r="P683" i="6"/>
  <c r="W683" i="6"/>
  <c r="T683" i="6"/>
  <c r="O687" i="6"/>
  <c r="V687" i="6"/>
  <c r="R687" i="6"/>
  <c r="Y687" i="6"/>
  <c r="U687" i="6"/>
  <c r="Q687" i="6"/>
  <c r="S687" i="6"/>
  <c r="X687" i="6"/>
  <c r="P687" i="6"/>
  <c r="W687" i="6"/>
  <c r="T687" i="6"/>
  <c r="O691" i="6"/>
  <c r="V691" i="6"/>
  <c r="R691" i="6"/>
  <c r="Y691" i="6"/>
  <c r="U691" i="6"/>
  <c r="Q691" i="6"/>
  <c r="S691" i="6"/>
  <c r="X691" i="6"/>
  <c r="P691" i="6"/>
  <c r="W691" i="6"/>
  <c r="T691" i="6"/>
  <c r="O695" i="6"/>
  <c r="Y695" i="6"/>
  <c r="U695" i="6"/>
  <c r="Q695" i="6"/>
  <c r="V695" i="6"/>
  <c r="P695" i="6"/>
  <c r="T695" i="6"/>
  <c r="R695" i="6"/>
  <c r="X695" i="6"/>
  <c r="W695" i="6"/>
  <c r="S695" i="6"/>
  <c r="O699" i="6"/>
  <c r="Y699" i="6"/>
  <c r="U699" i="6"/>
  <c r="Q699" i="6"/>
  <c r="X699" i="6"/>
  <c r="S699" i="6"/>
  <c r="W699" i="6"/>
  <c r="R699" i="6"/>
  <c r="T699" i="6"/>
  <c r="P699" i="6"/>
  <c r="V699" i="6"/>
  <c r="O703" i="6"/>
  <c r="Y703" i="6"/>
  <c r="U703" i="6"/>
  <c r="Q703" i="6"/>
  <c r="V703" i="6"/>
  <c r="P703" i="6"/>
  <c r="T703" i="6"/>
  <c r="X703" i="6"/>
  <c r="S703" i="6"/>
  <c r="R703" i="6"/>
  <c r="W703" i="6"/>
  <c r="O707" i="6"/>
  <c r="Y707" i="6"/>
  <c r="U707" i="6"/>
  <c r="Q707" i="6"/>
  <c r="X707" i="6"/>
  <c r="S707" i="6"/>
  <c r="W707" i="6"/>
  <c r="R707" i="6"/>
  <c r="V707" i="6"/>
  <c r="P707" i="6"/>
  <c r="T707" i="6"/>
  <c r="O711" i="6"/>
  <c r="Y711" i="6"/>
  <c r="U711" i="6"/>
  <c r="Q711" i="6"/>
  <c r="V711" i="6"/>
  <c r="P711" i="6"/>
  <c r="T711" i="6"/>
  <c r="X711" i="6"/>
  <c r="S711" i="6"/>
  <c r="W711" i="6"/>
  <c r="R711" i="6"/>
  <c r="O715" i="6"/>
  <c r="Y715" i="6"/>
  <c r="U715" i="6"/>
  <c r="Q715" i="6"/>
  <c r="X715" i="6"/>
  <c r="S715" i="6"/>
  <c r="W715" i="6"/>
  <c r="R715" i="6"/>
  <c r="V715" i="6"/>
  <c r="P715" i="6"/>
  <c r="T715" i="6"/>
  <c r="O719" i="6"/>
  <c r="Y719" i="6"/>
  <c r="U719" i="6"/>
  <c r="Q719" i="6"/>
  <c r="V719" i="6"/>
  <c r="P719" i="6"/>
  <c r="T719" i="6"/>
  <c r="X719" i="6"/>
  <c r="S719" i="6"/>
  <c r="W719" i="6"/>
  <c r="R719" i="6"/>
  <c r="O723" i="6"/>
  <c r="Y723" i="6"/>
  <c r="U723" i="6"/>
  <c r="Q723" i="6"/>
  <c r="X723" i="6"/>
  <c r="S723" i="6"/>
  <c r="W723" i="6"/>
  <c r="R723" i="6"/>
  <c r="V723" i="6"/>
  <c r="P723" i="6"/>
  <c r="T723" i="6"/>
  <c r="O727" i="6"/>
  <c r="Y727" i="6"/>
  <c r="U727" i="6"/>
  <c r="Q727" i="6"/>
  <c r="V727" i="6"/>
  <c r="P727" i="6"/>
  <c r="T727" i="6"/>
  <c r="X727" i="6"/>
  <c r="S727" i="6"/>
  <c r="W727" i="6"/>
  <c r="R727" i="6"/>
  <c r="O731" i="6"/>
  <c r="Y731" i="6"/>
  <c r="U731" i="6"/>
  <c r="Q731" i="6"/>
  <c r="X731" i="6"/>
  <c r="S731" i="6"/>
  <c r="W731" i="6"/>
  <c r="R731" i="6"/>
  <c r="V731" i="6"/>
  <c r="P731" i="6"/>
  <c r="T731" i="6"/>
  <c r="O735" i="6"/>
  <c r="Y735" i="6"/>
  <c r="U735" i="6"/>
  <c r="Q735" i="6"/>
  <c r="V735" i="6"/>
  <c r="P735" i="6"/>
  <c r="T735" i="6"/>
  <c r="X735" i="6"/>
  <c r="S735" i="6"/>
  <c r="R735" i="6"/>
  <c r="W735" i="6"/>
  <c r="O739" i="6"/>
  <c r="Y739" i="6"/>
  <c r="U739" i="6"/>
  <c r="Q739" i="6"/>
  <c r="X739" i="6"/>
  <c r="S739" i="6"/>
  <c r="W739" i="6"/>
  <c r="R739" i="6"/>
  <c r="V739" i="6"/>
  <c r="P739" i="6"/>
  <c r="T739" i="6"/>
  <c r="O743" i="6"/>
  <c r="Y743" i="6"/>
  <c r="U743" i="6"/>
  <c r="Q743" i="6"/>
  <c r="V743" i="6"/>
  <c r="P743" i="6"/>
  <c r="T743" i="6"/>
  <c r="X743" i="6"/>
  <c r="S743" i="6"/>
  <c r="W743" i="6"/>
  <c r="R743" i="6"/>
  <c r="O747" i="6"/>
  <c r="Y747" i="6"/>
  <c r="U747" i="6"/>
  <c r="Q747" i="6"/>
  <c r="X747" i="6"/>
  <c r="S747" i="6"/>
  <c r="W747" i="6"/>
  <c r="R747" i="6"/>
  <c r="V747" i="6"/>
  <c r="P747" i="6"/>
  <c r="T747" i="6"/>
  <c r="O751" i="6"/>
  <c r="Y751" i="6"/>
  <c r="U751" i="6"/>
  <c r="Q751" i="6"/>
  <c r="V751" i="6"/>
  <c r="P751" i="6"/>
  <c r="T751" i="6"/>
  <c r="X751" i="6"/>
  <c r="S751" i="6"/>
  <c r="W751" i="6"/>
  <c r="R751" i="6"/>
  <c r="O755" i="6"/>
  <c r="Y755" i="6"/>
  <c r="U755" i="6"/>
  <c r="Q755" i="6"/>
  <c r="X755" i="6"/>
  <c r="S755" i="6"/>
  <c r="W755" i="6"/>
  <c r="R755" i="6"/>
  <c r="V755" i="6"/>
  <c r="P755" i="6"/>
  <c r="T755" i="6"/>
  <c r="O759" i="6"/>
  <c r="Y759" i="6"/>
  <c r="U759" i="6"/>
  <c r="Q759" i="6"/>
  <c r="V759" i="6"/>
  <c r="P759" i="6"/>
  <c r="T759" i="6"/>
  <c r="X759" i="6"/>
  <c r="S759" i="6"/>
  <c r="W759" i="6"/>
  <c r="R759" i="6"/>
  <c r="O763" i="6"/>
  <c r="Y763" i="6"/>
  <c r="U763" i="6"/>
  <c r="Q763" i="6"/>
  <c r="X763" i="6"/>
  <c r="S763" i="6"/>
  <c r="W763" i="6"/>
  <c r="R763" i="6"/>
  <c r="V763" i="6"/>
  <c r="P763" i="6"/>
  <c r="T763" i="6"/>
  <c r="O767" i="6"/>
  <c r="Y767" i="6"/>
  <c r="U767" i="6"/>
  <c r="Q767" i="6"/>
  <c r="V767" i="6"/>
  <c r="P767" i="6"/>
  <c r="T767" i="6"/>
  <c r="X767" i="6"/>
  <c r="S767" i="6"/>
  <c r="R767" i="6"/>
  <c r="W767" i="6"/>
  <c r="O771" i="6"/>
  <c r="Y771" i="6"/>
  <c r="U771" i="6"/>
  <c r="Q771" i="6"/>
  <c r="X771" i="6"/>
  <c r="S771" i="6"/>
  <c r="W771" i="6"/>
  <c r="R771" i="6"/>
  <c r="V771" i="6"/>
  <c r="P771" i="6"/>
  <c r="T771" i="6"/>
  <c r="O775" i="6"/>
  <c r="Y775" i="6"/>
  <c r="U775" i="6"/>
  <c r="Q775" i="6"/>
  <c r="V775" i="6"/>
  <c r="P775" i="6"/>
  <c r="T775" i="6"/>
  <c r="X775" i="6"/>
  <c r="S775" i="6"/>
  <c r="W775" i="6"/>
  <c r="R775" i="6"/>
  <c r="O779" i="6"/>
  <c r="Y779" i="6"/>
  <c r="U779" i="6"/>
  <c r="Q779" i="6"/>
  <c r="X779" i="6"/>
  <c r="S779" i="6"/>
  <c r="W779" i="6"/>
  <c r="R779" i="6"/>
  <c r="V779" i="6"/>
  <c r="P779" i="6"/>
  <c r="T779" i="6"/>
  <c r="O783" i="6"/>
  <c r="W783" i="6"/>
  <c r="S783" i="6"/>
  <c r="Y783" i="6"/>
  <c r="U783" i="6"/>
  <c r="Q783" i="6"/>
  <c r="X783" i="6"/>
  <c r="P783" i="6"/>
  <c r="V783" i="6"/>
  <c r="T783" i="6"/>
  <c r="R783" i="6"/>
  <c r="O787" i="6"/>
  <c r="W787" i="6"/>
  <c r="S787" i="6"/>
  <c r="Y787" i="6"/>
  <c r="U787" i="6"/>
  <c r="Q787" i="6"/>
  <c r="X787" i="6"/>
  <c r="P787" i="6"/>
  <c r="V787" i="6"/>
  <c r="T787" i="6"/>
  <c r="R787" i="6"/>
  <c r="O791" i="6"/>
  <c r="W791" i="6"/>
  <c r="S791" i="6"/>
  <c r="Y791" i="6"/>
  <c r="U791" i="6"/>
  <c r="Q791" i="6"/>
  <c r="X791" i="6"/>
  <c r="P791" i="6"/>
  <c r="V791" i="6"/>
  <c r="T791" i="6"/>
  <c r="R791" i="6"/>
  <c r="O795" i="6"/>
  <c r="W795" i="6"/>
  <c r="S795" i="6"/>
  <c r="Y795" i="6"/>
  <c r="U795" i="6"/>
  <c r="Q795" i="6"/>
  <c r="X795" i="6"/>
  <c r="P795" i="6"/>
  <c r="V795" i="6"/>
  <c r="T795" i="6"/>
  <c r="R795" i="6"/>
  <c r="O799" i="6"/>
  <c r="W799" i="6"/>
  <c r="S799" i="6"/>
  <c r="Y799" i="6"/>
  <c r="U799" i="6"/>
  <c r="Q799" i="6"/>
  <c r="X799" i="6"/>
  <c r="P799" i="6"/>
  <c r="V799" i="6"/>
  <c r="T799" i="6"/>
  <c r="R799" i="6"/>
  <c r="O803" i="6"/>
  <c r="W803" i="6"/>
  <c r="S803" i="6"/>
  <c r="Y803" i="6"/>
  <c r="U803" i="6"/>
  <c r="Q803" i="6"/>
  <c r="X803" i="6"/>
  <c r="P803" i="6"/>
  <c r="V803" i="6"/>
  <c r="T803" i="6"/>
  <c r="R803" i="6"/>
  <c r="O807" i="6"/>
  <c r="Y807" i="6"/>
  <c r="U807" i="6"/>
  <c r="Q807" i="6"/>
  <c r="W807" i="6"/>
  <c r="R807" i="6"/>
  <c r="T807" i="6"/>
  <c r="X807" i="6"/>
  <c r="V807" i="6"/>
  <c r="S807" i="6"/>
  <c r="P807" i="6"/>
  <c r="O811" i="6"/>
  <c r="Y811" i="6"/>
  <c r="U811" i="6"/>
  <c r="Q811" i="6"/>
  <c r="T811" i="6"/>
  <c r="W811" i="6"/>
  <c r="R811" i="6"/>
  <c r="P811" i="6"/>
  <c r="X811" i="6"/>
  <c r="V811" i="6"/>
  <c r="S811" i="6"/>
  <c r="O815" i="6"/>
  <c r="Y815" i="6"/>
  <c r="U815" i="6"/>
  <c r="Q815" i="6"/>
  <c r="W815" i="6"/>
  <c r="R815" i="6"/>
  <c r="T815" i="6"/>
  <c r="S815" i="6"/>
  <c r="P815" i="6"/>
  <c r="X815" i="6"/>
  <c r="V815" i="6"/>
  <c r="O819" i="6"/>
  <c r="Y819" i="6"/>
  <c r="U819" i="6"/>
  <c r="Q819" i="6"/>
  <c r="T819" i="6"/>
  <c r="W819" i="6"/>
  <c r="R819" i="6"/>
  <c r="V819" i="6"/>
  <c r="S819" i="6"/>
  <c r="P819" i="6"/>
  <c r="X819" i="6"/>
  <c r="O823" i="6"/>
  <c r="X823" i="6"/>
  <c r="T823" i="6"/>
  <c r="P823" i="6"/>
  <c r="Y823" i="6"/>
  <c r="U823" i="6"/>
  <c r="Q823" i="6"/>
  <c r="W823" i="6"/>
  <c r="S823" i="6"/>
  <c r="R823" i="6"/>
  <c r="V823" i="6"/>
  <c r="O827" i="6"/>
  <c r="X827" i="6"/>
  <c r="T827" i="6"/>
  <c r="P827" i="6"/>
  <c r="Y827" i="6"/>
  <c r="U827" i="6"/>
  <c r="Q827" i="6"/>
  <c r="W827" i="6"/>
  <c r="S827" i="6"/>
  <c r="V827" i="6"/>
  <c r="R827" i="6"/>
  <c r="O831" i="6"/>
  <c r="X831" i="6"/>
  <c r="T831" i="6"/>
  <c r="P831" i="6"/>
  <c r="Y831" i="6"/>
  <c r="U831" i="6"/>
  <c r="Q831" i="6"/>
  <c r="W831" i="6"/>
  <c r="S831" i="6"/>
  <c r="R831" i="6"/>
  <c r="V831" i="6"/>
  <c r="O835" i="6"/>
  <c r="X835" i="6"/>
  <c r="T835" i="6"/>
  <c r="P835" i="6"/>
  <c r="Y835" i="6"/>
  <c r="U835" i="6"/>
  <c r="Q835" i="6"/>
  <c r="W835" i="6"/>
  <c r="S835" i="6"/>
  <c r="V835" i="6"/>
  <c r="R835" i="6"/>
  <c r="O839" i="6"/>
  <c r="X839" i="6"/>
  <c r="T839" i="6"/>
  <c r="P839" i="6"/>
  <c r="Y839" i="6"/>
  <c r="U839" i="6"/>
  <c r="Q839" i="6"/>
  <c r="W839" i="6"/>
  <c r="S839" i="6"/>
  <c r="R839" i="6"/>
  <c r="V839" i="6"/>
  <c r="O843" i="6"/>
  <c r="X843" i="6"/>
  <c r="T843" i="6"/>
  <c r="P843" i="6"/>
  <c r="W843" i="6"/>
  <c r="Y843" i="6"/>
  <c r="U843" i="6"/>
  <c r="Q843" i="6"/>
  <c r="S843" i="6"/>
  <c r="V843" i="6"/>
  <c r="R843" i="6"/>
  <c r="O847" i="6"/>
  <c r="X847" i="6"/>
  <c r="T847" i="6"/>
  <c r="P847" i="6"/>
  <c r="W847" i="6"/>
  <c r="S847" i="6"/>
  <c r="V847" i="6"/>
  <c r="R847" i="6"/>
  <c r="Y847" i="6"/>
  <c r="U847" i="6"/>
  <c r="Q847" i="6"/>
  <c r="O851" i="6"/>
  <c r="X851" i="6"/>
  <c r="T851" i="6"/>
  <c r="P851" i="6"/>
  <c r="W851" i="6"/>
  <c r="S851" i="6"/>
  <c r="V851" i="6"/>
  <c r="Q851" i="6"/>
  <c r="Y851" i="6"/>
  <c r="U851" i="6"/>
  <c r="R851" i="6"/>
  <c r="O855" i="6"/>
  <c r="X855" i="6"/>
  <c r="T855" i="6"/>
  <c r="P855" i="6"/>
  <c r="W855" i="6"/>
  <c r="S855" i="6"/>
  <c r="V855" i="6"/>
  <c r="R855" i="6"/>
  <c r="U855" i="6"/>
  <c r="Q855" i="6"/>
  <c r="Y855" i="6"/>
  <c r="O859" i="6"/>
  <c r="X859" i="6"/>
  <c r="T859" i="6"/>
  <c r="P859" i="6"/>
  <c r="W859" i="6"/>
  <c r="S859" i="6"/>
  <c r="V859" i="6"/>
  <c r="R859" i="6"/>
  <c r="Y859" i="6"/>
  <c r="U859" i="6"/>
  <c r="Q859" i="6"/>
  <c r="O863" i="6"/>
  <c r="X863" i="6"/>
  <c r="T863" i="6"/>
  <c r="P863" i="6"/>
  <c r="W863" i="6"/>
  <c r="S863" i="6"/>
  <c r="V863" i="6"/>
  <c r="R863" i="6"/>
  <c r="U863" i="6"/>
  <c r="Q863" i="6"/>
  <c r="Y863" i="6"/>
  <c r="O867" i="6"/>
  <c r="X867" i="6"/>
  <c r="T867" i="6"/>
  <c r="P867" i="6"/>
  <c r="W867" i="6"/>
  <c r="S867" i="6"/>
  <c r="V867" i="6"/>
  <c r="R867" i="6"/>
  <c r="Y867" i="6"/>
  <c r="U867" i="6"/>
  <c r="Q867" i="6"/>
  <c r="O871" i="6"/>
  <c r="X871" i="6"/>
  <c r="T871" i="6"/>
  <c r="P871" i="6"/>
  <c r="W871" i="6"/>
  <c r="S871" i="6"/>
  <c r="V871" i="6"/>
  <c r="R871" i="6"/>
  <c r="U871" i="6"/>
  <c r="Q871" i="6"/>
  <c r="Y871" i="6"/>
  <c r="O875" i="6"/>
  <c r="X875" i="6"/>
  <c r="T875" i="6"/>
  <c r="P875" i="6"/>
  <c r="W875" i="6"/>
  <c r="S875" i="6"/>
  <c r="V875" i="6"/>
  <c r="R875" i="6"/>
  <c r="Y875" i="6"/>
  <c r="U875" i="6"/>
  <c r="Q875" i="6"/>
  <c r="O879" i="6"/>
  <c r="X879" i="6"/>
  <c r="T879" i="6"/>
  <c r="P879" i="6"/>
  <c r="W879" i="6"/>
  <c r="S879" i="6"/>
  <c r="V879" i="6"/>
  <c r="R879" i="6"/>
  <c r="U879" i="6"/>
  <c r="Q879" i="6"/>
  <c r="Y879" i="6"/>
  <c r="O883" i="6"/>
  <c r="X883" i="6"/>
  <c r="T883" i="6"/>
  <c r="P883" i="6"/>
  <c r="W883" i="6"/>
  <c r="S883" i="6"/>
  <c r="V883" i="6"/>
  <c r="R883" i="6"/>
  <c r="Y883" i="6"/>
  <c r="U883" i="6"/>
  <c r="Q883" i="6"/>
  <c r="O887" i="6"/>
  <c r="X887" i="6"/>
  <c r="T887" i="6"/>
  <c r="P887" i="6"/>
  <c r="W887" i="6"/>
  <c r="S887" i="6"/>
  <c r="V887" i="6"/>
  <c r="R887" i="6"/>
  <c r="U887" i="6"/>
  <c r="Q887" i="6"/>
  <c r="Y887" i="6"/>
  <c r="O891" i="6"/>
  <c r="X891" i="6"/>
  <c r="T891" i="6"/>
  <c r="P891" i="6"/>
  <c r="W891" i="6"/>
  <c r="S891" i="6"/>
  <c r="V891" i="6"/>
  <c r="R891" i="6"/>
  <c r="Y891" i="6"/>
  <c r="U891" i="6"/>
  <c r="Q891" i="6"/>
  <c r="O895" i="6"/>
  <c r="X895" i="6"/>
  <c r="T895" i="6"/>
  <c r="P895" i="6"/>
  <c r="W895" i="6"/>
  <c r="S895" i="6"/>
  <c r="V895" i="6"/>
  <c r="R895" i="6"/>
  <c r="U895" i="6"/>
  <c r="Q895" i="6"/>
  <c r="Y895" i="6"/>
  <c r="O899" i="6"/>
  <c r="X899" i="6"/>
  <c r="T899" i="6"/>
  <c r="P899" i="6"/>
  <c r="W899" i="6"/>
  <c r="S899" i="6"/>
  <c r="V899" i="6"/>
  <c r="R899" i="6"/>
  <c r="Y899" i="6"/>
  <c r="U899" i="6"/>
  <c r="Q899" i="6"/>
  <c r="O903" i="6"/>
  <c r="X903" i="6"/>
  <c r="T903" i="6"/>
  <c r="P903" i="6"/>
  <c r="W903" i="6"/>
  <c r="S903" i="6"/>
  <c r="V903" i="6"/>
  <c r="R903" i="6"/>
  <c r="U903" i="6"/>
  <c r="Q903" i="6"/>
  <c r="Y903" i="6"/>
  <c r="O907" i="6"/>
  <c r="X907" i="6"/>
  <c r="T907" i="6"/>
  <c r="P907" i="6"/>
  <c r="W907" i="6"/>
  <c r="S907" i="6"/>
  <c r="V907" i="6"/>
  <c r="R907" i="6"/>
  <c r="Y907" i="6"/>
  <c r="U907" i="6"/>
  <c r="Q907" i="6"/>
  <c r="O911" i="6"/>
  <c r="X911" i="6"/>
  <c r="T911" i="6"/>
  <c r="P911" i="6"/>
  <c r="W911" i="6"/>
  <c r="S911" i="6"/>
  <c r="V911" i="6"/>
  <c r="R911" i="6"/>
  <c r="U911" i="6"/>
  <c r="Q911" i="6"/>
  <c r="Y911" i="6"/>
  <c r="O915" i="6"/>
  <c r="X915" i="6"/>
  <c r="T915" i="6"/>
  <c r="P915" i="6"/>
  <c r="W915" i="6"/>
  <c r="S915" i="6"/>
  <c r="V915" i="6"/>
  <c r="R915" i="6"/>
  <c r="Y915" i="6"/>
  <c r="U915" i="6"/>
  <c r="Q915" i="6"/>
  <c r="O919" i="6"/>
  <c r="X919" i="6"/>
  <c r="T919" i="6"/>
  <c r="P919" i="6"/>
  <c r="W919" i="6"/>
  <c r="S919" i="6"/>
  <c r="V919" i="6"/>
  <c r="R919" i="6"/>
  <c r="U919" i="6"/>
  <c r="Q919" i="6"/>
  <c r="Y919" i="6"/>
  <c r="O923" i="6"/>
  <c r="X923" i="6"/>
  <c r="T923" i="6"/>
  <c r="P923" i="6"/>
  <c r="W923" i="6"/>
  <c r="S923" i="6"/>
  <c r="V923" i="6"/>
  <c r="R923" i="6"/>
  <c r="Y923" i="6"/>
  <c r="U923" i="6"/>
  <c r="Q923" i="6"/>
  <c r="O927" i="6"/>
  <c r="X927" i="6"/>
  <c r="T927" i="6"/>
  <c r="P927" i="6"/>
  <c r="W927" i="6"/>
  <c r="S927" i="6"/>
  <c r="V927" i="6"/>
  <c r="R927" i="6"/>
  <c r="U927" i="6"/>
  <c r="Q927" i="6"/>
  <c r="Y927" i="6"/>
  <c r="O931" i="6"/>
  <c r="X931" i="6"/>
  <c r="T931" i="6"/>
  <c r="P931" i="6"/>
  <c r="W931" i="6"/>
  <c r="S931" i="6"/>
  <c r="V931" i="6"/>
  <c r="R931" i="6"/>
  <c r="Y931" i="6"/>
  <c r="U931" i="6"/>
  <c r="Q931" i="6"/>
  <c r="O935" i="6"/>
  <c r="X935" i="6"/>
  <c r="T935" i="6"/>
  <c r="P935" i="6"/>
  <c r="W935" i="6"/>
  <c r="S935" i="6"/>
  <c r="V935" i="6"/>
  <c r="R935" i="6"/>
  <c r="U935" i="6"/>
  <c r="Q935" i="6"/>
  <c r="Y935" i="6"/>
  <c r="O939" i="6"/>
  <c r="X939" i="6"/>
  <c r="T939" i="6"/>
  <c r="P939" i="6"/>
  <c r="W939" i="6"/>
  <c r="S939" i="6"/>
  <c r="V939" i="6"/>
  <c r="R939" i="6"/>
  <c r="Y939" i="6"/>
  <c r="U939" i="6"/>
  <c r="Q939" i="6"/>
  <c r="O943" i="6"/>
  <c r="X943" i="6"/>
  <c r="T943" i="6"/>
  <c r="P943" i="6"/>
  <c r="W943" i="6"/>
  <c r="S943" i="6"/>
  <c r="V943" i="6"/>
  <c r="R943" i="6"/>
  <c r="Y943" i="6"/>
  <c r="U943" i="6"/>
  <c r="Q943" i="6"/>
  <c r="O947" i="6"/>
  <c r="X947" i="6"/>
  <c r="T947" i="6"/>
  <c r="P947" i="6"/>
  <c r="W947" i="6"/>
  <c r="S947" i="6"/>
  <c r="V947" i="6"/>
  <c r="R947" i="6"/>
  <c r="Y947" i="6"/>
  <c r="U947" i="6"/>
  <c r="Q947" i="6"/>
  <c r="O951" i="6"/>
  <c r="X951" i="6"/>
  <c r="T951" i="6"/>
  <c r="P951" i="6"/>
  <c r="W951" i="6"/>
  <c r="S951" i="6"/>
  <c r="V951" i="6"/>
  <c r="R951" i="6"/>
  <c r="Y951" i="6"/>
  <c r="U951" i="6"/>
  <c r="Q951" i="6"/>
  <c r="O955" i="6"/>
  <c r="Y955" i="6"/>
  <c r="U955" i="6"/>
  <c r="Q955" i="6"/>
  <c r="X955" i="6"/>
  <c r="T955" i="6"/>
  <c r="P955" i="6"/>
  <c r="W955" i="6"/>
  <c r="V955" i="6"/>
  <c r="S955" i="6"/>
  <c r="R955" i="6"/>
  <c r="O959" i="6"/>
  <c r="V959" i="6"/>
  <c r="R959" i="6"/>
  <c r="Y959" i="6"/>
  <c r="U959" i="6"/>
  <c r="Q959" i="6"/>
  <c r="X959" i="6"/>
  <c r="T959" i="6"/>
  <c r="P959" i="6"/>
  <c r="W959" i="6"/>
  <c r="S959" i="6"/>
  <c r="O963" i="6"/>
  <c r="V963" i="6"/>
  <c r="R963" i="6"/>
  <c r="Y963" i="6"/>
  <c r="U963" i="6"/>
  <c r="Q963" i="6"/>
  <c r="X963" i="6"/>
  <c r="T963" i="6"/>
  <c r="P963" i="6"/>
  <c r="W963" i="6"/>
  <c r="S963" i="6"/>
  <c r="O967" i="6"/>
  <c r="V967" i="6"/>
  <c r="R967" i="6"/>
  <c r="Y967" i="6"/>
  <c r="U967" i="6"/>
  <c r="Q967" i="6"/>
  <c r="X967" i="6"/>
  <c r="T967" i="6"/>
  <c r="P967" i="6"/>
  <c r="W967" i="6"/>
  <c r="S967" i="6"/>
  <c r="O971" i="6"/>
  <c r="V971" i="6"/>
  <c r="R971" i="6"/>
  <c r="Y971" i="6"/>
  <c r="U971" i="6"/>
  <c r="Q971" i="6"/>
  <c r="X971" i="6"/>
  <c r="T971" i="6"/>
  <c r="P971" i="6"/>
  <c r="W971" i="6"/>
  <c r="S971" i="6"/>
  <c r="O975" i="6"/>
  <c r="V975" i="6"/>
  <c r="R975" i="6"/>
  <c r="Y975" i="6"/>
  <c r="U975" i="6"/>
  <c r="Q975" i="6"/>
  <c r="X975" i="6"/>
  <c r="T975" i="6"/>
  <c r="P975" i="6"/>
  <c r="W975" i="6"/>
  <c r="S975" i="6"/>
  <c r="O979" i="6"/>
  <c r="V979" i="6"/>
  <c r="R979" i="6"/>
  <c r="Y979" i="6"/>
  <c r="U979" i="6"/>
  <c r="Q979" i="6"/>
  <c r="X979" i="6"/>
  <c r="T979" i="6"/>
  <c r="P979" i="6"/>
  <c r="W979" i="6"/>
  <c r="S979" i="6"/>
  <c r="O983" i="6"/>
  <c r="V983" i="6"/>
  <c r="R983" i="6"/>
  <c r="Y983" i="6"/>
  <c r="U983" i="6"/>
  <c r="Q983" i="6"/>
  <c r="X983" i="6"/>
  <c r="T983" i="6"/>
  <c r="P983" i="6"/>
  <c r="W983" i="6"/>
  <c r="S983" i="6"/>
  <c r="O987" i="6"/>
  <c r="V987" i="6"/>
  <c r="R987" i="6"/>
  <c r="Y987" i="6"/>
  <c r="U987" i="6"/>
  <c r="Q987" i="6"/>
  <c r="X987" i="6"/>
  <c r="T987" i="6"/>
  <c r="P987" i="6"/>
  <c r="W987" i="6"/>
  <c r="S987" i="6"/>
  <c r="O991" i="6"/>
  <c r="V991" i="6"/>
  <c r="R991" i="6"/>
  <c r="Y991" i="6"/>
  <c r="U991" i="6"/>
  <c r="Q991" i="6"/>
  <c r="X991" i="6"/>
  <c r="T991" i="6"/>
  <c r="P991" i="6"/>
  <c r="W991" i="6"/>
  <c r="S991" i="6"/>
  <c r="O995" i="6"/>
  <c r="V995" i="6"/>
  <c r="R995" i="6"/>
  <c r="Y995" i="6"/>
  <c r="U995" i="6"/>
  <c r="Q995" i="6"/>
  <c r="X995" i="6"/>
  <c r="T995" i="6"/>
  <c r="P995" i="6"/>
  <c r="W995" i="6"/>
  <c r="S995" i="6"/>
  <c r="O999" i="6"/>
  <c r="V999" i="6"/>
  <c r="R999" i="6"/>
  <c r="Y999" i="6"/>
  <c r="U999" i="6"/>
  <c r="Q999" i="6"/>
  <c r="X999" i="6"/>
  <c r="T999" i="6"/>
  <c r="P999" i="6"/>
  <c r="W999" i="6"/>
  <c r="S999" i="6"/>
  <c r="O1003" i="6"/>
  <c r="V1003" i="6"/>
  <c r="R1003" i="6"/>
  <c r="Y1003" i="6"/>
  <c r="U1003" i="6"/>
  <c r="Q1003" i="6"/>
  <c r="X1003" i="6"/>
  <c r="T1003" i="6"/>
  <c r="P1003" i="6"/>
  <c r="W1003" i="6"/>
  <c r="S1003" i="6"/>
  <c r="O1007" i="6"/>
  <c r="W1007" i="6"/>
  <c r="S1007" i="6"/>
  <c r="V1007" i="6"/>
  <c r="R1007" i="6"/>
  <c r="Y1007" i="6"/>
  <c r="U1007" i="6"/>
  <c r="Q1007" i="6"/>
  <c r="X1007" i="6"/>
  <c r="T1007" i="6"/>
  <c r="P1007" i="6"/>
  <c r="O1011" i="6"/>
  <c r="W1011" i="6"/>
  <c r="S1011" i="6"/>
  <c r="V1011" i="6"/>
  <c r="R1011" i="6"/>
  <c r="Y1011" i="6"/>
  <c r="U1011" i="6"/>
  <c r="Q1011" i="6"/>
  <c r="T1011" i="6"/>
  <c r="P1011" i="6"/>
  <c r="X1011" i="6"/>
  <c r="O1015" i="6"/>
  <c r="W1015" i="6"/>
  <c r="S1015" i="6"/>
  <c r="V1015" i="6"/>
  <c r="R1015" i="6"/>
  <c r="Y1015" i="6"/>
  <c r="U1015" i="6"/>
  <c r="Q1015" i="6"/>
  <c r="X1015" i="6"/>
  <c r="T1015" i="6"/>
  <c r="P1015" i="6"/>
  <c r="O1019" i="6"/>
  <c r="W1019" i="6"/>
  <c r="S1019" i="6"/>
  <c r="V1019" i="6"/>
  <c r="R1019" i="6"/>
  <c r="Y1019" i="6"/>
  <c r="U1019" i="6"/>
  <c r="Q1019" i="6"/>
  <c r="T1019" i="6"/>
  <c r="P1019" i="6"/>
  <c r="X1019" i="6"/>
  <c r="O1023" i="6"/>
  <c r="W1023" i="6"/>
  <c r="S1023" i="6"/>
  <c r="V1023" i="6"/>
  <c r="R1023" i="6"/>
  <c r="Y1023" i="6"/>
  <c r="U1023" i="6"/>
  <c r="Q1023" i="6"/>
  <c r="X1023" i="6"/>
  <c r="T1023" i="6"/>
  <c r="P1023" i="6"/>
  <c r="O1027" i="6"/>
  <c r="W1027" i="6"/>
  <c r="S1027" i="6"/>
  <c r="V1027" i="6"/>
  <c r="R1027" i="6"/>
  <c r="Y1027" i="6"/>
  <c r="U1027" i="6"/>
  <c r="Q1027" i="6"/>
  <c r="T1027" i="6"/>
  <c r="P1027" i="6"/>
  <c r="X1027" i="6"/>
  <c r="O1031" i="6"/>
  <c r="W1031" i="6"/>
  <c r="S1031" i="6"/>
  <c r="V1031" i="6"/>
  <c r="R1031" i="6"/>
  <c r="Y1031" i="6"/>
  <c r="U1031" i="6"/>
  <c r="Q1031" i="6"/>
  <c r="X1031" i="6"/>
  <c r="T1031" i="6"/>
  <c r="P1031" i="6"/>
  <c r="O1035" i="6"/>
  <c r="W1035" i="6"/>
  <c r="S1035" i="6"/>
  <c r="V1035" i="6"/>
  <c r="R1035" i="6"/>
  <c r="Y1035" i="6"/>
  <c r="U1035" i="6"/>
  <c r="Q1035" i="6"/>
  <c r="T1035" i="6"/>
  <c r="P1035" i="6"/>
  <c r="X1035" i="6"/>
  <c r="O1039" i="6"/>
  <c r="W1039" i="6"/>
  <c r="S1039" i="6"/>
  <c r="V1039" i="6"/>
  <c r="R1039" i="6"/>
  <c r="Y1039" i="6"/>
  <c r="U1039" i="6"/>
  <c r="Q1039" i="6"/>
  <c r="X1039" i="6"/>
  <c r="T1039" i="6"/>
  <c r="P1039" i="6"/>
  <c r="O1043" i="6"/>
  <c r="W1043" i="6"/>
  <c r="S1043" i="6"/>
  <c r="V1043" i="6"/>
  <c r="R1043" i="6"/>
  <c r="Y1043" i="6"/>
  <c r="U1043" i="6"/>
  <c r="Q1043" i="6"/>
  <c r="T1043" i="6"/>
  <c r="P1043" i="6"/>
  <c r="X1043" i="6"/>
  <c r="O1047" i="6"/>
  <c r="W1047" i="6"/>
  <c r="S1047" i="6"/>
  <c r="V1047" i="6"/>
  <c r="R1047" i="6"/>
  <c r="Y1047" i="6"/>
  <c r="U1047" i="6"/>
  <c r="Q1047" i="6"/>
  <c r="X1047" i="6"/>
  <c r="T1047" i="6"/>
  <c r="P1047" i="6"/>
  <c r="O1051" i="6"/>
  <c r="W1051" i="6"/>
  <c r="S1051" i="6"/>
  <c r="V1051" i="6"/>
  <c r="R1051" i="6"/>
  <c r="Y1051" i="6"/>
  <c r="U1051" i="6"/>
  <c r="Q1051" i="6"/>
  <c r="T1051" i="6"/>
  <c r="P1051" i="6"/>
  <c r="X1051" i="6"/>
  <c r="O1055" i="6"/>
  <c r="W1055" i="6"/>
  <c r="S1055" i="6"/>
  <c r="V1055" i="6"/>
  <c r="R1055" i="6"/>
  <c r="Y1055" i="6"/>
  <c r="U1055" i="6"/>
  <c r="Q1055" i="6"/>
  <c r="X1055" i="6"/>
  <c r="T1055" i="6"/>
  <c r="P1055" i="6"/>
  <c r="O1059" i="6"/>
  <c r="W1059" i="6"/>
  <c r="S1059" i="6"/>
  <c r="V1059" i="6"/>
  <c r="R1059" i="6"/>
  <c r="Y1059" i="6"/>
  <c r="U1059" i="6"/>
  <c r="Q1059" i="6"/>
  <c r="T1059" i="6"/>
  <c r="P1059" i="6"/>
  <c r="X1059" i="6"/>
  <c r="O1063" i="6"/>
  <c r="V1063" i="6"/>
  <c r="R1063" i="6"/>
  <c r="W1063" i="6"/>
  <c r="Q1063" i="6"/>
  <c r="U1063" i="6"/>
  <c r="P1063" i="6"/>
  <c r="Y1063" i="6"/>
  <c r="T1063" i="6"/>
  <c r="S1063" i="6"/>
  <c r="X1063" i="6"/>
  <c r="O1067" i="6"/>
  <c r="V1067" i="6"/>
  <c r="R1067" i="6"/>
  <c r="Y1067" i="6"/>
  <c r="U1067" i="6"/>
  <c r="Q1067" i="6"/>
  <c r="X1067" i="6"/>
  <c r="T1067" i="6"/>
  <c r="P1067" i="6"/>
  <c r="W1067" i="6"/>
  <c r="S1067" i="6"/>
  <c r="O1071" i="6"/>
  <c r="V1071" i="6"/>
  <c r="R1071" i="6"/>
  <c r="Y1071" i="6"/>
  <c r="U1071" i="6"/>
  <c r="Q1071" i="6"/>
  <c r="X1071" i="6"/>
  <c r="T1071" i="6"/>
  <c r="P1071" i="6"/>
  <c r="S1071" i="6"/>
  <c r="W1071" i="6"/>
  <c r="O1075" i="6"/>
  <c r="V1075" i="6"/>
  <c r="R1075" i="6"/>
  <c r="Y1075" i="6"/>
  <c r="U1075" i="6"/>
  <c r="Q1075" i="6"/>
  <c r="X1075" i="6"/>
  <c r="T1075" i="6"/>
  <c r="P1075" i="6"/>
  <c r="W1075" i="6"/>
  <c r="S1075" i="6"/>
  <c r="O1079" i="6"/>
  <c r="V1079" i="6"/>
  <c r="R1079" i="6"/>
  <c r="Y1079" i="6"/>
  <c r="U1079" i="6"/>
  <c r="Q1079" i="6"/>
  <c r="X1079" i="6"/>
  <c r="T1079" i="6"/>
  <c r="P1079" i="6"/>
  <c r="S1079" i="6"/>
  <c r="W1079" i="6"/>
  <c r="O1083" i="6"/>
  <c r="V1083" i="6"/>
  <c r="R1083" i="6"/>
  <c r="Y1083" i="6"/>
  <c r="U1083" i="6"/>
  <c r="Q1083" i="6"/>
  <c r="X1083" i="6"/>
  <c r="T1083" i="6"/>
  <c r="P1083" i="6"/>
  <c r="W1083" i="6"/>
  <c r="S1083" i="6"/>
  <c r="O1087" i="6"/>
  <c r="V1087" i="6"/>
  <c r="R1087" i="6"/>
  <c r="Y1087" i="6"/>
  <c r="U1087" i="6"/>
  <c r="Q1087" i="6"/>
  <c r="X1087" i="6"/>
  <c r="T1087" i="6"/>
  <c r="P1087" i="6"/>
  <c r="S1087" i="6"/>
  <c r="W1087" i="6"/>
  <c r="O1091" i="6"/>
  <c r="Y1091" i="6"/>
  <c r="U1091" i="6"/>
  <c r="Q1091" i="6"/>
  <c r="X1091" i="6"/>
  <c r="T1091" i="6"/>
  <c r="P1091" i="6"/>
  <c r="W1091" i="6"/>
  <c r="V1091" i="6"/>
  <c r="S1091" i="6"/>
  <c r="R1091" i="6"/>
  <c r="O1095" i="6"/>
  <c r="Y1095" i="6"/>
  <c r="U1095" i="6"/>
  <c r="Q1095" i="6"/>
  <c r="X1095" i="6"/>
  <c r="T1095" i="6"/>
  <c r="P1095" i="6"/>
  <c r="W1095" i="6"/>
  <c r="S1095" i="6"/>
  <c r="V1095" i="6"/>
  <c r="R1095" i="6"/>
  <c r="O1099" i="6"/>
  <c r="Y1099" i="6"/>
  <c r="U1099" i="6"/>
  <c r="Q1099" i="6"/>
  <c r="X1099" i="6"/>
  <c r="T1099" i="6"/>
  <c r="P1099" i="6"/>
  <c r="W1099" i="6"/>
  <c r="S1099" i="6"/>
  <c r="V1099" i="6"/>
  <c r="R1099" i="6"/>
  <c r="O1103" i="6"/>
  <c r="Y1103" i="6"/>
  <c r="U1103" i="6"/>
  <c r="Q1103" i="6"/>
  <c r="X1103" i="6"/>
  <c r="T1103" i="6"/>
  <c r="P1103" i="6"/>
  <c r="W1103" i="6"/>
  <c r="S1103" i="6"/>
  <c r="V1103" i="6"/>
  <c r="R1103" i="6"/>
  <c r="O1107" i="6"/>
  <c r="W1107" i="6"/>
  <c r="S1107" i="6"/>
  <c r="V1107" i="6"/>
  <c r="R1107" i="6"/>
  <c r="Y1107" i="6"/>
  <c r="Q1107" i="6"/>
  <c r="X1107" i="6"/>
  <c r="P1107" i="6"/>
  <c r="U1107" i="6"/>
  <c r="T1107" i="6"/>
  <c r="O1111" i="6"/>
  <c r="W1111" i="6"/>
  <c r="S1111" i="6"/>
  <c r="V1111" i="6"/>
  <c r="R1111" i="6"/>
  <c r="Y1111" i="6"/>
  <c r="Q1111" i="6"/>
  <c r="X1111" i="6"/>
  <c r="P1111" i="6"/>
  <c r="U1111" i="6"/>
  <c r="T1111" i="6"/>
  <c r="O1115" i="6"/>
  <c r="W1115" i="6"/>
  <c r="S1115" i="6"/>
  <c r="V1115" i="6"/>
  <c r="R1115" i="6"/>
  <c r="Y1115" i="6"/>
  <c r="Q1115" i="6"/>
  <c r="X1115" i="6"/>
  <c r="P1115" i="6"/>
  <c r="U1115" i="6"/>
  <c r="T1115" i="6"/>
  <c r="O1119" i="6"/>
  <c r="W1119" i="6"/>
  <c r="S1119" i="6"/>
  <c r="V1119" i="6"/>
  <c r="R1119" i="6"/>
  <c r="Y1119" i="6"/>
  <c r="Q1119" i="6"/>
  <c r="X1119" i="6"/>
  <c r="P1119" i="6"/>
  <c r="U1119" i="6"/>
  <c r="T1119" i="6"/>
  <c r="O1123" i="6"/>
  <c r="W1123" i="6"/>
  <c r="S1123" i="6"/>
  <c r="V1123" i="6"/>
  <c r="R1123" i="6"/>
  <c r="Y1123" i="6"/>
  <c r="Q1123" i="6"/>
  <c r="X1123" i="6"/>
  <c r="P1123" i="6"/>
  <c r="U1123" i="6"/>
  <c r="T1123" i="6"/>
  <c r="O1127" i="6"/>
  <c r="W1127" i="6"/>
  <c r="S1127" i="6"/>
  <c r="V1127" i="6"/>
  <c r="R1127" i="6"/>
  <c r="Y1127" i="6"/>
  <c r="Q1127" i="6"/>
  <c r="X1127" i="6"/>
  <c r="P1127" i="6"/>
  <c r="U1127" i="6"/>
  <c r="T1127" i="6"/>
  <c r="O1131" i="6"/>
  <c r="W1131" i="6"/>
  <c r="S1131" i="6"/>
  <c r="V1131" i="6"/>
  <c r="R1131" i="6"/>
  <c r="Y1131" i="6"/>
  <c r="Q1131" i="6"/>
  <c r="X1131" i="6"/>
  <c r="P1131" i="6"/>
  <c r="U1131" i="6"/>
  <c r="T1131" i="6"/>
  <c r="O1135" i="6"/>
  <c r="W1135" i="6"/>
  <c r="S1135" i="6"/>
  <c r="V1135" i="6"/>
  <c r="R1135" i="6"/>
  <c r="Y1135" i="6"/>
  <c r="Q1135" i="6"/>
  <c r="X1135" i="6"/>
  <c r="P1135" i="6"/>
  <c r="U1135" i="6"/>
  <c r="T1135" i="6"/>
  <c r="O1139" i="6"/>
  <c r="W1139" i="6"/>
  <c r="S1139" i="6"/>
  <c r="V1139" i="6"/>
  <c r="R1139" i="6"/>
  <c r="Y1139" i="6"/>
  <c r="Q1139" i="6"/>
  <c r="X1139" i="6"/>
  <c r="P1139" i="6"/>
  <c r="U1139" i="6"/>
  <c r="T1139" i="6"/>
  <c r="U3" i="6"/>
  <c r="S4" i="6"/>
  <c r="Q5" i="6"/>
  <c r="Y5" i="6"/>
  <c r="W6" i="6"/>
  <c r="U7" i="6"/>
  <c r="S8" i="6"/>
  <c r="Q9" i="6"/>
  <c r="Y9" i="6"/>
  <c r="W10" i="6"/>
  <c r="U11" i="6"/>
  <c r="S12" i="6"/>
  <c r="Q13" i="6"/>
  <c r="Y13" i="6"/>
  <c r="W14" i="6"/>
  <c r="U15" i="6"/>
  <c r="S18" i="6"/>
  <c r="Y19" i="6"/>
  <c r="U21" i="6"/>
  <c r="Q23" i="6"/>
  <c r="S26" i="6"/>
  <c r="Y27" i="6"/>
  <c r="U29" i="6"/>
  <c r="Q31" i="6"/>
  <c r="S34" i="6"/>
  <c r="U37" i="6"/>
  <c r="Q39" i="6"/>
  <c r="S42" i="6"/>
  <c r="Y43" i="6"/>
  <c r="U45" i="6"/>
  <c r="Q47" i="6"/>
  <c r="S50" i="6"/>
  <c r="U53" i="6"/>
  <c r="Q55" i="6"/>
  <c r="S58" i="6"/>
  <c r="Y59" i="6"/>
  <c r="U61" i="6"/>
  <c r="Q63" i="6"/>
  <c r="S66" i="6"/>
  <c r="U69" i="6"/>
  <c r="Q71" i="6"/>
  <c r="S74" i="6"/>
  <c r="Y75" i="6"/>
  <c r="U77" i="6"/>
  <c r="Q79" i="6"/>
  <c r="S82" i="6"/>
  <c r="U85" i="6"/>
  <c r="Q87" i="6"/>
  <c r="S90" i="6"/>
  <c r="Y91" i="6"/>
  <c r="U93" i="6"/>
  <c r="Q95" i="6"/>
  <c r="S98" i="6"/>
  <c r="Y99" i="6"/>
  <c r="U101" i="6"/>
  <c r="Q103" i="6"/>
  <c r="S106" i="6"/>
  <c r="U109" i="6"/>
  <c r="Q111" i="6"/>
  <c r="S114" i="6"/>
  <c r="U117" i="6"/>
  <c r="Q119" i="6"/>
  <c r="S122" i="6"/>
  <c r="Y123" i="6"/>
  <c r="U125" i="6"/>
  <c r="Q127" i="6"/>
  <c r="S130" i="6"/>
  <c r="U133" i="6"/>
  <c r="Q135" i="6"/>
  <c r="S138" i="6"/>
  <c r="Y139" i="6"/>
  <c r="U141" i="6"/>
  <c r="Q143" i="6"/>
  <c r="S146" i="6"/>
  <c r="Y147" i="6"/>
  <c r="U149" i="6"/>
  <c r="Q151" i="6"/>
  <c r="S154" i="6"/>
  <c r="Y155" i="6"/>
  <c r="U157" i="6"/>
  <c r="Q159" i="6"/>
  <c r="S162" i="6"/>
  <c r="Y163" i="6"/>
  <c r="U165" i="6"/>
  <c r="Q167" i="6"/>
  <c r="S170" i="6"/>
  <c r="U173" i="6"/>
  <c r="S175" i="6"/>
  <c r="P188" i="6"/>
  <c r="R191" i="6"/>
  <c r="P204" i="6"/>
  <c r="P220" i="6"/>
  <c r="R223" i="6"/>
  <c r="R239" i="6"/>
  <c r="P252" i="6"/>
  <c r="R255" i="6"/>
  <c r="P268" i="6"/>
  <c r="P284" i="6"/>
  <c r="P300" i="6"/>
  <c r="P316" i="6"/>
  <c r="S611" i="6"/>
  <c r="O187" i="6"/>
  <c r="Y187" i="6"/>
  <c r="U187" i="6"/>
  <c r="Q187" i="6"/>
  <c r="X187" i="6"/>
  <c r="T187" i="6"/>
  <c r="P187" i="6"/>
  <c r="W187" i="6"/>
  <c r="V187" i="6"/>
  <c r="S187" i="6"/>
  <c r="O199" i="6"/>
  <c r="Y199" i="6"/>
  <c r="U199" i="6"/>
  <c r="Q199" i="6"/>
  <c r="X199" i="6"/>
  <c r="T199" i="6"/>
  <c r="P199" i="6"/>
  <c r="W199" i="6"/>
  <c r="V199" i="6"/>
  <c r="S199" i="6"/>
  <c r="O227" i="6"/>
  <c r="Y227" i="6"/>
  <c r="U227" i="6"/>
  <c r="Q227" i="6"/>
  <c r="X227" i="6"/>
  <c r="T227" i="6"/>
  <c r="P227" i="6"/>
  <c r="W227" i="6"/>
  <c r="V227" i="6"/>
  <c r="S227" i="6"/>
  <c r="O243" i="6"/>
  <c r="Y243" i="6"/>
  <c r="U243" i="6"/>
  <c r="Q243" i="6"/>
  <c r="X243" i="6"/>
  <c r="T243" i="6"/>
  <c r="P243" i="6"/>
  <c r="W243" i="6"/>
  <c r="V243" i="6"/>
  <c r="S243" i="6"/>
  <c r="O259" i="6"/>
  <c r="Y259" i="6"/>
  <c r="U259" i="6"/>
  <c r="Q259" i="6"/>
  <c r="X259" i="6"/>
  <c r="T259" i="6"/>
  <c r="P259" i="6"/>
  <c r="W259" i="6"/>
  <c r="V259" i="6"/>
  <c r="S259" i="6"/>
  <c r="O303" i="6"/>
  <c r="Y303" i="6"/>
  <c r="U303" i="6"/>
  <c r="Q303" i="6"/>
  <c r="X303" i="6"/>
  <c r="T303" i="6"/>
  <c r="P303" i="6"/>
  <c r="W303" i="6"/>
  <c r="V303" i="6"/>
  <c r="S303" i="6"/>
  <c r="O315" i="6"/>
  <c r="Y315" i="6"/>
  <c r="U315" i="6"/>
  <c r="Q315" i="6"/>
  <c r="X315" i="6"/>
  <c r="T315" i="6"/>
  <c r="P315" i="6"/>
  <c r="W315" i="6"/>
  <c r="V315" i="6"/>
  <c r="S315" i="6"/>
  <c r="O327" i="6"/>
  <c r="Y327" i="6"/>
  <c r="U327" i="6"/>
  <c r="Q327" i="6"/>
  <c r="X327" i="6"/>
  <c r="T327" i="6"/>
  <c r="P327" i="6"/>
  <c r="W327" i="6"/>
  <c r="V327" i="6"/>
  <c r="S327" i="6"/>
  <c r="O339" i="6"/>
  <c r="W339" i="6"/>
  <c r="S339" i="6"/>
  <c r="U339" i="6"/>
  <c r="P339" i="6"/>
  <c r="Y339" i="6"/>
  <c r="T339" i="6"/>
  <c r="R339" i="6"/>
  <c r="Q339" i="6"/>
  <c r="X339" i="6"/>
  <c r="O351" i="6"/>
  <c r="W351" i="6"/>
  <c r="S351" i="6"/>
  <c r="X351" i="6"/>
  <c r="R351" i="6"/>
  <c r="V351" i="6"/>
  <c r="Q351" i="6"/>
  <c r="P351" i="6"/>
  <c r="Y351" i="6"/>
  <c r="U351" i="6"/>
  <c r="O363" i="6"/>
  <c r="W363" i="6"/>
  <c r="S363" i="6"/>
  <c r="U363" i="6"/>
  <c r="P363" i="6"/>
  <c r="Y363" i="6"/>
  <c r="T363" i="6"/>
  <c r="X363" i="6"/>
  <c r="R363" i="6"/>
  <c r="Q363" i="6"/>
  <c r="O375" i="6"/>
  <c r="W375" i="6"/>
  <c r="S375" i="6"/>
  <c r="X375" i="6"/>
  <c r="R375" i="6"/>
  <c r="V375" i="6"/>
  <c r="Q375" i="6"/>
  <c r="U375" i="6"/>
  <c r="P375" i="6"/>
  <c r="Y375" i="6"/>
  <c r="T375" i="6"/>
  <c r="O387" i="6"/>
  <c r="W387" i="6"/>
  <c r="S387" i="6"/>
  <c r="U387" i="6"/>
  <c r="P387" i="6"/>
  <c r="Y387" i="6"/>
  <c r="T387" i="6"/>
  <c r="X387" i="6"/>
  <c r="R387" i="6"/>
  <c r="V387" i="6"/>
  <c r="O399" i="6"/>
  <c r="X399" i="6"/>
  <c r="T399" i="6"/>
  <c r="P399" i="6"/>
  <c r="W399" i="6"/>
  <c r="S399" i="6"/>
  <c r="Y399" i="6"/>
  <c r="Q399" i="6"/>
  <c r="V399" i="6"/>
  <c r="U399" i="6"/>
  <c r="O411" i="6"/>
  <c r="X411" i="6"/>
  <c r="T411" i="6"/>
  <c r="P411" i="6"/>
  <c r="W411" i="6"/>
  <c r="S411" i="6"/>
  <c r="Y411" i="6"/>
  <c r="Q411" i="6"/>
  <c r="V411" i="6"/>
  <c r="U411" i="6"/>
  <c r="R411" i="6"/>
  <c r="O427" i="6"/>
  <c r="X427" i="6"/>
  <c r="T427" i="6"/>
  <c r="P427" i="6"/>
  <c r="W427" i="6"/>
  <c r="S427" i="6"/>
  <c r="Y427" i="6"/>
  <c r="Q427" i="6"/>
  <c r="V427" i="6"/>
  <c r="U427" i="6"/>
  <c r="R427" i="6"/>
  <c r="O439" i="6"/>
  <c r="X439" i="6"/>
  <c r="T439" i="6"/>
  <c r="P439" i="6"/>
  <c r="W439" i="6"/>
  <c r="S439" i="6"/>
  <c r="Y439" i="6"/>
  <c r="Q439" i="6"/>
  <c r="V439" i="6"/>
  <c r="U439" i="6"/>
  <c r="R439" i="6"/>
  <c r="O471" i="6"/>
  <c r="X471" i="6"/>
  <c r="T471" i="6"/>
  <c r="P471" i="6"/>
  <c r="W471" i="6"/>
  <c r="S471" i="6"/>
  <c r="V471" i="6"/>
  <c r="R471" i="6"/>
  <c r="Q471" i="6"/>
  <c r="Y471" i="6"/>
  <c r="U471" i="6"/>
  <c r="O48" i="6"/>
  <c r="V48" i="6"/>
  <c r="R48" i="6"/>
  <c r="Y48" i="6"/>
  <c r="U48" i="6"/>
  <c r="Q48" i="6"/>
  <c r="X48" i="6"/>
  <c r="T48" i="6"/>
  <c r="P48" i="6"/>
  <c r="O52" i="6"/>
  <c r="V52" i="6"/>
  <c r="R52" i="6"/>
  <c r="Y52" i="6"/>
  <c r="U52" i="6"/>
  <c r="Q52" i="6"/>
  <c r="X52" i="6"/>
  <c r="T52" i="6"/>
  <c r="P52" i="6"/>
  <c r="O60" i="6"/>
  <c r="V60" i="6"/>
  <c r="R60" i="6"/>
  <c r="Y60" i="6"/>
  <c r="U60" i="6"/>
  <c r="Q60" i="6"/>
  <c r="X60" i="6"/>
  <c r="T60" i="6"/>
  <c r="P60" i="6"/>
  <c r="O72" i="6"/>
  <c r="V72" i="6"/>
  <c r="R72" i="6"/>
  <c r="Y72" i="6"/>
  <c r="U72" i="6"/>
  <c r="Q72" i="6"/>
  <c r="X72" i="6"/>
  <c r="T72" i="6"/>
  <c r="P72" i="6"/>
  <c r="O200" i="6"/>
  <c r="W200" i="6"/>
  <c r="S200" i="6"/>
  <c r="V200" i="6"/>
  <c r="R200" i="6"/>
  <c r="U200" i="6"/>
  <c r="T200" i="6"/>
  <c r="Y200" i="6"/>
  <c r="Q200" i="6"/>
  <c r="O216" i="6"/>
  <c r="W216" i="6"/>
  <c r="S216" i="6"/>
  <c r="V216" i="6"/>
  <c r="R216" i="6"/>
  <c r="U216" i="6"/>
  <c r="T216" i="6"/>
  <c r="Y216" i="6"/>
  <c r="Q216" i="6"/>
  <c r="O228" i="6"/>
  <c r="W228" i="6"/>
  <c r="S228" i="6"/>
  <c r="V228" i="6"/>
  <c r="R228" i="6"/>
  <c r="U228" i="6"/>
  <c r="T228" i="6"/>
  <c r="Y228" i="6"/>
  <c r="Q228" i="6"/>
  <c r="O236" i="6"/>
  <c r="W236" i="6"/>
  <c r="S236" i="6"/>
  <c r="V236" i="6"/>
  <c r="R236" i="6"/>
  <c r="U236" i="6"/>
  <c r="T236" i="6"/>
  <c r="Y236" i="6"/>
  <c r="Q236" i="6"/>
  <c r="O248" i="6"/>
  <c r="W248" i="6"/>
  <c r="S248" i="6"/>
  <c r="V248" i="6"/>
  <c r="R248" i="6"/>
  <c r="U248" i="6"/>
  <c r="T248" i="6"/>
  <c r="Y248" i="6"/>
  <c r="Q248" i="6"/>
  <c r="O260" i="6"/>
  <c r="W260" i="6"/>
  <c r="S260" i="6"/>
  <c r="V260" i="6"/>
  <c r="R260" i="6"/>
  <c r="U260" i="6"/>
  <c r="T260" i="6"/>
  <c r="Y260" i="6"/>
  <c r="Q260" i="6"/>
  <c r="O272" i="6"/>
  <c r="W272" i="6"/>
  <c r="S272" i="6"/>
  <c r="V272" i="6"/>
  <c r="R272" i="6"/>
  <c r="U272" i="6"/>
  <c r="T272" i="6"/>
  <c r="Y272" i="6"/>
  <c r="Q272" i="6"/>
  <c r="O280" i="6"/>
  <c r="W280" i="6"/>
  <c r="S280" i="6"/>
  <c r="V280" i="6"/>
  <c r="R280" i="6"/>
  <c r="U280" i="6"/>
  <c r="T280" i="6"/>
  <c r="Y280" i="6"/>
  <c r="Q280" i="6"/>
  <c r="O332" i="6"/>
  <c r="W332" i="6"/>
  <c r="S332" i="6"/>
  <c r="V332" i="6"/>
  <c r="R332" i="6"/>
  <c r="U332" i="6"/>
  <c r="T332" i="6"/>
  <c r="Y332" i="6"/>
  <c r="Q332" i="6"/>
  <c r="O344" i="6"/>
  <c r="Y344" i="6"/>
  <c r="U344" i="6"/>
  <c r="Q344" i="6"/>
  <c r="X344" i="6"/>
  <c r="S344" i="6"/>
  <c r="W344" i="6"/>
  <c r="R344" i="6"/>
  <c r="V344" i="6"/>
  <c r="T344" i="6"/>
  <c r="P344" i="6"/>
  <c r="O356" i="6"/>
  <c r="Y356" i="6"/>
  <c r="U356" i="6"/>
  <c r="Q356" i="6"/>
  <c r="V356" i="6"/>
  <c r="P356" i="6"/>
  <c r="T356" i="6"/>
  <c r="S356" i="6"/>
  <c r="R356" i="6"/>
  <c r="X356" i="6"/>
  <c r="O364" i="6"/>
  <c r="Y364" i="6"/>
  <c r="U364" i="6"/>
  <c r="Q364" i="6"/>
  <c r="V364" i="6"/>
  <c r="P364" i="6"/>
  <c r="T364" i="6"/>
  <c r="X364" i="6"/>
  <c r="S364" i="6"/>
  <c r="W364" i="6"/>
  <c r="R364" i="6"/>
  <c r="O376" i="6"/>
  <c r="Y376" i="6"/>
  <c r="U376" i="6"/>
  <c r="Q376" i="6"/>
  <c r="X376" i="6"/>
  <c r="S376" i="6"/>
  <c r="W376" i="6"/>
  <c r="R376" i="6"/>
  <c r="V376" i="6"/>
  <c r="P376" i="6"/>
  <c r="O392" i="6"/>
  <c r="V392" i="6"/>
  <c r="R392" i="6"/>
  <c r="Y392" i="6"/>
  <c r="U392" i="6"/>
  <c r="Q392" i="6"/>
  <c r="W392" i="6"/>
  <c r="T392" i="6"/>
  <c r="S392" i="6"/>
  <c r="P392" i="6"/>
  <c r="O400" i="6"/>
  <c r="V400" i="6"/>
  <c r="R400" i="6"/>
  <c r="Y400" i="6"/>
  <c r="U400" i="6"/>
  <c r="Q400" i="6"/>
  <c r="W400" i="6"/>
  <c r="T400" i="6"/>
  <c r="S400" i="6"/>
  <c r="X400" i="6"/>
  <c r="P400" i="6"/>
  <c r="O412" i="6"/>
  <c r="V412" i="6"/>
  <c r="R412" i="6"/>
  <c r="Y412" i="6"/>
  <c r="U412" i="6"/>
  <c r="Q412" i="6"/>
  <c r="W412" i="6"/>
  <c r="T412" i="6"/>
  <c r="S412" i="6"/>
  <c r="X412" i="6"/>
  <c r="O424" i="6"/>
  <c r="V424" i="6"/>
  <c r="R424" i="6"/>
  <c r="Y424" i="6"/>
  <c r="U424" i="6"/>
  <c r="Q424" i="6"/>
  <c r="W424" i="6"/>
  <c r="T424" i="6"/>
  <c r="S424" i="6"/>
  <c r="P424" i="6"/>
  <c r="O428" i="6"/>
  <c r="V428" i="6"/>
  <c r="R428" i="6"/>
  <c r="Y428" i="6"/>
  <c r="U428" i="6"/>
  <c r="Q428" i="6"/>
  <c r="W428" i="6"/>
  <c r="T428" i="6"/>
  <c r="S428" i="6"/>
  <c r="X428" i="6"/>
  <c r="O432" i="6"/>
  <c r="V432" i="6"/>
  <c r="R432" i="6"/>
  <c r="Y432" i="6"/>
  <c r="U432" i="6"/>
  <c r="Q432" i="6"/>
  <c r="W432" i="6"/>
  <c r="T432" i="6"/>
  <c r="S432" i="6"/>
  <c r="X432" i="6"/>
  <c r="P432" i="6"/>
  <c r="O436" i="6"/>
  <c r="V436" i="6"/>
  <c r="R436" i="6"/>
  <c r="Y436" i="6"/>
  <c r="U436" i="6"/>
  <c r="Q436" i="6"/>
  <c r="W436" i="6"/>
  <c r="T436" i="6"/>
  <c r="S436" i="6"/>
  <c r="X436" i="6"/>
  <c r="P436" i="6"/>
  <c r="O440" i="6"/>
  <c r="V440" i="6"/>
  <c r="R440" i="6"/>
  <c r="Y440" i="6"/>
  <c r="U440" i="6"/>
  <c r="Q440" i="6"/>
  <c r="W440" i="6"/>
  <c r="T440" i="6"/>
  <c r="S440" i="6"/>
  <c r="P440" i="6"/>
  <c r="O444" i="6"/>
  <c r="V444" i="6"/>
  <c r="R444" i="6"/>
  <c r="Y444" i="6"/>
  <c r="U444" i="6"/>
  <c r="Q444" i="6"/>
  <c r="W444" i="6"/>
  <c r="T444" i="6"/>
  <c r="S444" i="6"/>
  <c r="X444" i="6"/>
  <c r="O448" i="6"/>
  <c r="V448" i="6"/>
  <c r="R448" i="6"/>
  <c r="Y448" i="6"/>
  <c r="U448" i="6"/>
  <c r="Q448" i="6"/>
  <c r="W448" i="6"/>
  <c r="T448" i="6"/>
  <c r="S448" i="6"/>
  <c r="X448" i="6"/>
  <c r="P448" i="6"/>
  <c r="O452" i="6"/>
  <c r="V452" i="6"/>
  <c r="R452" i="6"/>
  <c r="Y452" i="6"/>
  <c r="U452" i="6"/>
  <c r="Q452" i="6"/>
  <c r="W452" i="6"/>
  <c r="T452" i="6"/>
  <c r="S452" i="6"/>
  <c r="X452" i="6"/>
  <c r="P452" i="6"/>
  <c r="O456" i="6"/>
  <c r="V456" i="6"/>
  <c r="R456" i="6"/>
  <c r="Y456" i="6"/>
  <c r="U456" i="6"/>
  <c r="Q456" i="6"/>
  <c r="X456" i="6"/>
  <c r="W456" i="6"/>
  <c r="T456" i="6"/>
  <c r="S456" i="6"/>
  <c r="P456" i="6"/>
  <c r="O460" i="6"/>
  <c r="V460" i="6"/>
  <c r="R460" i="6"/>
  <c r="Y460" i="6"/>
  <c r="U460" i="6"/>
  <c r="Q460" i="6"/>
  <c r="X460" i="6"/>
  <c r="T460" i="6"/>
  <c r="P460" i="6"/>
  <c r="W460" i="6"/>
  <c r="S460" i="6"/>
  <c r="O464" i="6"/>
  <c r="V464" i="6"/>
  <c r="R464" i="6"/>
  <c r="Y464" i="6"/>
  <c r="U464" i="6"/>
  <c r="Q464" i="6"/>
  <c r="X464" i="6"/>
  <c r="T464" i="6"/>
  <c r="P464" i="6"/>
  <c r="W464" i="6"/>
  <c r="S464" i="6"/>
  <c r="O468" i="6"/>
  <c r="V468" i="6"/>
  <c r="R468" i="6"/>
  <c r="Y468" i="6"/>
  <c r="U468" i="6"/>
  <c r="Q468" i="6"/>
  <c r="X468" i="6"/>
  <c r="T468" i="6"/>
  <c r="P468" i="6"/>
  <c r="W468" i="6"/>
  <c r="S468" i="6"/>
  <c r="O472" i="6"/>
  <c r="V472" i="6"/>
  <c r="R472" i="6"/>
  <c r="Y472" i="6"/>
  <c r="U472" i="6"/>
  <c r="Q472" i="6"/>
  <c r="X472" i="6"/>
  <c r="T472" i="6"/>
  <c r="P472" i="6"/>
  <c r="W472" i="6"/>
  <c r="S472" i="6"/>
  <c r="O476" i="6"/>
  <c r="V476" i="6"/>
  <c r="R476" i="6"/>
  <c r="Y476" i="6"/>
  <c r="U476" i="6"/>
  <c r="Q476" i="6"/>
  <c r="X476" i="6"/>
  <c r="T476" i="6"/>
  <c r="P476" i="6"/>
  <c r="W476" i="6"/>
  <c r="O480" i="6"/>
  <c r="V480" i="6"/>
  <c r="R480" i="6"/>
  <c r="Y480" i="6"/>
  <c r="U480" i="6"/>
  <c r="Q480" i="6"/>
  <c r="X480" i="6"/>
  <c r="T480" i="6"/>
  <c r="P480" i="6"/>
  <c r="W480" i="6"/>
  <c r="S480" i="6"/>
  <c r="O484" i="6"/>
  <c r="V484" i="6"/>
  <c r="R484" i="6"/>
  <c r="Y484" i="6"/>
  <c r="U484" i="6"/>
  <c r="Q484" i="6"/>
  <c r="X484" i="6"/>
  <c r="T484" i="6"/>
  <c r="P484" i="6"/>
  <c r="W484" i="6"/>
  <c r="S484" i="6"/>
  <c r="O488" i="6"/>
  <c r="V488" i="6"/>
  <c r="R488" i="6"/>
  <c r="Y488" i="6"/>
  <c r="U488" i="6"/>
  <c r="Q488" i="6"/>
  <c r="X488" i="6"/>
  <c r="T488" i="6"/>
  <c r="P488" i="6"/>
  <c r="W488" i="6"/>
  <c r="S488" i="6"/>
  <c r="O492" i="6"/>
  <c r="V492" i="6"/>
  <c r="R492" i="6"/>
  <c r="Y492" i="6"/>
  <c r="U492" i="6"/>
  <c r="Q492" i="6"/>
  <c r="X492" i="6"/>
  <c r="T492" i="6"/>
  <c r="P492" i="6"/>
  <c r="W492" i="6"/>
  <c r="S492" i="6"/>
  <c r="O496" i="6"/>
  <c r="V496" i="6"/>
  <c r="R496" i="6"/>
  <c r="Y496" i="6"/>
  <c r="U496" i="6"/>
  <c r="Q496" i="6"/>
  <c r="X496" i="6"/>
  <c r="T496" i="6"/>
  <c r="P496" i="6"/>
  <c r="W496" i="6"/>
  <c r="S496" i="6"/>
  <c r="O500" i="6"/>
  <c r="V500" i="6"/>
  <c r="R500" i="6"/>
  <c r="Y500" i="6"/>
  <c r="U500" i="6"/>
  <c r="Q500" i="6"/>
  <c r="X500" i="6"/>
  <c r="T500" i="6"/>
  <c r="P500" i="6"/>
  <c r="W500" i="6"/>
  <c r="S500" i="6"/>
  <c r="O504" i="6"/>
  <c r="V504" i="6"/>
  <c r="R504" i="6"/>
  <c r="Y504" i="6"/>
  <c r="U504" i="6"/>
  <c r="Q504" i="6"/>
  <c r="X504" i="6"/>
  <c r="T504" i="6"/>
  <c r="P504" i="6"/>
  <c r="W504" i="6"/>
  <c r="S504" i="6"/>
  <c r="O508" i="6"/>
  <c r="V508" i="6"/>
  <c r="R508" i="6"/>
  <c r="Y508" i="6"/>
  <c r="U508" i="6"/>
  <c r="Q508" i="6"/>
  <c r="X508" i="6"/>
  <c r="T508" i="6"/>
  <c r="P508" i="6"/>
  <c r="W508" i="6"/>
  <c r="O512" i="6"/>
  <c r="V512" i="6"/>
  <c r="R512" i="6"/>
  <c r="Y512" i="6"/>
  <c r="U512" i="6"/>
  <c r="Q512" i="6"/>
  <c r="X512" i="6"/>
  <c r="T512" i="6"/>
  <c r="P512" i="6"/>
  <c r="W512" i="6"/>
  <c r="S512" i="6"/>
  <c r="O516" i="6"/>
  <c r="V516" i="6"/>
  <c r="R516" i="6"/>
  <c r="Y516" i="6"/>
  <c r="U516" i="6"/>
  <c r="Q516" i="6"/>
  <c r="X516" i="6"/>
  <c r="T516" i="6"/>
  <c r="P516" i="6"/>
  <c r="W516" i="6"/>
  <c r="S516" i="6"/>
  <c r="O520" i="6"/>
  <c r="V520" i="6"/>
  <c r="R520" i="6"/>
  <c r="Y520" i="6"/>
  <c r="U520" i="6"/>
  <c r="Q520" i="6"/>
  <c r="X520" i="6"/>
  <c r="T520" i="6"/>
  <c r="P520" i="6"/>
  <c r="W520" i="6"/>
  <c r="S520" i="6"/>
  <c r="O524" i="6"/>
  <c r="V524" i="6"/>
  <c r="R524" i="6"/>
  <c r="Y524" i="6"/>
  <c r="U524" i="6"/>
  <c r="Q524" i="6"/>
  <c r="X524" i="6"/>
  <c r="T524" i="6"/>
  <c r="P524" i="6"/>
  <c r="W524" i="6"/>
  <c r="S524" i="6"/>
  <c r="O528" i="6"/>
  <c r="V528" i="6"/>
  <c r="R528" i="6"/>
  <c r="Y528" i="6"/>
  <c r="U528" i="6"/>
  <c r="Q528" i="6"/>
  <c r="X528" i="6"/>
  <c r="T528" i="6"/>
  <c r="P528" i="6"/>
  <c r="W528" i="6"/>
  <c r="S528" i="6"/>
  <c r="O532" i="6"/>
  <c r="V532" i="6"/>
  <c r="R532" i="6"/>
  <c r="Y532" i="6"/>
  <c r="U532" i="6"/>
  <c r="Q532" i="6"/>
  <c r="X532" i="6"/>
  <c r="T532" i="6"/>
  <c r="P532" i="6"/>
  <c r="W532" i="6"/>
  <c r="S532" i="6"/>
  <c r="O536" i="6"/>
  <c r="V536" i="6"/>
  <c r="R536" i="6"/>
  <c r="Y536" i="6"/>
  <c r="U536" i="6"/>
  <c r="Q536" i="6"/>
  <c r="X536" i="6"/>
  <c r="T536" i="6"/>
  <c r="P536" i="6"/>
  <c r="W536" i="6"/>
  <c r="S536" i="6"/>
  <c r="O540" i="6"/>
  <c r="V540" i="6"/>
  <c r="R540" i="6"/>
  <c r="Y540" i="6"/>
  <c r="U540" i="6"/>
  <c r="Q540" i="6"/>
  <c r="X540" i="6"/>
  <c r="T540" i="6"/>
  <c r="P540" i="6"/>
  <c r="W540" i="6"/>
  <c r="O544" i="6"/>
  <c r="V544" i="6"/>
  <c r="R544" i="6"/>
  <c r="Y544" i="6"/>
  <c r="U544" i="6"/>
  <c r="Q544" i="6"/>
  <c r="X544" i="6"/>
  <c r="T544" i="6"/>
  <c r="P544" i="6"/>
  <c r="W544" i="6"/>
  <c r="S544" i="6"/>
  <c r="O548" i="6"/>
  <c r="V548" i="6"/>
  <c r="R548" i="6"/>
  <c r="Y548" i="6"/>
  <c r="U548" i="6"/>
  <c r="Q548" i="6"/>
  <c r="X548" i="6"/>
  <c r="T548" i="6"/>
  <c r="P548" i="6"/>
  <c r="W548" i="6"/>
  <c r="S548" i="6"/>
  <c r="O552" i="6"/>
  <c r="V552" i="6"/>
  <c r="R552" i="6"/>
  <c r="Y552" i="6"/>
  <c r="U552" i="6"/>
  <c r="Q552" i="6"/>
  <c r="X552" i="6"/>
  <c r="T552" i="6"/>
  <c r="P552" i="6"/>
  <c r="W552" i="6"/>
  <c r="S552" i="6"/>
  <c r="O556" i="6"/>
  <c r="V556" i="6"/>
  <c r="R556" i="6"/>
  <c r="Y556" i="6"/>
  <c r="U556" i="6"/>
  <c r="Q556" i="6"/>
  <c r="X556" i="6"/>
  <c r="T556" i="6"/>
  <c r="P556" i="6"/>
  <c r="W556" i="6"/>
  <c r="S556" i="6"/>
  <c r="O560" i="6"/>
  <c r="X560" i="6"/>
  <c r="T560" i="6"/>
  <c r="P560" i="6"/>
  <c r="W560" i="6"/>
  <c r="S560" i="6"/>
  <c r="V560" i="6"/>
  <c r="U560" i="6"/>
  <c r="R560" i="6"/>
  <c r="Y560" i="6"/>
  <c r="O564" i="6"/>
  <c r="X564" i="6"/>
  <c r="T564" i="6"/>
  <c r="P564" i="6"/>
  <c r="W564" i="6"/>
  <c r="S564" i="6"/>
  <c r="V564" i="6"/>
  <c r="U564" i="6"/>
  <c r="R564" i="6"/>
  <c r="Y564" i="6"/>
  <c r="Q564" i="6"/>
  <c r="O568" i="6"/>
  <c r="X568" i="6"/>
  <c r="T568" i="6"/>
  <c r="P568" i="6"/>
  <c r="W568" i="6"/>
  <c r="S568" i="6"/>
  <c r="V568" i="6"/>
  <c r="U568" i="6"/>
  <c r="R568" i="6"/>
  <c r="Y568" i="6"/>
  <c r="Q568" i="6"/>
  <c r="O572" i="6"/>
  <c r="X572" i="6"/>
  <c r="T572" i="6"/>
  <c r="P572" i="6"/>
  <c r="W572" i="6"/>
  <c r="S572" i="6"/>
  <c r="V572" i="6"/>
  <c r="U572" i="6"/>
  <c r="R572" i="6"/>
  <c r="Q572" i="6"/>
  <c r="O576" i="6"/>
  <c r="X576" i="6"/>
  <c r="T576" i="6"/>
  <c r="P576" i="6"/>
  <c r="W576" i="6"/>
  <c r="S576" i="6"/>
  <c r="V576" i="6"/>
  <c r="U576" i="6"/>
  <c r="R576" i="6"/>
  <c r="Y576" i="6"/>
  <c r="Q576" i="6"/>
  <c r="O580" i="6"/>
  <c r="X580" i="6"/>
  <c r="T580" i="6"/>
  <c r="P580" i="6"/>
  <c r="W580" i="6"/>
  <c r="S580" i="6"/>
  <c r="V580" i="6"/>
  <c r="U580" i="6"/>
  <c r="R580" i="6"/>
  <c r="Y580" i="6"/>
  <c r="Q580" i="6"/>
  <c r="O584" i="6"/>
  <c r="X584" i="6"/>
  <c r="T584" i="6"/>
  <c r="P584" i="6"/>
  <c r="W584" i="6"/>
  <c r="S584" i="6"/>
  <c r="V584" i="6"/>
  <c r="U584" i="6"/>
  <c r="R584" i="6"/>
  <c r="Y584" i="6"/>
  <c r="Q584" i="6"/>
  <c r="O588" i="6"/>
  <c r="X588" i="6"/>
  <c r="T588" i="6"/>
  <c r="P588" i="6"/>
  <c r="W588" i="6"/>
  <c r="S588" i="6"/>
  <c r="V588" i="6"/>
  <c r="U588" i="6"/>
  <c r="R588" i="6"/>
  <c r="Q588" i="6"/>
  <c r="Y588" i="6"/>
  <c r="O592" i="6"/>
  <c r="X592" i="6"/>
  <c r="T592" i="6"/>
  <c r="P592" i="6"/>
  <c r="W592" i="6"/>
  <c r="S592" i="6"/>
  <c r="V592" i="6"/>
  <c r="U592" i="6"/>
  <c r="R592" i="6"/>
  <c r="Y592" i="6"/>
  <c r="Q592" i="6"/>
  <c r="O596" i="6"/>
  <c r="X596" i="6"/>
  <c r="T596" i="6"/>
  <c r="P596" i="6"/>
  <c r="W596" i="6"/>
  <c r="S596" i="6"/>
  <c r="V596" i="6"/>
  <c r="U596" i="6"/>
  <c r="R596" i="6"/>
  <c r="Y596" i="6"/>
  <c r="Q596" i="6"/>
  <c r="O600" i="6"/>
  <c r="X600" i="6"/>
  <c r="T600" i="6"/>
  <c r="P600" i="6"/>
  <c r="W600" i="6"/>
  <c r="S600" i="6"/>
  <c r="V600" i="6"/>
  <c r="U600" i="6"/>
  <c r="R600" i="6"/>
  <c r="Y600" i="6"/>
  <c r="Q600" i="6"/>
  <c r="O604" i="6"/>
  <c r="X604" i="6"/>
  <c r="T604" i="6"/>
  <c r="P604" i="6"/>
  <c r="W604" i="6"/>
  <c r="S604" i="6"/>
  <c r="V604" i="6"/>
  <c r="U604" i="6"/>
  <c r="R604" i="6"/>
  <c r="Q604" i="6"/>
  <c r="Y604" i="6"/>
  <c r="O608" i="6"/>
  <c r="X608" i="6"/>
  <c r="T608" i="6"/>
  <c r="P608" i="6"/>
  <c r="W608" i="6"/>
  <c r="S608" i="6"/>
  <c r="V608" i="6"/>
  <c r="U608" i="6"/>
  <c r="R608" i="6"/>
  <c r="Y608" i="6"/>
  <c r="Q608" i="6"/>
  <c r="O612" i="6"/>
  <c r="X612" i="6"/>
  <c r="T612" i="6"/>
  <c r="P612" i="6"/>
  <c r="W612" i="6"/>
  <c r="S612" i="6"/>
  <c r="V612" i="6"/>
  <c r="U612" i="6"/>
  <c r="R612" i="6"/>
  <c r="Y612" i="6"/>
  <c r="Q612" i="6"/>
  <c r="O616" i="6"/>
  <c r="X616" i="6"/>
  <c r="T616" i="6"/>
  <c r="P616" i="6"/>
  <c r="W616" i="6"/>
  <c r="S616" i="6"/>
  <c r="V616" i="6"/>
  <c r="U616" i="6"/>
  <c r="R616" i="6"/>
  <c r="Y616" i="6"/>
  <c r="Q616" i="6"/>
  <c r="O620" i="6"/>
  <c r="X620" i="6"/>
  <c r="T620" i="6"/>
  <c r="P620" i="6"/>
  <c r="W620" i="6"/>
  <c r="S620" i="6"/>
  <c r="V620" i="6"/>
  <c r="U620" i="6"/>
  <c r="R620" i="6"/>
  <c r="Q620" i="6"/>
  <c r="Y620" i="6"/>
  <c r="O624" i="6"/>
  <c r="X624" i="6"/>
  <c r="T624" i="6"/>
  <c r="P624" i="6"/>
  <c r="W624" i="6"/>
  <c r="S624" i="6"/>
  <c r="V624" i="6"/>
  <c r="U624" i="6"/>
  <c r="R624" i="6"/>
  <c r="Y624" i="6"/>
  <c r="O628" i="6"/>
  <c r="X628" i="6"/>
  <c r="T628" i="6"/>
  <c r="P628" i="6"/>
  <c r="W628" i="6"/>
  <c r="S628" i="6"/>
  <c r="V628" i="6"/>
  <c r="U628" i="6"/>
  <c r="R628" i="6"/>
  <c r="Y628" i="6"/>
  <c r="Q628" i="6"/>
  <c r="O632" i="6"/>
  <c r="X632" i="6"/>
  <c r="T632" i="6"/>
  <c r="P632" i="6"/>
  <c r="W632" i="6"/>
  <c r="S632" i="6"/>
  <c r="V632" i="6"/>
  <c r="R632" i="6"/>
  <c r="U632" i="6"/>
  <c r="Q632" i="6"/>
  <c r="Y632" i="6"/>
  <c r="O636" i="6"/>
  <c r="X636" i="6"/>
  <c r="T636" i="6"/>
  <c r="P636" i="6"/>
  <c r="W636" i="6"/>
  <c r="S636" i="6"/>
  <c r="V636" i="6"/>
  <c r="R636" i="6"/>
  <c r="Y636" i="6"/>
  <c r="U636" i="6"/>
  <c r="Q636" i="6"/>
  <c r="O640" i="6"/>
  <c r="X640" i="6"/>
  <c r="T640" i="6"/>
  <c r="P640" i="6"/>
  <c r="W640" i="6"/>
  <c r="S640" i="6"/>
  <c r="V640" i="6"/>
  <c r="R640" i="6"/>
  <c r="U640" i="6"/>
  <c r="Q640" i="6"/>
  <c r="Y640" i="6"/>
  <c r="O644" i="6"/>
  <c r="X644" i="6"/>
  <c r="T644" i="6"/>
  <c r="P644" i="6"/>
  <c r="W644" i="6"/>
  <c r="S644" i="6"/>
  <c r="V644" i="6"/>
  <c r="R644" i="6"/>
  <c r="Y644" i="6"/>
  <c r="U644" i="6"/>
  <c r="O648" i="6"/>
  <c r="W648" i="6"/>
  <c r="S648" i="6"/>
  <c r="V648" i="6"/>
  <c r="Q648" i="6"/>
  <c r="U648" i="6"/>
  <c r="P648" i="6"/>
  <c r="Y648" i="6"/>
  <c r="T648" i="6"/>
  <c r="X648" i="6"/>
  <c r="R648" i="6"/>
  <c r="O652" i="6"/>
  <c r="W652" i="6"/>
  <c r="S652" i="6"/>
  <c r="Y652" i="6"/>
  <c r="T652" i="6"/>
  <c r="X652" i="6"/>
  <c r="R652" i="6"/>
  <c r="V652" i="6"/>
  <c r="Q652" i="6"/>
  <c r="U652" i="6"/>
  <c r="P652" i="6"/>
  <c r="O656" i="6"/>
  <c r="X656" i="6"/>
  <c r="T656" i="6"/>
  <c r="P656" i="6"/>
  <c r="W656" i="6"/>
  <c r="S656" i="6"/>
  <c r="Y656" i="6"/>
  <c r="Q656" i="6"/>
  <c r="V656" i="6"/>
  <c r="U656" i="6"/>
  <c r="R656" i="6"/>
  <c r="O660" i="6"/>
  <c r="X660" i="6"/>
  <c r="T660" i="6"/>
  <c r="P660" i="6"/>
  <c r="W660" i="6"/>
  <c r="S660" i="6"/>
  <c r="Y660" i="6"/>
  <c r="Q660" i="6"/>
  <c r="V660" i="6"/>
  <c r="U660" i="6"/>
  <c r="R660" i="6"/>
  <c r="O664" i="6"/>
  <c r="X664" i="6"/>
  <c r="T664" i="6"/>
  <c r="P664" i="6"/>
  <c r="W664" i="6"/>
  <c r="S664" i="6"/>
  <c r="Y664" i="6"/>
  <c r="Q664" i="6"/>
  <c r="V664" i="6"/>
  <c r="U664" i="6"/>
  <c r="R664" i="6"/>
  <c r="O668" i="6"/>
  <c r="X668" i="6"/>
  <c r="T668" i="6"/>
  <c r="P668" i="6"/>
  <c r="W668" i="6"/>
  <c r="S668" i="6"/>
  <c r="Y668" i="6"/>
  <c r="Q668" i="6"/>
  <c r="V668" i="6"/>
  <c r="U668" i="6"/>
  <c r="R668" i="6"/>
  <c r="O672" i="6"/>
  <c r="X672" i="6"/>
  <c r="T672" i="6"/>
  <c r="P672" i="6"/>
  <c r="W672" i="6"/>
  <c r="S672" i="6"/>
  <c r="Y672" i="6"/>
  <c r="Q672" i="6"/>
  <c r="V672" i="6"/>
  <c r="U672" i="6"/>
  <c r="R672" i="6"/>
  <c r="O676" i="6"/>
  <c r="X676" i="6"/>
  <c r="T676" i="6"/>
  <c r="P676" i="6"/>
  <c r="W676" i="6"/>
  <c r="S676" i="6"/>
  <c r="Y676" i="6"/>
  <c r="Q676" i="6"/>
  <c r="V676" i="6"/>
  <c r="U676" i="6"/>
  <c r="R676" i="6"/>
  <c r="O680" i="6"/>
  <c r="X680" i="6"/>
  <c r="T680" i="6"/>
  <c r="P680" i="6"/>
  <c r="W680" i="6"/>
  <c r="S680" i="6"/>
  <c r="Y680" i="6"/>
  <c r="Q680" i="6"/>
  <c r="V680" i="6"/>
  <c r="U680" i="6"/>
  <c r="R680" i="6"/>
  <c r="O684" i="6"/>
  <c r="X684" i="6"/>
  <c r="T684" i="6"/>
  <c r="P684" i="6"/>
  <c r="W684" i="6"/>
  <c r="S684" i="6"/>
  <c r="Y684" i="6"/>
  <c r="Q684" i="6"/>
  <c r="V684" i="6"/>
  <c r="U684" i="6"/>
  <c r="R684" i="6"/>
  <c r="O688" i="6"/>
  <c r="X688" i="6"/>
  <c r="T688" i="6"/>
  <c r="P688" i="6"/>
  <c r="W688" i="6"/>
  <c r="S688" i="6"/>
  <c r="Y688" i="6"/>
  <c r="Q688" i="6"/>
  <c r="V688" i="6"/>
  <c r="U688" i="6"/>
  <c r="R688" i="6"/>
  <c r="O692" i="6"/>
  <c r="W692" i="6"/>
  <c r="Y692" i="6"/>
  <c r="T692" i="6"/>
  <c r="P692" i="6"/>
  <c r="X692" i="6"/>
  <c r="S692" i="6"/>
  <c r="Q692" i="6"/>
  <c r="V692" i="6"/>
  <c r="U692" i="6"/>
  <c r="R692" i="6"/>
  <c r="O696" i="6"/>
  <c r="W696" i="6"/>
  <c r="S696" i="6"/>
  <c r="V696" i="6"/>
  <c r="Q696" i="6"/>
  <c r="U696" i="6"/>
  <c r="P696" i="6"/>
  <c r="R696" i="6"/>
  <c r="Y696" i="6"/>
  <c r="X696" i="6"/>
  <c r="T696" i="6"/>
  <c r="O700" i="6"/>
  <c r="W700" i="6"/>
  <c r="S700" i="6"/>
  <c r="Y700" i="6"/>
  <c r="T700" i="6"/>
  <c r="X700" i="6"/>
  <c r="R700" i="6"/>
  <c r="V700" i="6"/>
  <c r="Q700" i="6"/>
  <c r="U700" i="6"/>
  <c r="P700" i="6"/>
  <c r="O704" i="6"/>
  <c r="W704" i="6"/>
  <c r="S704" i="6"/>
  <c r="V704" i="6"/>
  <c r="Q704" i="6"/>
  <c r="U704" i="6"/>
  <c r="P704" i="6"/>
  <c r="Y704" i="6"/>
  <c r="T704" i="6"/>
  <c r="X704" i="6"/>
  <c r="R704" i="6"/>
  <c r="O708" i="6"/>
  <c r="W708" i="6"/>
  <c r="S708" i="6"/>
  <c r="Y708" i="6"/>
  <c r="T708" i="6"/>
  <c r="X708" i="6"/>
  <c r="R708" i="6"/>
  <c r="V708" i="6"/>
  <c r="Q708" i="6"/>
  <c r="U708" i="6"/>
  <c r="P708" i="6"/>
  <c r="O712" i="6"/>
  <c r="W712" i="6"/>
  <c r="S712" i="6"/>
  <c r="V712" i="6"/>
  <c r="Q712" i="6"/>
  <c r="U712" i="6"/>
  <c r="P712" i="6"/>
  <c r="Y712" i="6"/>
  <c r="T712" i="6"/>
  <c r="X712" i="6"/>
  <c r="R712" i="6"/>
  <c r="O716" i="6"/>
  <c r="W716" i="6"/>
  <c r="S716" i="6"/>
  <c r="Y716" i="6"/>
  <c r="T716" i="6"/>
  <c r="X716" i="6"/>
  <c r="R716" i="6"/>
  <c r="V716" i="6"/>
  <c r="Q716" i="6"/>
  <c r="P716" i="6"/>
  <c r="U716" i="6"/>
  <c r="O720" i="6"/>
  <c r="W720" i="6"/>
  <c r="S720" i="6"/>
  <c r="V720" i="6"/>
  <c r="Q720" i="6"/>
  <c r="U720" i="6"/>
  <c r="P720" i="6"/>
  <c r="Y720" i="6"/>
  <c r="T720" i="6"/>
  <c r="R720" i="6"/>
  <c r="X720" i="6"/>
  <c r="O724" i="6"/>
  <c r="W724" i="6"/>
  <c r="S724" i="6"/>
  <c r="Y724" i="6"/>
  <c r="T724" i="6"/>
  <c r="X724" i="6"/>
  <c r="R724" i="6"/>
  <c r="V724" i="6"/>
  <c r="Q724" i="6"/>
  <c r="U724" i="6"/>
  <c r="P724" i="6"/>
  <c r="O728" i="6"/>
  <c r="W728" i="6"/>
  <c r="S728" i="6"/>
  <c r="V728" i="6"/>
  <c r="Q728" i="6"/>
  <c r="U728" i="6"/>
  <c r="P728" i="6"/>
  <c r="Y728" i="6"/>
  <c r="T728" i="6"/>
  <c r="X728" i="6"/>
  <c r="R728" i="6"/>
  <c r="O732" i="6"/>
  <c r="W732" i="6"/>
  <c r="S732" i="6"/>
  <c r="Y732" i="6"/>
  <c r="T732" i="6"/>
  <c r="X732" i="6"/>
  <c r="R732" i="6"/>
  <c r="V732" i="6"/>
  <c r="Q732" i="6"/>
  <c r="U732" i="6"/>
  <c r="P732" i="6"/>
  <c r="O736" i="6"/>
  <c r="W736" i="6"/>
  <c r="S736" i="6"/>
  <c r="V736" i="6"/>
  <c r="Q736" i="6"/>
  <c r="U736" i="6"/>
  <c r="P736" i="6"/>
  <c r="Y736" i="6"/>
  <c r="T736" i="6"/>
  <c r="X736" i="6"/>
  <c r="R736" i="6"/>
  <c r="O740" i="6"/>
  <c r="W740" i="6"/>
  <c r="S740" i="6"/>
  <c r="Y740" i="6"/>
  <c r="T740" i="6"/>
  <c r="X740" i="6"/>
  <c r="R740" i="6"/>
  <c r="V740" i="6"/>
  <c r="Q740" i="6"/>
  <c r="U740" i="6"/>
  <c r="P740" i="6"/>
  <c r="O744" i="6"/>
  <c r="W744" i="6"/>
  <c r="S744" i="6"/>
  <c r="V744" i="6"/>
  <c r="Q744" i="6"/>
  <c r="U744" i="6"/>
  <c r="P744" i="6"/>
  <c r="Y744" i="6"/>
  <c r="T744" i="6"/>
  <c r="X744" i="6"/>
  <c r="R744" i="6"/>
  <c r="O748" i="6"/>
  <c r="W748" i="6"/>
  <c r="S748" i="6"/>
  <c r="Y748" i="6"/>
  <c r="T748" i="6"/>
  <c r="X748" i="6"/>
  <c r="R748" i="6"/>
  <c r="V748" i="6"/>
  <c r="Q748" i="6"/>
  <c r="P748" i="6"/>
  <c r="U748" i="6"/>
  <c r="O752" i="6"/>
  <c r="W752" i="6"/>
  <c r="S752" i="6"/>
  <c r="V752" i="6"/>
  <c r="Q752" i="6"/>
  <c r="U752" i="6"/>
  <c r="P752" i="6"/>
  <c r="Y752" i="6"/>
  <c r="T752" i="6"/>
  <c r="R752" i="6"/>
  <c r="X752" i="6"/>
  <c r="O756" i="6"/>
  <c r="W756" i="6"/>
  <c r="S756" i="6"/>
  <c r="Y756" i="6"/>
  <c r="T756" i="6"/>
  <c r="X756" i="6"/>
  <c r="R756" i="6"/>
  <c r="V756" i="6"/>
  <c r="Q756" i="6"/>
  <c r="U756" i="6"/>
  <c r="P756" i="6"/>
  <c r="O760" i="6"/>
  <c r="W760" i="6"/>
  <c r="S760" i="6"/>
  <c r="V760" i="6"/>
  <c r="Q760" i="6"/>
  <c r="U760" i="6"/>
  <c r="P760" i="6"/>
  <c r="Y760" i="6"/>
  <c r="T760" i="6"/>
  <c r="X760" i="6"/>
  <c r="R760" i="6"/>
  <c r="O764" i="6"/>
  <c r="W764" i="6"/>
  <c r="S764" i="6"/>
  <c r="Y764" i="6"/>
  <c r="T764" i="6"/>
  <c r="X764" i="6"/>
  <c r="R764" i="6"/>
  <c r="V764" i="6"/>
  <c r="Q764" i="6"/>
  <c r="U764" i="6"/>
  <c r="P764" i="6"/>
  <c r="O768" i="6"/>
  <c r="W768" i="6"/>
  <c r="S768" i="6"/>
  <c r="V768" i="6"/>
  <c r="Q768" i="6"/>
  <c r="U768" i="6"/>
  <c r="P768" i="6"/>
  <c r="Y768" i="6"/>
  <c r="T768" i="6"/>
  <c r="X768" i="6"/>
  <c r="R768" i="6"/>
  <c r="O772" i="6"/>
  <c r="W772" i="6"/>
  <c r="S772" i="6"/>
  <c r="Y772" i="6"/>
  <c r="T772" i="6"/>
  <c r="X772" i="6"/>
  <c r="R772" i="6"/>
  <c r="V772" i="6"/>
  <c r="Q772" i="6"/>
  <c r="U772" i="6"/>
  <c r="P772" i="6"/>
  <c r="O776" i="6"/>
  <c r="W776" i="6"/>
  <c r="S776" i="6"/>
  <c r="V776" i="6"/>
  <c r="Q776" i="6"/>
  <c r="U776" i="6"/>
  <c r="P776" i="6"/>
  <c r="Y776" i="6"/>
  <c r="T776" i="6"/>
  <c r="X776" i="6"/>
  <c r="R776" i="6"/>
  <c r="O780" i="6"/>
  <c r="Y780" i="6"/>
  <c r="U780" i="6"/>
  <c r="Q780" i="6"/>
  <c r="W780" i="6"/>
  <c r="S780" i="6"/>
  <c r="V780" i="6"/>
  <c r="T780" i="6"/>
  <c r="R780" i="6"/>
  <c r="P780" i="6"/>
  <c r="X780" i="6"/>
  <c r="O784" i="6"/>
  <c r="Y784" i="6"/>
  <c r="U784" i="6"/>
  <c r="Q784" i="6"/>
  <c r="W784" i="6"/>
  <c r="S784" i="6"/>
  <c r="V784" i="6"/>
  <c r="T784" i="6"/>
  <c r="R784" i="6"/>
  <c r="X784" i="6"/>
  <c r="P784" i="6"/>
  <c r="O788" i="6"/>
  <c r="Y788" i="6"/>
  <c r="U788" i="6"/>
  <c r="Q788" i="6"/>
  <c r="W788" i="6"/>
  <c r="S788" i="6"/>
  <c r="V788" i="6"/>
  <c r="T788" i="6"/>
  <c r="R788" i="6"/>
  <c r="X788" i="6"/>
  <c r="P788" i="6"/>
  <c r="O792" i="6"/>
  <c r="Y792" i="6"/>
  <c r="U792" i="6"/>
  <c r="Q792" i="6"/>
  <c r="W792" i="6"/>
  <c r="S792" i="6"/>
  <c r="V792" i="6"/>
  <c r="T792" i="6"/>
  <c r="R792" i="6"/>
  <c r="X792" i="6"/>
  <c r="P792" i="6"/>
  <c r="O796" i="6"/>
  <c r="Y796" i="6"/>
  <c r="U796" i="6"/>
  <c r="Q796" i="6"/>
  <c r="W796" i="6"/>
  <c r="S796" i="6"/>
  <c r="V796" i="6"/>
  <c r="T796" i="6"/>
  <c r="R796" i="6"/>
  <c r="P796" i="6"/>
  <c r="X796" i="6"/>
  <c r="O800" i="6"/>
  <c r="Y800" i="6"/>
  <c r="U800" i="6"/>
  <c r="Q800" i="6"/>
  <c r="W800" i="6"/>
  <c r="S800" i="6"/>
  <c r="V800" i="6"/>
  <c r="T800" i="6"/>
  <c r="R800" i="6"/>
  <c r="X800" i="6"/>
  <c r="P800" i="6"/>
  <c r="O804" i="6"/>
  <c r="W804" i="6"/>
  <c r="U804" i="6"/>
  <c r="Q804" i="6"/>
  <c r="X804" i="6"/>
  <c r="S804" i="6"/>
  <c r="V804" i="6"/>
  <c r="T804" i="6"/>
  <c r="R804" i="6"/>
  <c r="Y804" i="6"/>
  <c r="P804" i="6"/>
  <c r="O808" i="6"/>
  <c r="W808" i="6"/>
  <c r="S808" i="6"/>
  <c r="X808" i="6"/>
  <c r="R808" i="6"/>
  <c r="U808" i="6"/>
  <c r="P808" i="6"/>
  <c r="Y808" i="6"/>
  <c r="V808" i="6"/>
  <c r="T808" i="6"/>
  <c r="Q808" i="6"/>
  <c r="O812" i="6"/>
  <c r="W812" i="6"/>
  <c r="S812" i="6"/>
  <c r="U812" i="6"/>
  <c r="P812" i="6"/>
  <c r="X812" i="6"/>
  <c r="R812" i="6"/>
  <c r="Q812" i="6"/>
  <c r="Y812" i="6"/>
  <c r="V812" i="6"/>
  <c r="T812" i="6"/>
  <c r="O816" i="6"/>
  <c r="W816" i="6"/>
  <c r="S816" i="6"/>
  <c r="X816" i="6"/>
  <c r="R816" i="6"/>
  <c r="U816" i="6"/>
  <c r="P816" i="6"/>
  <c r="T816" i="6"/>
  <c r="Q816" i="6"/>
  <c r="Y816" i="6"/>
  <c r="V816" i="6"/>
  <c r="O820" i="6"/>
  <c r="W820" i="6"/>
  <c r="S820" i="6"/>
  <c r="U820" i="6"/>
  <c r="P820" i="6"/>
  <c r="X820" i="6"/>
  <c r="R820" i="6"/>
  <c r="V820" i="6"/>
  <c r="T820" i="6"/>
  <c r="Q820" i="6"/>
  <c r="Y820" i="6"/>
  <c r="O824" i="6"/>
  <c r="V824" i="6"/>
  <c r="R824" i="6"/>
  <c r="W824" i="6"/>
  <c r="S824" i="6"/>
  <c r="U824" i="6"/>
  <c r="Y824" i="6"/>
  <c r="Q824" i="6"/>
  <c r="X824" i="6"/>
  <c r="T824" i="6"/>
  <c r="P824" i="6"/>
  <c r="O828" i="6"/>
  <c r="V828" i="6"/>
  <c r="R828" i="6"/>
  <c r="W828" i="6"/>
  <c r="S828" i="6"/>
  <c r="U828" i="6"/>
  <c r="Y828" i="6"/>
  <c r="Q828" i="6"/>
  <c r="P828" i="6"/>
  <c r="X828" i="6"/>
  <c r="T828" i="6"/>
  <c r="O832" i="6"/>
  <c r="V832" i="6"/>
  <c r="R832" i="6"/>
  <c r="W832" i="6"/>
  <c r="S832" i="6"/>
  <c r="U832" i="6"/>
  <c r="Y832" i="6"/>
  <c r="Q832" i="6"/>
  <c r="X832" i="6"/>
  <c r="T832" i="6"/>
  <c r="P832" i="6"/>
  <c r="O836" i="6"/>
  <c r="V836" i="6"/>
  <c r="R836" i="6"/>
  <c r="W836" i="6"/>
  <c r="S836" i="6"/>
  <c r="U836" i="6"/>
  <c r="Y836" i="6"/>
  <c r="Q836" i="6"/>
  <c r="P836" i="6"/>
  <c r="X836" i="6"/>
  <c r="T836" i="6"/>
  <c r="O840" i="6"/>
  <c r="V840" i="6"/>
  <c r="R840" i="6"/>
  <c r="W840" i="6"/>
  <c r="S840" i="6"/>
  <c r="U840" i="6"/>
  <c r="Y840" i="6"/>
  <c r="Q840" i="6"/>
  <c r="X840" i="6"/>
  <c r="T840" i="6"/>
  <c r="P840" i="6"/>
  <c r="O844" i="6"/>
  <c r="V844" i="6"/>
  <c r="R844" i="6"/>
  <c r="Y844" i="6"/>
  <c r="U844" i="6"/>
  <c r="Q844" i="6"/>
  <c r="W844" i="6"/>
  <c r="S844" i="6"/>
  <c r="P844" i="6"/>
  <c r="X844" i="6"/>
  <c r="T844" i="6"/>
  <c r="O848" i="6"/>
  <c r="V848" i="6"/>
  <c r="R848" i="6"/>
  <c r="Y848" i="6"/>
  <c r="U848" i="6"/>
  <c r="Q848" i="6"/>
  <c r="X848" i="6"/>
  <c r="T848" i="6"/>
  <c r="P848" i="6"/>
  <c r="W848" i="6"/>
  <c r="S848" i="6"/>
  <c r="O852" i="6"/>
  <c r="V852" i="6"/>
  <c r="R852" i="6"/>
  <c r="Y852" i="6"/>
  <c r="U852" i="6"/>
  <c r="Q852" i="6"/>
  <c r="X852" i="6"/>
  <c r="T852" i="6"/>
  <c r="P852" i="6"/>
  <c r="S852" i="6"/>
  <c r="W852" i="6"/>
  <c r="O856" i="6"/>
  <c r="V856" i="6"/>
  <c r="R856" i="6"/>
  <c r="Y856" i="6"/>
  <c r="U856" i="6"/>
  <c r="Q856" i="6"/>
  <c r="X856" i="6"/>
  <c r="T856" i="6"/>
  <c r="P856" i="6"/>
  <c r="W856" i="6"/>
  <c r="S856" i="6"/>
  <c r="O860" i="6"/>
  <c r="V860" i="6"/>
  <c r="R860" i="6"/>
  <c r="Y860" i="6"/>
  <c r="U860" i="6"/>
  <c r="Q860" i="6"/>
  <c r="X860" i="6"/>
  <c r="T860" i="6"/>
  <c r="P860" i="6"/>
  <c r="S860" i="6"/>
  <c r="W860" i="6"/>
  <c r="O864" i="6"/>
  <c r="V864" i="6"/>
  <c r="R864" i="6"/>
  <c r="Y864" i="6"/>
  <c r="U864" i="6"/>
  <c r="Q864" i="6"/>
  <c r="X864" i="6"/>
  <c r="T864" i="6"/>
  <c r="P864" i="6"/>
  <c r="W864" i="6"/>
  <c r="S864" i="6"/>
  <c r="O868" i="6"/>
  <c r="V868" i="6"/>
  <c r="R868" i="6"/>
  <c r="Y868" i="6"/>
  <c r="U868" i="6"/>
  <c r="Q868" i="6"/>
  <c r="X868" i="6"/>
  <c r="T868" i="6"/>
  <c r="P868" i="6"/>
  <c r="S868" i="6"/>
  <c r="W868" i="6"/>
  <c r="O872" i="6"/>
  <c r="V872" i="6"/>
  <c r="R872" i="6"/>
  <c r="Y872" i="6"/>
  <c r="U872" i="6"/>
  <c r="Q872" i="6"/>
  <c r="X872" i="6"/>
  <c r="T872" i="6"/>
  <c r="P872" i="6"/>
  <c r="W872" i="6"/>
  <c r="S872" i="6"/>
  <c r="O876" i="6"/>
  <c r="V876" i="6"/>
  <c r="R876" i="6"/>
  <c r="Y876" i="6"/>
  <c r="U876" i="6"/>
  <c r="Q876" i="6"/>
  <c r="X876" i="6"/>
  <c r="T876" i="6"/>
  <c r="P876" i="6"/>
  <c r="S876" i="6"/>
  <c r="W876" i="6"/>
  <c r="O880" i="6"/>
  <c r="V880" i="6"/>
  <c r="R880" i="6"/>
  <c r="Y880" i="6"/>
  <c r="U880" i="6"/>
  <c r="Q880" i="6"/>
  <c r="X880" i="6"/>
  <c r="T880" i="6"/>
  <c r="P880" i="6"/>
  <c r="W880" i="6"/>
  <c r="S880" i="6"/>
  <c r="O884" i="6"/>
  <c r="V884" i="6"/>
  <c r="R884" i="6"/>
  <c r="Y884" i="6"/>
  <c r="U884" i="6"/>
  <c r="Q884" i="6"/>
  <c r="X884" i="6"/>
  <c r="T884" i="6"/>
  <c r="P884" i="6"/>
  <c r="S884" i="6"/>
  <c r="W884" i="6"/>
  <c r="O888" i="6"/>
  <c r="V888" i="6"/>
  <c r="R888" i="6"/>
  <c r="Y888" i="6"/>
  <c r="U888" i="6"/>
  <c r="Q888" i="6"/>
  <c r="X888" i="6"/>
  <c r="T888" i="6"/>
  <c r="P888" i="6"/>
  <c r="W888" i="6"/>
  <c r="S888" i="6"/>
  <c r="O892" i="6"/>
  <c r="V892" i="6"/>
  <c r="R892" i="6"/>
  <c r="Y892" i="6"/>
  <c r="U892" i="6"/>
  <c r="Q892" i="6"/>
  <c r="X892" i="6"/>
  <c r="T892" i="6"/>
  <c r="P892" i="6"/>
  <c r="S892" i="6"/>
  <c r="W892" i="6"/>
  <c r="O896" i="6"/>
  <c r="V896" i="6"/>
  <c r="R896" i="6"/>
  <c r="Y896" i="6"/>
  <c r="U896" i="6"/>
  <c r="Q896" i="6"/>
  <c r="X896" i="6"/>
  <c r="T896" i="6"/>
  <c r="P896" i="6"/>
  <c r="W896" i="6"/>
  <c r="S896" i="6"/>
  <c r="O900" i="6"/>
  <c r="V900" i="6"/>
  <c r="R900" i="6"/>
  <c r="Y900" i="6"/>
  <c r="U900" i="6"/>
  <c r="Q900" i="6"/>
  <c r="X900" i="6"/>
  <c r="T900" i="6"/>
  <c r="P900" i="6"/>
  <c r="S900" i="6"/>
  <c r="W900" i="6"/>
  <c r="O904" i="6"/>
  <c r="V904" i="6"/>
  <c r="R904" i="6"/>
  <c r="Y904" i="6"/>
  <c r="U904" i="6"/>
  <c r="Q904" i="6"/>
  <c r="X904" i="6"/>
  <c r="T904" i="6"/>
  <c r="P904" i="6"/>
  <c r="W904" i="6"/>
  <c r="S904" i="6"/>
  <c r="O908" i="6"/>
  <c r="V908" i="6"/>
  <c r="R908" i="6"/>
  <c r="Y908" i="6"/>
  <c r="U908" i="6"/>
  <c r="Q908" i="6"/>
  <c r="X908" i="6"/>
  <c r="T908" i="6"/>
  <c r="P908" i="6"/>
  <c r="S908" i="6"/>
  <c r="W908" i="6"/>
  <c r="O912" i="6"/>
  <c r="V912" i="6"/>
  <c r="R912" i="6"/>
  <c r="Y912" i="6"/>
  <c r="U912" i="6"/>
  <c r="Q912" i="6"/>
  <c r="X912" i="6"/>
  <c r="T912" i="6"/>
  <c r="P912" i="6"/>
  <c r="W912" i="6"/>
  <c r="S912" i="6"/>
  <c r="O916" i="6"/>
  <c r="V916" i="6"/>
  <c r="R916" i="6"/>
  <c r="Y916" i="6"/>
  <c r="U916" i="6"/>
  <c r="Q916" i="6"/>
  <c r="X916" i="6"/>
  <c r="T916" i="6"/>
  <c r="P916" i="6"/>
  <c r="S916" i="6"/>
  <c r="W916" i="6"/>
  <c r="O920" i="6"/>
  <c r="V920" i="6"/>
  <c r="R920" i="6"/>
  <c r="Y920" i="6"/>
  <c r="U920" i="6"/>
  <c r="Q920" i="6"/>
  <c r="X920" i="6"/>
  <c r="T920" i="6"/>
  <c r="P920" i="6"/>
  <c r="W920" i="6"/>
  <c r="S920" i="6"/>
  <c r="O924" i="6"/>
  <c r="V924" i="6"/>
  <c r="R924" i="6"/>
  <c r="Y924" i="6"/>
  <c r="U924" i="6"/>
  <c r="Q924" i="6"/>
  <c r="X924" i="6"/>
  <c r="T924" i="6"/>
  <c r="P924" i="6"/>
  <c r="S924" i="6"/>
  <c r="W924" i="6"/>
  <c r="O928" i="6"/>
  <c r="V928" i="6"/>
  <c r="R928" i="6"/>
  <c r="Y928" i="6"/>
  <c r="U928" i="6"/>
  <c r="Q928" i="6"/>
  <c r="X928" i="6"/>
  <c r="T928" i="6"/>
  <c r="P928" i="6"/>
  <c r="W928" i="6"/>
  <c r="S928" i="6"/>
  <c r="O932" i="6"/>
  <c r="V932" i="6"/>
  <c r="R932" i="6"/>
  <c r="Y932" i="6"/>
  <c r="U932" i="6"/>
  <c r="Q932" i="6"/>
  <c r="X932" i="6"/>
  <c r="T932" i="6"/>
  <c r="P932" i="6"/>
  <c r="S932" i="6"/>
  <c r="W932" i="6"/>
  <c r="O936" i="6"/>
  <c r="V936" i="6"/>
  <c r="R936" i="6"/>
  <c r="Y936" i="6"/>
  <c r="U936" i="6"/>
  <c r="Q936" i="6"/>
  <c r="X936" i="6"/>
  <c r="T936" i="6"/>
  <c r="P936" i="6"/>
  <c r="W936" i="6"/>
  <c r="S936" i="6"/>
  <c r="O940" i="6"/>
  <c r="V940" i="6"/>
  <c r="R940" i="6"/>
  <c r="Y940" i="6"/>
  <c r="U940" i="6"/>
  <c r="Q940" i="6"/>
  <c r="X940" i="6"/>
  <c r="T940" i="6"/>
  <c r="P940" i="6"/>
  <c r="W940" i="6"/>
  <c r="S940" i="6"/>
  <c r="O944" i="6"/>
  <c r="V944" i="6"/>
  <c r="R944" i="6"/>
  <c r="Y944" i="6"/>
  <c r="U944" i="6"/>
  <c r="Q944" i="6"/>
  <c r="X944" i="6"/>
  <c r="T944" i="6"/>
  <c r="P944" i="6"/>
  <c r="W944" i="6"/>
  <c r="S944" i="6"/>
  <c r="O948" i="6"/>
  <c r="V948" i="6"/>
  <c r="R948" i="6"/>
  <c r="Y948" i="6"/>
  <c r="U948" i="6"/>
  <c r="Q948" i="6"/>
  <c r="X948" i="6"/>
  <c r="T948" i="6"/>
  <c r="P948" i="6"/>
  <c r="W948" i="6"/>
  <c r="S948" i="6"/>
  <c r="O952" i="6"/>
  <c r="V952" i="6"/>
  <c r="R952" i="6"/>
  <c r="Y952" i="6"/>
  <c r="U952" i="6"/>
  <c r="Q952" i="6"/>
  <c r="X952" i="6"/>
  <c r="T952" i="6"/>
  <c r="P952" i="6"/>
  <c r="W952" i="6"/>
  <c r="S952" i="6"/>
  <c r="O956" i="6"/>
  <c r="W956" i="6"/>
  <c r="S956" i="6"/>
  <c r="V956" i="6"/>
  <c r="R956" i="6"/>
  <c r="U956" i="6"/>
  <c r="T956" i="6"/>
  <c r="Y956" i="6"/>
  <c r="Q956" i="6"/>
  <c r="X956" i="6"/>
  <c r="P956" i="6"/>
  <c r="O960" i="6"/>
  <c r="X960" i="6"/>
  <c r="T960" i="6"/>
  <c r="P960" i="6"/>
  <c r="W960" i="6"/>
  <c r="S960" i="6"/>
  <c r="V960" i="6"/>
  <c r="R960" i="6"/>
  <c r="U960" i="6"/>
  <c r="Q960" i="6"/>
  <c r="Y960" i="6"/>
  <c r="O964" i="6"/>
  <c r="X964" i="6"/>
  <c r="T964" i="6"/>
  <c r="P964" i="6"/>
  <c r="W964" i="6"/>
  <c r="S964" i="6"/>
  <c r="V964" i="6"/>
  <c r="R964" i="6"/>
  <c r="Y964" i="6"/>
  <c r="U964" i="6"/>
  <c r="Q964" i="6"/>
  <c r="O968" i="6"/>
  <c r="X968" i="6"/>
  <c r="T968" i="6"/>
  <c r="P968" i="6"/>
  <c r="W968" i="6"/>
  <c r="S968" i="6"/>
  <c r="V968" i="6"/>
  <c r="R968" i="6"/>
  <c r="U968" i="6"/>
  <c r="Q968" i="6"/>
  <c r="Y968" i="6"/>
  <c r="O972" i="6"/>
  <c r="X972" i="6"/>
  <c r="T972" i="6"/>
  <c r="P972" i="6"/>
  <c r="W972" i="6"/>
  <c r="S972" i="6"/>
  <c r="V972" i="6"/>
  <c r="R972" i="6"/>
  <c r="Y972" i="6"/>
  <c r="U972" i="6"/>
  <c r="Q972" i="6"/>
  <c r="O976" i="6"/>
  <c r="X976" i="6"/>
  <c r="T976" i="6"/>
  <c r="P976" i="6"/>
  <c r="W976" i="6"/>
  <c r="S976" i="6"/>
  <c r="V976" i="6"/>
  <c r="R976" i="6"/>
  <c r="U976" i="6"/>
  <c r="Q976" i="6"/>
  <c r="Y976" i="6"/>
  <c r="O980" i="6"/>
  <c r="X980" i="6"/>
  <c r="T980" i="6"/>
  <c r="P980" i="6"/>
  <c r="W980" i="6"/>
  <c r="S980" i="6"/>
  <c r="V980" i="6"/>
  <c r="R980" i="6"/>
  <c r="Y980" i="6"/>
  <c r="U980" i="6"/>
  <c r="Q980" i="6"/>
  <c r="O984" i="6"/>
  <c r="X984" i="6"/>
  <c r="T984" i="6"/>
  <c r="P984" i="6"/>
  <c r="W984" i="6"/>
  <c r="S984" i="6"/>
  <c r="V984" i="6"/>
  <c r="R984" i="6"/>
  <c r="U984" i="6"/>
  <c r="Q984" i="6"/>
  <c r="Y984" i="6"/>
  <c r="O988" i="6"/>
  <c r="X988" i="6"/>
  <c r="T988" i="6"/>
  <c r="P988" i="6"/>
  <c r="W988" i="6"/>
  <c r="S988" i="6"/>
  <c r="V988" i="6"/>
  <c r="R988" i="6"/>
  <c r="Y988" i="6"/>
  <c r="U988" i="6"/>
  <c r="Q988" i="6"/>
  <c r="O992" i="6"/>
  <c r="X992" i="6"/>
  <c r="T992" i="6"/>
  <c r="P992" i="6"/>
  <c r="W992" i="6"/>
  <c r="S992" i="6"/>
  <c r="V992" i="6"/>
  <c r="R992" i="6"/>
  <c r="U992" i="6"/>
  <c r="Q992" i="6"/>
  <c r="Y992" i="6"/>
  <c r="O996" i="6"/>
  <c r="X996" i="6"/>
  <c r="T996" i="6"/>
  <c r="P996" i="6"/>
  <c r="W996" i="6"/>
  <c r="S996" i="6"/>
  <c r="V996" i="6"/>
  <c r="R996" i="6"/>
  <c r="Y996" i="6"/>
  <c r="U996" i="6"/>
  <c r="Q996" i="6"/>
  <c r="O1000" i="6"/>
  <c r="X1000" i="6"/>
  <c r="T1000" i="6"/>
  <c r="P1000" i="6"/>
  <c r="W1000" i="6"/>
  <c r="S1000" i="6"/>
  <c r="V1000" i="6"/>
  <c r="R1000" i="6"/>
  <c r="U1000" i="6"/>
  <c r="Q1000" i="6"/>
  <c r="Y1000" i="6"/>
  <c r="O1004" i="6"/>
  <c r="Y1004" i="6"/>
  <c r="X1004" i="6"/>
  <c r="T1004" i="6"/>
  <c r="P1004" i="6"/>
  <c r="W1004" i="6"/>
  <c r="S1004" i="6"/>
  <c r="V1004" i="6"/>
  <c r="R1004" i="6"/>
  <c r="U1004" i="6"/>
  <c r="Q1004" i="6"/>
  <c r="O1008" i="6"/>
  <c r="Y1008" i="6"/>
  <c r="U1008" i="6"/>
  <c r="Q1008" i="6"/>
  <c r="X1008" i="6"/>
  <c r="T1008" i="6"/>
  <c r="P1008" i="6"/>
  <c r="W1008" i="6"/>
  <c r="S1008" i="6"/>
  <c r="R1008" i="6"/>
  <c r="V1008" i="6"/>
  <c r="O1012" i="6"/>
  <c r="Y1012" i="6"/>
  <c r="U1012" i="6"/>
  <c r="Q1012" i="6"/>
  <c r="X1012" i="6"/>
  <c r="T1012" i="6"/>
  <c r="P1012" i="6"/>
  <c r="W1012" i="6"/>
  <c r="S1012" i="6"/>
  <c r="V1012" i="6"/>
  <c r="R1012" i="6"/>
  <c r="O1016" i="6"/>
  <c r="Y1016" i="6"/>
  <c r="U1016" i="6"/>
  <c r="Q1016" i="6"/>
  <c r="X1016" i="6"/>
  <c r="T1016" i="6"/>
  <c r="P1016" i="6"/>
  <c r="W1016" i="6"/>
  <c r="S1016" i="6"/>
  <c r="R1016" i="6"/>
  <c r="V1016" i="6"/>
  <c r="O1020" i="6"/>
  <c r="Y1020" i="6"/>
  <c r="U1020" i="6"/>
  <c r="Q1020" i="6"/>
  <c r="X1020" i="6"/>
  <c r="T1020" i="6"/>
  <c r="P1020" i="6"/>
  <c r="W1020" i="6"/>
  <c r="S1020" i="6"/>
  <c r="V1020" i="6"/>
  <c r="R1020" i="6"/>
  <c r="O1024" i="6"/>
  <c r="Y1024" i="6"/>
  <c r="U1024" i="6"/>
  <c r="Q1024" i="6"/>
  <c r="X1024" i="6"/>
  <c r="T1024" i="6"/>
  <c r="P1024" i="6"/>
  <c r="W1024" i="6"/>
  <c r="S1024" i="6"/>
  <c r="R1024" i="6"/>
  <c r="V1024" i="6"/>
  <c r="O1028" i="6"/>
  <c r="Y1028" i="6"/>
  <c r="U1028" i="6"/>
  <c r="Q1028" i="6"/>
  <c r="X1028" i="6"/>
  <c r="T1028" i="6"/>
  <c r="P1028" i="6"/>
  <c r="W1028" i="6"/>
  <c r="S1028" i="6"/>
  <c r="V1028" i="6"/>
  <c r="R1028" i="6"/>
  <c r="O1032" i="6"/>
  <c r="Y1032" i="6"/>
  <c r="U1032" i="6"/>
  <c r="Q1032" i="6"/>
  <c r="X1032" i="6"/>
  <c r="T1032" i="6"/>
  <c r="P1032" i="6"/>
  <c r="W1032" i="6"/>
  <c r="S1032" i="6"/>
  <c r="R1032" i="6"/>
  <c r="V1032" i="6"/>
  <c r="O1036" i="6"/>
  <c r="Y1036" i="6"/>
  <c r="U1036" i="6"/>
  <c r="Q1036" i="6"/>
  <c r="X1036" i="6"/>
  <c r="T1036" i="6"/>
  <c r="P1036" i="6"/>
  <c r="W1036" i="6"/>
  <c r="S1036" i="6"/>
  <c r="V1036" i="6"/>
  <c r="R1036" i="6"/>
  <c r="O1040" i="6"/>
  <c r="Y1040" i="6"/>
  <c r="U1040" i="6"/>
  <c r="Q1040" i="6"/>
  <c r="X1040" i="6"/>
  <c r="T1040" i="6"/>
  <c r="P1040" i="6"/>
  <c r="W1040" i="6"/>
  <c r="S1040" i="6"/>
  <c r="R1040" i="6"/>
  <c r="V1040" i="6"/>
  <c r="O1044" i="6"/>
  <c r="Y1044" i="6"/>
  <c r="U1044" i="6"/>
  <c r="Q1044" i="6"/>
  <c r="X1044" i="6"/>
  <c r="T1044" i="6"/>
  <c r="P1044" i="6"/>
  <c r="W1044" i="6"/>
  <c r="S1044" i="6"/>
  <c r="V1044" i="6"/>
  <c r="R1044" i="6"/>
  <c r="O1048" i="6"/>
  <c r="Y1048" i="6"/>
  <c r="U1048" i="6"/>
  <c r="Q1048" i="6"/>
  <c r="X1048" i="6"/>
  <c r="T1048" i="6"/>
  <c r="P1048" i="6"/>
  <c r="W1048" i="6"/>
  <c r="S1048" i="6"/>
  <c r="R1048" i="6"/>
  <c r="V1048" i="6"/>
  <c r="O1052" i="6"/>
  <c r="Y1052" i="6"/>
  <c r="U1052" i="6"/>
  <c r="Q1052" i="6"/>
  <c r="X1052" i="6"/>
  <c r="T1052" i="6"/>
  <c r="P1052" i="6"/>
  <c r="W1052" i="6"/>
  <c r="S1052" i="6"/>
  <c r="V1052" i="6"/>
  <c r="R1052" i="6"/>
  <c r="O1056" i="6"/>
  <c r="Y1056" i="6"/>
  <c r="U1056" i="6"/>
  <c r="Q1056" i="6"/>
  <c r="X1056" i="6"/>
  <c r="T1056" i="6"/>
  <c r="P1056" i="6"/>
  <c r="W1056" i="6"/>
  <c r="S1056" i="6"/>
  <c r="R1056" i="6"/>
  <c r="V1056" i="6"/>
  <c r="O1060" i="6"/>
  <c r="X1060" i="6"/>
  <c r="U1060" i="6"/>
  <c r="Q1060" i="6"/>
  <c r="Y1060" i="6"/>
  <c r="T1060" i="6"/>
  <c r="P1060" i="6"/>
  <c r="W1060" i="6"/>
  <c r="S1060" i="6"/>
  <c r="V1060" i="6"/>
  <c r="R1060" i="6"/>
  <c r="O1064" i="6"/>
  <c r="X1064" i="6"/>
  <c r="T1064" i="6"/>
  <c r="P1064" i="6"/>
  <c r="W1064" i="6"/>
  <c r="R1064" i="6"/>
  <c r="V1064" i="6"/>
  <c r="Q1064" i="6"/>
  <c r="U1064" i="6"/>
  <c r="Y1064" i="6"/>
  <c r="S1064" i="6"/>
  <c r="O1068" i="6"/>
  <c r="X1068" i="6"/>
  <c r="T1068" i="6"/>
  <c r="P1068" i="6"/>
  <c r="W1068" i="6"/>
  <c r="S1068" i="6"/>
  <c r="V1068" i="6"/>
  <c r="R1068" i="6"/>
  <c r="Q1068" i="6"/>
  <c r="Y1068" i="6"/>
  <c r="U1068" i="6"/>
  <c r="O1072" i="6"/>
  <c r="X1072" i="6"/>
  <c r="T1072" i="6"/>
  <c r="P1072" i="6"/>
  <c r="W1072" i="6"/>
  <c r="S1072" i="6"/>
  <c r="V1072" i="6"/>
  <c r="R1072" i="6"/>
  <c r="Y1072" i="6"/>
  <c r="U1072" i="6"/>
  <c r="Q1072" i="6"/>
  <c r="O1076" i="6"/>
  <c r="X1076" i="6"/>
  <c r="T1076" i="6"/>
  <c r="P1076" i="6"/>
  <c r="W1076" i="6"/>
  <c r="S1076" i="6"/>
  <c r="V1076" i="6"/>
  <c r="R1076" i="6"/>
  <c r="Q1076" i="6"/>
  <c r="Y1076" i="6"/>
  <c r="U1076" i="6"/>
  <c r="O1080" i="6"/>
  <c r="X1080" i="6"/>
  <c r="T1080" i="6"/>
  <c r="P1080" i="6"/>
  <c r="W1080" i="6"/>
  <c r="S1080" i="6"/>
  <c r="V1080" i="6"/>
  <c r="R1080" i="6"/>
  <c r="Y1080" i="6"/>
  <c r="U1080" i="6"/>
  <c r="Q1080" i="6"/>
  <c r="O1084" i="6"/>
  <c r="X1084" i="6"/>
  <c r="T1084" i="6"/>
  <c r="P1084" i="6"/>
  <c r="W1084" i="6"/>
  <c r="S1084" i="6"/>
  <c r="V1084" i="6"/>
  <c r="R1084" i="6"/>
  <c r="Q1084" i="6"/>
  <c r="Y1084" i="6"/>
  <c r="U1084" i="6"/>
  <c r="O1088" i="6"/>
  <c r="X1088" i="6"/>
  <c r="T1088" i="6"/>
  <c r="P1088" i="6"/>
  <c r="W1088" i="6"/>
  <c r="S1088" i="6"/>
  <c r="V1088" i="6"/>
  <c r="R1088" i="6"/>
  <c r="Y1088" i="6"/>
  <c r="U1088" i="6"/>
  <c r="Q1088" i="6"/>
  <c r="O1092" i="6"/>
  <c r="W1092" i="6"/>
  <c r="S1092" i="6"/>
  <c r="V1092" i="6"/>
  <c r="R1092" i="6"/>
  <c r="Y1092" i="6"/>
  <c r="U1092" i="6"/>
  <c r="Q1092" i="6"/>
  <c r="X1092" i="6"/>
  <c r="T1092" i="6"/>
  <c r="P1092" i="6"/>
  <c r="O1096" i="6"/>
  <c r="W1096" i="6"/>
  <c r="S1096" i="6"/>
  <c r="V1096" i="6"/>
  <c r="R1096" i="6"/>
  <c r="Y1096" i="6"/>
  <c r="U1096" i="6"/>
  <c r="Q1096" i="6"/>
  <c r="T1096" i="6"/>
  <c r="P1096" i="6"/>
  <c r="X1096" i="6"/>
  <c r="O1100" i="6"/>
  <c r="W1100" i="6"/>
  <c r="S1100" i="6"/>
  <c r="V1100" i="6"/>
  <c r="R1100" i="6"/>
  <c r="Y1100" i="6"/>
  <c r="U1100" i="6"/>
  <c r="Q1100" i="6"/>
  <c r="X1100" i="6"/>
  <c r="T1100" i="6"/>
  <c r="P1100" i="6"/>
  <c r="O1104" i="6"/>
  <c r="W1104" i="6"/>
  <c r="S1104" i="6"/>
  <c r="V1104" i="6"/>
  <c r="R1104" i="6"/>
  <c r="Y1104" i="6"/>
  <c r="U1104" i="6"/>
  <c r="Q1104" i="6"/>
  <c r="T1104" i="6"/>
  <c r="P1104" i="6"/>
  <c r="X1104" i="6"/>
  <c r="O1108" i="6"/>
  <c r="Y1108" i="6"/>
  <c r="U1108" i="6"/>
  <c r="Q1108" i="6"/>
  <c r="X1108" i="6"/>
  <c r="T1108" i="6"/>
  <c r="P1108" i="6"/>
  <c r="W1108" i="6"/>
  <c r="V1108" i="6"/>
  <c r="S1108" i="6"/>
  <c r="R1108" i="6"/>
  <c r="O1112" i="6"/>
  <c r="Y1112" i="6"/>
  <c r="U1112" i="6"/>
  <c r="Q1112" i="6"/>
  <c r="X1112" i="6"/>
  <c r="T1112" i="6"/>
  <c r="P1112" i="6"/>
  <c r="W1112" i="6"/>
  <c r="V1112" i="6"/>
  <c r="S1112" i="6"/>
  <c r="R1112" i="6"/>
  <c r="O1116" i="6"/>
  <c r="Y1116" i="6"/>
  <c r="U1116" i="6"/>
  <c r="Q1116" i="6"/>
  <c r="X1116" i="6"/>
  <c r="T1116" i="6"/>
  <c r="P1116" i="6"/>
  <c r="W1116" i="6"/>
  <c r="V1116" i="6"/>
  <c r="S1116" i="6"/>
  <c r="R1116" i="6"/>
  <c r="O1120" i="6"/>
  <c r="Y1120" i="6"/>
  <c r="U1120" i="6"/>
  <c r="Q1120" i="6"/>
  <c r="X1120" i="6"/>
  <c r="T1120" i="6"/>
  <c r="P1120" i="6"/>
  <c r="W1120" i="6"/>
  <c r="V1120" i="6"/>
  <c r="S1120" i="6"/>
  <c r="R1120" i="6"/>
  <c r="O1124" i="6"/>
  <c r="Y1124" i="6"/>
  <c r="U1124" i="6"/>
  <c r="Q1124" i="6"/>
  <c r="X1124" i="6"/>
  <c r="T1124" i="6"/>
  <c r="P1124" i="6"/>
  <c r="W1124" i="6"/>
  <c r="V1124" i="6"/>
  <c r="S1124" i="6"/>
  <c r="R1124" i="6"/>
  <c r="O1128" i="6"/>
  <c r="Y1128" i="6"/>
  <c r="U1128" i="6"/>
  <c r="Q1128" i="6"/>
  <c r="X1128" i="6"/>
  <c r="T1128" i="6"/>
  <c r="P1128" i="6"/>
  <c r="W1128" i="6"/>
  <c r="V1128" i="6"/>
  <c r="S1128" i="6"/>
  <c r="R1128" i="6"/>
  <c r="O1132" i="6"/>
  <c r="Y1132" i="6"/>
  <c r="U1132" i="6"/>
  <c r="Q1132" i="6"/>
  <c r="X1132" i="6"/>
  <c r="T1132" i="6"/>
  <c r="P1132" i="6"/>
  <c r="W1132" i="6"/>
  <c r="V1132" i="6"/>
  <c r="S1132" i="6"/>
  <c r="R1132" i="6"/>
  <c r="O1136" i="6"/>
  <c r="Y1136" i="6"/>
  <c r="U1136" i="6"/>
  <c r="Q1136" i="6"/>
  <c r="X1136" i="6"/>
  <c r="T1136" i="6"/>
  <c r="P1136" i="6"/>
  <c r="W1136" i="6"/>
  <c r="V1136" i="6"/>
  <c r="S1136" i="6"/>
  <c r="R1136" i="6"/>
  <c r="V3" i="6"/>
  <c r="T4" i="6"/>
  <c r="R5" i="6"/>
  <c r="P6" i="6"/>
  <c r="X6" i="6"/>
  <c r="T8" i="6"/>
  <c r="R9" i="6"/>
  <c r="P10" i="6"/>
  <c r="X10" i="6"/>
  <c r="V11" i="6"/>
  <c r="T12" i="6"/>
  <c r="P14" i="6"/>
  <c r="X14" i="6"/>
  <c r="S20" i="6"/>
  <c r="Q25" i="6"/>
  <c r="S28" i="6"/>
  <c r="S36" i="6"/>
  <c r="U39" i="6"/>
  <c r="S44" i="6"/>
  <c r="S52" i="6"/>
  <c r="U55" i="6"/>
  <c r="Q57" i="6"/>
  <c r="S60" i="6"/>
  <c r="Q65" i="6"/>
  <c r="S68" i="6"/>
  <c r="U71" i="6"/>
  <c r="Q73" i="6"/>
  <c r="S76" i="6"/>
  <c r="U79" i="6"/>
  <c r="Q81" i="6"/>
  <c r="S84" i="6"/>
  <c r="U87" i="6"/>
  <c r="U103" i="6"/>
  <c r="Q105" i="6"/>
  <c r="S108" i="6"/>
  <c r="U111" i="6"/>
  <c r="S116" i="6"/>
  <c r="U119" i="6"/>
  <c r="U127" i="6"/>
  <c r="U151" i="6"/>
  <c r="S156" i="6"/>
  <c r="S164" i="6"/>
  <c r="U167" i="6"/>
  <c r="P176" i="6"/>
  <c r="R195" i="6"/>
  <c r="P208" i="6"/>
  <c r="P224" i="6"/>
  <c r="R227" i="6"/>
  <c r="X236" i="6"/>
  <c r="P240" i="6"/>
  <c r="R243" i="6"/>
  <c r="R259" i="6"/>
  <c r="P272" i="6"/>
  <c r="P288" i="6"/>
  <c r="X332" i="6"/>
  <c r="P336" i="6"/>
  <c r="V339" i="6"/>
  <c r="W356" i="6"/>
  <c r="T376" i="6"/>
  <c r="R447" i="6"/>
  <c r="U463" i="6"/>
  <c r="S540" i="6"/>
  <c r="Y572" i="6"/>
  <c r="Q624" i="6"/>
  <c r="O7" i="6"/>
  <c r="X7" i="6"/>
  <c r="T7" i="6"/>
  <c r="P7" i="6"/>
  <c r="W7" i="6"/>
  <c r="S7" i="6"/>
  <c r="O15" i="6"/>
  <c r="X15" i="6"/>
  <c r="T15" i="6"/>
  <c r="P15" i="6"/>
  <c r="W15" i="6"/>
  <c r="S15" i="6"/>
  <c r="O23" i="6"/>
  <c r="X23" i="6"/>
  <c r="T23" i="6"/>
  <c r="P23" i="6"/>
  <c r="W23" i="6"/>
  <c r="S23" i="6"/>
  <c r="V23" i="6"/>
  <c r="R23" i="6"/>
  <c r="O31" i="6"/>
  <c r="X31" i="6"/>
  <c r="T31" i="6"/>
  <c r="P31" i="6"/>
  <c r="W31" i="6"/>
  <c r="S31" i="6"/>
  <c r="V31" i="6"/>
  <c r="R31" i="6"/>
  <c r="O35" i="6"/>
  <c r="X35" i="6"/>
  <c r="T35" i="6"/>
  <c r="P35" i="6"/>
  <c r="W35" i="6"/>
  <c r="S35" i="6"/>
  <c r="V35" i="6"/>
  <c r="R35" i="6"/>
  <c r="O47" i="6"/>
  <c r="X47" i="6"/>
  <c r="T47" i="6"/>
  <c r="P47" i="6"/>
  <c r="W47" i="6"/>
  <c r="S47" i="6"/>
  <c r="V47" i="6"/>
  <c r="R47" i="6"/>
  <c r="O51" i="6"/>
  <c r="X51" i="6"/>
  <c r="T51" i="6"/>
  <c r="P51" i="6"/>
  <c r="W51" i="6"/>
  <c r="S51" i="6"/>
  <c r="V51" i="6"/>
  <c r="R51" i="6"/>
  <c r="O63" i="6"/>
  <c r="X63" i="6"/>
  <c r="T63" i="6"/>
  <c r="P63" i="6"/>
  <c r="W63" i="6"/>
  <c r="S63" i="6"/>
  <c r="V63" i="6"/>
  <c r="R63" i="6"/>
  <c r="O67" i="6"/>
  <c r="X67" i="6"/>
  <c r="T67" i="6"/>
  <c r="P67" i="6"/>
  <c r="W67" i="6"/>
  <c r="S67" i="6"/>
  <c r="V67" i="6"/>
  <c r="R67" i="6"/>
  <c r="O83" i="6"/>
  <c r="X83" i="6"/>
  <c r="T83" i="6"/>
  <c r="P83" i="6"/>
  <c r="W83" i="6"/>
  <c r="S83" i="6"/>
  <c r="V83" i="6"/>
  <c r="R83" i="6"/>
  <c r="O95" i="6"/>
  <c r="X95" i="6"/>
  <c r="T95" i="6"/>
  <c r="P95" i="6"/>
  <c r="W95" i="6"/>
  <c r="S95" i="6"/>
  <c r="V95" i="6"/>
  <c r="R95" i="6"/>
  <c r="O107" i="6"/>
  <c r="X107" i="6"/>
  <c r="T107" i="6"/>
  <c r="P107" i="6"/>
  <c r="W107" i="6"/>
  <c r="S107" i="6"/>
  <c r="V107" i="6"/>
  <c r="R107" i="6"/>
  <c r="O115" i="6"/>
  <c r="X115" i="6"/>
  <c r="T115" i="6"/>
  <c r="P115" i="6"/>
  <c r="W115" i="6"/>
  <c r="S115" i="6"/>
  <c r="V115" i="6"/>
  <c r="R115" i="6"/>
  <c r="O131" i="6"/>
  <c r="X131" i="6"/>
  <c r="T131" i="6"/>
  <c r="P131" i="6"/>
  <c r="W131" i="6"/>
  <c r="S131" i="6"/>
  <c r="V131" i="6"/>
  <c r="R131" i="6"/>
  <c r="O135" i="6"/>
  <c r="X135" i="6"/>
  <c r="T135" i="6"/>
  <c r="P135" i="6"/>
  <c r="W135" i="6"/>
  <c r="S135" i="6"/>
  <c r="V135" i="6"/>
  <c r="R135" i="6"/>
  <c r="O143" i="6"/>
  <c r="X143" i="6"/>
  <c r="T143" i="6"/>
  <c r="P143" i="6"/>
  <c r="W143" i="6"/>
  <c r="S143" i="6"/>
  <c r="V143" i="6"/>
  <c r="R143" i="6"/>
  <c r="O159" i="6"/>
  <c r="X159" i="6"/>
  <c r="T159" i="6"/>
  <c r="P159" i="6"/>
  <c r="W159" i="6"/>
  <c r="S159" i="6"/>
  <c r="V159" i="6"/>
  <c r="R159" i="6"/>
  <c r="O171" i="6"/>
  <c r="X171" i="6"/>
  <c r="T171" i="6"/>
  <c r="P171" i="6"/>
  <c r="W171" i="6"/>
  <c r="S171" i="6"/>
  <c r="V171" i="6"/>
  <c r="R171" i="6"/>
  <c r="O183" i="6"/>
  <c r="Y183" i="6"/>
  <c r="U183" i="6"/>
  <c r="Q183" i="6"/>
  <c r="X183" i="6"/>
  <c r="T183" i="6"/>
  <c r="P183" i="6"/>
  <c r="W183" i="6"/>
  <c r="V183" i="6"/>
  <c r="S183" i="6"/>
  <c r="O203" i="6"/>
  <c r="Y203" i="6"/>
  <c r="U203" i="6"/>
  <c r="Q203" i="6"/>
  <c r="X203" i="6"/>
  <c r="T203" i="6"/>
  <c r="P203" i="6"/>
  <c r="W203" i="6"/>
  <c r="V203" i="6"/>
  <c r="S203" i="6"/>
  <c r="O219" i="6"/>
  <c r="Y219" i="6"/>
  <c r="U219" i="6"/>
  <c r="Q219" i="6"/>
  <c r="X219" i="6"/>
  <c r="T219" i="6"/>
  <c r="P219" i="6"/>
  <c r="W219" i="6"/>
  <c r="V219" i="6"/>
  <c r="S219" i="6"/>
  <c r="O235" i="6"/>
  <c r="Y235" i="6"/>
  <c r="U235" i="6"/>
  <c r="Q235" i="6"/>
  <c r="X235" i="6"/>
  <c r="T235" i="6"/>
  <c r="P235" i="6"/>
  <c r="W235" i="6"/>
  <c r="V235" i="6"/>
  <c r="S235" i="6"/>
  <c r="O251" i="6"/>
  <c r="Y251" i="6"/>
  <c r="U251" i="6"/>
  <c r="Q251" i="6"/>
  <c r="X251" i="6"/>
  <c r="T251" i="6"/>
  <c r="P251" i="6"/>
  <c r="W251" i="6"/>
  <c r="V251" i="6"/>
  <c r="S251" i="6"/>
  <c r="O267" i="6"/>
  <c r="Y267" i="6"/>
  <c r="U267" i="6"/>
  <c r="Q267" i="6"/>
  <c r="X267" i="6"/>
  <c r="T267" i="6"/>
  <c r="P267" i="6"/>
  <c r="W267" i="6"/>
  <c r="V267" i="6"/>
  <c r="S267" i="6"/>
  <c r="O275" i="6"/>
  <c r="Y275" i="6"/>
  <c r="U275" i="6"/>
  <c r="Q275" i="6"/>
  <c r="X275" i="6"/>
  <c r="T275" i="6"/>
  <c r="P275" i="6"/>
  <c r="W275" i="6"/>
  <c r="V275" i="6"/>
  <c r="S275" i="6"/>
  <c r="O283" i="6"/>
  <c r="Y283" i="6"/>
  <c r="U283" i="6"/>
  <c r="Q283" i="6"/>
  <c r="X283" i="6"/>
  <c r="T283" i="6"/>
  <c r="P283" i="6"/>
  <c r="W283" i="6"/>
  <c r="V283" i="6"/>
  <c r="S283" i="6"/>
  <c r="O291" i="6"/>
  <c r="Y291" i="6"/>
  <c r="U291" i="6"/>
  <c r="Q291" i="6"/>
  <c r="X291" i="6"/>
  <c r="T291" i="6"/>
  <c r="P291" i="6"/>
  <c r="W291" i="6"/>
  <c r="V291" i="6"/>
  <c r="S291" i="6"/>
  <c r="O299" i="6"/>
  <c r="Y299" i="6"/>
  <c r="U299" i="6"/>
  <c r="Q299" i="6"/>
  <c r="X299" i="6"/>
  <c r="T299" i="6"/>
  <c r="P299" i="6"/>
  <c r="W299" i="6"/>
  <c r="V299" i="6"/>
  <c r="S299" i="6"/>
  <c r="O311" i="6"/>
  <c r="Y311" i="6"/>
  <c r="U311" i="6"/>
  <c r="Q311" i="6"/>
  <c r="X311" i="6"/>
  <c r="T311" i="6"/>
  <c r="P311" i="6"/>
  <c r="W311" i="6"/>
  <c r="V311" i="6"/>
  <c r="S311" i="6"/>
  <c r="O323" i="6"/>
  <c r="Y323" i="6"/>
  <c r="U323" i="6"/>
  <c r="Q323" i="6"/>
  <c r="X323" i="6"/>
  <c r="T323" i="6"/>
  <c r="P323" i="6"/>
  <c r="W323" i="6"/>
  <c r="V323" i="6"/>
  <c r="S323" i="6"/>
  <c r="O335" i="6"/>
  <c r="Y335" i="6"/>
  <c r="U335" i="6"/>
  <c r="Q335" i="6"/>
  <c r="X335" i="6"/>
  <c r="T335" i="6"/>
  <c r="P335" i="6"/>
  <c r="W335" i="6"/>
  <c r="V335" i="6"/>
  <c r="S335" i="6"/>
  <c r="O347" i="6"/>
  <c r="W347" i="6"/>
  <c r="S347" i="6"/>
  <c r="U347" i="6"/>
  <c r="P347" i="6"/>
  <c r="Y347" i="6"/>
  <c r="T347" i="6"/>
  <c r="X347" i="6"/>
  <c r="V347" i="6"/>
  <c r="R347" i="6"/>
  <c r="O359" i="6"/>
  <c r="W359" i="6"/>
  <c r="S359" i="6"/>
  <c r="X359" i="6"/>
  <c r="R359" i="6"/>
  <c r="V359" i="6"/>
  <c r="Q359" i="6"/>
  <c r="U359" i="6"/>
  <c r="T359" i="6"/>
  <c r="P359" i="6"/>
  <c r="O371" i="6"/>
  <c r="W371" i="6"/>
  <c r="S371" i="6"/>
  <c r="U371" i="6"/>
  <c r="P371" i="6"/>
  <c r="Y371" i="6"/>
  <c r="T371" i="6"/>
  <c r="X371" i="6"/>
  <c r="R371" i="6"/>
  <c r="V371" i="6"/>
  <c r="Q371" i="6"/>
  <c r="O383" i="6"/>
  <c r="W383" i="6"/>
  <c r="S383" i="6"/>
  <c r="X383" i="6"/>
  <c r="R383" i="6"/>
  <c r="V383" i="6"/>
  <c r="Q383" i="6"/>
  <c r="U383" i="6"/>
  <c r="P383" i="6"/>
  <c r="Y383" i="6"/>
  <c r="T383" i="6"/>
  <c r="O395" i="6"/>
  <c r="X395" i="6"/>
  <c r="T395" i="6"/>
  <c r="P395" i="6"/>
  <c r="W395" i="6"/>
  <c r="S395" i="6"/>
  <c r="Y395" i="6"/>
  <c r="Q395" i="6"/>
  <c r="V395" i="6"/>
  <c r="U395" i="6"/>
  <c r="R395" i="6"/>
  <c r="O407" i="6"/>
  <c r="X407" i="6"/>
  <c r="T407" i="6"/>
  <c r="P407" i="6"/>
  <c r="W407" i="6"/>
  <c r="S407" i="6"/>
  <c r="Y407" i="6"/>
  <c r="Q407" i="6"/>
  <c r="V407" i="6"/>
  <c r="U407" i="6"/>
  <c r="R407" i="6"/>
  <c r="O415" i="6"/>
  <c r="X415" i="6"/>
  <c r="T415" i="6"/>
  <c r="P415" i="6"/>
  <c r="W415" i="6"/>
  <c r="S415" i="6"/>
  <c r="Y415" i="6"/>
  <c r="Q415" i="6"/>
  <c r="V415" i="6"/>
  <c r="U415" i="6"/>
  <c r="O431" i="6"/>
  <c r="X431" i="6"/>
  <c r="T431" i="6"/>
  <c r="P431" i="6"/>
  <c r="W431" i="6"/>
  <c r="S431" i="6"/>
  <c r="Y431" i="6"/>
  <c r="Q431" i="6"/>
  <c r="V431" i="6"/>
  <c r="U431" i="6"/>
  <c r="O451" i="6"/>
  <c r="X451" i="6"/>
  <c r="T451" i="6"/>
  <c r="P451" i="6"/>
  <c r="W451" i="6"/>
  <c r="S451" i="6"/>
  <c r="Y451" i="6"/>
  <c r="Q451" i="6"/>
  <c r="V451" i="6"/>
  <c r="U451" i="6"/>
  <c r="R451" i="6"/>
  <c r="O459" i="6"/>
  <c r="X459" i="6"/>
  <c r="T459" i="6"/>
  <c r="P459" i="6"/>
  <c r="W459" i="6"/>
  <c r="S459" i="6"/>
  <c r="V459" i="6"/>
  <c r="R459" i="6"/>
  <c r="Y459" i="6"/>
  <c r="U459" i="6"/>
  <c r="Q459" i="6"/>
  <c r="O475" i="6"/>
  <c r="X475" i="6"/>
  <c r="T475" i="6"/>
  <c r="P475" i="6"/>
  <c r="W475" i="6"/>
  <c r="S475" i="6"/>
  <c r="V475" i="6"/>
  <c r="R475" i="6"/>
  <c r="Y475" i="6"/>
  <c r="U475" i="6"/>
  <c r="Q475" i="6"/>
  <c r="O491" i="6"/>
  <c r="X491" i="6"/>
  <c r="T491" i="6"/>
  <c r="P491" i="6"/>
  <c r="W491" i="6"/>
  <c r="S491" i="6"/>
  <c r="V491" i="6"/>
  <c r="R491" i="6"/>
  <c r="Y491" i="6"/>
  <c r="U491" i="6"/>
  <c r="Q491" i="6"/>
  <c r="O499" i="6"/>
  <c r="X499" i="6"/>
  <c r="T499" i="6"/>
  <c r="P499" i="6"/>
  <c r="W499" i="6"/>
  <c r="S499" i="6"/>
  <c r="V499" i="6"/>
  <c r="R499" i="6"/>
  <c r="Y499" i="6"/>
  <c r="U499" i="6"/>
  <c r="Q499" i="6"/>
  <c r="O503" i="6"/>
  <c r="X503" i="6"/>
  <c r="T503" i="6"/>
  <c r="P503" i="6"/>
  <c r="W503" i="6"/>
  <c r="S503" i="6"/>
  <c r="V503" i="6"/>
  <c r="R503" i="6"/>
  <c r="Q503" i="6"/>
  <c r="Y503" i="6"/>
  <c r="U503" i="6"/>
  <c r="O511" i="6"/>
  <c r="X511" i="6"/>
  <c r="T511" i="6"/>
  <c r="P511" i="6"/>
  <c r="W511" i="6"/>
  <c r="S511" i="6"/>
  <c r="V511" i="6"/>
  <c r="R511" i="6"/>
  <c r="Q511" i="6"/>
  <c r="Y511" i="6"/>
  <c r="U511" i="6"/>
  <c r="O523" i="6"/>
  <c r="X523" i="6"/>
  <c r="T523" i="6"/>
  <c r="P523" i="6"/>
  <c r="W523" i="6"/>
  <c r="S523" i="6"/>
  <c r="V523" i="6"/>
  <c r="R523" i="6"/>
  <c r="Y523" i="6"/>
  <c r="U523" i="6"/>
  <c r="Q523" i="6"/>
  <c r="O543" i="6"/>
  <c r="X543" i="6"/>
  <c r="T543" i="6"/>
  <c r="P543" i="6"/>
  <c r="W543" i="6"/>
  <c r="S543" i="6"/>
  <c r="V543" i="6"/>
  <c r="R543" i="6"/>
  <c r="Q543" i="6"/>
  <c r="Y543" i="6"/>
  <c r="U543" i="6"/>
  <c r="O555" i="6"/>
  <c r="X555" i="6"/>
  <c r="T555" i="6"/>
  <c r="P555" i="6"/>
  <c r="W555" i="6"/>
  <c r="S555" i="6"/>
  <c r="V555" i="6"/>
  <c r="R555" i="6"/>
  <c r="Y555" i="6"/>
  <c r="U555" i="6"/>
  <c r="Q555" i="6"/>
  <c r="O567" i="6"/>
  <c r="V567" i="6"/>
  <c r="R567" i="6"/>
  <c r="Y567" i="6"/>
  <c r="U567" i="6"/>
  <c r="Q567" i="6"/>
  <c r="X567" i="6"/>
  <c r="P567" i="6"/>
  <c r="W567" i="6"/>
  <c r="T567" i="6"/>
  <c r="S567" i="6"/>
  <c r="O587" i="6"/>
  <c r="V587" i="6"/>
  <c r="R587" i="6"/>
  <c r="Y587" i="6"/>
  <c r="U587" i="6"/>
  <c r="Q587" i="6"/>
  <c r="X587" i="6"/>
  <c r="P587" i="6"/>
  <c r="W587" i="6"/>
  <c r="T587" i="6"/>
  <c r="S587" i="6"/>
  <c r="O92" i="6"/>
  <c r="V92" i="6"/>
  <c r="R92" i="6"/>
  <c r="Y92" i="6"/>
  <c r="U92" i="6"/>
  <c r="Q92" i="6"/>
  <c r="X92" i="6"/>
  <c r="T92" i="6"/>
  <c r="P92" i="6"/>
  <c r="O100" i="6"/>
  <c r="V100" i="6"/>
  <c r="R100" i="6"/>
  <c r="Y100" i="6"/>
  <c r="U100" i="6"/>
  <c r="Q100" i="6"/>
  <c r="X100" i="6"/>
  <c r="T100" i="6"/>
  <c r="P100" i="6"/>
  <c r="O112" i="6"/>
  <c r="V112" i="6"/>
  <c r="R112" i="6"/>
  <c r="Y112" i="6"/>
  <c r="U112" i="6"/>
  <c r="Q112" i="6"/>
  <c r="X112" i="6"/>
  <c r="T112" i="6"/>
  <c r="P112" i="6"/>
  <c r="O120" i="6"/>
  <c r="V120" i="6"/>
  <c r="R120" i="6"/>
  <c r="Y120" i="6"/>
  <c r="U120" i="6"/>
  <c r="Q120" i="6"/>
  <c r="X120" i="6"/>
  <c r="T120" i="6"/>
  <c r="P120" i="6"/>
  <c r="O124" i="6"/>
  <c r="V124" i="6"/>
  <c r="R124" i="6"/>
  <c r="Y124" i="6"/>
  <c r="U124" i="6"/>
  <c r="Q124" i="6"/>
  <c r="X124" i="6"/>
  <c r="T124" i="6"/>
  <c r="P124" i="6"/>
  <c r="O132" i="6"/>
  <c r="V132" i="6"/>
  <c r="R132" i="6"/>
  <c r="Y132" i="6"/>
  <c r="U132" i="6"/>
  <c r="Q132" i="6"/>
  <c r="X132" i="6"/>
  <c r="T132" i="6"/>
  <c r="P132" i="6"/>
  <c r="O136" i="6"/>
  <c r="V136" i="6"/>
  <c r="R136" i="6"/>
  <c r="Y136" i="6"/>
  <c r="U136" i="6"/>
  <c r="Q136" i="6"/>
  <c r="X136" i="6"/>
  <c r="T136" i="6"/>
  <c r="P136" i="6"/>
  <c r="O140" i="6"/>
  <c r="V140" i="6"/>
  <c r="R140" i="6"/>
  <c r="Y140" i="6"/>
  <c r="U140" i="6"/>
  <c r="Q140" i="6"/>
  <c r="X140" i="6"/>
  <c r="T140" i="6"/>
  <c r="P140" i="6"/>
  <c r="O148" i="6"/>
  <c r="V148" i="6"/>
  <c r="R148" i="6"/>
  <c r="Y148" i="6"/>
  <c r="U148" i="6"/>
  <c r="Q148" i="6"/>
  <c r="X148" i="6"/>
  <c r="T148" i="6"/>
  <c r="P148" i="6"/>
  <c r="O152" i="6"/>
  <c r="V152" i="6"/>
  <c r="R152" i="6"/>
  <c r="Y152" i="6"/>
  <c r="U152" i="6"/>
  <c r="Q152" i="6"/>
  <c r="X152" i="6"/>
  <c r="T152" i="6"/>
  <c r="P152" i="6"/>
  <c r="O160" i="6"/>
  <c r="V160" i="6"/>
  <c r="R160" i="6"/>
  <c r="Y160" i="6"/>
  <c r="U160" i="6"/>
  <c r="Q160" i="6"/>
  <c r="X160" i="6"/>
  <c r="T160" i="6"/>
  <c r="P160" i="6"/>
  <c r="O172" i="6"/>
  <c r="V172" i="6"/>
  <c r="R172" i="6"/>
  <c r="Y172" i="6"/>
  <c r="U172" i="6"/>
  <c r="Q172" i="6"/>
  <c r="X172" i="6"/>
  <c r="T172" i="6"/>
  <c r="P172" i="6"/>
  <c r="O180" i="6"/>
  <c r="W180" i="6"/>
  <c r="S180" i="6"/>
  <c r="V180" i="6"/>
  <c r="R180" i="6"/>
  <c r="U180" i="6"/>
  <c r="T180" i="6"/>
  <c r="Y180" i="6"/>
  <c r="Q180" i="6"/>
  <c r="O188" i="6"/>
  <c r="W188" i="6"/>
  <c r="S188" i="6"/>
  <c r="V188" i="6"/>
  <c r="R188" i="6"/>
  <c r="U188" i="6"/>
  <c r="T188" i="6"/>
  <c r="Y188" i="6"/>
  <c r="Q188" i="6"/>
  <c r="O192" i="6"/>
  <c r="W192" i="6"/>
  <c r="S192" i="6"/>
  <c r="V192" i="6"/>
  <c r="R192" i="6"/>
  <c r="U192" i="6"/>
  <c r="T192" i="6"/>
  <c r="Y192" i="6"/>
  <c r="Q192" i="6"/>
  <c r="O204" i="6"/>
  <c r="W204" i="6"/>
  <c r="S204" i="6"/>
  <c r="V204" i="6"/>
  <c r="R204" i="6"/>
  <c r="U204" i="6"/>
  <c r="T204" i="6"/>
  <c r="Y204" i="6"/>
  <c r="Q204" i="6"/>
  <c r="O220" i="6"/>
  <c r="W220" i="6"/>
  <c r="S220" i="6"/>
  <c r="V220" i="6"/>
  <c r="R220" i="6"/>
  <c r="U220" i="6"/>
  <c r="T220" i="6"/>
  <c r="Y220" i="6"/>
  <c r="Q220" i="6"/>
  <c r="O232" i="6"/>
  <c r="W232" i="6"/>
  <c r="S232" i="6"/>
  <c r="V232" i="6"/>
  <c r="R232" i="6"/>
  <c r="U232" i="6"/>
  <c r="T232" i="6"/>
  <c r="Y232" i="6"/>
  <c r="Q232" i="6"/>
  <c r="O244" i="6"/>
  <c r="W244" i="6"/>
  <c r="S244" i="6"/>
  <c r="V244" i="6"/>
  <c r="R244" i="6"/>
  <c r="U244" i="6"/>
  <c r="T244" i="6"/>
  <c r="Y244" i="6"/>
  <c r="Q244" i="6"/>
  <c r="O256" i="6"/>
  <c r="W256" i="6"/>
  <c r="S256" i="6"/>
  <c r="V256" i="6"/>
  <c r="R256" i="6"/>
  <c r="U256" i="6"/>
  <c r="T256" i="6"/>
  <c r="Y256" i="6"/>
  <c r="Q256" i="6"/>
  <c r="O268" i="6"/>
  <c r="W268" i="6"/>
  <c r="S268" i="6"/>
  <c r="V268" i="6"/>
  <c r="R268" i="6"/>
  <c r="U268" i="6"/>
  <c r="T268" i="6"/>
  <c r="Y268" i="6"/>
  <c r="Q268" i="6"/>
  <c r="O276" i="6"/>
  <c r="W276" i="6"/>
  <c r="S276" i="6"/>
  <c r="V276" i="6"/>
  <c r="R276" i="6"/>
  <c r="U276" i="6"/>
  <c r="T276" i="6"/>
  <c r="Y276" i="6"/>
  <c r="Q276" i="6"/>
  <c r="O284" i="6"/>
  <c r="W284" i="6"/>
  <c r="S284" i="6"/>
  <c r="V284" i="6"/>
  <c r="R284" i="6"/>
  <c r="U284" i="6"/>
  <c r="T284" i="6"/>
  <c r="Y284" i="6"/>
  <c r="Q284" i="6"/>
  <c r="O292" i="6"/>
  <c r="W292" i="6"/>
  <c r="S292" i="6"/>
  <c r="V292" i="6"/>
  <c r="R292" i="6"/>
  <c r="U292" i="6"/>
  <c r="T292" i="6"/>
  <c r="Y292" i="6"/>
  <c r="Q292" i="6"/>
  <c r="O296" i="6"/>
  <c r="W296" i="6"/>
  <c r="S296" i="6"/>
  <c r="V296" i="6"/>
  <c r="R296" i="6"/>
  <c r="U296" i="6"/>
  <c r="T296" i="6"/>
  <c r="Y296" i="6"/>
  <c r="Q296" i="6"/>
  <c r="O304" i="6"/>
  <c r="W304" i="6"/>
  <c r="S304" i="6"/>
  <c r="V304" i="6"/>
  <c r="R304" i="6"/>
  <c r="U304" i="6"/>
  <c r="T304" i="6"/>
  <c r="Y304" i="6"/>
  <c r="Q304" i="6"/>
  <c r="O312" i="6"/>
  <c r="W312" i="6"/>
  <c r="S312" i="6"/>
  <c r="V312" i="6"/>
  <c r="R312" i="6"/>
  <c r="U312" i="6"/>
  <c r="T312" i="6"/>
  <c r="Y312" i="6"/>
  <c r="Q312" i="6"/>
  <c r="O320" i="6"/>
  <c r="W320" i="6"/>
  <c r="S320" i="6"/>
  <c r="V320" i="6"/>
  <c r="R320" i="6"/>
  <c r="U320" i="6"/>
  <c r="T320" i="6"/>
  <c r="Y320" i="6"/>
  <c r="Q320" i="6"/>
  <c r="O328" i="6"/>
  <c r="W328" i="6"/>
  <c r="S328" i="6"/>
  <c r="V328" i="6"/>
  <c r="R328" i="6"/>
  <c r="U328" i="6"/>
  <c r="T328" i="6"/>
  <c r="Y328" i="6"/>
  <c r="Q328" i="6"/>
  <c r="O340" i="6"/>
  <c r="Y340" i="6"/>
  <c r="U340" i="6"/>
  <c r="Q340" i="6"/>
  <c r="V340" i="6"/>
  <c r="P340" i="6"/>
  <c r="T340" i="6"/>
  <c r="S340" i="6"/>
  <c r="R340" i="6"/>
  <c r="X340" i="6"/>
  <c r="O352" i="6"/>
  <c r="Y352" i="6"/>
  <c r="U352" i="6"/>
  <c r="Q352" i="6"/>
  <c r="X352" i="6"/>
  <c r="S352" i="6"/>
  <c r="W352" i="6"/>
  <c r="R352" i="6"/>
  <c r="P352" i="6"/>
  <c r="V352" i="6"/>
  <c r="O360" i="6"/>
  <c r="Y360" i="6"/>
  <c r="U360" i="6"/>
  <c r="Q360" i="6"/>
  <c r="X360" i="6"/>
  <c r="S360" i="6"/>
  <c r="W360" i="6"/>
  <c r="R360" i="6"/>
  <c r="V360" i="6"/>
  <c r="T360" i="6"/>
  <c r="P360" i="6"/>
  <c r="O372" i="6"/>
  <c r="Y372" i="6"/>
  <c r="U372" i="6"/>
  <c r="Q372" i="6"/>
  <c r="V372" i="6"/>
  <c r="P372" i="6"/>
  <c r="T372" i="6"/>
  <c r="X372" i="6"/>
  <c r="S372" i="6"/>
  <c r="W372" i="6"/>
  <c r="O380" i="6"/>
  <c r="Y380" i="6"/>
  <c r="U380" i="6"/>
  <c r="Q380" i="6"/>
  <c r="V380" i="6"/>
  <c r="P380" i="6"/>
  <c r="T380" i="6"/>
  <c r="X380" i="6"/>
  <c r="S380" i="6"/>
  <c r="R380" i="6"/>
  <c r="O388" i="6"/>
  <c r="V388" i="6"/>
  <c r="Y388" i="6"/>
  <c r="U388" i="6"/>
  <c r="Q388" i="6"/>
  <c r="W388" i="6"/>
  <c r="P388" i="6"/>
  <c r="T388" i="6"/>
  <c r="S388" i="6"/>
  <c r="X388" i="6"/>
  <c r="R388" i="6"/>
  <c r="O404" i="6"/>
  <c r="V404" i="6"/>
  <c r="R404" i="6"/>
  <c r="Y404" i="6"/>
  <c r="U404" i="6"/>
  <c r="Q404" i="6"/>
  <c r="W404" i="6"/>
  <c r="T404" i="6"/>
  <c r="S404" i="6"/>
  <c r="X404" i="6"/>
  <c r="P404" i="6"/>
  <c r="O420" i="6"/>
  <c r="V420" i="6"/>
  <c r="R420" i="6"/>
  <c r="Y420" i="6"/>
  <c r="U420" i="6"/>
  <c r="Q420" i="6"/>
  <c r="W420" i="6"/>
  <c r="T420" i="6"/>
  <c r="S420" i="6"/>
  <c r="X420" i="6"/>
  <c r="P420" i="6"/>
  <c r="O13" i="6"/>
  <c r="X13" i="6"/>
  <c r="T13" i="6"/>
  <c r="P13" i="6"/>
  <c r="W13" i="6"/>
  <c r="S13" i="6"/>
  <c r="O17" i="6"/>
  <c r="X17" i="6"/>
  <c r="T17" i="6"/>
  <c r="P17" i="6"/>
  <c r="W17" i="6"/>
  <c r="S17" i="6"/>
  <c r="V17" i="6"/>
  <c r="R17" i="6"/>
  <c r="O29" i="6"/>
  <c r="X29" i="6"/>
  <c r="T29" i="6"/>
  <c r="P29" i="6"/>
  <c r="W29" i="6"/>
  <c r="S29" i="6"/>
  <c r="V29" i="6"/>
  <c r="R29" i="6"/>
  <c r="O33" i="6"/>
  <c r="X33" i="6"/>
  <c r="T33" i="6"/>
  <c r="P33" i="6"/>
  <c r="W33" i="6"/>
  <c r="S33" i="6"/>
  <c r="V33" i="6"/>
  <c r="R33" i="6"/>
  <c r="O41" i="6"/>
  <c r="X41" i="6"/>
  <c r="T41" i="6"/>
  <c r="P41" i="6"/>
  <c r="W41" i="6"/>
  <c r="S41" i="6"/>
  <c r="V41" i="6"/>
  <c r="R41" i="6"/>
  <c r="O49" i="6"/>
  <c r="X49" i="6"/>
  <c r="T49" i="6"/>
  <c r="P49" i="6"/>
  <c r="W49" i="6"/>
  <c r="S49" i="6"/>
  <c r="V49" i="6"/>
  <c r="R49" i="6"/>
  <c r="O53" i="6"/>
  <c r="X53" i="6"/>
  <c r="T53" i="6"/>
  <c r="P53" i="6"/>
  <c r="W53" i="6"/>
  <c r="S53" i="6"/>
  <c r="V53" i="6"/>
  <c r="R53" i="6"/>
  <c r="O61" i="6"/>
  <c r="X61" i="6"/>
  <c r="T61" i="6"/>
  <c r="P61" i="6"/>
  <c r="W61" i="6"/>
  <c r="S61" i="6"/>
  <c r="V61" i="6"/>
  <c r="R61" i="6"/>
  <c r="O69" i="6"/>
  <c r="X69" i="6"/>
  <c r="T69" i="6"/>
  <c r="P69" i="6"/>
  <c r="W69" i="6"/>
  <c r="S69" i="6"/>
  <c r="V69" i="6"/>
  <c r="R69" i="6"/>
  <c r="O77" i="6"/>
  <c r="X77" i="6"/>
  <c r="T77" i="6"/>
  <c r="P77" i="6"/>
  <c r="W77" i="6"/>
  <c r="S77" i="6"/>
  <c r="V77" i="6"/>
  <c r="R77" i="6"/>
  <c r="O89" i="6"/>
  <c r="X89" i="6"/>
  <c r="T89" i="6"/>
  <c r="P89" i="6"/>
  <c r="W89" i="6"/>
  <c r="S89" i="6"/>
  <c r="V89" i="6"/>
  <c r="R89" i="6"/>
  <c r="O97" i="6"/>
  <c r="X97" i="6"/>
  <c r="T97" i="6"/>
  <c r="P97" i="6"/>
  <c r="W97" i="6"/>
  <c r="S97" i="6"/>
  <c r="V97" i="6"/>
  <c r="R97" i="6"/>
  <c r="O101" i="6"/>
  <c r="X101" i="6"/>
  <c r="T101" i="6"/>
  <c r="P101" i="6"/>
  <c r="W101" i="6"/>
  <c r="S101" i="6"/>
  <c r="V101" i="6"/>
  <c r="R101" i="6"/>
  <c r="O109" i="6"/>
  <c r="X109" i="6"/>
  <c r="T109" i="6"/>
  <c r="P109" i="6"/>
  <c r="W109" i="6"/>
  <c r="S109" i="6"/>
  <c r="V109" i="6"/>
  <c r="R109" i="6"/>
  <c r="O113" i="6"/>
  <c r="X113" i="6"/>
  <c r="T113" i="6"/>
  <c r="P113" i="6"/>
  <c r="W113" i="6"/>
  <c r="S113" i="6"/>
  <c r="V113" i="6"/>
  <c r="R113" i="6"/>
  <c r="O121" i="6"/>
  <c r="X121" i="6"/>
  <c r="T121" i="6"/>
  <c r="P121" i="6"/>
  <c r="W121" i="6"/>
  <c r="S121" i="6"/>
  <c r="V121" i="6"/>
  <c r="R121" i="6"/>
  <c r="O129" i="6"/>
  <c r="X129" i="6"/>
  <c r="T129" i="6"/>
  <c r="P129" i="6"/>
  <c r="W129" i="6"/>
  <c r="S129" i="6"/>
  <c r="V129" i="6"/>
  <c r="R129" i="6"/>
  <c r="O133" i="6"/>
  <c r="X133" i="6"/>
  <c r="T133" i="6"/>
  <c r="P133" i="6"/>
  <c r="W133" i="6"/>
  <c r="S133" i="6"/>
  <c r="V133" i="6"/>
  <c r="R133" i="6"/>
  <c r="O137" i="6"/>
  <c r="X137" i="6"/>
  <c r="T137" i="6"/>
  <c r="P137" i="6"/>
  <c r="W137" i="6"/>
  <c r="S137" i="6"/>
  <c r="V137" i="6"/>
  <c r="R137" i="6"/>
  <c r="O141" i="6"/>
  <c r="X141" i="6"/>
  <c r="T141" i="6"/>
  <c r="P141" i="6"/>
  <c r="W141" i="6"/>
  <c r="S141" i="6"/>
  <c r="V141" i="6"/>
  <c r="R141" i="6"/>
  <c r="O145" i="6"/>
  <c r="X145" i="6"/>
  <c r="T145" i="6"/>
  <c r="P145" i="6"/>
  <c r="W145" i="6"/>
  <c r="S145" i="6"/>
  <c r="V145" i="6"/>
  <c r="R145" i="6"/>
  <c r="O149" i="6"/>
  <c r="X149" i="6"/>
  <c r="T149" i="6"/>
  <c r="P149" i="6"/>
  <c r="W149" i="6"/>
  <c r="S149" i="6"/>
  <c r="V149" i="6"/>
  <c r="R149" i="6"/>
  <c r="O153" i="6"/>
  <c r="X153" i="6"/>
  <c r="T153" i="6"/>
  <c r="P153" i="6"/>
  <c r="W153" i="6"/>
  <c r="S153" i="6"/>
  <c r="V153" i="6"/>
  <c r="R153" i="6"/>
  <c r="O157" i="6"/>
  <c r="X157" i="6"/>
  <c r="T157" i="6"/>
  <c r="P157" i="6"/>
  <c r="W157" i="6"/>
  <c r="S157" i="6"/>
  <c r="V157" i="6"/>
  <c r="R157" i="6"/>
  <c r="O161" i="6"/>
  <c r="X161" i="6"/>
  <c r="T161" i="6"/>
  <c r="P161" i="6"/>
  <c r="W161" i="6"/>
  <c r="S161" i="6"/>
  <c r="V161" i="6"/>
  <c r="R161" i="6"/>
  <c r="O165" i="6"/>
  <c r="X165" i="6"/>
  <c r="T165" i="6"/>
  <c r="P165" i="6"/>
  <c r="W165" i="6"/>
  <c r="S165" i="6"/>
  <c r="V165" i="6"/>
  <c r="R165" i="6"/>
  <c r="O169" i="6"/>
  <c r="X169" i="6"/>
  <c r="T169" i="6"/>
  <c r="P169" i="6"/>
  <c r="W169" i="6"/>
  <c r="S169" i="6"/>
  <c r="V169" i="6"/>
  <c r="R169" i="6"/>
  <c r="O173" i="6"/>
  <c r="X173" i="6"/>
  <c r="T173" i="6"/>
  <c r="P173" i="6"/>
  <c r="W173" i="6"/>
  <c r="S173" i="6"/>
  <c r="V173" i="6"/>
  <c r="R173" i="6"/>
  <c r="O177" i="6"/>
  <c r="Y177" i="6"/>
  <c r="U177" i="6"/>
  <c r="Q177" i="6"/>
  <c r="X177" i="6"/>
  <c r="T177" i="6"/>
  <c r="P177" i="6"/>
  <c r="S177" i="6"/>
  <c r="R177" i="6"/>
  <c r="W177" i="6"/>
  <c r="O181" i="6"/>
  <c r="Y181" i="6"/>
  <c r="U181" i="6"/>
  <c r="Q181" i="6"/>
  <c r="X181" i="6"/>
  <c r="T181" i="6"/>
  <c r="P181" i="6"/>
  <c r="S181" i="6"/>
  <c r="R181" i="6"/>
  <c r="W181" i="6"/>
  <c r="O185" i="6"/>
  <c r="Y185" i="6"/>
  <c r="U185" i="6"/>
  <c r="Q185" i="6"/>
  <c r="X185" i="6"/>
  <c r="T185" i="6"/>
  <c r="P185" i="6"/>
  <c r="S185" i="6"/>
  <c r="R185" i="6"/>
  <c r="W185" i="6"/>
  <c r="O189" i="6"/>
  <c r="Y189" i="6"/>
  <c r="U189" i="6"/>
  <c r="Q189" i="6"/>
  <c r="X189" i="6"/>
  <c r="T189" i="6"/>
  <c r="P189" i="6"/>
  <c r="S189" i="6"/>
  <c r="R189" i="6"/>
  <c r="W189" i="6"/>
  <c r="O193" i="6"/>
  <c r="Y193" i="6"/>
  <c r="U193" i="6"/>
  <c r="Q193" i="6"/>
  <c r="X193" i="6"/>
  <c r="T193" i="6"/>
  <c r="P193" i="6"/>
  <c r="S193" i="6"/>
  <c r="R193" i="6"/>
  <c r="W193" i="6"/>
  <c r="O197" i="6"/>
  <c r="Y197" i="6"/>
  <c r="U197" i="6"/>
  <c r="Q197" i="6"/>
  <c r="X197" i="6"/>
  <c r="T197" i="6"/>
  <c r="P197" i="6"/>
  <c r="S197" i="6"/>
  <c r="R197" i="6"/>
  <c r="W197" i="6"/>
  <c r="O201" i="6"/>
  <c r="Y201" i="6"/>
  <c r="U201" i="6"/>
  <c r="Q201" i="6"/>
  <c r="X201" i="6"/>
  <c r="T201" i="6"/>
  <c r="P201" i="6"/>
  <c r="S201" i="6"/>
  <c r="R201" i="6"/>
  <c r="W201" i="6"/>
  <c r="O205" i="6"/>
  <c r="Y205" i="6"/>
  <c r="U205" i="6"/>
  <c r="Q205" i="6"/>
  <c r="X205" i="6"/>
  <c r="T205" i="6"/>
  <c r="P205" i="6"/>
  <c r="S205" i="6"/>
  <c r="R205" i="6"/>
  <c r="W205" i="6"/>
  <c r="O209" i="6"/>
  <c r="Y209" i="6"/>
  <c r="U209" i="6"/>
  <c r="Q209" i="6"/>
  <c r="X209" i="6"/>
  <c r="T209" i="6"/>
  <c r="P209" i="6"/>
  <c r="S209" i="6"/>
  <c r="R209" i="6"/>
  <c r="W209" i="6"/>
  <c r="O213" i="6"/>
  <c r="Y213" i="6"/>
  <c r="U213" i="6"/>
  <c r="Q213" i="6"/>
  <c r="X213" i="6"/>
  <c r="T213" i="6"/>
  <c r="P213" i="6"/>
  <c r="S213" i="6"/>
  <c r="R213" i="6"/>
  <c r="W213" i="6"/>
  <c r="O217" i="6"/>
  <c r="Y217" i="6"/>
  <c r="U217" i="6"/>
  <c r="Q217" i="6"/>
  <c r="X217" i="6"/>
  <c r="T217" i="6"/>
  <c r="P217" i="6"/>
  <c r="S217" i="6"/>
  <c r="R217" i="6"/>
  <c r="W217" i="6"/>
  <c r="O221" i="6"/>
  <c r="Y221" i="6"/>
  <c r="U221" i="6"/>
  <c r="Q221" i="6"/>
  <c r="X221" i="6"/>
  <c r="T221" i="6"/>
  <c r="P221" i="6"/>
  <c r="S221" i="6"/>
  <c r="R221" i="6"/>
  <c r="W221" i="6"/>
  <c r="O225" i="6"/>
  <c r="Y225" i="6"/>
  <c r="U225" i="6"/>
  <c r="Q225" i="6"/>
  <c r="X225" i="6"/>
  <c r="T225" i="6"/>
  <c r="P225" i="6"/>
  <c r="S225" i="6"/>
  <c r="R225" i="6"/>
  <c r="W225" i="6"/>
  <c r="O229" i="6"/>
  <c r="Y229" i="6"/>
  <c r="U229" i="6"/>
  <c r="Q229" i="6"/>
  <c r="X229" i="6"/>
  <c r="T229" i="6"/>
  <c r="P229" i="6"/>
  <c r="S229" i="6"/>
  <c r="R229" i="6"/>
  <c r="W229" i="6"/>
  <c r="O233" i="6"/>
  <c r="Y233" i="6"/>
  <c r="U233" i="6"/>
  <c r="Q233" i="6"/>
  <c r="X233" i="6"/>
  <c r="T233" i="6"/>
  <c r="P233" i="6"/>
  <c r="S233" i="6"/>
  <c r="R233" i="6"/>
  <c r="W233" i="6"/>
  <c r="O237" i="6"/>
  <c r="Y237" i="6"/>
  <c r="U237" i="6"/>
  <c r="Q237" i="6"/>
  <c r="X237" i="6"/>
  <c r="T237" i="6"/>
  <c r="P237" i="6"/>
  <c r="S237" i="6"/>
  <c r="R237" i="6"/>
  <c r="W237" i="6"/>
  <c r="O241" i="6"/>
  <c r="Y241" i="6"/>
  <c r="U241" i="6"/>
  <c r="Q241" i="6"/>
  <c r="X241" i="6"/>
  <c r="T241" i="6"/>
  <c r="P241" i="6"/>
  <c r="S241" i="6"/>
  <c r="R241" i="6"/>
  <c r="W241" i="6"/>
  <c r="O245" i="6"/>
  <c r="Y245" i="6"/>
  <c r="U245" i="6"/>
  <c r="Q245" i="6"/>
  <c r="X245" i="6"/>
  <c r="T245" i="6"/>
  <c r="P245" i="6"/>
  <c r="S245" i="6"/>
  <c r="R245" i="6"/>
  <c r="W245" i="6"/>
  <c r="O249" i="6"/>
  <c r="Y249" i="6"/>
  <c r="U249" i="6"/>
  <c r="Q249" i="6"/>
  <c r="X249" i="6"/>
  <c r="T249" i="6"/>
  <c r="P249" i="6"/>
  <c r="S249" i="6"/>
  <c r="R249" i="6"/>
  <c r="W249" i="6"/>
  <c r="O253" i="6"/>
  <c r="Y253" i="6"/>
  <c r="U253" i="6"/>
  <c r="Q253" i="6"/>
  <c r="X253" i="6"/>
  <c r="T253" i="6"/>
  <c r="P253" i="6"/>
  <c r="S253" i="6"/>
  <c r="R253" i="6"/>
  <c r="W253" i="6"/>
  <c r="O257" i="6"/>
  <c r="Y257" i="6"/>
  <c r="U257" i="6"/>
  <c r="Q257" i="6"/>
  <c r="X257" i="6"/>
  <c r="T257" i="6"/>
  <c r="P257" i="6"/>
  <c r="S257" i="6"/>
  <c r="R257" i="6"/>
  <c r="W257" i="6"/>
  <c r="O261" i="6"/>
  <c r="Y261" i="6"/>
  <c r="U261" i="6"/>
  <c r="Q261" i="6"/>
  <c r="X261" i="6"/>
  <c r="T261" i="6"/>
  <c r="P261" i="6"/>
  <c r="S261" i="6"/>
  <c r="R261" i="6"/>
  <c r="W261" i="6"/>
  <c r="O265" i="6"/>
  <c r="Y265" i="6"/>
  <c r="U265" i="6"/>
  <c r="Q265" i="6"/>
  <c r="X265" i="6"/>
  <c r="T265" i="6"/>
  <c r="P265" i="6"/>
  <c r="S265" i="6"/>
  <c r="R265" i="6"/>
  <c r="W265" i="6"/>
  <c r="O269" i="6"/>
  <c r="Y269" i="6"/>
  <c r="U269" i="6"/>
  <c r="Q269" i="6"/>
  <c r="X269" i="6"/>
  <c r="T269" i="6"/>
  <c r="P269" i="6"/>
  <c r="S269" i="6"/>
  <c r="R269" i="6"/>
  <c r="W269" i="6"/>
  <c r="O273" i="6"/>
  <c r="Y273" i="6"/>
  <c r="U273" i="6"/>
  <c r="Q273" i="6"/>
  <c r="X273" i="6"/>
  <c r="T273" i="6"/>
  <c r="P273" i="6"/>
  <c r="S273" i="6"/>
  <c r="R273" i="6"/>
  <c r="W273" i="6"/>
  <c r="O277" i="6"/>
  <c r="Y277" i="6"/>
  <c r="U277" i="6"/>
  <c r="Q277" i="6"/>
  <c r="X277" i="6"/>
  <c r="T277" i="6"/>
  <c r="P277" i="6"/>
  <c r="S277" i="6"/>
  <c r="R277" i="6"/>
  <c r="W277" i="6"/>
  <c r="O281" i="6"/>
  <c r="Y281" i="6"/>
  <c r="U281" i="6"/>
  <c r="Q281" i="6"/>
  <c r="X281" i="6"/>
  <c r="T281" i="6"/>
  <c r="P281" i="6"/>
  <c r="S281" i="6"/>
  <c r="R281" i="6"/>
  <c r="W281" i="6"/>
  <c r="O285" i="6"/>
  <c r="Y285" i="6"/>
  <c r="U285" i="6"/>
  <c r="Q285" i="6"/>
  <c r="X285" i="6"/>
  <c r="T285" i="6"/>
  <c r="P285" i="6"/>
  <c r="S285" i="6"/>
  <c r="R285" i="6"/>
  <c r="W285" i="6"/>
  <c r="O289" i="6"/>
  <c r="Y289" i="6"/>
  <c r="U289" i="6"/>
  <c r="Q289" i="6"/>
  <c r="X289" i="6"/>
  <c r="T289" i="6"/>
  <c r="P289" i="6"/>
  <c r="S289" i="6"/>
  <c r="R289" i="6"/>
  <c r="W289" i="6"/>
  <c r="O293" i="6"/>
  <c r="Y293" i="6"/>
  <c r="U293" i="6"/>
  <c r="Q293" i="6"/>
  <c r="X293" i="6"/>
  <c r="T293" i="6"/>
  <c r="P293" i="6"/>
  <c r="S293" i="6"/>
  <c r="R293" i="6"/>
  <c r="W293" i="6"/>
  <c r="O297" i="6"/>
  <c r="Y297" i="6"/>
  <c r="U297" i="6"/>
  <c r="Q297" i="6"/>
  <c r="X297" i="6"/>
  <c r="T297" i="6"/>
  <c r="P297" i="6"/>
  <c r="S297" i="6"/>
  <c r="R297" i="6"/>
  <c r="W297" i="6"/>
  <c r="O301" i="6"/>
  <c r="Y301" i="6"/>
  <c r="U301" i="6"/>
  <c r="Q301" i="6"/>
  <c r="X301" i="6"/>
  <c r="T301" i="6"/>
  <c r="P301" i="6"/>
  <c r="S301" i="6"/>
  <c r="R301" i="6"/>
  <c r="W301" i="6"/>
  <c r="O305" i="6"/>
  <c r="Y305" i="6"/>
  <c r="U305" i="6"/>
  <c r="Q305" i="6"/>
  <c r="X305" i="6"/>
  <c r="T305" i="6"/>
  <c r="P305" i="6"/>
  <c r="S305" i="6"/>
  <c r="R305" i="6"/>
  <c r="W305" i="6"/>
  <c r="O309" i="6"/>
  <c r="Y309" i="6"/>
  <c r="U309" i="6"/>
  <c r="Q309" i="6"/>
  <c r="X309" i="6"/>
  <c r="T309" i="6"/>
  <c r="P309" i="6"/>
  <c r="S309" i="6"/>
  <c r="R309" i="6"/>
  <c r="W309" i="6"/>
  <c r="O313" i="6"/>
  <c r="Y313" i="6"/>
  <c r="U313" i="6"/>
  <c r="Q313" i="6"/>
  <c r="X313" i="6"/>
  <c r="T313" i="6"/>
  <c r="P313" i="6"/>
  <c r="S313" i="6"/>
  <c r="R313" i="6"/>
  <c r="W313" i="6"/>
  <c r="O317" i="6"/>
  <c r="Y317" i="6"/>
  <c r="U317" i="6"/>
  <c r="Q317" i="6"/>
  <c r="X317" i="6"/>
  <c r="T317" i="6"/>
  <c r="P317" i="6"/>
  <c r="S317" i="6"/>
  <c r="R317" i="6"/>
  <c r="W317" i="6"/>
  <c r="O321" i="6"/>
  <c r="Y321" i="6"/>
  <c r="U321" i="6"/>
  <c r="Q321" i="6"/>
  <c r="X321" i="6"/>
  <c r="T321" i="6"/>
  <c r="P321" i="6"/>
  <c r="S321" i="6"/>
  <c r="R321" i="6"/>
  <c r="W321" i="6"/>
  <c r="O325" i="6"/>
  <c r="Y325" i="6"/>
  <c r="U325" i="6"/>
  <c r="Q325" i="6"/>
  <c r="X325" i="6"/>
  <c r="T325" i="6"/>
  <c r="P325" i="6"/>
  <c r="S325" i="6"/>
  <c r="R325" i="6"/>
  <c r="W325" i="6"/>
  <c r="O329" i="6"/>
  <c r="Y329" i="6"/>
  <c r="U329" i="6"/>
  <c r="Q329" i="6"/>
  <c r="X329" i="6"/>
  <c r="T329" i="6"/>
  <c r="P329" i="6"/>
  <c r="S329" i="6"/>
  <c r="R329" i="6"/>
  <c r="W329" i="6"/>
  <c r="O333" i="6"/>
  <c r="Y333" i="6"/>
  <c r="U333" i="6"/>
  <c r="Q333" i="6"/>
  <c r="X333" i="6"/>
  <c r="T333" i="6"/>
  <c r="P333" i="6"/>
  <c r="S333" i="6"/>
  <c r="R333" i="6"/>
  <c r="W333" i="6"/>
  <c r="O337" i="6"/>
  <c r="Y337" i="6"/>
  <c r="U337" i="6"/>
  <c r="Q337" i="6"/>
  <c r="X337" i="6"/>
  <c r="T337" i="6"/>
  <c r="P337" i="6"/>
  <c r="S337" i="6"/>
  <c r="R337" i="6"/>
  <c r="W337" i="6"/>
  <c r="O341" i="6"/>
  <c r="W341" i="6"/>
  <c r="S341" i="6"/>
  <c r="V341" i="6"/>
  <c r="Q341" i="6"/>
  <c r="U341" i="6"/>
  <c r="P341" i="6"/>
  <c r="T341" i="6"/>
  <c r="R341" i="6"/>
  <c r="Y341" i="6"/>
  <c r="O345" i="6"/>
  <c r="W345" i="6"/>
  <c r="S345" i="6"/>
  <c r="Y345" i="6"/>
  <c r="T345" i="6"/>
  <c r="X345" i="6"/>
  <c r="R345" i="6"/>
  <c r="V345" i="6"/>
  <c r="U345" i="6"/>
  <c r="Q345" i="6"/>
  <c r="O349" i="6"/>
  <c r="W349" i="6"/>
  <c r="S349" i="6"/>
  <c r="V349" i="6"/>
  <c r="Q349" i="6"/>
  <c r="U349" i="6"/>
  <c r="P349" i="6"/>
  <c r="Y349" i="6"/>
  <c r="X349" i="6"/>
  <c r="T349" i="6"/>
  <c r="O353" i="6"/>
  <c r="W353" i="6"/>
  <c r="S353" i="6"/>
  <c r="Y353" i="6"/>
  <c r="T353" i="6"/>
  <c r="X353" i="6"/>
  <c r="R353" i="6"/>
  <c r="Q353" i="6"/>
  <c r="P353" i="6"/>
  <c r="V353" i="6"/>
  <c r="O357" i="6"/>
  <c r="W357" i="6"/>
  <c r="S357" i="6"/>
  <c r="V357" i="6"/>
  <c r="Q357" i="6"/>
  <c r="U357" i="6"/>
  <c r="P357" i="6"/>
  <c r="T357" i="6"/>
  <c r="R357" i="6"/>
  <c r="Y357" i="6"/>
  <c r="O361" i="6"/>
  <c r="W361" i="6"/>
  <c r="S361" i="6"/>
  <c r="Y361" i="6"/>
  <c r="T361" i="6"/>
  <c r="X361" i="6"/>
  <c r="R361" i="6"/>
  <c r="V361" i="6"/>
  <c r="U361" i="6"/>
  <c r="Q361" i="6"/>
  <c r="O365" i="6"/>
  <c r="W365" i="6"/>
  <c r="S365" i="6"/>
  <c r="V365" i="6"/>
  <c r="Q365" i="6"/>
  <c r="U365" i="6"/>
  <c r="P365" i="6"/>
  <c r="Y365" i="6"/>
  <c r="T365" i="6"/>
  <c r="R365" i="6"/>
  <c r="O369" i="6"/>
  <c r="W369" i="6"/>
  <c r="S369" i="6"/>
  <c r="Y369" i="6"/>
  <c r="T369" i="6"/>
  <c r="X369" i="6"/>
  <c r="R369" i="6"/>
  <c r="V369" i="6"/>
  <c r="Q369" i="6"/>
  <c r="U369" i="6"/>
  <c r="P369" i="6"/>
  <c r="O373" i="6"/>
  <c r="W373" i="6"/>
  <c r="S373" i="6"/>
  <c r="V373" i="6"/>
  <c r="Q373" i="6"/>
  <c r="U373" i="6"/>
  <c r="P373" i="6"/>
  <c r="Y373" i="6"/>
  <c r="T373" i="6"/>
  <c r="X373" i="6"/>
  <c r="R373" i="6"/>
  <c r="O377" i="6"/>
  <c r="W377" i="6"/>
  <c r="S377" i="6"/>
  <c r="Y377" i="6"/>
  <c r="T377" i="6"/>
  <c r="X377" i="6"/>
  <c r="R377" i="6"/>
  <c r="V377" i="6"/>
  <c r="Q377" i="6"/>
  <c r="U377" i="6"/>
  <c r="P377" i="6"/>
  <c r="O381" i="6"/>
  <c r="W381" i="6"/>
  <c r="S381" i="6"/>
  <c r="V381" i="6"/>
  <c r="Q381" i="6"/>
  <c r="U381" i="6"/>
  <c r="P381" i="6"/>
  <c r="Y381" i="6"/>
  <c r="T381" i="6"/>
  <c r="X381" i="6"/>
  <c r="R381" i="6"/>
  <c r="O385" i="6"/>
  <c r="W385" i="6"/>
  <c r="S385" i="6"/>
  <c r="Y385" i="6"/>
  <c r="T385" i="6"/>
  <c r="X385" i="6"/>
  <c r="R385" i="6"/>
  <c r="V385" i="6"/>
  <c r="Q385" i="6"/>
  <c r="U385" i="6"/>
  <c r="O389" i="6"/>
  <c r="X389" i="6"/>
  <c r="T389" i="6"/>
  <c r="P389" i="6"/>
  <c r="W389" i="6"/>
  <c r="S389" i="6"/>
  <c r="U389" i="6"/>
  <c r="R389" i="6"/>
  <c r="Y389" i="6"/>
  <c r="Q389" i="6"/>
  <c r="O393" i="6"/>
  <c r="X393" i="6"/>
  <c r="T393" i="6"/>
  <c r="P393" i="6"/>
  <c r="W393" i="6"/>
  <c r="S393" i="6"/>
  <c r="U393" i="6"/>
  <c r="R393" i="6"/>
  <c r="Y393" i="6"/>
  <c r="Q393" i="6"/>
  <c r="V393" i="6"/>
  <c r="O397" i="6"/>
  <c r="X397" i="6"/>
  <c r="T397" i="6"/>
  <c r="P397" i="6"/>
  <c r="W397" i="6"/>
  <c r="S397" i="6"/>
  <c r="U397" i="6"/>
  <c r="R397" i="6"/>
  <c r="Y397" i="6"/>
  <c r="Q397" i="6"/>
  <c r="V397" i="6"/>
  <c r="O401" i="6"/>
  <c r="X401" i="6"/>
  <c r="T401" i="6"/>
  <c r="P401" i="6"/>
  <c r="W401" i="6"/>
  <c r="S401" i="6"/>
  <c r="U401" i="6"/>
  <c r="R401" i="6"/>
  <c r="Y401" i="6"/>
  <c r="Q401" i="6"/>
  <c r="V401" i="6"/>
  <c r="O405" i="6"/>
  <c r="X405" i="6"/>
  <c r="T405" i="6"/>
  <c r="P405" i="6"/>
  <c r="W405" i="6"/>
  <c r="S405" i="6"/>
  <c r="U405" i="6"/>
  <c r="R405" i="6"/>
  <c r="Y405" i="6"/>
  <c r="Q405" i="6"/>
  <c r="O409" i="6"/>
  <c r="X409" i="6"/>
  <c r="T409" i="6"/>
  <c r="P409" i="6"/>
  <c r="W409" i="6"/>
  <c r="S409" i="6"/>
  <c r="U409" i="6"/>
  <c r="R409" i="6"/>
  <c r="Y409" i="6"/>
  <c r="Q409" i="6"/>
  <c r="V409" i="6"/>
  <c r="O413" i="6"/>
  <c r="X413" i="6"/>
  <c r="T413" i="6"/>
  <c r="P413" i="6"/>
  <c r="W413" i="6"/>
  <c r="S413" i="6"/>
  <c r="U413" i="6"/>
  <c r="R413" i="6"/>
  <c r="Y413" i="6"/>
  <c r="Q413" i="6"/>
  <c r="V413" i="6"/>
  <c r="O417" i="6"/>
  <c r="X417" i="6"/>
  <c r="T417" i="6"/>
  <c r="P417" i="6"/>
  <c r="W417" i="6"/>
  <c r="S417" i="6"/>
  <c r="U417" i="6"/>
  <c r="R417" i="6"/>
  <c r="Y417" i="6"/>
  <c r="Q417" i="6"/>
  <c r="V417" i="6"/>
  <c r="O421" i="6"/>
  <c r="X421" i="6"/>
  <c r="T421" i="6"/>
  <c r="P421" i="6"/>
  <c r="W421" i="6"/>
  <c r="S421" i="6"/>
  <c r="U421" i="6"/>
  <c r="R421" i="6"/>
  <c r="Y421" i="6"/>
  <c r="Q421" i="6"/>
  <c r="O425" i="6"/>
  <c r="X425" i="6"/>
  <c r="T425" i="6"/>
  <c r="P425" i="6"/>
  <c r="W425" i="6"/>
  <c r="S425" i="6"/>
  <c r="U425" i="6"/>
  <c r="R425" i="6"/>
  <c r="Y425" i="6"/>
  <c r="Q425" i="6"/>
  <c r="V425" i="6"/>
  <c r="O429" i="6"/>
  <c r="X429" i="6"/>
  <c r="T429" i="6"/>
  <c r="P429" i="6"/>
  <c r="W429" i="6"/>
  <c r="S429" i="6"/>
  <c r="U429" i="6"/>
  <c r="R429" i="6"/>
  <c r="Y429" i="6"/>
  <c r="Q429" i="6"/>
  <c r="V429" i="6"/>
  <c r="O433" i="6"/>
  <c r="X433" i="6"/>
  <c r="T433" i="6"/>
  <c r="P433" i="6"/>
  <c r="W433" i="6"/>
  <c r="S433" i="6"/>
  <c r="U433" i="6"/>
  <c r="R433" i="6"/>
  <c r="Y433" i="6"/>
  <c r="Q433" i="6"/>
  <c r="V433" i="6"/>
  <c r="O437" i="6"/>
  <c r="X437" i="6"/>
  <c r="T437" i="6"/>
  <c r="P437" i="6"/>
  <c r="W437" i="6"/>
  <c r="S437" i="6"/>
  <c r="U437" i="6"/>
  <c r="R437" i="6"/>
  <c r="Y437" i="6"/>
  <c r="Q437" i="6"/>
  <c r="O441" i="6"/>
  <c r="X441" i="6"/>
  <c r="T441" i="6"/>
  <c r="P441" i="6"/>
  <c r="W441" i="6"/>
  <c r="S441" i="6"/>
  <c r="U441" i="6"/>
  <c r="R441" i="6"/>
  <c r="Y441" i="6"/>
  <c r="Q441" i="6"/>
  <c r="V441" i="6"/>
  <c r="O445" i="6"/>
  <c r="X445" i="6"/>
  <c r="T445" i="6"/>
  <c r="P445" i="6"/>
  <c r="W445" i="6"/>
  <c r="S445" i="6"/>
  <c r="U445" i="6"/>
  <c r="R445" i="6"/>
  <c r="Y445" i="6"/>
  <c r="Q445" i="6"/>
  <c r="V445" i="6"/>
  <c r="O449" i="6"/>
  <c r="X449" i="6"/>
  <c r="T449" i="6"/>
  <c r="P449" i="6"/>
  <c r="W449" i="6"/>
  <c r="S449" i="6"/>
  <c r="U449" i="6"/>
  <c r="R449" i="6"/>
  <c r="Y449" i="6"/>
  <c r="Q449" i="6"/>
  <c r="V449" i="6"/>
  <c r="O453" i="6"/>
  <c r="X453" i="6"/>
  <c r="T453" i="6"/>
  <c r="P453" i="6"/>
  <c r="W453" i="6"/>
  <c r="S453" i="6"/>
  <c r="U453" i="6"/>
  <c r="R453" i="6"/>
  <c r="Y453" i="6"/>
  <c r="Q453" i="6"/>
  <c r="O457" i="6"/>
  <c r="X457" i="6"/>
  <c r="T457" i="6"/>
  <c r="P457" i="6"/>
  <c r="W457" i="6"/>
  <c r="S457" i="6"/>
  <c r="V457" i="6"/>
  <c r="R457" i="6"/>
  <c r="Y457" i="6"/>
  <c r="U457" i="6"/>
  <c r="O461" i="6"/>
  <c r="X461" i="6"/>
  <c r="T461" i="6"/>
  <c r="P461" i="6"/>
  <c r="W461" i="6"/>
  <c r="S461" i="6"/>
  <c r="V461" i="6"/>
  <c r="R461" i="6"/>
  <c r="U461" i="6"/>
  <c r="Q461" i="6"/>
  <c r="Y461" i="6"/>
  <c r="O465" i="6"/>
  <c r="X465" i="6"/>
  <c r="T465" i="6"/>
  <c r="P465" i="6"/>
  <c r="W465" i="6"/>
  <c r="S465" i="6"/>
  <c r="V465" i="6"/>
  <c r="R465" i="6"/>
  <c r="Y465" i="6"/>
  <c r="U465" i="6"/>
  <c r="Q465" i="6"/>
  <c r="O469" i="6"/>
  <c r="X469" i="6"/>
  <c r="T469" i="6"/>
  <c r="P469" i="6"/>
  <c r="W469" i="6"/>
  <c r="S469" i="6"/>
  <c r="V469" i="6"/>
  <c r="R469" i="6"/>
  <c r="U469" i="6"/>
  <c r="Q469" i="6"/>
  <c r="O473" i="6"/>
  <c r="X473" i="6"/>
  <c r="T473" i="6"/>
  <c r="P473" i="6"/>
  <c r="W473" i="6"/>
  <c r="S473" i="6"/>
  <c r="V473" i="6"/>
  <c r="R473" i="6"/>
  <c r="Y473" i="6"/>
  <c r="U473" i="6"/>
  <c r="Q473" i="6"/>
  <c r="O477" i="6"/>
  <c r="X477" i="6"/>
  <c r="T477" i="6"/>
  <c r="P477" i="6"/>
  <c r="W477" i="6"/>
  <c r="S477" i="6"/>
  <c r="V477" i="6"/>
  <c r="R477" i="6"/>
  <c r="U477" i="6"/>
  <c r="Q477" i="6"/>
  <c r="Y477" i="6"/>
  <c r="O481" i="6"/>
  <c r="X481" i="6"/>
  <c r="T481" i="6"/>
  <c r="P481" i="6"/>
  <c r="W481" i="6"/>
  <c r="S481" i="6"/>
  <c r="V481" i="6"/>
  <c r="R481" i="6"/>
  <c r="Y481" i="6"/>
  <c r="U481" i="6"/>
  <c r="Q481" i="6"/>
  <c r="O485" i="6"/>
  <c r="X485" i="6"/>
  <c r="T485" i="6"/>
  <c r="P485" i="6"/>
  <c r="W485" i="6"/>
  <c r="S485" i="6"/>
  <c r="V485" i="6"/>
  <c r="R485" i="6"/>
  <c r="U485" i="6"/>
  <c r="Q485" i="6"/>
  <c r="Y485" i="6"/>
  <c r="O489" i="6"/>
  <c r="X489" i="6"/>
  <c r="T489" i="6"/>
  <c r="P489" i="6"/>
  <c r="W489" i="6"/>
  <c r="S489" i="6"/>
  <c r="V489" i="6"/>
  <c r="R489" i="6"/>
  <c r="Y489" i="6"/>
  <c r="U489" i="6"/>
  <c r="O493" i="6"/>
  <c r="X493" i="6"/>
  <c r="T493" i="6"/>
  <c r="P493" i="6"/>
  <c r="W493" i="6"/>
  <c r="S493" i="6"/>
  <c r="V493" i="6"/>
  <c r="R493" i="6"/>
  <c r="U493" i="6"/>
  <c r="Q493" i="6"/>
  <c r="Y493" i="6"/>
  <c r="O497" i="6"/>
  <c r="X497" i="6"/>
  <c r="T497" i="6"/>
  <c r="P497" i="6"/>
  <c r="W497" i="6"/>
  <c r="S497" i="6"/>
  <c r="V497" i="6"/>
  <c r="R497" i="6"/>
  <c r="Y497" i="6"/>
  <c r="U497" i="6"/>
  <c r="Q497" i="6"/>
  <c r="O501" i="6"/>
  <c r="X501" i="6"/>
  <c r="T501" i="6"/>
  <c r="P501" i="6"/>
  <c r="W501" i="6"/>
  <c r="S501" i="6"/>
  <c r="V501" i="6"/>
  <c r="R501" i="6"/>
  <c r="U501" i="6"/>
  <c r="Q501" i="6"/>
  <c r="O505" i="6"/>
  <c r="X505" i="6"/>
  <c r="T505" i="6"/>
  <c r="P505" i="6"/>
  <c r="W505" i="6"/>
  <c r="S505" i="6"/>
  <c r="V505" i="6"/>
  <c r="R505" i="6"/>
  <c r="Y505" i="6"/>
  <c r="U505" i="6"/>
  <c r="Q505" i="6"/>
  <c r="O509" i="6"/>
  <c r="X509" i="6"/>
  <c r="T509" i="6"/>
  <c r="P509" i="6"/>
  <c r="W509" i="6"/>
  <c r="S509" i="6"/>
  <c r="V509" i="6"/>
  <c r="R509" i="6"/>
  <c r="U509" i="6"/>
  <c r="Q509" i="6"/>
  <c r="Y509" i="6"/>
  <c r="O513" i="6"/>
  <c r="X513" i="6"/>
  <c r="T513" i="6"/>
  <c r="P513" i="6"/>
  <c r="W513" i="6"/>
  <c r="S513" i="6"/>
  <c r="V513" i="6"/>
  <c r="R513" i="6"/>
  <c r="Y513" i="6"/>
  <c r="U513" i="6"/>
  <c r="Q513" i="6"/>
  <c r="O517" i="6"/>
  <c r="X517" i="6"/>
  <c r="T517" i="6"/>
  <c r="P517" i="6"/>
  <c r="W517" i="6"/>
  <c r="S517" i="6"/>
  <c r="V517" i="6"/>
  <c r="R517" i="6"/>
  <c r="U517" i="6"/>
  <c r="Q517" i="6"/>
  <c r="Y517" i="6"/>
  <c r="O521" i="6"/>
  <c r="X521" i="6"/>
  <c r="T521" i="6"/>
  <c r="P521" i="6"/>
  <c r="W521" i="6"/>
  <c r="S521" i="6"/>
  <c r="V521" i="6"/>
  <c r="R521" i="6"/>
  <c r="Y521" i="6"/>
  <c r="U521" i="6"/>
  <c r="O525" i="6"/>
  <c r="X525" i="6"/>
  <c r="T525" i="6"/>
  <c r="P525" i="6"/>
  <c r="W525" i="6"/>
  <c r="S525" i="6"/>
  <c r="V525" i="6"/>
  <c r="R525" i="6"/>
  <c r="U525" i="6"/>
  <c r="Q525" i="6"/>
  <c r="Y525" i="6"/>
  <c r="O529" i="6"/>
  <c r="X529" i="6"/>
  <c r="T529" i="6"/>
  <c r="P529" i="6"/>
  <c r="W529" i="6"/>
  <c r="S529" i="6"/>
  <c r="V529" i="6"/>
  <c r="R529" i="6"/>
  <c r="Y529" i="6"/>
  <c r="U529" i="6"/>
  <c r="Q529" i="6"/>
  <c r="O533" i="6"/>
  <c r="X533" i="6"/>
  <c r="T533" i="6"/>
  <c r="P533" i="6"/>
  <c r="W533" i="6"/>
  <c r="S533" i="6"/>
  <c r="V533" i="6"/>
  <c r="R533" i="6"/>
  <c r="U533" i="6"/>
  <c r="Q533" i="6"/>
  <c r="O537" i="6"/>
  <c r="X537" i="6"/>
  <c r="T537" i="6"/>
  <c r="P537" i="6"/>
  <c r="W537" i="6"/>
  <c r="S537" i="6"/>
  <c r="V537" i="6"/>
  <c r="R537" i="6"/>
  <c r="Y537" i="6"/>
  <c r="U537" i="6"/>
  <c r="Q537" i="6"/>
  <c r="O541" i="6"/>
  <c r="X541" i="6"/>
  <c r="T541" i="6"/>
  <c r="P541" i="6"/>
  <c r="W541" i="6"/>
  <c r="S541" i="6"/>
  <c r="V541" i="6"/>
  <c r="R541" i="6"/>
  <c r="U541" i="6"/>
  <c r="Q541" i="6"/>
  <c r="Y541" i="6"/>
  <c r="O545" i="6"/>
  <c r="X545" i="6"/>
  <c r="T545" i="6"/>
  <c r="P545" i="6"/>
  <c r="W545" i="6"/>
  <c r="S545" i="6"/>
  <c r="V545" i="6"/>
  <c r="R545" i="6"/>
  <c r="Y545" i="6"/>
  <c r="U545" i="6"/>
  <c r="Q545" i="6"/>
  <c r="O549" i="6"/>
  <c r="X549" i="6"/>
  <c r="T549" i="6"/>
  <c r="P549" i="6"/>
  <c r="W549" i="6"/>
  <c r="S549" i="6"/>
  <c r="V549" i="6"/>
  <c r="R549" i="6"/>
  <c r="U549" i="6"/>
  <c r="Q549" i="6"/>
  <c r="Y549" i="6"/>
  <c r="O553" i="6"/>
  <c r="X553" i="6"/>
  <c r="T553" i="6"/>
  <c r="P553" i="6"/>
  <c r="W553" i="6"/>
  <c r="S553" i="6"/>
  <c r="V553" i="6"/>
  <c r="R553" i="6"/>
  <c r="Y553" i="6"/>
  <c r="U553" i="6"/>
  <c r="O557" i="6"/>
  <c r="X557" i="6"/>
  <c r="T557" i="6"/>
  <c r="P557" i="6"/>
  <c r="W557" i="6"/>
  <c r="S557" i="6"/>
  <c r="V557" i="6"/>
  <c r="R557" i="6"/>
  <c r="U557" i="6"/>
  <c r="Q557" i="6"/>
  <c r="Y557" i="6"/>
  <c r="O561" i="6"/>
  <c r="V561" i="6"/>
  <c r="R561" i="6"/>
  <c r="Y561" i="6"/>
  <c r="U561" i="6"/>
  <c r="Q561" i="6"/>
  <c r="T561" i="6"/>
  <c r="S561" i="6"/>
  <c r="X561" i="6"/>
  <c r="P561" i="6"/>
  <c r="W561" i="6"/>
  <c r="O565" i="6"/>
  <c r="V565" i="6"/>
  <c r="R565" i="6"/>
  <c r="Y565" i="6"/>
  <c r="U565" i="6"/>
  <c r="Q565" i="6"/>
  <c r="T565" i="6"/>
  <c r="S565" i="6"/>
  <c r="X565" i="6"/>
  <c r="P565" i="6"/>
  <c r="W565" i="6"/>
  <c r="O569" i="6"/>
  <c r="V569" i="6"/>
  <c r="R569" i="6"/>
  <c r="Y569" i="6"/>
  <c r="U569" i="6"/>
  <c r="Q569" i="6"/>
  <c r="T569" i="6"/>
  <c r="S569" i="6"/>
  <c r="X569" i="6"/>
  <c r="P569" i="6"/>
  <c r="W569" i="6"/>
  <c r="O573" i="6"/>
  <c r="V573" i="6"/>
  <c r="R573" i="6"/>
  <c r="Y573" i="6"/>
  <c r="U573" i="6"/>
  <c r="Q573" i="6"/>
  <c r="T573" i="6"/>
  <c r="S573" i="6"/>
  <c r="X573" i="6"/>
  <c r="P573" i="6"/>
  <c r="W573" i="6"/>
  <c r="O577" i="6"/>
  <c r="V577" i="6"/>
  <c r="R577" i="6"/>
  <c r="Y577" i="6"/>
  <c r="U577" i="6"/>
  <c r="Q577" i="6"/>
  <c r="T577" i="6"/>
  <c r="S577" i="6"/>
  <c r="X577" i="6"/>
  <c r="P577" i="6"/>
  <c r="W577" i="6"/>
  <c r="O581" i="6"/>
  <c r="V581" i="6"/>
  <c r="R581" i="6"/>
  <c r="Y581" i="6"/>
  <c r="U581" i="6"/>
  <c r="Q581" i="6"/>
  <c r="T581" i="6"/>
  <c r="S581" i="6"/>
  <c r="X581" i="6"/>
  <c r="P581" i="6"/>
  <c r="W581" i="6"/>
  <c r="O585" i="6"/>
  <c r="V585" i="6"/>
  <c r="R585" i="6"/>
  <c r="Y585" i="6"/>
  <c r="U585" i="6"/>
  <c r="Q585" i="6"/>
  <c r="T585" i="6"/>
  <c r="S585" i="6"/>
  <c r="X585" i="6"/>
  <c r="P585" i="6"/>
  <c r="O589" i="6"/>
  <c r="V589" i="6"/>
  <c r="R589" i="6"/>
  <c r="Y589" i="6"/>
  <c r="U589" i="6"/>
  <c r="Q589" i="6"/>
  <c r="T589" i="6"/>
  <c r="S589" i="6"/>
  <c r="X589" i="6"/>
  <c r="P589" i="6"/>
  <c r="W589" i="6"/>
  <c r="O593" i="6"/>
  <c r="V593" i="6"/>
  <c r="R593" i="6"/>
  <c r="Y593" i="6"/>
  <c r="U593" i="6"/>
  <c r="Q593" i="6"/>
  <c r="T593" i="6"/>
  <c r="S593" i="6"/>
  <c r="X593" i="6"/>
  <c r="P593" i="6"/>
  <c r="W593" i="6"/>
  <c r="O597" i="6"/>
  <c r="V597" i="6"/>
  <c r="R597" i="6"/>
  <c r="Y597" i="6"/>
  <c r="U597" i="6"/>
  <c r="Q597" i="6"/>
  <c r="T597" i="6"/>
  <c r="S597" i="6"/>
  <c r="X597" i="6"/>
  <c r="P597" i="6"/>
  <c r="W597" i="6"/>
  <c r="O601" i="6"/>
  <c r="V601" i="6"/>
  <c r="R601" i="6"/>
  <c r="Y601" i="6"/>
  <c r="U601" i="6"/>
  <c r="Q601" i="6"/>
  <c r="T601" i="6"/>
  <c r="S601" i="6"/>
  <c r="X601" i="6"/>
  <c r="P601" i="6"/>
  <c r="W601" i="6"/>
  <c r="O605" i="6"/>
  <c r="V605" i="6"/>
  <c r="R605" i="6"/>
  <c r="Y605" i="6"/>
  <c r="U605" i="6"/>
  <c r="Q605" i="6"/>
  <c r="T605" i="6"/>
  <c r="S605" i="6"/>
  <c r="X605" i="6"/>
  <c r="P605" i="6"/>
  <c r="W605" i="6"/>
  <c r="O609" i="6"/>
  <c r="V609" i="6"/>
  <c r="R609" i="6"/>
  <c r="Y609" i="6"/>
  <c r="U609" i="6"/>
  <c r="Q609" i="6"/>
  <c r="T609" i="6"/>
  <c r="S609" i="6"/>
  <c r="X609" i="6"/>
  <c r="P609" i="6"/>
  <c r="W609" i="6"/>
  <c r="O613" i="6"/>
  <c r="V613" i="6"/>
  <c r="R613" i="6"/>
  <c r="Y613" i="6"/>
  <c r="U613" i="6"/>
  <c r="Q613" i="6"/>
  <c r="T613" i="6"/>
  <c r="S613" i="6"/>
  <c r="X613" i="6"/>
  <c r="P613" i="6"/>
  <c r="W613" i="6"/>
  <c r="O617" i="6"/>
  <c r="V617" i="6"/>
  <c r="R617" i="6"/>
  <c r="Y617" i="6"/>
  <c r="U617" i="6"/>
  <c r="Q617" i="6"/>
  <c r="T617" i="6"/>
  <c r="S617" i="6"/>
  <c r="X617" i="6"/>
  <c r="P617" i="6"/>
  <c r="W617" i="6"/>
  <c r="O621" i="6"/>
  <c r="V621" i="6"/>
  <c r="R621" i="6"/>
  <c r="Y621" i="6"/>
  <c r="U621" i="6"/>
  <c r="Q621" i="6"/>
  <c r="T621" i="6"/>
  <c r="S621" i="6"/>
  <c r="X621" i="6"/>
  <c r="P621" i="6"/>
  <c r="W621" i="6"/>
  <c r="O625" i="6"/>
  <c r="V625" i="6"/>
  <c r="R625" i="6"/>
  <c r="Y625" i="6"/>
  <c r="U625" i="6"/>
  <c r="Q625" i="6"/>
  <c r="T625" i="6"/>
  <c r="S625" i="6"/>
  <c r="X625" i="6"/>
  <c r="P625" i="6"/>
  <c r="W625" i="6"/>
  <c r="O629" i="6"/>
  <c r="V629" i="6"/>
  <c r="R629" i="6"/>
  <c r="Y629" i="6"/>
  <c r="U629" i="6"/>
  <c r="Q629" i="6"/>
  <c r="X629" i="6"/>
  <c r="T629" i="6"/>
  <c r="S629" i="6"/>
  <c r="P629" i="6"/>
  <c r="W629" i="6"/>
  <c r="O633" i="6"/>
  <c r="V633" i="6"/>
  <c r="R633" i="6"/>
  <c r="Y633" i="6"/>
  <c r="U633" i="6"/>
  <c r="Q633" i="6"/>
  <c r="X633" i="6"/>
  <c r="T633" i="6"/>
  <c r="P633" i="6"/>
  <c r="W633" i="6"/>
  <c r="S633" i="6"/>
  <c r="O637" i="6"/>
  <c r="V637" i="6"/>
  <c r="R637" i="6"/>
  <c r="Y637" i="6"/>
  <c r="U637" i="6"/>
  <c r="Q637" i="6"/>
  <c r="X637" i="6"/>
  <c r="T637" i="6"/>
  <c r="P637" i="6"/>
  <c r="S637" i="6"/>
  <c r="W637" i="6"/>
  <c r="O641" i="6"/>
  <c r="V641" i="6"/>
  <c r="R641" i="6"/>
  <c r="Y641" i="6"/>
  <c r="U641" i="6"/>
  <c r="Q641" i="6"/>
  <c r="X641" i="6"/>
  <c r="T641" i="6"/>
  <c r="P641" i="6"/>
  <c r="W641" i="6"/>
  <c r="S641" i="6"/>
  <c r="O645" i="6"/>
  <c r="V645" i="6"/>
  <c r="R645" i="6"/>
  <c r="Y645" i="6"/>
  <c r="U645" i="6"/>
  <c r="Q645" i="6"/>
  <c r="X645" i="6"/>
  <c r="T645" i="6"/>
  <c r="P645" i="6"/>
  <c r="S645" i="6"/>
  <c r="W645" i="6"/>
  <c r="O649" i="6"/>
  <c r="Y649" i="6"/>
  <c r="U649" i="6"/>
  <c r="Q649" i="6"/>
  <c r="W649" i="6"/>
  <c r="R649" i="6"/>
  <c r="V649" i="6"/>
  <c r="P649" i="6"/>
  <c r="T649" i="6"/>
  <c r="S649" i="6"/>
  <c r="X649" i="6"/>
  <c r="O653" i="6"/>
  <c r="Y653" i="6"/>
  <c r="U653" i="6"/>
  <c r="Q653" i="6"/>
  <c r="T653" i="6"/>
  <c r="X653" i="6"/>
  <c r="S653" i="6"/>
  <c r="W653" i="6"/>
  <c r="R653" i="6"/>
  <c r="V653" i="6"/>
  <c r="P653" i="6"/>
  <c r="O657" i="6"/>
  <c r="V657" i="6"/>
  <c r="R657" i="6"/>
  <c r="Y657" i="6"/>
  <c r="U657" i="6"/>
  <c r="Q657" i="6"/>
  <c r="W657" i="6"/>
  <c r="T657" i="6"/>
  <c r="S657" i="6"/>
  <c r="X657" i="6"/>
  <c r="P657" i="6"/>
  <c r="O661" i="6"/>
  <c r="V661" i="6"/>
  <c r="R661" i="6"/>
  <c r="Y661" i="6"/>
  <c r="U661" i="6"/>
  <c r="Q661" i="6"/>
  <c r="W661" i="6"/>
  <c r="T661" i="6"/>
  <c r="S661" i="6"/>
  <c r="X661" i="6"/>
  <c r="P661" i="6"/>
  <c r="O665" i="6"/>
  <c r="V665" i="6"/>
  <c r="R665" i="6"/>
  <c r="Y665" i="6"/>
  <c r="U665" i="6"/>
  <c r="Q665" i="6"/>
  <c r="W665" i="6"/>
  <c r="T665" i="6"/>
  <c r="S665" i="6"/>
  <c r="X665" i="6"/>
  <c r="P665" i="6"/>
  <c r="O669" i="6"/>
  <c r="V669" i="6"/>
  <c r="R669" i="6"/>
  <c r="Y669" i="6"/>
  <c r="U669" i="6"/>
  <c r="Q669" i="6"/>
  <c r="W669" i="6"/>
  <c r="T669" i="6"/>
  <c r="S669" i="6"/>
  <c r="P669" i="6"/>
  <c r="X669" i="6"/>
  <c r="O673" i="6"/>
  <c r="V673" i="6"/>
  <c r="R673" i="6"/>
  <c r="Y673" i="6"/>
  <c r="U673" i="6"/>
  <c r="Q673" i="6"/>
  <c r="W673" i="6"/>
  <c r="T673" i="6"/>
  <c r="S673" i="6"/>
  <c r="X673" i="6"/>
  <c r="P673" i="6"/>
  <c r="O677" i="6"/>
  <c r="V677" i="6"/>
  <c r="R677" i="6"/>
  <c r="Y677" i="6"/>
  <c r="U677" i="6"/>
  <c r="Q677" i="6"/>
  <c r="W677" i="6"/>
  <c r="T677" i="6"/>
  <c r="S677" i="6"/>
  <c r="X677" i="6"/>
  <c r="P677" i="6"/>
  <c r="O681" i="6"/>
  <c r="V681" i="6"/>
  <c r="R681" i="6"/>
  <c r="Y681" i="6"/>
  <c r="U681" i="6"/>
  <c r="Q681" i="6"/>
  <c r="W681" i="6"/>
  <c r="T681" i="6"/>
  <c r="S681" i="6"/>
  <c r="X681" i="6"/>
  <c r="P681" i="6"/>
  <c r="O685" i="6"/>
  <c r="V685" i="6"/>
  <c r="R685" i="6"/>
  <c r="Y685" i="6"/>
  <c r="U685" i="6"/>
  <c r="Q685" i="6"/>
  <c r="W685" i="6"/>
  <c r="T685" i="6"/>
  <c r="S685" i="6"/>
  <c r="P685" i="6"/>
  <c r="X685" i="6"/>
  <c r="O689" i="6"/>
  <c r="V689" i="6"/>
  <c r="R689" i="6"/>
  <c r="Y689" i="6"/>
  <c r="U689" i="6"/>
  <c r="Q689" i="6"/>
  <c r="W689" i="6"/>
  <c r="T689" i="6"/>
  <c r="S689" i="6"/>
  <c r="X689" i="6"/>
  <c r="O693" i="6"/>
  <c r="Y693" i="6"/>
  <c r="U693" i="6"/>
  <c r="Q693" i="6"/>
  <c r="T693" i="6"/>
  <c r="X693" i="6"/>
  <c r="S693" i="6"/>
  <c r="P693" i="6"/>
  <c r="W693" i="6"/>
  <c r="V693" i="6"/>
  <c r="R693" i="6"/>
  <c r="O697" i="6"/>
  <c r="Y697" i="6"/>
  <c r="U697" i="6"/>
  <c r="Q697" i="6"/>
  <c r="W697" i="6"/>
  <c r="R697" i="6"/>
  <c r="V697" i="6"/>
  <c r="P697" i="6"/>
  <c r="S697" i="6"/>
  <c r="X697" i="6"/>
  <c r="T697" i="6"/>
  <c r="O701" i="6"/>
  <c r="Y701" i="6"/>
  <c r="U701" i="6"/>
  <c r="Q701" i="6"/>
  <c r="T701" i="6"/>
  <c r="X701" i="6"/>
  <c r="S701" i="6"/>
  <c r="W701" i="6"/>
  <c r="R701" i="6"/>
  <c r="P701" i="6"/>
  <c r="V701" i="6"/>
  <c r="O705" i="6"/>
  <c r="Y705" i="6"/>
  <c r="U705" i="6"/>
  <c r="Q705" i="6"/>
  <c r="W705" i="6"/>
  <c r="R705" i="6"/>
  <c r="V705" i="6"/>
  <c r="P705" i="6"/>
  <c r="T705" i="6"/>
  <c r="S705" i="6"/>
  <c r="X705" i="6"/>
  <c r="O709" i="6"/>
  <c r="Y709" i="6"/>
  <c r="U709" i="6"/>
  <c r="Q709" i="6"/>
  <c r="T709" i="6"/>
  <c r="X709" i="6"/>
  <c r="S709" i="6"/>
  <c r="W709" i="6"/>
  <c r="R709" i="6"/>
  <c r="V709" i="6"/>
  <c r="P709" i="6"/>
  <c r="O713" i="6"/>
  <c r="Y713" i="6"/>
  <c r="U713" i="6"/>
  <c r="Q713" i="6"/>
  <c r="W713" i="6"/>
  <c r="R713" i="6"/>
  <c r="V713" i="6"/>
  <c r="P713" i="6"/>
  <c r="T713" i="6"/>
  <c r="X713" i="6"/>
  <c r="S713" i="6"/>
  <c r="O717" i="6"/>
  <c r="Y717" i="6"/>
  <c r="U717" i="6"/>
  <c r="Q717" i="6"/>
  <c r="T717" i="6"/>
  <c r="X717" i="6"/>
  <c r="S717" i="6"/>
  <c r="W717" i="6"/>
  <c r="R717" i="6"/>
  <c r="V717" i="6"/>
  <c r="P717" i="6"/>
  <c r="O721" i="6"/>
  <c r="Y721" i="6"/>
  <c r="U721" i="6"/>
  <c r="Q721" i="6"/>
  <c r="W721" i="6"/>
  <c r="R721" i="6"/>
  <c r="V721" i="6"/>
  <c r="P721" i="6"/>
  <c r="T721" i="6"/>
  <c r="X721" i="6"/>
  <c r="S721" i="6"/>
  <c r="O725" i="6"/>
  <c r="Y725" i="6"/>
  <c r="U725" i="6"/>
  <c r="Q725" i="6"/>
  <c r="T725" i="6"/>
  <c r="X725" i="6"/>
  <c r="S725" i="6"/>
  <c r="W725" i="6"/>
  <c r="R725" i="6"/>
  <c r="V725" i="6"/>
  <c r="P725" i="6"/>
  <c r="O729" i="6"/>
  <c r="Y729" i="6"/>
  <c r="U729" i="6"/>
  <c r="Q729" i="6"/>
  <c r="W729" i="6"/>
  <c r="R729" i="6"/>
  <c r="V729" i="6"/>
  <c r="P729" i="6"/>
  <c r="T729" i="6"/>
  <c r="X729" i="6"/>
  <c r="S729" i="6"/>
  <c r="O733" i="6"/>
  <c r="Y733" i="6"/>
  <c r="U733" i="6"/>
  <c r="Q733" i="6"/>
  <c r="T733" i="6"/>
  <c r="X733" i="6"/>
  <c r="S733" i="6"/>
  <c r="W733" i="6"/>
  <c r="R733" i="6"/>
  <c r="P733" i="6"/>
  <c r="V733" i="6"/>
  <c r="O737" i="6"/>
  <c r="Y737" i="6"/>
  <c r="U737" i="6"/>
  <c r="Q737" i="6"/>
  <c r="W737" i="6"/>
  <c r="R737" i="6"/>
  <c r="V737" i="6"/>
  <c r="P737" i="6"/>
  <c r="T737" i="6"/>
  <c r="S737" i="6"/>
  <c r="X737" i="6"/>
  <c r="O741" i="6"/>
  <c r="Y741" i="6"/>
  <c r="U741" i="6"/>
  <c r="Q741" i="6"/>
  <c r="T741" i="6"/>
  <c r="X741" i="6"/>
  <c r="S741" i="6"/>
  <c r="W741" i="6"/>
  <c r="R741" i="6"/>
  <c r="V741" i="6"/>
  <c r="P741" i="6"/>
  <c r="O745" i="6"/>
  <c r="Y745" i="6"/>
  <c r="U745" i="6"/>
  <c r="Q745" i="6"/>
  <c r="W745" i="6"/>
  <c r="R745" i="6"/>
  <c r="V745" i="6"/>
  <c r="P745" i="6"/>
  <c r="T745" i="6"/>
  <c r="X745" i="6"/>
  <c r="S745" i="6"/>
  <c r="O749" i="6"/>
  <c r="Y749" i="6"/>
  <c r="U749" i="6"/>
  <c r="Q749" i="6"/>
  <c r="T749" i="6"/>
  <c r="X749" i="6"/>
  <c r="S749" i="6"/>
  <c r="W749" i="6"/>
  <c r="R749" i="6"/>
  <c r="V749" i="6"/>
  <c r="P749" i="6"/>
  <c r="O753" i="6"/>
  <c r="Y753" i="6"/>
  <c r="U753" i="6"/>
  <c r="Q753" i="6"/>
  <c r="W753" i="6"/>
  <c r="R753" i="6"/>
  <c r="V753" i="6"/>
  <c r="P753" i="6"/>
  <c r="T753" i="6"/>
  <c r="X753" i="6"/>
  <c r="S753" i="6"/>
  <c r="O757" i="6"/>
  <c r="Y757" i="6"/>
  <c r="U757" i="6"/>
  <c r="Q757" i="6"/>
  <c r="T757" i="6"/>
  <c r="X757" i="6"/>
  <c r="S757" i="6"/>
  <c r="W757" i="6"/>
  <c r="R757" i="6"/>
  <c r="V757" i="6"/>
  <c r="P757" i="6"/>
  <c r="O761" i="6"/>
  <c r="Y761" i="6"/>
  <c r="U761" i="6"/>
  <c r="Q761" i="6"/>
  <c r="W761" i="6"/>
  <c r="R761" i="6"/>
  <c r="V761" i="6"/>
  <c r="P761" i="6"/>
  <c r="T761" i="6"/>
  <c r="X761" i="6"/>
  <c r="S761" i="6"/>
  <c r="O765" i="6"/>
  <c r="Y765" i="6"/>
  <c r="U765" i="6"/>
  <c r="Q765" i="6"/>
  <c r="T765" i="6"/>
  <c r="X765" i="6"/>
  <c r="S765" i="6"/>
  <c r="W765" i="6"/>
  <c r="R765" i="6"/>
  <c r="P765" i="6"/>
  <c r="V765" i="6"/>
  <c r="O769" i="6"/>
  <c r="Y769" i="6"/>
  <c r="U769" i="6"/>
  <c r="Q769" i="6"/>
  <c r="W769" i="6"/>
  <c r="R769" i="6"/>
  <c r="V769" i="6"/>
  <c r="P769" i="6"/>
  <c r="T769" i="6"/>
  <c r="S769" i="6"/>
  <c r="X769" i="6"/>
  <c r="O773" i="6"/>
  <c r="Y773" i="6"/>
  <c r="U773" i="6"/>
  <c r="Q773" i="6"/>
  <c r="T773" i="6"/>
  <c r="X773" i="6"/>
  <c r="S773" i="6"/>
  <c r="W773" i="6"/>
  <c r="R773" i="6"/>
  <c r="V773" i="6"/>
  <c r="P773" i="6"/>
  <c r="O777" i="6"/>
  <c r="Y777" i="6"/>
  <c r="U777" i="6"/>
  <c r="Q777" i="6"/>
  <c r="W777" i="6"/>
  <c r="R777" i="6"/>
  <c r="V777" i="6"/>
  <c r="P777" i="6"/>
  <c r="T777" i="6"/>
  <c r="X777" i="6"/>
  <c r="S777" i="6"/>
  <c r="O781" i="6"/>
  <c r="W781" i="6"/>
  <c r="S781" i="6"/>
  <c r="Y781" i="6"/>
  <c r="U781" i="6"/>
  <c r="Q781" i="6"/>
  <c r="T781" i="6"/>
  <c r="R781" i="6"/>
  <c r="X781" i="6"/>
  <c r="P781" i="6"/>
  <c r="V781" i="6"/>
  <c r="O785" i="6"/>
  <c r="W785" i="6"/>
  <c r="S785" i="6"/>
  <c r="Y785" i="6"/>
  <c r="U785" i="6"/>
  <c r="Q785" i="6"/>
  <c r="T785" i="6"/>
  <c r="R785" i="6"/>
  <c r="X785" i="6"/>
  <c r="P785" i="6"/>
  <c r="V785" i="6"/>
  <c r="O789" i="6"/>
  <c r="W789" i="6"/>
  <c r="S789" i="6"/>
  <c r="Y789" i="6"/>
  <c r="U789" i="6"/>
  <c r="Q789" i="6"/>
  <c r="T789" i="6"/>
  <c r="R789" i="6"/>
  <c r="X789" i="6"/>
  <c r="P789" i="6"/>
  <c r="V789" i="6"/>
  <c r="O793" i="6"/>
  <c r="W793" i="6"/>
  <c r="S793" i="6"/>
  <c r="Y793" i="6"/>
  <c r="U793" i="6"/>
  <c r="Q793" i="6"/>
  <c r="T793" i="6"/>
  <c r="R793" i="6"/>
  <c r="X793" i="6"/>
  <c r="P793" i="6"/>
  <c r="V793" i="6"/>
  <c r="O797" i="6"/>
  <c r="W797" i="6"/>
  <c r="S797" i="6"/>
  <c r="Y797" i="6"/>
  <c r="U797" i="6"/>
  <c r="Q797" i="6"/>
  <c r="T797" i="6"/>
  <c r="R797" i="6"/>
  <c r="X797" i="6"/>
  <c r="P797" i="6"/>
  <c r="V797" i="6"/>
  <c r="O801" i="6"/>
  <c r="W801" i="6"/>
  <c r="S801" i="6"/>
  <c r="Y801" i="6"/>
  <c r="U801" i="6"/>
  <c r="Q801" i="6"/>
  <c r="T801" i="6"/>
  <c r="R801" i="6"/>
  <c r="X801" i="6"/>
  <c r="P801" i="6"/>
  <c r="V801" i="6"/>
  <c r="O805" i="6"/>
  <c r="Y805" i="6"/>
  <c r="U805" i="6"/>
  <c r="Q805" i="6"/>
  <c r="V805" i="6"/>
  <c r="P805" i="6"/>
  <c r="X805" i="6"/>
  <c r="S805" i="6"/>
  <c r="W805" i="6"/>
  <c r="T805" i="6"/>
  <c r="R805" i="6"/>
  <c r="O809" i="6"/>
  <c r="Y809" i="6"/>
  <c r="U809" i="6"/>
  <c r="Q809" i="6"/>
  <c r="X809" i="6"/>
  <c r="S809" i="6"/>
  <c r="V809" i="6"/>
  <c r="P809" i="6"/>
  <c r="W809" i="6"/>
  <c r="T809" i="6"/>
  <c r="R809" i="6"/>
  <c r="O813" i="6"/>
  <c r="Y813" i="6"/>
  <c r="U813" i="6"/>
  <c r="Q813" i="6"/>
  <c r="V813" i="6"/>
  <c r="P813" i="6"/>
  <c r="X813" i="6"/>
  <c r="S813" i="6"/>
  <c r="R813" i="6"/>
  <c r="W813" i="6"/>
  <c r="T813" i="6"/>
  <c r="O817" i="6"/>
  <c r="Y817" i="6"/>
  <c r="U817" i="6"/>
  <c r="Q817" i="6"/>
  <c r="X817" i="6"/>
  <c r="S817" i="6"/>
  <c r="V817" i="6"/>
  <c r="P817" i="6"/>
  <c r="T817" i="6"/>
  <c r="R817" i="6"/>
  <c r="W817" i="6"/>
  <c r="O821" i="6"/>
  <c r="Y821" i="6"/>
  <c r="U821" i="6"/>
  <c r="Q821" i="6"/>
  <c r="V821" i="6"/>
  <c r="P821" i="6"/>
  <c r="X821" i="6"/>
  <c r="S821" i="6"/>
  <c r="W821" i="6"/>
  <c r="T821" i="6"/>
  <c r="R821" i="6"/>
  <c r="O825" i="6"/>
  <c r="X825" i="6"/>
  <c r="T825" i="6"/>
  <c r="P825" i="6"/>
  <c r="Y825" i="6"/>
  <c r="U825" i="6"/>
  <c r="Q825" i="6"/>
  <c r="S825" i="6"/>
  <c r="W825" i="6"/>
  <c r="V825" i="6"/>
  <c r="R825" i="6"/>
  <c r="O829" i="6"/>
  <c r="X829" i="6"/>
  <c r="T829" i="6"/>
  <c r="P829" i="6"/>
  <c r="Y829" i="6"/>
  <c r="U829" i="6"/>
  <c r="Q829" i="6"/>
  <c r="S829" i="6"/>
  <c r="W829" i="6"/>
  <c r="V829" i="6"/>
  <c r="R829" i="6"/>
  <c r="O833" i="6"/>
  <c r="X833" i="6"/>
  <c r="T833" i="6"/>
  <c r="P833" i="6"/>
  <c r="Y833" i="6"/>
  <c r="U833" i="6"/>
  <c r="Q833" i="6"/>
  <c r="S833" i="6"/>
  <c r="W833" i="6"/>
  <c r="V833" i="6"/>
  <c r="R833" i="6"/>
  <c r="O837" i="6"/>
  <c r="X837" i="6"/>
  <c r="T837" i="6"/>
  <c r="P837" i="6"/>
  <c r="Y837" i="6"/>
  <c r="U837" i="6"/>
  <c r="Q837" i="6"/>
  <c r="S837" i="6"/>
  <c r="W837" i="6"/>
  <c r="V837" i="6"/>
  <c r="R837" i="6"/>
  <c r="O841" i="6"/>
  <c r="X841" i="6"/>
  <c r="T841" i="6"/>
  <c r="P841" i="6"/>
  <c r="Y841" i="6"/>
  <c r="U841" i="6"/>
  <c r="Q841" i="6"/>
  <c r="S841" i="6"/>
  <c r="W841" i="6"/>
  <c r="V841" i="6"/>
  <c r="R841" i="6"/>
  <c r="O845" i="6"/>
  <c r="X845" i="6"/>
  <c r="T845" i="6"/>
  <c r="P845" i="6"/>
  <c r="W845" i="6"/>
  <c r="S845" i="6"/>
  <c r="Y845" i="6"/>
  <c r="U845" i="6"/>
  <c r="Q845" i="6"/>
  <c r="V845" i="6"/>
  <c r="R845" i="6"/>
  <c r="O849" i="6"/>
  <c r="X849" i="6"/>
  <c r="T849" i="6"/>
  <c r="P849" i="6"/>
  <c r="W849" i="6"/>
  <c r="S849" i="6"/>
  <c r="V849" i="6"/>
  <c r="R849" i="6"/>
  <c r="Y849" i="6"/>
  <c r="U849" i="6"/>
  <c r="Q849" i="6"/>
  <c r="O853" i="6"/>
  <c r="X853" i="6"/>
  <c r="T853" i="6"/>
  <c r="P853" i="6"/>
  <c r="W853" i="6"/>
  <c r="S853" i="6"/>
  <c r="V853" i="6"/>
  <c r="R853" i="6"/>
  <c r="Y853" i="6"/>
  <c r="U853" i="6"/>
  <c r="Q853" i="6"/>
  <c r="O857" i="6"/>
  <c r="X857" i="6"/>
  <c r="T857" i="6"/>
  <c r="P857" i="6"/>
  <c r="W857" i="6"/>
  <c r="S857" i="6"/>
  <c r="V857" i="6"/>
  <c r="R857" i="6"/>
  <c r="Q857" i="6"/>
  <c r="Y857" i="6"/>
  <c r="U857" i="6"/>
  <c r="O861" i="6"/>
  <c r="X861" i="6"/>
  <c r="T861" i="6"/>
  <c r="P861" i="6"/>
  <c r="W861" i="6"/>
  <c r="S861" i="6"/>
  <c r="V861" i="6"/>
  <c r="R861" i="6"/>
  <c r="Y861" i="6"/>
  <c r="U861" i="6"/>
  <c r="Q861" i="6"/>
  <c r="O865" i="6"/>
  <c r="X865" i="6"/>
  <c r="T865" i="6"/>
  <c r="P865" i="6"/>
  <c r="W865" i="6"/>
  <c r="S865" i="6"/>
  <c r="V865" i="6"/>
  <c r="R865" i="6"/>
  <c r="Q865" i="6"/>
  <c r="Y865" i="6"/>
  <c r="U865" i="6"/>
  <c r="O869" i="6"/>
  <c r="X869" i="6"/>
  <c r="T869" i="6"/>
  <c r="P869" i="6"/>
  <c r="W869" i="6"/>
  <c r="S869" i="6"/>
  <c r="V869" i="6"/>
  <c r="R869" i="6"/>
  <c r="Y869" i="6"/>
  <c r="U869" i="6"/>
  <c r="Q869" i="6"/>
  <c r="O873" i="6"/>
  <c r="X873" i="6"/>
  <c r="T873" i="6"/>
  <c r="P873" i="6"/>
  <c r="W873" i="6"/>
  <c r="S873" i="6"/>
  <c r="V873" i="6"/>
  <c r="R873" i="6"/>
  <c r="Q873" i="6"/>
  <c r="Y873" i="6"/>
  <c r="U873" i="6"/>
  <c r="O877" i="6"/>
  <c r="X877" i="6"/>
  <c r="T877" i="6"/>
  <c r="P877" i="6"/>
  <c r="W877" i="6"/>
  <c r="S877" i="6"/>
  <c r="V877" i="6"/>
  <c r="R877" i="6"/>
  <c r="Y877" i="6"/>
  <c r="U877" i="6"/>
  <c r="Q877" i="6"/>
  <c r="O881" i="6"/>
  <c r="X881" i="6"/>
  <c r="T881" i="6"/>
  <c r="P881" i="6"/>
  <c r="W881" i="6"/>
  <c r="S881" i="6"/>
  <c r="V881" i="6"/>
  <c r="R881" i="6"/>
  <c r="Q881" i="6"/>
  <c r="Y881" i="6"/>
  <c r="U881" i="6"/>
  <c r="O885" i="6"/>
  <c r="X885" i="6"/>
  <c r="T885" i="6"/>
  <c r="P885" i="6"/>
  <c r="W885" i="6"/>
  <c r="S885" i="6"/>
  <c r="V885" i="6"/>
  <c r="R885" i="6"/>
  <c r="Y885" i="6"/>
  <c r="U885" i="6"/>
  <c r="Q885" i="6"/>
  <c r="O889" i="6"/>
  <c r="X889" i="6"/>
  <c r="T889" i="6"/>
  <c r="P889" i="6"/>
  <c r="W889" i="6"/>
  <c r="S889" i="6"/>
  <c r="V889" i="6"/>
  <c r="R889" i="6"/>
  <c r="Q889" i="6"/>
  <c r="Y889" i="6"/>
  <c r="U889" i="6"/>
  <c r="O893" i="6"/>
  <c r="X893" i="6"/>
  <c r="T893" i="6"/>
  <c r="P893" i="6"/>
  <c r="W893" i="6"/>
  <c r="S893" i="6"/>
  <c r="V893" i="6"/>
  <c r="R893" i="6"/>
  <c r="Y893" i="6"/>
  <c r="U893" i="6"/>
  <c r="Q893" i="6"/>
  <c r="O897" i="6"/>
  <c r="X897" i="6"/>
  <c r="T897" i="6"/>
  <c r="P897" i="6"/>
  <c r="W897" i="6"/>
  <c r="S897" i="6"/>
  <c r="V897" i="6"/>
  <c r="R897" i="6"/>
  <c r="Q897" i="6"/>
  <c r="Y897" i="6"/>
  <c r="U897" i="6"/>
  <c r="O901" i="6"/>
  <c r="X901" i="6"/>
  <c r="T901" i="6"/>
  <c r="P901" i="6"/>
  <c r="W901" i="6"/>
  <c r="S901" i="6"/>
  <c r="V901" i="6"/>
  <c r="R901" i="6"/>
  <c r="Y901" i="6"/>
  <c r="U901" i="6"/>
  <c r="Q901" i="6"/>
  <c r="O905" i="6"/>
  <c r="X905" i="6"/>
  <c r="T905" i="6"/>
  <c r="P905" i="6"/>
  <c r="W905" i="6"/>
  <c r="S905" i="6"/>
  <c r="V905" i="6"/>
  <c r="R905" i="6"/>
  <c r="Q905" i="6"/>
  <c r="Y905" i="6"/>
  <c r="U905" i="6"/>
  <c r="O909" i="6"/>
  <c r="X909" i="6"/>
  <c r="T909" i="6"/>
  <c r="P909" i="6"/>
  <c r="W909" i="6"/>
  <c r="S909" i="6"/>
  <c r="V909" i="6"/>
  <c r="R909" i="6"/>
  <c r="Y909" i="6"/>
  <c r="U909" i="6"/>
  <c r="Q909" i="6"/>
  <c r="O913" i="6"/>
  <c r="X913" i="6"/>
  <c r="T913" i="6"/>
  <c r="P913" i="6"/>
  <c r="W913" i="6"/>
  <c r="S913" i="6"/>
  <c r="V913" i="6"/>
  <c r="R913" i="6"/>
  <c r="Q913" i="6"/>
  <c r="Y913" i="6"/>
  <c r="U913" i="6"/>
  <c r="O917" i="6"/>
  <c r="X917" i="6"/>
  <c r="T917" i="6"/>
  <c r="P917" i="6"/>
  <c r="W917" i="6"/>
  <c r="S917" i="6"/>
  <c r="V917" i="6"/>
  <c r="R917" i="6"/>
  <c r="Y917" i="6"/>
  <c r="U917" i="6"/>
  <c r="Q917" i="6"/>
  <c r="O921" i="6"/>
  <c r="X921" i="6"/>
  <c r="T921" i="6"/>
  <c r="P921" i="6"/>
  <c r="W921" i="6"/>
  <c r="S921" i="6"/>
  <c r="V921" i="6"/>
  <c r="R921" i="6"/>
  <c r="Q921" i="6"/>
  <c r="Y921" i="6"/>
  <c r="U921" i="6"/>
  <c r="O925" i="6"/>
  <c r="X925" i="6"/>
  <c r="T925" i="6"/>
  <c r="P925" i="6"/>
  <c r="W925" i="6"/>
  <c r="S925" i="6"/>
  <c r="V925" i="6"/>
  <c r="R925" i="6"/>
  <c r="Y925" i="6"/>
  <c r="U925" i="6"/>
  <c r="Q925" i="6"/>
  <c r="O929" i="6"/>
  <c r="X929" i="6"/>
  <c r="T929" i="6"/>
  <c r="P929" i="6"/>
  <c r="W929" i="6"/>
  <c r="S929" i="6"/>
  <c r="V929" i="6"/>
  <c r="R929" i="6"/>
  <c r="Q929" i="6"/>
  <c r="Y929" i="6"/>
  <c r="U929" i="6"/>
  <c r="O933" i="6"/>
  <c r="X933" i="6"/>
  <c r="T933" i="6"/>
  <c r="P933" i="6"/>
  <c r="W933" i="6"/>
  <c r="S933" i="6"/>
  <c r="V933" i="6"/>
  <c r="R933" i="6"/>
  <c r="Y933" i="6"/>
  <c r="U933" i="6"/>
  <c r="Q933" i="6"/>
  <c r="O937" i="6"/>
  <c r="X937" i="6"/>
  <c r="T937" i="6"/>
  <c r="P937" i="6"/>
  <c r="W937" i="6"/>
  <c r="S937" i="6"/>
  <c r="V937" i="6"/>
  <c r="R937" i="6"/>
  <c r="Y937" i="6"/>
  <c r="U937" i="6"/>
  <c r="Q937" i="6"/>
  <c r="O941" i="6"/>
  <c r="X941" i="6"/>
  <c r="T941" i="6"/>
  <c r="P941" i="6"/>
  <c r="W941" i="6"/>
  <c r="S941" i="6"/>
  <c r="V941" i="6"/>
  <c r="R941" i="6"/>
  <c r="Y941" i="6"/>
  <c r="U941" i="6"/>
  <c r="Q941" i="6"/>
  <c r="O945" i="6"/>
  <c r="X945" i="6"/>
  <c r="T945" i="6"/>
  <c r="P945" i="6"/>
  <c r="W945" i="6"/>
  <c r="S945" i="6"/>
  <c r="V945" i="6"/>
  <c r="R945" i="6"/>
  <c r="Y945" i="6"/>
  <c r="U945" i="6"/>
  <c r="Q945" i="6"/>
  <c r="O949" i="6"/>
  <c r="X949" i="6"/>
  <c r="T949" i="6"/>
  <c r="P949" i="6"/>
  <c r="W949" i="6"/>
  <c r="S949" i="6"/>
  <c r="V949" i="6"/>
  <c r="R949" i="6"/>
  <c r="Y949" i="6"/>
  <c r="U949" i="6"/>
  <c r="Q949" i="6"/>
  <c r="O953" i="6"/>
  <c r="Y953" i="6"/>
  <c r="U953" i="6"/>
  <c r="X953" i="6"/>
  <c r="T953" i="6"/>
  <c r="P953" i="6"/>
  <c r="S953" i="6"/>
  <c r="W953" i="6"/>
  <c r="R953" i="6"/>
  <c r="V953" i="6"/>
  <c r="Q953" i="6"/>
  <c r="O957" i="6"/>
  <c r="V957" i="6"/>
  <c r="Y957" i="6"/>
  <c r="U957" i="6"/>
  <c r="Q957" i="6"/>
  <c r="X957" i="6"/>
  <c r="T957" i="6"/>
  <c r="P957" i="6"/>
  <c r="S957" i="6"/>
  <c r="R957" i="6"/>
  <c r="W957" i="6"/>
  <c r="O961" i="6"/>
  <c r="V961" i="6"/>
  <c r="R961" i="6"/>
  <c r="Y961" i="6"/>
  <c r="U961" i="6"/>
  <c r="Q961" i="6"/>
  <c r="X961" i="6"/>
  <c r="T961" i="6"/>
  <c r="P961" i="6"/>
  <c r="W961" i="6"/>
  <c r="S961" i="6"/>
  <c r="O965" i="6"/>
  <c r="V965" i="6"/>
  <c r="R965" i="6"/>
  <c r="Y965" i="6"/>
  <c r="U965" i="6"/>
  <c r="Q965" i="6"/>
  <c r="X965" i="6"/>
  <c r="T965" i="6"/>
  <c r="P965" i="6"/>
  <c r="S965" i="6"/>
  <c r="W965" i="6"/>
  <c r="O969" i="6"/>
  <c r="V969" i="6"/>
  <c r="R969" i="6"/>
  <c r="Y969" i="6"/>
  <c r="U969" i="6"/>
  <c r="Q969" i="6"/>
  <c r="X969" i="6"/>
  <c r="T969" i="6"/>
  <c r="P969" i="6"/>
  <c r="W969" i="6"/>
  <c r="S969" i="6"/>
  <c r="O973" i="6"/>
  <c r="V973" i="6"/>
  <c r="R973" i="6"/>
  <c r="Y973" i="6"/>
  <c r="U973" i="6"/>
  <c r="Q973" i="6"/>
  <c r="X973" i="6"/>
  <c r="T973" i="6"/>
  <c r="P973" i="6"/>
  <c r="S973" i="6"/>
  <c r="W973" i="6"/>
  <c r="O977" i="6"/>
  <c r="V977" i="6"/>
  <c r="R977" i="6"/>
  <c r="Y977" i="6"/>
  <c r="U977" i="6"/>
  <c r="Q977" i="6"/>
  <c r="X977" i="6"/>
  <c r="T977" i="6"/>
  <c r="P977" i="6"/>
  <c r="W977" i="6"/>
  <c r="S977" i="6"/>
  <c r="O981" i="6"/>
  <c r="V981" i="6"/>
  <c r="R981" i="6"/>
  <c r="Y981" i="6"/>
  <c r="U981" i="6"/>
  <c r="Q981" i="6"/>
  <c r="X981" i="6"/>
  <c r="T981" i="6"/>
  <c r="P981" i="6"/>
  <c r="S981" i="6"/>
  <c r="W981" i="6"/>
  <c r="O985" i="6"/>
  <c r="V985" i="6"/>
  <c r="R985" i="6"/>
  <c r="Y985" i="6"/>
  <c r="U985" i="6"/>
  <c r="Q985" i="6"/>
  <c r="X985" i="6"/>
  <c r="T985" i="6"/>
  <c r="P985" i="6"/>
  <c r="W985" i="6"/>
  <c r="S985" i="6"/>
  <c r="O989" i="6"/>
  <c r="V989" i="6"/>
  <c r="R989" i="6"/>
  <c r="Y989" i="6"/>
  <c r="U989" i="6"/>
  <c r="Q989" i="6"/>
  <c r="X989" i="6"/>
  <c r="T989" i="6"/>
  <c r="P989" i="6"/>
  <c r="S989" i="6"/>
  <c r="W989" i="6"/>
  <c r="O993" i="6"/>
  <c r="V993" i="6"/>
  <c r="R993" i="6"/>
  <c r="Y993" i="6"/>
  <c r="U993" i="6"/>
  <c r="Q993" i="6"/>
  <c r="X993" i="6"/>
  <c r="T993" i="6"/>
  <c r="P993" i="6"/>
  <c r="W993" i="6"/>
  <c r="S993" i="6"/>
  <c r="O997" i="6"/>
  <c r="V997" i="6"/>
  <c r="R997" i="6"/>
  <c r="Y997" i="6"/>
  <c r="U997" i="6"/>
  <c r="Q997" i="6"/>
  <c r="X997" i="6"/>
  <c r="T997" i="6"/>
  <c r="P997" i="6"/>
  <c r="S997" i="6"/>
  <c r="W997" i="6"/>
  <c r="O1001" i="6"/>
  <c r="V1001" i="6"/>
  <c r="R1001" i="6"/>
  <c r="Y1001" i="6"/>
  <c r="U1001" i="6"/>
  <c r="Q1001" i="6"/>
  <c r="X1001" i="6"/>
  <c r="T1001" i="6"/>
  <c r="P1001" i="6"/>
  <c r="W1001" i="6"/>
  <c r="S1001" i="6"/>
  <c r="O1005" i="6"/>
  <c r="W1005" i="6"/>
  <c r="S1005" i="6"/>
  <c r="V1005" i="6"/>
  <c r="R1005" i="6"/>
  <c r="Y1005" i="6"/>
  <c r="U1005" i="6"/>
  <c r="Q1005" i="6"/>
  <c r="P1005" i="6"/>
  <c r="X1005" i="6"/>
  <c r="T1005" i="6"/>
  <c r="O1009" i="6"/>
  <c r="W1009" i="6"/>
  <c r="S1009" i="6"/>
  <c r="V1009" i="6"/>
  <c r="R1009" i="6"/>
  <c r="Y1009" i="6"/>
  <c r="U1009" i="6"/>
  <c r="Q1009" i="6"/>
  <c r="X1009" i="6"/>
  <c r="T1009" i="6"/>
  <c r="P1009" i="6"/>
  <c r="O1013" i="6"/>
  <c r="W1013" i="6"/>
  <c r="S1013" i="6"/>
  <c r="V1013" i="6"/>
  <c r="R1013" i="6"/>
  <c r="Y1013" i="6"/>
  <c r="U1013" i="6"/>
  <c r="Q1013" i="6"/>
  <c r="P1013" i="6"/>
  <c r="X1013" i="6"/>
  <c r="T1013" i="6"/>
  <c r="O1017" i="6"/>
  <c r="W1017" i="6"/>
  <c r="S1017" i="6"/>
  <c r="V1017" i="6"/>
  <c r="R1017" i="6"/>
  <c r="Y1017" i="6"/>
  <c r="U1017" i="6"/>
  <c r="Q1017" i="6"/>
  <c r="X1017" i="6"/>
  <c r="T1017" i="6"/>
  <c r="P1017" i="6"/>
  <c r="O1021" i="6"/>
  <c r="W1021" i="6"/>
  <c r="S1021" i="6"/>
  <c r="V1021" i="6"/>
  <c r="R1021" i="6"/>
  <c r="Y1021" i="6"/>
  <c r="U1021" i="6"/>
  <c r="Q1021" i="6"/>
  <c r="P1021" i="6"/>
  <c r="X1021" i="6"/>
  <c r="T1021" i="6"/>
  <c r="O1025" i="6"/>
  <c r="W1025" i="6"/>
  <c r="S1025" i="6"/>
  <c r="V1025" i="6"/>
  <c r="R1025" i="6"/>
  <c r="Y1025" i="6"/>
  <c r="U1025" i="6"/>
  <c r="Q1025" i="6"/>
  <c r="X1025" i="6"/>
  <c r="T1025" i="6"/>
  <c r="P1025" i="6"/>
  <c r="O1029" i="6"/>
  <c r="W1029" i="6"/>
  <c r="S1029" i="6"/>
  <c r="V1029" i="6"/>
  <c r="R1029" i="6"/>
  <c r="Y1029" i="6"/>
  <c r="U1029" i="6"/>
  <c r="Q1029" i="6"/>
  <c r="P1029" i="6"/>
  <c r="X1029" i="6"/>
  <c r="T1029" i="6"/>
  <c r="O1033" i="6"/>
  <c r="W1033" i="6"/>
  <c r="S1033" i="6"/>
  <c r="V1033" i="6"/>
  <c r="R1033" i="6"/>
  <c r="Y1033" i="6"/>
  <c r="U1033" i="6"/>
  <c r="Q1033" i="6"/>
  <c r="X1033" i="6"/>
  <c r="T1033" i="6"/>
  <c r="P1033" i="6"/>
  <c r="O1037" i="6"/>
  <c r="W1037" i="6"/>
  <c r="S1037" i="6"/>
  <c r="V1037" i="6"/>
  <c r="R1037" i="6"/>
  <c r="Y1037" i="6"/>
  <c r="U1037" i="6"/>
  <c r="Q1037" i="6"/>
  <c r="P1037" i="6"/>
  <c r="X1037" i="6"/>
  <c r="T1037" i="6"/>
  <c r="O1041" i="6"/>
  <c r="W1041" i="6"/>
  <c r="S1041" i="6"/>
  <c r="V1041" i="6"/>
  <c r="R1041" i="6"/>
  <c r="Y1041" i="6"/>
  <c r="U1041" i="6"/>
  <c r="Q1041" i="6"/>
  <c r="X1041" i="6"/>
  <c r="T1041" i="6"/>
  <c r="P1041" i="6"/>
  <c r="O1045" i="6"/>
  <c r="W1045" i="6"/>
  <c r="S1045" i="6"/>
  <c r="V1045" i="6"/>
  <c r="R1045" i="6"/>
  <c r="Y1045" i="6"/>
  <c r="U1045" i="6"/>
  <c r="Q1045" i="6"/>
  <c r="P1045" i="6"/>
  <c r="X1045" i="6"/>
  <c r="T1045" i="6"/>
  <c r="O1049" i="6"/>
  <c r="W1049" i="6"/>
  <c r="S1049" i="6"/>
  <c r="V1049" i="6"/>
  <c r="R1049" i="6"/>
  <c r="Y1049" i="6"/>
  <c r="U1049" i="6"/>
  <c r="Q1049" i="6"/>
  <c r="X1049" i="6"/>
  <c r="T1049" i="6"/>
  <c r="P1049" i="6"/>
  <c r="O1053" i="6"/>
  <c r="W1053" i="6"/>
  <c r="S1053" i="6"/>
  <c r="V1053" i="6"/>
  <c r="R1053" i="6"/>
  <c r="Y1053" i="6"/>
  <c r="U1053" i="6"/>
  <c r="Q1053" i="6"/>
  <c r="P1053" i="6"/>
  <c r="X1053" i="6"/>
  <c r="T1053" i="6"/>
  <c r="O1057" i="6"/>
  <c r="W1057" i="6"/>
  <c r="S1057" i="6"/>
  <c r="V1057" i="6"/>
  <c r="R1057" i="6"/>
  <c r="Y1057" i="6"/>
  <c r="U1057" i="6"/>
  <c r="Q1057" i="6"/>
  <c r="X1057" i="6"/>
  <c r="T1057" i="6"/>
  <c r="P1057" i="6"/>
  <c r="O1061" i="6"/>
  <c r="V1061" i="6"/>
  <c r="R1061" i="6"/>
  <c r="U1061" i="6"/>
  <c r="P1061" i="6"/>
  <c r="Y1061" i="6"/>
  <c r="T1061" i="6"/>
  <c r="X1061" i="6"/>
  <c r="S1061" i="6"/>
  <c r="Q1061" i="6"/>
  <c r="W1061" i="6"/>
  <c r="O1065" i="6"/>
  <c r="V1065" i="6"/>
  <c r="R1065" i="6"/>
  <c r="X1065" i="6"/>
  <c r="T1065" i="6"/>
  <c r="P1065" i="6"/>
  <c r="U1065" i="6"/>
  <c r="S1065" i="6"/>
  <c r="Y1065" i="6"/>
  <c r="Q1065" i="6"/>
  <c r="W1065" i="6"/>
  <c r="O1069" i="6"/>
  <c r="V1069" i="6"/>
  <c r="R1069" i="6"/>
  <c r="Y1069" i="6"/>
  <c r="U1069" i="6"/>
  <c r="Q1069" i="6"/>
  <c r="X1069" i="6"/>
  <c r="T1069" i="6"/>
  <c r="P1069" i="6"/>
  <c r="W1069" i="6"/>
  <c r="S1069" i="6"/>
  <c r="O1073" i="6"/>
  <c r="V1073" i="6"/>
  <c r="R1073" i="6"/>
  <c r="Y1073" i="6"/>
  <c r="U1073" i="6"/>
  <c r="Q1073" i="6"/>
  <c r="X1073" i="6"/>
  <c r="T1073" i="6"/>
  <c r="P1073" i="6"/>
  <c r="W1073" i="6"/>
  <c r="S1073" i="6"/>
  <c r="O1077" i="6"/>
  <c r="V1077" i="6"/>
  <c r="R1077" i="6"/>
  <c r="Y1077" i="6"/>
  <c r="U1077" i="6"/>
  <c r="Q1077" i="6"/>
  <c r="X1077" i="6"/>
  <c r="T1077" i="6"/>
  <c r="P1077" i="6"/>
  <c r="W1077" i="6"/>
  <c r="S1077" i="6"/>
  <c r="O1081" i="6"/>
  <c r="V1081" i="6"/>
  <c r="R1081" i="6"/>
  <c r="Y1081" i="6"/>
  <c r="U1081" i="6"/>
  <c r="Q1081" i="6"/>
  <c r="X1081" i="6"/>
  <c r="T1081" i="6"/>
  <c r="P1081" i="6"/>
  <c r="W1081" i="6"/>
  <c r="S1081" i="6"/>
  <c r="O1085" i="6"/>
  <c r="V1085" i="6"/>
  <c r="R1085" i="6"/>
  <c r="Y1085" i="6"/>
  <c r="U1085" i="6"/>
  <c r="Q1085" i="6"/>
  <c r="X1085" i="6"/>
  <c r="T1085" i="6"/>
  <c r="P1085" i="6"/>
  <c r="W1085" i="6"/>
  <c r="S1085" i="6"/>
  <c r="O1089" i="6"/>
  <c r="X1089" i="6"/>
  <c r="V1089" i="6"/>
  <c r="R1089" i="6"/>
  <c r="U1089" i="6"/>
  <c r="Q1089" i="6"/>
  <c r="Y1089" i="6"/>
  <c r="T1089" i="6"/>
  <c r="P1089" i="6"/>
  <c r="W1089" i="6"/>
  <c r="S1089" i="6"/>
  <c r="O1093" i="6"/>
  <c r="Y1093" i="6"/>
  <c r="U1093" i="6"/>
  <c r="Q1093" i="6"/>
  <c r="X1093" i="6"/>
  <c r="T1093" i="6"/>
  <c r="P1093" i="6"/>
  <c r="W1093" i="6"/>
  <c r="S1093" i="6"/>
  <c r="R1093" i="6"/>
  <c r="V1093" i="6"/>
  <c r="O1097" i="6"/>
  <c r="Y1097" i="6"/>
  <c r="U1097" i="6"/>
  <c r="Q1097" i="6"/>
  <c r="X1097" i="6"/>
  <c r="T1097" i="6"/>
  <c r="P1097" i="6"/>
  <c r="W1097" i="6"/>
  <c r="S1097" i="6"/>
  <c r="V1097" i="6"/>
  <c r="R1097" i="6"/>
  <c r="O1101" i="6"/>
  <c r="Y1101" i="6"/>
  <c r="U1101" i="6"/>
  <c r="Q1101" i="6"/>
  <c r="X1101" i="6"/>
  <c r="T1101" i="6"/>
  <c r="P1101" i="6"/>
  <c r="W1101" i="6"/>
  <c r="S1101" i="6"/>
  <c r="R1101" i="6"/>
  <c r="V1101" i="6"/>
  <c r="O1105" i="6"/>
  <c r="Y1105" i="6"/>
  <c r="U1105" i="6"/>
  <c r="Q1105" i="6"/>
  <c r="X1105" i="6"/>
  <c r="T1105" i="6"/>
  <c r="P1105" i="6"/>
  <c r="W1105" i="6"/>
  <c r="S1105" i="6"/>
  <c r="V1105" i="6"/>
  <c r="R1105" i="6"/>
  <c r="O1109" i="6"/>
  <c r="W1109" i="6"/>
  <c r="S1109" i="6"/>
  <c r="V1109" i="6"/>
  <c r="R1109" i="6"/>
  <c r="U1109" i="6"/>
  <c r="T1109" i="6"/>
  <c r="Y1109" i="6"/>
  <c r="Q1109" i="6"/>
  <c r="X1109" i="6"/>
  <c r="P1109" i="6"/>
  <c r="O1113" i="6"/>
  <c r="W1113" i="6"/>
  <c r="S1113" i="6"/>
  <c r="V1113" i="6"/>
  <c r="R1113" i="6"/>
  <c r="U1113" i="6"/>
  <c r="T1113" i="6"/>
  <c r="Y1113" i="6"/>
  <c r="Q1113" i="6"/>
  <c r="X1113" i="6"/>
  <c r="P1113" i="6"/>
  <c r="O1117" i="6"/>
  <c r="W1117" i="6"/>
  <c r="S1117" i="6"/>
  <c r="V1117" i="6"/>
  <c r="R1117" i="6"/>
  <c r="U1117" i="6"/>
  <c r="T1117" i="6"/>
  <c r="Y1117" i="6"/>
  <c r="Q1117" i="6"/>
  <c r="X1117" i="6"/>
  <c r="P1117" i="6"/>
  <c r="O1121" i="6"/>
  <c r="W1121" i="6"/>
  <c r="S1121" i="6"/>
  <c r="V1121" i="6"/>
  <c r="R1121" i="6"/>
  <c r="U1121" i="6"/>
  <c r="T1121" i="6"/>
  <c r="Y1121" i="6"/>
  <c r="Q1121" i="6"/>
  <c r="P1121" i="6"/>
  <c r="X1121" i="6"/>
  <c r="O1125" i="6"/>
  <c r="W1125" i="6"/>
  <c r="S1125" i="6"/>
  <c r="V1125" i="6"/>
  <c r="R1125" i="6"/>
  <c r="U1125" i="6"/>
  <c r="T1125" i="6"/>
  <c r="Y1125" i="6"/>
  <c r="Q1125" i="6"/>
  <c r="X1125" i="6"/>
  <c r="P1125" i="6"/>
  <c r="O1129" i="6"/>
  <c r="W1129" i="6"/>
  <c r="S1129" i="6"/>
  <c r="V1129" i="6"/>
  <c r="R1129" i="6"/>
  <c r="U1129" i="6"/>
  <c r="T1129" i="6"/>
  <c r="Y1129" i="6"/>
  <c r="Q1129" i="6"/>
  <c r="X1129" i="6"/>
  <c r="P1129" i="6"/>
  <c r="Q3" i="6"/>
  <c r="Q7" i="6"/>
  <c r="Y7" i="6"/>
  <c r="Q11" i="6"/>
  <c r="U13" i="6"/>
  <c r="Q15" i="6"/>
  <c r="Y15" i="6"/>
  <c r="U17" i="6"/>
  <c r="Y23" i="6"/>
  <c r="Y31" i="6"/>
  <c r="U33" i="6"/>
  <c r="Q35" i="6"/>
  <c r="Y39" i="6"/>
  <c r="U41" i="6"/>
  <c r="Y47" i="6"/>
  <c r="U49" i="6"/>
  <c r="Q51" i="6"/>
  <c r="W52" i="6"/>
  <c r="Y55" i="6"/>
  <c r="W60" i="6"/>
  <c r="Y63" i="6"/>
  <c r="Q67" i="6"/>
  <c r="Y71" i="6"/>
  <c r="Y79" i="6"/>
  <c r="Q83" i="6"/>
  <c r="U89" i="6"/>
  <c r="Q91" i="6"/>
  <c r="W92" i="6"/>
  <c r="Y95" i="6"/>
  <c r="U97" i="6"/>
  <c r="W100" i="6"/>
  <c r="Y103" i="6"/>
  <c r="Q107" i="6"/>
  <c r="U113" i="6"/>
  <c r="Q115" i="6"/>
  <c r="Y119" i="6"/>
  <c r="U121" i="6"/>
  <c r="W124" i="6"/>
  <c r="U129" i="6"/>
  <c r="Q131" i="6"/>
  <c r="W132" i="6"/>
  <c r="Y135" i="6"/>
  <c r="U137" i="6"/>
  <c r="W140" i="6"/>
  <c r="Y143" i="6"/>
  <c r="U145" i="6"/>
  <c r="Q147" i="6"/>
  <c r="W148" i="6"/>
  <c r="Y151" i="6"/>
  <c r="U153" i="6"/>
  <c r="Y159" i="6"/>
  <c r="U161" i="6"/>
  <c r="Q163" i="6"/>
  <c r="U169" i="6"/>
  <c r="Q171" i="6"/>
  <c r="W172" i="6"/>
  <c r="P180" i="6"/>
  <c r="R183" i="6"/>
  <c r="V189" i="6"/>
  <c r="X192" i="6"/>
  <c r="R199" i="6"/>
  <c r="V205" i="6"/>
  <c r="V221" i="6"/>
  <c r="P228" i="6"/>
  <c r="V237" i="6"/>
  <c r="P244" i="6"/>
  <c r="V253" i="6"/>
  <c r="X256" i="6"/>
  <c r="P260" i="6"/>
  <c r="V269" i="6"/>
  <c r="X272" i="6"/>
  <c r="P276" i="6"/>
  <c r="V285" i="6"/>
  <c r="P292" i="6"/>
  <c r="V301" i="6"/>
  <c r="X304" i="6"/>
  <c r="R311" i="6"/>
  <c r="V317" i="6"/>
  <c r="X320" i="6"/>
  <c r="R327" i="6"/>
  <c r="V333" i="6"/>
  <c r="W340" i="6"/>
  <c r="P345" i="6"/>
  <c r="R349" i="6"/>
  <c r="U353" i="6"/>
  <c r="X357" i="6"/>
  <c r="Q387" i="6"/>
  <c r="R399" i="6"/>
  <c r="P412" i="6"/>
  <c r="X424" i="6"/>
  <c r="V437" i="6"/>
  <c r="Y469" i="6"/>
  <c r="Q521" i="6"/>
  <c r="W585" i="6"/>
  <c r="Q644" i="6"/>
  <c r="O11" i="6"/>
  <c r="X11" i="6"/>
  <c r="T11" i="6"/>
  <c r="P11" i="6"/>
  <c r="W11" i="6"/>
  <c r="S11" i="6"/>
  <c r="O19" i="6"/>
  <c r="X19" i="6"/>
  <c r="T19" i="6"/>
  <c r="P19" i="6"/>
  <c r="W19" i="6"/>
  <c r="S19" i="6"/>
  <c r="V19" i="6"/>
  <c r="R19" i="6"/>
  <c r="O27" i="6"/>
  <c r="X27" i="6"/>
  <c r="T27" i="6"/>
  <c r="P27" i="6"/>
  <c r="W27" i="6"/>
  <c r="S27" i="6"/>
  <c r="V27" i="6"/>
  <c r="R27" i="6"/>
  <c r="O43" i="6"/>
  <c r="X43" i="6"/>
  <c r="T43" i="6"/>
  <c r="P43" i="6"/>
  <c r="W43" i="6"/>
  <c r="S43" i="6"/>
  <c r="V43" i="6"/>
  <c r="R43" i="6"/>
  <c r="O59" i="6"/>
  <c r="X59" i="6"/>
  <c r="T59" i="6"/>
  <c r="P59" i="6"/>
  <c r="W59" i="6"/>
  <c r="S59" i="6"/>
  <c r="V59" i="6"/>
  <c r="R59" i="6"/>
  <c r="O75" i="6"/>
  <c r="X75" i="6"/>
  <c r="T75" i="6"/>
  <c r="P75" i="6"/>
  <c r="W75" i="6"/>
  <c r="S75" i="6"/>
  <c r="V75" i="6"/>
  <c r="R75" i="6"/>
  <c r="O87" i="6"/>
  <c r="X87" i="6"/>
  <c r="T87" i="6"/>
  <c r="P87" i="6"/>
  <c r="W87" i="6"/>
  <c r="S87" i="6"/>
  <c r="V87" i="6"/>
  <c r="R87" i="6"/>
  <c r="O99" i="6"/>
  <c r="X99" i="6"/>
  <c r="T99" i="6"/>
  <c r="P99" i="6"/>
  <c r="W99" i="6"/>
  <c r="S99" i="6"/>
  <c r="V99" i="6"/>
  <c r="R99" i="6"/>
  <c r="O111" i="6"/>
  <c r="X111" i="6"/>
  <c r="T111" i="6"/>
  <c r="P111" i="6"/>
  <c r="W111" i="6"/>
  <c r="S111" i="6"/>
  <c r="V111" i="6"/>
  <c r="R111" i="6"/>
  <c r="O123" i="6"/>
  <c r="X123" i="6"/>
  <c r="T123" i="6"/>
  <c r="P123" i="6"/>
  <c r="W123" i="6"/>
  <c r="S123" i="6"/>
  <c r="V123" i="6"/>
  <c r="R123" i="6"/>
  <c r="O127" i="6"/>
  <c r="X127" i="6"/>
  <c r="T127" i="6"/>
  <c r="P127" i="6"/>
  <c r="W127" i="6"/>
  <c r="S127" i="6"/>
  <c r="V127" i="6"/>
  <c r="R127" i="6"/>
  <c r="O139" i="6"/>
  <c r="X139" i="6"/>
  <c r="T139" i="6"/>
  <c r="P139" i="6"/>
  <c r="W139" i="6"/>
  <c r="S139" i="6"/>
  <c r="V139" i="6"/>
  <c r="R139" i="6"/>
  <c r="O155" i="6"/>
  <c r="X155" i="6"/>
  <c r="T155" i="6"/>
  <c r="P155" i="6"/>
  <c r="W155" i="6"/>
  <c r="S155" i="6"/>
  <c r="V155" i="6"/>
  <c r="R155" i="6"/>
  <c r="O167" i="6"/>
  <c r="X167" i="6"/>
  <c r="T167" i="6"/>
  <c r="P167" i="6"/>
  <c r="W167" i="6"/>
  <c r="S167" i="6"/>
  <c r="V167" i="6"/>
  <c r="R167" i="6"/>
  <c r="O179" i="6"/>
  <c r="Y179" i="6"/>
  <c r="U179" i="6"/>
  <c r="Q179" i="6"/>
  <c r="X179" i="6"/>
  <c r="T179" i="6"/>
  <c r="P179" i="6"/>
  <c r="W179" i="6"/>
  <c r="V179" i="6"/>
  <c r="S179" i="6"/>
  <c r="O207" i="6"/>
  <c r="Y207" i="6"/>
  <c r="U207" i="6"/>
  <c r="Q207" i="6"/>
  <c r="X207" i="6"/>
  <c r="T207" i="6"/>
  <c r="P207" i="6"/>
  <c r="W207" i="6"/>
  <c r="V207" i="6"/>
  <c r="S207" i="6"/>
  <c r="O211" i="6"/>
  <c r="Y211" i="6"/>
  <c r="U211" i="6"/>
  <c r="Q211" i="6"/>
  <c r="X211" i="6"/>
  <c r="T211" i="6"/>
  <c r="P211" i="6"/>
  <c r="W211" i="6"/>
  <c r="V211" i="6"/>
  <c r="S211" i="6"/>
  <c r="O215" i="6"/>
  <c r="Y215" i="6"/>
  <c r="U215" i="6"/>
  <c r="Q215" i="6"/>
  <c r="X215" i="6"/>
  <c r="T215" i="6"/>
  <c r="P215" i="6"/>
  <c r="W215" i="6"/>
  <c r="V215" i="6"/>
  <c r="S215" i="6"/>
  <c r="O231" i="6"/>
  <c r="Y231" i="6"/>
  <c r="U231" i="6"/>
  <c r="Q231" i="6"/>
  <c r="X231" i="6"/>
  <c r="T231" i="6"/>
  <c r="P231" i="6"/>
  <c r="W231" i="6"/>
  <c r="V231" i="6"/>
  <c r="S231" i="6"/>
  <c r="O247" i="6"/>
  <c r="Y247" i="6"/>
  <c r="U247" i="6"/>
  <c r="Q247" i="6"/>
  <c r="X247" i="6"/>
  <c r="T247" i="6"/>
  <c r="P247" i="6"/>
  <c r="W247" i="6"/>
  <c r="V247" i="6"/>
  <c r="S247" i="6"/>
  <c r="O263" i="6"/>
  <c r="Y263" i="6"/>
  <c r="U263" i="6"/>
  <c r="Q263" i="6"/>
  <c r="X263" i="6"/>
  <c r="T263" i="6"/>
  <c r="P263" i="6"/>
  <c r="W263" i="6"/>
  <c r="V263" i="6"/>
  <c r="S263" i="6"/>
  <c r="O271" i="6"/>
  <c r="Y271" i="6"/>
  <c r="U271" i="6"/>
  <c r="Q271" i="6"/>
  <c r="X271" i="6"/>
  <c r="T271" i="6"/>
  <c r="P271" i="6"/>
  <c r="W271" i="6"/>
  <c r="V271" i="6"/>
  <c r="S271" i="6"/>
  <c r="O279" i="6"/>
  <c r="Y279" i="6"/>
  <c r="U279" i="6"/>
  <c r="Q279" i="6"/>
  <c r="X279" i="6"/>
  <c r="T279" i="6"/>
  <c r="P279" i="6"/>
  <c r="W279" i="6"/>
  <c r="V279" i="6"/>
  <c r="S279" i="6"/>
  <c r="O287" i="6"/>
  <c r="Y287" i="6"/>
  <c r="U287" i="6"/>
  <c r="Q287" i="6"/>
  <c r="X287" i="6"/>
  <c r="T287" i="6"/>
  <c r="P287" i="6"/>
  <c r="W287" i="6"/>
  <c r="V287" i="6"/>
  <c r="S287" i="6"/>
  <c r="O295" i="6"/>
  <c r="Y295" i="6"/>
  <c r="U295" i="6"/>
  <c r="Q295" i="6"/>
  <c r="X295" i="6"/>
  <c r="T295" i="6"/>
  <c r="P295" i="6"/>
  <c r="W295" i="6"/>
  <c r="V295" i="6"/>
  <c r="S295" i="6"/>
  <c r="O307" i="6"/>
  <c r="Y307" i="6"/>
  <c r="U307" i="6"/>
  <c r="Q307" i="6"/>
  <c r="X307" i="6"/>
  <c r="T307" i="6"/>
  <c r="P307" i="6"/>
  <c r="W307" i="6"/>
  <c r="V307" i="6"/>
  <c r="S307" i="6"/>
  <c r="O319" i="6"/>
  <c r="Y319" i="6"/>
  <c r="U319" i="6"/>
  <c r="Q319" i="6"/>
  <c r="X319" i="6"/>
  <c r="T319" i="6"/>
  <c r="P319" i="6"/>
  <c r="W319" i="6"/>
  <c r="V319" i="6"/>
  <c r="S319" i="6"/>
  <c r="O331" i="6"/>
  <c r="Y331" i="6"/>
  <c r="U331" i="6"/>
  <c r="Q331" i="6"/>
  <c r="X331" i="6"/>
  <c r="T331" i="6"/>
  <c r="P331" i="6"/>
  <c r="W331" i="6"/>
  <c r="V331" i="6"/>
  <c r="S331" i="6"/>
  <c r="O343" i="6"/>
  <c r="W343" i="6"/>
  <c r="S343" i="6"/>
  <c r="X343" i="6"/>
  <c r="R343" i="6"/>
  <c r="V343" i="6"/>
  <c r="Q343" i="6"/>
  <c r="U343" i="6"/>
  <c r="T343" i="6"/>
  <c r="P343" i="6"/>
  <c r="O355" i="6"/>
  <c r="W355" i="6"/>
  <c r="S355" i="6"/>
  <c r="U355" i="6"/>
  <c r="P355" i="6"/>
  <c r="Y355" i="6"/>
  <c r="T355" i="6"/>
  <c r="R355" i="6"/>
  <c r="Q355" i="6"/>
  <c r="X355" i="6"/>
  <c r="O367" i="6"/>
  <c r="W367" i="6"/>
  <c r="S367" i="6"/>
  <c r="X367" i="6"/>
  <c r="R367" i="6"/>
  <c r="V367" i="6"/>
  <c r="Q367" i="6"/>
  <c r="U367" i="6"/>
  <c r="P367" i="6"/>
  <c r="T367" i="6"/>
  <c r="O379" i="6"/>
  <c r="W379" i="6"/>
  <c r="S379" i="6"/>
  <c r="U379" i="6"/>
  <c r="P379" i="6"/>
  <c r="Y379" i="6"/>
  <c r="T379" i="6"/>
  <c r="X379" i="6"/>
  <c r="R379" i="6"/>
  <c r="V379" i="6"/>
  <c r="Q379" i="6"/>
  <c r="O391" i="6"/>
  <c r="X391" i="6"/>
  <c r="T391" i="6"/>
  <c r="P391" i="6"/>
  <c r="W391" i="6"/>
  <c r="S391" i="6"/>
  <c r="Y391" i="6"/>
  <c r="Q391" i="6"/>
  <c r="V391" i="6"/>
  <c r="U391" i="6"/>
  <c r="R391" i="6"/>
  <c r="O403" i="6"/>
  <c r="X403" i="6"/>
  <c r="T403" i="6"/>
  <c r="P403" i="6"/>
  <c r="W403" i="6"/>
  <c r="S403" i="6"/>
  <c r="Y403" i="6"/>
  <c r="Q403" i="6"/>
  <c r="V403" i="6"/>
  <c r="U403" i="6"/>
  <c r="R403" i="6"/>
  <c r="O423" i="6"/>
  <c r="X423" i="6"/>
  <c r="T423" i="6"/>
  <c r="P423" i="6"/>
  <c r="W423" i="6"/>
  <c r="S423" i="6"/>
  <c r="Y423" i="6"/>
  <c r="Q423" i="6"/>
  <c r="V423" i="6"/>
  <c r="U423" i="6"/>
  <c r="R423" i="6"/>
  <c r="O435" i="6"/>
  <c r="X435" i="6"/>
  <c r="T435" i="6"/>
  <c r="P435" i="6"/>
  <c r="W435" i="6"/>
  <c r="S435" i="6"/>
  <c r="Y435" i="6"/>
  <c r="Q435" i="6"/>
  <c r="V435" i="6"/>
  <c r="U435" i="6"/>
  <c r="R435" i="6"/>
  <c r="O443" i="6"/>
  <c r="X443" i="6"/>
  <c r="T443" i="6"/>
  <c r="P443" i="6"/>
  <c r="W443" i="6"/>
  <c r="S443" i="6"/>
  <c r="Y443" i="6"/>
  <c r="Q443" i="6"/>
  <c r="V443" i="6"/>
  <c r="U443" i="6"/>
  <c r="R443" i="6"/>
  <c r="O455" i="6"/>
  <c r="X455" i="6"/>
  <c r="T455" i="6"/>
  <c r="P455" i="6"/>
  <c r="W455" i="6"/>
  <c r="S455" i="6"/>
  <c r="Y455" i="6"/>
  <c r="Q455" i="6"/>
  <c r="V455" i="6"/>
  <c r="U455" i="6"/>
  <c r="R455" i="6"/>
  <c r="O467" i="6"/>
  <c r="X467" i="6"/>
  <c r="T467" i="6"/>
  <c r="P467" i="6"/>
  <c r="W467" i="6"/>
  <c r="S467" i="6"/>
  <c r="V467" i="6"/>
  <c r="R467" i="6"/>
  <c r="Y467" i="6"/>
  <c r="U467" i="6"/>
  <c r="Q467" i="6"/>
  <c r="O479" i="6"/>
  <c r="X479" i="6"/>
  <c r="T479" i="6"/>
  <c r="P479" i="6"/>
  <c r="W479" i="6"/>
  <c r="S479" i="6"/>
  <c r="V479" i="6"/>
  <c r="R479" i="6"/>
  <c r="Q479" i="6"/>
  <c r="Y479" i="6"/>
  <c r="U479" i="6"/>
  <c r="O483" i="6"/>
  <c r="X483" i="6"/>
  <c r="T483" i="6"/>
  <c r="P483" i="6"/>
  <c r="W483" i="6"/>
  <c r="S483" i="6"/>
  <c r="V483" i="6"/>
  <c r="R483" i="6"/>
  <c r="Y483" i="6"/>
  <c r="U483" i="6"/>
  <c r="Q483" i="6"/>
  <c r="O487" i="6"/>
  <c r="X487" i="6"/>
  <c r="T487" i="6"/>
  <c r="P487" i="6"/>
  <c r="W487" i="6"/>
  <c r="S487" i="6"/>
  <c r="V487" i="6"/>
  <c r="R487" i="6"/>
  <c r="Q487" i="6"/>
  <c r="Y487" i="6"/>
  <c r="U487" i="6"/>
  <c r="O495" i="6"/>
  <c r="X495" i="6"/>
  <c r="T495" i="6"/>
  <c r="P495" i="6"/>
  <c r="W495" i="6"/>
  <c r="S495" i="6"/>
  <c r="V495" i="6"/>
  <c r="R495" i="6"/>
  <c r="Q495" i="6"/>
  <c r="Y495" i="6"/>
  <c r="O507" i="6"/>
  <c r="X507" i="6"/>
  <c r="T507" i="6"/>
  <c r="P507" i="6"/>
  <c r="W507" i="6"/>
  <c r="S507" i="6"/>
  <c r="V507" i="6"/>
  <c r="R507" i="6"/>
  <c r="Y507" i="6"/>
  <c r="U507" i="6"/>
  <c r="Q507" i="6"/>
  <c r="O515" i="6"/>
  <c r="X515" i="6"/>
  <c r="T515" i="6"/>
  <c r="P515" i="6"/>
  <c r="W515" i="6"/>
  <c r="S515" i="6"/>
  <c r="V515" i="6"/>
  <c r="R515" i="6"/>
  <c r="Y515" i="6"/>
  <c r="U515" i="6"/>
  <c r="Q515" i="6"/>
  <c r="O519" i="6"/>
  <c r="X519" i="6"/>
  <c r="T519" i="6"/>
  <c r="P519" i="6"/>
  <c r="W519" i="6"/>
  <c r="S519" i="6"/>
  <c r="V519" i="6"/>
  <c r="R519" i="6"/>
  <c r="Q519" i="6"/>
  <c r="Y519" i="6"/>
  <c r="U519" i="6"/>
  <c r="O531" i="6"/>
  <c r="X531" i="6"/>
  <c r="T531" i="6"/>
  <c r="P531" i="6"/>
  <c r="W531" i="6"/>
  <c r="S531" i="6"/>
  <c r="V531" i="6"/>
  <c r="R531" i="6"/>
  <c r="Y531" i="6"/>
  <c r="U531" i="6"/>
  <c r="Q531" i="6"/>
  <c r="O539" i="6"/>
  <c r="X539" i="6"/>
  <c r="T539" i="6"/>
  <c r="P539" i="6"/>
  <c r="W539" i="6"/>
  <c r="S539" i="6"/>
  <c r="V539" i="6"/>
  <c r="R539" i="6"/>
  <c r="Y539" i="6"/>
  <c r="U539" i="6"/>
  <c r="Q539" i="6"/>
  <c r="O547" i="6"/>
  <c r="X547" i="6"/>
  <c r="T547" i="6"/>
  <c r="P547" i="6"/>
  <c r="W547" i="6"/>
  <c r="S547" i="6"/>
  <c r="V547" i="6"/>
  <c r="R547" i="6"/>
  <c r="Y547" i="6"/>
  <c r="U547" i="6"/>
  <c r="Q547" i="6"/>
  <c r="O559" i="6"/>
  <c r="V559" i="6"/>
  <c r="R559" i="6"/>
  <c r="Y559" i="6"/>
  <c r="U559" i="6"/>
  <c r="Q559" i="6"/>
  <c r="X559" i="6"/>
  <c r="P559" i="6"/>
  <c r="W559" i="6"/>
  <c r="T559" i="6"/>
  <c r="S559" i="6"/>
  <c r="O571" i="6"/>
  <c r="V571" i="6"/>
  <c r="R571" i="6"/>
  <c r="Y571" i="6"/>
  <c r="U571" i="6"/>
  <c r="Q571" i="6"/>
  <c r="X571" i="6"/>
  <c r="P571" i="6"/>
  <c r="W571" i="6"/>
  <c r="T571" i="6"/>
  <c r="S571" i="6"/>
  <c r="O583" i="6"/>
  <c r="V583" i="6"/>
  <c r="R583" i="6"/>
  <c r="Y583" i="6"/>
  <c r="U583" i="6"/>
  <c r="Q583" i="6"/>
  <c r="X583" i="6"/>
  <c r="P583" i="6"/>
  <c r="W583" i="6"/>
  <c r="T583" i="6"/>
  <c r="S583" i="6"/>
  <c r="O4" i="6"/>
  <c r="V4" i="6"/>
  <c r="R4" i="6"/>
  <c r="Y4" i="6"/>
  <c r="U4" i="6"/>
  <c r="Q4" i="6"/>
  <c r="O8" i="6"/>
  <c r="V8" i="6"/>
  <c r="R8" i="6"/>
  <c r="Y8" i="6"/>
  <c r="U8" i="6"/>
  <c r="Q8" i="6"/>
  <c r="O12" i="6"/>
  <c r="V12" i="6"/>
  <c r="R12" i="6"/>
  <c r="Y12" i="6"/>
  <c r="U12" i="6"/>
  <c r="Q12" i="6"/>
  <c r="O16" i="6"/>
  <c r="V16" i="6"/>
  <c r="R16" i="6"/>
  <c r="Y16" i="6"/>
  <c r="U16" i="6"/>
  <c r="Q16" i="6"/>
  <c r="X16" i="6"/>
  <c r="T16" i="6"/>
  <c r="P16" i="6"/>
  <c r="O20" i="6"/>
  <c r="V20" i="6"/>
  <c r="R20" i="6"/>
  <c r="Y20" i="6"/>
  <c r="U20" i="6"/>
  <c r="Q20" i="6"/>
  <c r="X20" i="6"/>
  <c r="T20" i="6"/>
  <c r="P20" i="6"/>
  <c r="O24" i="6"/>
  <c r="V24" i="6"/>
  <c r="R24" i="6"/>
  <c r="Y24" i="6"/>
  <c r="U24" i="6"/>
  <c r="Q24" i="6"/>
  <c r="X24" i="6"/>
  <c r="T24" i="6"/>
  <c r="P24" i="6"/>
  <c r="O28" i="6"/>
  <c r="V28" i="6"/>
  <c r="R28" i="6"/>
  <c r="Y28" i="6"/>
  <c r="U28" i="6"/>
  <c r="Q28" i="6"/>
  <c r="X28" i="6"/>
  <c r="T28" i="6"/>
  <c r="P28" i="6"/>
  <c r="O32" i="6"/>
  <c r="V32" i="6"/>
  <c r="R32" i="6"/>
  <c r="Y32" i="6"/>
  <c r="U32" i="6"/>
  <c r="Q32" i="6"/>
  <c r="X32" i="6"/>
  <c r="T32" i="6"/>
  <c r="P32" i="6"/>
  <c r="O36" i="6"/>
  <c r="V36" i="6"/>
  <c r="R36" i="6"/>
  <c r="Y36" i="6"/>
  <c r="U36" i="6"/>
  <c r="Q36" i="6"/>
  <c r="X36" i="6"/>
  <c r="T36" i="6"/>
  <c r="P36" i="6"/>
  <c r="O40" i="6"/>
  <c r="V40" i="6"/>
  <c r="R40" i="6"/>
  <c r="Y40" i="6"/>
  <c r="U40" i="6"/>
  <c r="Q40" i="6"/>
  <c r="X40" i="6"/>
  <c r="T40" i="6"/>
  <c r="P40" i="6"/>
  <c r="O44" i="6"/>
  <c r="V44" i="6"/>
  <c r="R44" i="6"/>
  <c r="Y44" i="6"/>
  <c r="U44" i="6"/>
  <c r="Q44" i="6"/>
  <c r="X44" i="6"/>
  <c r="T44" i="6"/>
  <c r="P44" i="6"/>
  <c r="O56" i="6"/>
  <c r="V56" i="6"/>
  <c r="R56" i="6"/>
  <c r="Y56" i="6"/>
  <c r="U56" i="6"/>
  <c r="Q56" i="6"/>
  <c r="X56" i="6"/>
  <c r="T56" i="6"/>
  <c r="P56" i="6"/>
  <c r="O64" i="6"/>
  <c r="V64" i="6"/>
  <c r="R64" i="6"/>
  <c r="Y64" i="6"/>
  <c r="U64" i="6"/>
  <c r="Q64" i="6"/>
  <c r="X64" i="6"/>
  <c r="T64" i="6"/>
  <c r="P64" i="6"/>
  <c r="O68" i="6"/>
  <c r="V68" i="6"/>
  <c r="R68" i="6"/>
  <c r="Y68" i="6"/>
  <c r="U68" i="6"/>
  <c r="Q68" i="6"/>
  <c r="X68" i="6"/>
  <c r="T68" i="6"/>
  <c r="P68" i="6"/>
  <c r="O76" i="6"/>
  <c r="V76" i="6"/>
  <c r="R76" i="6"/>
  <c r="Y76" i="6"/>
  <c r="U76" i="6"/>
  <c r="Q76" i="6"/>
  <c r="X76" i="6"/>
  <c r="T76" i="6"/>
  <c r="P76" i="6"/>
  <c r="O80" i="6"/>
  <c r="V80" i="6"/>
  <c r="R80" i="6"/>
  <c r="Y80" i="6"/>
  <c r="U80" i="6"/>
  <c r="Q80" i="6"/>
  <c r="X80" i="6"/>
  <c r="T80" i="6"/>
  <c r="P80" i="6"/>
  <c r="O84" i="6"/>
  <c r="V84" i="6"/>
  <c r="R84" i="6"/>
  <c r="Y84" i="6"/>
  <c r="U84" i="6"/>
  <c r="Q84" i="6"/>
  <c r="X84" i="6"/>
  <c r="T84" i="6"/>
  <c r="P84" i="6"/>
  <c r="O88" i="6"/>
  <c r="V88" i="6"/>
  <c r="R88" i="6"/>
  <c r="Y88" i="6"/>
  <c r="U88" i="6"/>
  <c r="Q88" i="6"/>
  <c r="X88" i="6"/>
  <c r="T88" i="6"/>
  <c r="P88" i="6"/>
  <c r="O96" i="6"/>
  <c r="V96" i="6"/>
  <c r="R96" i="6"/>
  <c r="Y96" i="6"/>
  <c r="U96" i="6"/>
  <c r="Q96" i="6"/>
  <c r="X96" i="6"/>
  <c r="T96" i="6"/>
  <c r="P96" i="6"/>
  <c r="O104" i="6"/>
  <c r="V104" i="6"/>
  <c r="R104" i="6"/>
  <c r="Y104" i="6"/>
  <c r="U104" i="6"/>
  <c r="Q104" i="6"/>
  <c r="X104" i="6"/>
  <c r="T104" i="6"/>
  <c r="P104" i="6"/>
  <c r="O108" i="6"/>
  <c r="V108" i="6"/>
  <c r="R108" i="6"/>
  <c r="Y108" i="6"/>
  <c r="U108" i="6"/>
  <c r="Q108" i="6"/>
  <c r="X108" i="6"/>
  <c r="T108" i="6"/>
  <c r="P108" i="6"/>
  <c r="O116" i="6"/>
  <c r="V116" i="6"/>
  <c r="R116" i="6"/>
  <c r="Y116" i="6"/>
  <c r="U116" i="6"/>
  <c r="Q116" i="6"/>
  <c r="X116" i="6"/>
  <c r="T116" i="6"/>
  <c r="P116" i="6"/>
  <c r="O128" i="6"/>
  <c r="V128" i="6"/>
  <c r="R128" i="6"/>
  <c r="Y128" i="6"/>
  <c r="U128" i="6"/>
  <c r="Q128" i="6"/>
  <c r="X128" i="6"/>
  <c r="T128" i="6"/>
  <c r="P128" i="6"/>
  <c r="O144" i="6"/>
  <c r="V144" i="6"/>
  <c r="R144" i="6"/>
  <c r="Y144" i="6"/>
  <c r="U144" i="6"/>
  <c r="Q144" i="6"/>
  <c r="X144" i="6"/>
  <c r="T144" i="6"/>
  <c r="P144" i="6"/>
  <c r="O156" i="6"/>
  <c r="V156" i="6"/>
  <c r="R156" i="6"/>
  <c r="Y156" i="6"/>
  <c r="U156" i="6"/>
  <c r="Q156" i="6"/>
  <c r="X156" i="6"/>
  <c r="T156" i="6"/>
  <c r="P156" i="6"/>
  <c r="O164" i="6"/>
  <c r="V164" i="6"/>
  <c r="R164" i="6"/>
  <c r="Y164" i="6"/>
  <c r="U164" i="6"/>
  <c r="Q164" i="6"/>
  <c r="X164" i="6"/>
  <c r="T164" i="6"/>
  <c r="P164" i="6"/>
  <c r="O168" i="6"/>
  <c r="V168" i="6"/>
  <c r="R168" i="6"/>
  <c r="Y168" i="6"/>
  <c r="U168" i="6"/>
  <c r="Q168" i="6"/>
  <c r="X168" i="6"/>
  <c r="T168" i="6"/>
  <c r="P168" i="6"/>
  <c r="O176" i="6"/>
  <c r="W176" i="6"/>
  <c r="S176" i="6"/>
  <c r="V176" i="6"/>
  <c r="R176" i="6"/>
  <c r="U176" i="6"/>
  <c r="T176" i="6"/>
  <c r="Y176" i="6"/>
  <c r="Q176" i="6"/>
  <c r="O184" i="6"/>
  <c r="W184" i="6"/>
  <c r="S184" i="6"/>
  <c r="V184" i="6"/>
  <c r="R184" i="6"/>
  <c r="U184" i="6"/>
  <c r="T184" i="6"/>
  <c r="Y184" i="6"/>
  <c r="Q184" i="6"/>
  <c r="O196" i="6"/>
  <c r="W196" i="6"/>
  <c r="S196" i="6"/>
  <c r="V196" i="6"/>
  <c r="R196" i="6"/>
  <c r="U196" i="6"/>
  <c r="T196" i="6"/>
  <c r="Y196" i="6"/>
  <c r="Q196" i="6"/>
  <c r="O208" i="6"/>
  <c r="W208" i="6"/>
  <c r="S208" i="6"/>
  <c r="V208" i="6"/>
  <c r="R208" i="6"/>
  <c r="U208" i="6"/>
  <c r="T208" i="6"/>
  <c r="Y208" i="6"/>
  <c r="Q208" i="6"/>
  <c r="O212" i="6"/>
  <c r="W212" i="6"/>
  <c r="S212" i="6"/>
  <c r="V212" i="6"/>
  <c r="R212" i="6"/>
  <c r="U212" i="6"/>
  <c r="T212" i="6"/>
  <c r="Y212" i="6"/>
  <c r="Q212" i="6"/>
  <c r="O224" i="6"/>
  <c r="W224" i="6"/>
  <c r="S224" i="6"/>
  <c r="V224" i="6"/>
  <c r="R224" i="6"/>
  <c r="U224" i="6"/>
  <c r="T224" i="6"/>
  <c r="Y224" i="6"/>
  <c r="Q224" i="6"/>
  <c r="O240" i="6"/>
  <c r="W240" i="6"/>
  <c r="S240" i="6"/>
  <c r="V240" i="6"/>
  <c r="R240" i="6"/>
  <c r="U240" i="6"/>
  <c r="T240" i="6"/>
  <c r="Y240" i="6"/>
  <c r="Q240" i="6"/>
  <c r="O252" i="6"/>
  <c r="W252" i="6"/>
  <c r="S252" i="6"/>
  <c r="V252" i="6"/>
  <c r="R252" i="6"/>
  <c r="U252" i="6"/>
  <c r="T252" i="6"/>
  <c r="Y252" i="6"/>
  <c r="Q252" i="6"/>
  <c r="O264" i="6"/>
  <c r="W264" i="6"/>
  <c r="S264" i="6"/>
  <c r="V264" i="6"/>
  <c r="R264" i="6"/>
  <c r="U264" i="6"/>
  <c r="T264" i="6"/>
  <c r="Y264" i="6"/>
  <c r="Q264" i="6"/>
  <c r="O288" i="6"/>
  <c r="W288" i="6"/>
  <c r="S288" i="6"/>
  <c r="V288" i="6"/>
  <c r="R288" i="6"/>
  <c r="U288" i="6"/>
  <c r="T288" i="6"/>
  <c r="Y288" i="6"/>
  <c r="Q288" i="6"/>
  <c r="O300" i="6"/>
  <c r="W300" i="6"/>
  <c r="S300" i="6"/>
  <c r="V300" i="6"/>
  <c r="R300" i="6"/>
  <c r="U300" i="6"/>
  <c r="T300" i="6"/>
  <c r="Y300" i="6"/>
  <c r="Q300" i="6"/>
  <c r="O308" i="6"/>
  <c r="W308" i="6"/>
  <c r="S308" i="6"/>
  <c r="V308" i="6"/>
  <c r="R308" i="6"/>
  <c r="U308" i="6"/>
  <c r="T308" i="6"/>
  <c r="Y308" i="6"/>
  <c r="Q308" i="6"/>
  <c r="O316" i="6"/>
  <c r="W316" i="6"/>
  <c r="S316" i="6"/>
  <c r="V316" i="6"/>
  <c r="R316" i="6"/>
  <c r="U316" i="6"/>
  <c r="T316" i="6"/>
  <c r="Y316" i="6"/>
  <c r="Q316" i="6"/>
  <c r="O324" i="6"/>
  <c r="W324" i="6"/>
  <c r="S324" i="6"/>
  <c r="V324" i="6"/>
  <c r="R324" i="6"/>
  <c r="U324" i="6"/>
  <c r="T324" i="6"/>
  <c r="Y324" i="6"/>
  <c r="Q324" i="6"/>
  <c r="O336" i="6"/>
  <c r="W336" i="6"/>
  <c r="S336" i="6"/>
  <c r="V336" i="6"/>
  <c r="R336" i="6"/>
  <c r="U336" i="6"/>
  <c r="T336" i="6"/>
  <c r="Y336" i="6"/>
  <c r="Q336" i="6"/>
  <c r="O348" i="6"/>
  <c r="Y348" i="6"/>
  <c r="U348" i="6"/>
  <c r="Q348" i="6"/>
  <c r="V348" i="6"/>
  <c r="P348" i="6"/>
  <c r="T348" i="6"/>
  <c r="X348" i="6"/>
  <c r="W348" i="6"/>
  <c r="S348" i="6"/>
  <c r="O368" i="6"/>
  <c r="Y368" i="6"/>
  <c r="U368" i="6"/>
  <c r="Q368" i="6"/>
  <c r="X368" i="6"/>
  <c r="S368" i="6"/>
  <c r="W368" i="6"/>
  <c r="R368" i="6"/>
  <c r="V368" i="6"/>
  <c r="P368" i="6"/>
  <c r="T368" i="6"/>
  <c r="O384" i="6"/>
  <c r="Y384" i="6"/>
  <c r="U384" i="6"/>
  <c r="Q384" i="6"/>
  <c r="X384" i="6"/>
  <c r="S384" i="6"/>
  <c r="W384" i="6"/>
  <c r="R384" i="6"/>
  <c r="V384" i="6"/>
  <c r="P384" i="6"/>
  <c r="T384" i="6"/>
  <c r="O396" i="6"/>
  <c r="V396" i="6"/>
  <c r="R396" i="6"/>
  <c r="Y396" i="6"/>
  <c r="U396" i="6"/>
  <c r="Q396" i="6"/>
  <c r="W396" i="6"/>
  <c r="T396" i="6"/>
  <c r="S396" i="6"/>
  <c r="X396" i="6"/>
  <c r="O408" i="6"/>
  <c r="V408" i="6"/>
  <c r="R408" i="6"/>
  <c r="Y408" i="6"/>
  <c r="U408" i="6"/>
  <c r="Q408" i="6"/>
  <c r="W408" i="6"/>
  <c r="T408" i="6"/>
  <c r="S408" i="6"/>
  <c r="P408" i="6"/>
  <c r="O416" i="6"/>
  <c r="V416" i="6"/>
  <c r="R416" i="6"/>
  <c r="Y416" i="6"/>
  <c r="U416" i="6"/>
  <c r="Q416" i="6"/>
  <c r="W416" i="6"/>
  <c r="T416" i="6"/>
  <c r="S416" i="6"/>
  <c r="X416" i="6"/>
  <c r="P416" i="6"/>
  <c r="O5" i="6"/>
  <c r="X5" i="6"/>
  <c r="T5" i="6"/>
  <c r="P5" i="6"/>
  <c r="W5" i="6"/>
  <c r="S5" i="6"/>
  <c r="O9" i="6"/>
  <c r="X9" i="6"/>
  <c r="T9" i="6"/>
  <c r="P9" i="6"/>
  <c r="W9" i="6"/>
  <c r="S9" i="6"/>
  <c r="O21" i="6"/>
  <c r="X21" i="6"/>
  <c r="T21" i="6"/>
  <c r="P21" i="6"/>
  <c r="W21" i="6"/>
  <c r="S21" i="6"/>
  <c r="V21" i="6"/>
  <c r="R21" i="6"/>
  <c r="O25" i="6"/>
  <c r="X25" i="6"/>
  <c r="T25" i="6"/>
  <c r="P25" i="6"/>
  <c r="W25" i="6"/>
  <c r="S25" i="6"/>
  <c r="V25" i="6"/>
  <c r="R25" i="6"/>
  <c r="O37" i="6"/>
  <c r="X37" i="6"/>
  <c r="T37" i="6"/>
  <c r="P37" i="6"/>
  <c r="W37" i="6"/>
  <c r="S37" i="6"/>
  <c r="V37" i="6"/>
  <c r="R37" i="6"/>
  <c r="O45" i="6"/>
  <c r="X45" i="6"/>
  <c r="T45" i="6"/>
  <c r="P45" i="6"/>
  <c r="W45" i="6"/>
  <c r="S45" i="6"/>
  <c r="V45" i="6"/>
  <c r="R45" i="6"/>
  <c r="O57" i="6"/>
  <c r="X57" i="6"/>
  <c r="T57" i="6"/>
  <c r="P57" i="6"/>
  <c r="W57" i="6"/>
  <c r="S57" i="6"/>
  <c r="V57" i="6"/>
  <c r="R57" i="6"/>
  <c r="O65" i="6"/>
  <c r="X65" i="6"/>
  <c r="T65" i="6"/>
  <c r="P65" i="6"/>
  <c r="W65" i="6"/>
  <c r="S65" i="6"/>
  <c r="V65" i="6"/>
  <c r="R65" i="6"/>
  <c r="O73" i="6"/>
  <c r="X73" i="6"/>
  <c r="T73" i="6"/>
  <c r="P73" i="6"/>
  <c r="W73" i="6"/>
  <c r="S73" i="6"/>
  <c r="V73" i="6"/>
  <c r="R73" i="6"/>
  <c r="O81" i="6"/>
  <c r="X81" i="6"/>
  <c r="T81" i="6"/>
  <c r="P81" i="6"/>
  <c r="W81" i="6"/>
  <c r="S81" i="6"/>
  <c r="V81" i="6"/>
  <c r="R81" i="6"/>
  <c r="O85" i="6"/>
  <c r="X85" i="6"/>
  <c r="T85" i="6"/>
  <c r="P85" i="6"/>
  <c r="W85" i="6"/>
  <c r="S85" i="6"/>
  <c r="V85" i="6"/>
  <c r="R85" i="6"/>
  <c r="O93" i="6"/>
  <c r="X93" i="6"/>
  <c r="T93" i="6"/>
  <c r="P93" i="6"/>
  <c r="W93" i="6"/>
  <c r="S93" i="6"/>
  <c r="V93" i="6"/>
  <c r="R93" i="6"/>
  <c r="O105" i="6"/>
  <c r="X105" i="6"/>
  <c r="T105" i="6"/>
  <c r="P105" i="6"/>
  <c r="W105" i="6"/>
  <c r="S105" i="6"/>
  <c r="V105" i="6"/>
  <c r="R105" i="6"/>
  <c r="O117" i="6"/>
  <c r="X117" i="6"/>
  <c r="T117" i="6"/>
  <c r="P117" i="6"/>
  <c r="W117" i="6"/>
  <c r="S117" i="6"/>
  <c r="V117" i="6"/>
  <c r="R117" i="6"/>
  <c r="O125" i="6"/>
  <c r="X125" i="6"/>
  <c r="T125" i="6"/>
  <c r="P125" i="6"/>
  <c r="W125" i="6"/>
  <c r="S125" i="6"/>
  <c r="V125" i="6"/>
  <c r="R125" i="6"/>
  <c r="O3" i="6"/>
  <c r="X3" i="6"/>
  <c r="T3" i="6"/>
  <c r="P3" i="6"/>
  <c r="W3" i="6"/>
  <c r="S3" i="6"/>
  <c r="O6" i="6"/>
  <c r="V6" i="6"/>
  <c r="R6" i="6"/>
  <c r="Y6" i="6"/>
  <c r="U6" i="6"/>
  <c r="Q6" i="6"/>
  <c r="O10" i="6"/>
  <c r="V10" i="6"/>
  <c r="R10" i="6"/>
  <c r="Y10" i="6"/>
  <c r="U10" i="6"/>
  <c r="Q10" i="6"/>
  <c r="O14" i="6"/>
  <c r="V14" i="6"/>
  <c r="R14" i="6"/>
  <c r="Y14" i="6"/>
  <c r="U14" i="6"/>
  <c r="Q14" i="6"/>
  <c r="O18" i="6"/>
  <c r="V18" i="6"/>
  <c r="R18" i="6"/>
  <c r="Y18" i="6"/>
  <c r="U18" i="6"/>
  <c r="Q18" i="6"/>
  <c r="X18" i="6"/>
  <c r="T18" i="6"/>
  <c r="P18" i="6"/>
  <c r="O22" i="6"/>
  <c r="V22" i="6"/>
  <c r="R22" i="6"/>
  <c r="Y22" i="6"/>
  <c r="U22" i="6"/>
  <c r="Q22" i="6"/>
  <c r="X22" i="6"/>
  <c r="T22" i="6"/>
  <c r="P22" i="6"/>
  <c r="O26" i="6"/>
  <c r="V26" i="6"/>
  <c r="R26" i="6"/>
  <c r="Y26" i="6"/>
  <c r="U26" i="6"/>
  <c r="Q26" i="6"/>
  <c r="X26" i="6"/>
  <c r="T26" i="6"/>
  <c r="P26" i="6"/>
  <c r="O30" i="6"/>
  <c r="V30" i="6"/>
  <c r="R30" i="6"/>
  <c r="Y30" i="6"/>
  <c r="U30" i="6"/>
  <c r="Q30" i="6"/>
  <c r="X30" i="6"/>
  <c r="T30" i="6"/>
  <c r="P30" i="6"/>
  <c r="O34" i="6"/>
  <c r="V34" i="6"/>
  <c r="R34" i="6"/>
  <c r="Y34" i="6"/>
  <c r="U34" i="6"/>
  <c r="Q34" i="6"/>
  <c r="X34" i="6"/>
  <c r="T34" i="6"/>
  <c r="P34" i="6"/>
  <c r="O38" i="6"/>
  <c r="V38" i="6"/>
  <c r="R38" i="6"/>
  <c r="Y38" i="6"/>
  <c r="U38" i="6"/>
  <c r="Q38" i="6"/>
  <c r="X38" i="6"/>
  <c r="T38" i="6"/>
  <c r="P38" i="6"/>
  <c r="O42" i="6"/>
  <c r="V42" i="6"/>
  <c r="R42" i="6"/>
  <c r="Y42" i="6"/>
  <c r="U42" i="6"/>
  <c r="Q42" i="6"/>
  <c r="X42" i="6"/>
  <c r="T42" i="6"/>
  <c r="P42" i="6"/>
  <c r="O46" i="6"/>
  <c r="V46" i="6"/>
  <c r="R46" i="6"/>
  <c r="Y46" i="6"/>
  <c r="U46" i="6"/>
  <c r="Q46" i="6"/>
  <c r="X46" i="6"/>
  <c r="T46" i="6"/>
  <c r="P46" i="6"/>
  <c r="O50" i="6"/>
  <c r="V50" i="6"/>
  <c r="R50" i="6"/>
  <c r="Y50" i="6"/>
  <c r="U50" i="6"/>
  <c r="Q50" i="6"/>
  <c r="X50" i="6"/>
  <c r="T50" i="6"/>
  <c r="P50" i="6"/>
  <c r="O54" i="6"/>
  <c r="V54" i="6"/>
  <c r="R54" i="6"/>
  <c r="Y54" i="6"/>
  <c r="U54" i="6"/>
  <c r="Q54" i="6"/>
  <c r="X54" i="6"/>
  <c r="T54" i="6"/>
  <c r="P54" i="6"/>
  <c r="O58" i="6"/>
  <c r="V58" i="6"/>
  <c r="R58" i="6"/>
  <c r="Y58" i="6"/>
  <c r="U58" i="6"/>
  <c r="Q58" i="6"/>
  <c r="X58" i="6"/>
  <c r="T58" i="6"/>
  <c r="P58" i="6"/>
  <c r="O62" i="6"/>
  <c r="V62" i="6"/>
  <c r="R62" i="6"/>
  <c r="Y62" i="6"/>
  <c r="U62" i="6"/>
  <c r="Q62" i="6"/>
  <c r="X62" i="6"/>
  <c r="T62" i="6"/>
  <c r="P62" i="6"/>
  <c r="O66" i="6"/>
  <c r="V66" i="6"/>
  <c r="R66" i="6"/>
  <c r="Y66" i="6"/>
  <c r="U66" i="6"/>
  <c r="Q66" i="6"/>
  <c r="X66" i="6"/>
  <c r="T66" i="6"/>
  <c r="P66" i="6"/>
  <c r="O70" i="6"/>
  <c r="V70" i="6"/>
  <c r="R70" i="6"/>
  <c r="Y70" i="6"/>
  <c r="U70" i="6"/>
  <c r="Q70" i="6"/>
  <c r="X70" i="6"/>
  <c r="T70" i="6"/>
  <c r="P70" i="6"/>
  <c r="O74" i="6"/>
  <c r="V74" i="6"/>
  <c r="R74" i="6"/>
  <c r="Y74" i="6"/>
  <c r="U74" i="6"/>
  <c r="Q74" i="6"/>
  <c r="X74" i="6"/>
  <c r="T74" i="6"/>
  <c r="P74" i="6"/>
  <c r="O78" i="6"/>
  <c r="V78" i="6"/>
  <c r="R78" i="6"/>
  <c r="Y78" i="6"/>
  <c r="U78" i="6"/>
  <c r="Q78" i="6"/>
  <c r="X78" i="6"/>
  <c r="T78" i="6"/>
  <c r="P78" i="6"/>
  <c r="O82" i="6"/>
  <c r="V82" i="6"/>
  <c r="R82" i="6"/>
  <c r="Y82" i="6"/>
  <c r="U82" i="6"/>
  <c r="Q82" i="6"/>
  <c r="X82" i="6"/>
  <c r="T82" i="6"/>
  <c r="P82" i="6"/>
  <c r="O86" i="6"/>
  <c r="V86" i="6"/>
  <c r="R86" i="6"/>
  <c r="Y86" i="6"/>
  <c r="U86" i="6"/>
  <c r="Q86" i="6"/>
  <c r="X86" i="6"/>
  <c r="T86" i="6"/>
  <c r="P86" i="6"/>
  <c r="O90" i="6"/>
  <c r="V90" i="6"/>
  <c r="R90" i="6"/>
  <c r="Y90" i="6"/>
  <c r="U90" i="6"/>
  <c r="Q90" i="6"/>
  <c r="X90" i="6"/>
  <c r="T90" i="6"/>
  <c r="P90" i="6"/>
  <c r="O94" i="6"/>
  <c r="V94" i="6"/>
  <c r="R94" i="6"/>
  <c r="Y94" i="6"/>
  <c r="U94" i="6"/>
  <c r="Q94" i="6"/>
  <c r="X94" i="6"/>
  <c r="T94" i="6"/>
  <c r="P94" i="6"/>
  <c r="O98" i="6"/>
  <c r="V98" i="6"/>
  <c r="R98" i="6"/>
  <c r="Y98" i="6"/>
  <c r="U98" i="6"/>
  <c r="Q98" i="6"/>
  <c r="X98" i="6"/>
  <c r="T98" i="6"/>
  <c r="P98" i="6"/>
  <c r="O102" i="6"/>
  <c r="V102" i="6"/>
  <c r="R102" i="6"/>
  <c r="Y102" i="6"/>
  <c r="U102" i="6"/>
  <c r="Q102" i="6"/>
  <c r="X102" i="6"/>
  <c r="T102" i="6"/>
  <c r="P102" i="6"/>
  <c r="O106" i="6"/>
  <c r="V106" i="6"/>
  <c r="R106" i="6"/>
  <c r="Y106" i="6"/>
  <c r="U106" i="6"/>
  <c r="Q106" i="6"/>
  <c r="X106" i="6"/>
  <c r="T106" i="6"/>
  <c r="P106" i="6"/>
  <c r="O110" i="6"/>
  <c r="V110" i="6"/>
  <c r="R110" i="6"/>
  <c r="Y110" i="6"/>
  <c r="U110" i="6"/>
  <c r="Q110" i="6"/>
  <c r="X110" i="6"/>
  <c r="T110" i="6"/>
  <c r="P110" i="6"/>
  <c r="O114" i="6"/>
  <c r="V114" i="6"/>
  <c r="R114" i="6"/>
  <c r="Y114" i="6"/>
  <c r="U114" i="6"/>
  <c r="Q114" i="6"/>
  <c r="X114" i="6"/>
  <c r="T114" i="6"/>
  <c r="P114" i="6"/>
  <c r="O118" i="6"/>
  <c r="V118" i="6"/>
  <c r="R118" i="6"/>
  <c r="Y118" i="6"/>
  <c r="U118" i="6"/>
  <c r="Q118" i="6"/>
  <c r="X118" i="6"/>
  <c r="T118" i="6"/>
  <c r="P118" i="6"/>
  <c r="O122" i="6"/>
  <c r="V122" i="6"/>
  <c r="R122" i="6"/>
  <c r="Y122" i="6"/>
  <c r="U122" i="6"/>
  <c r="Q122" i="6"/>
  <c r="X122" i="6"/>
  <c r="T122" i="6"/>
  <c r="P122" i="6"/>
  <c r="O126" i="6"/>
  <c r="V126" i="6"/>
  <c r="R126" i="6"/>
  <c r="Y126" i="6"/>
  <c r="U126" i="6"/>
  <c r="Q126" i="6"/>
  <c r="X126" i="6"/>
  <c r="T126" i="6"/>
  <c r="P126" i="6"/>
  <c r="O130" i="6"/>
  <c r="V130" i="6"/>
  <c r="R130" i="6"/>
  <c r="Y130" i="6"/>
  <c r="U130" i="6"/>
  <c r="Q130" i="6"/>
  <c r="X130" i="6"/>
  <c r="T130" i="6"/>
  <c r="P130" i="6"/>
  <c r="O134" i="6"/>
  <c r="V134" i="6"/>
  <c r="R134" i="6"/>
  <c r="Y134" i="6"/>
  <c r="U134" i="6"/>
  <c r="Q134" i="6"/>
  <c r="X134" i="6"/>
  <c r="T134" i="6"/>
  <c r="P134" i="6"/>
  <c r="O138" i="6"/>
  <c r="V138" i="6"/>
  <c r="R138" i="6"/>
  <c r="Y138" i="6"/>
  <c r="U138" i="6"/>
  <c r="Q138" i="6"/>
  <c r="X138" i="6"/>
  <c r="T138" i="6"/>
  <c r="P138" i="6"/>
  <c r="O142" i="6"/>
  <c r="V142" i="6"/>
  <c r="R142" i="6"/>
  <c r="Y142" i="6"/>
  <c r="U142" i="6"/>
  <c r="Q142" i="6"/>
  <c r="X142" i="6"/>
  <c r="T142" i="6"/>
  <c r="P142" i="6"/>
  <c r="O146" i="6"/>
  <c r="V146" i="6"/>
  <c r="R146" i="6"/>
  <c r="Y146" i="6"/>
  <c r="U146" i="6"/>
  <c r="Q146" i="6"/>
  <c r="X146" i="6"/>
  <c r="T146" i="6"/>
  <c r="P146" i="6"/>
  <c r="O150" i="6"/>
  <c r="V150" i="6"/>
  <c r="R150" i="6"/>
  <c r="Y150" i="6"/>
  <c r="U150" i="6"/>
  <c r="Q150" i="6"/>
  <c r="X150" i="6"/>
  <c r="T150" i="6"/>
  <c r="P150" i="6"/>
  <c r="O154" i="6"/>
  <c r="V154" i="6"/>
  <c r="R154" i="6"/>
  <c r="Y154" i="6"/>
  <c r="U154" i="6"/>
  <c r="Q154" i="6"/>
  <c r="X154" i="6"/>
  <c r="T154" i="6"/>
  <c r="P154" i="6"/>
  <c r="O158" i="6"/>
  <c r="V158" i="6"/>
  <c r="R158" i="6"/>
  <c r="Y158" i="6"/>
  <c r="U158" i="6"/>
  <c r="Q158" i="6"/>
  <c r="X158" i="6"/>
  <c r="T158" i="6"/>
  <c r="P158" i="6"/>
  <c r="O162" i="6"/>
  <c r="V162" i="6"/>
  <c r="R162" i="6"/>
  <c r="Y162" i="6"/>
  <c r="U162" i="6"/>
  <c r="Q162" i="6"/>
  <c r="X162" i="6"/>
  <c r="T162" i="6"/>
  <c r="P162" i="6"/>
  <c r="O166" i="6"/>
  <c r="V166" i="6"/>
  <c r="R166" i="6"/>
  <c r="Y166" i="6"/>
  <c r="U166" i="6"/>
  <c r="Q166" i="6"/>
  <c r="X166" i="6"/>
  <c r="T166" i="6"/>
  <c r="P166" i="6"/>
  <c r="O170" i="6"/>
  <c r="V170" i="6"/>
  <c r="R170" i="6"/>
  <c r="Y170" i="6"/>
  <c r="U170" i="6"/>
  <c r="Q170" i="6"/>
  <c r="X170" i="6"/>
  <c r="T170" i="6"/>
  <c r="P170" i="6"/>
  <c r="O174" i="6"/>
  <c r="V174" i="6"/>
  <c r="W174" i="6"/>
  <c r="R174" i="6"/>
  <c r="U174" i="6"/>
  <c r="Q174" i="6"/>
  <c r="Y174" i="6"/>
  <c r="T174" i="6"/>
  <c r="P174" i="6"/>
  <c r="O178" i="6"/>
  <c r="W178" i="6"/>
  <c r="S178" i="6"/>
  <c r="V178" i="6"/>
  <c r="R178" i="6"/>
  <c r="Y178" i="6"/>
  <c r="Q178" i="6"/>
  <c r="X178" i="6"/>
  <c r="P178" i="6"/>
  <c r="U178" i="6"/>
  <c r="O182" i="6"/>
  <c r="W182" i="6"/>
  <c r="S182" i="6"/>
  <c r="V182" i="6"/>
  <c r="R182" i="6"/>
  <c r="Y182" i="6"/>
  <c r="Q182" i="6"/>
  <c r="X182" i="6"/>
  <c r="P182" i="6"/>
  <c r="U182" i="6"/>
  <c r="O186" i="6"/>
  <c r="W186" i="6"/>
  <c r="S186" i="6"/>
  <c r="V186" i="6"/>
  <c r="R186" i="6"/>
  <c r="Y186" i="6"/>
  <c r="Q186" i="6"/>
  <c r="X186" i="6"/>
  <c r="P186" i="6"/>
  <c r="U186" i="6"/>
  <c r="O190" i="6"/>
  <c r="W190" i="6"/>
  <c r="S190" i="6"/>
  <c r="V190" i="6"/>
  <c r="R190" i="6"/>
  <c r="Y190" i="6"/>
  <c r="Q190" i="6"/>
  <c r="X190" i="6"/>
  <c r="P190" i="6"/>
  <c r="U190" i="6"/>
  <c r="O194" i="6"/>
  <c r="W194" i="6"/>
  <c r="S194" i="6"/>
  <c r="V194" i="6"/>
  <c r="R194" i="6"/>
  <c r="Y194" i="6"/>
  <c r="Q194" i="6"/>
  <c r="X194" i="6"/>
  <c r="P194" i="6"/>
  <c r="U194" i="6"/>
  <c r="O198" i="6"/>
  <c r="W198" i="6"/>
  <c r="S198" i="6"/>
  <c r="V198" i="6"/>
  <c r="R198" i="6"/>
  <c r="Y198" i="6"/>
  <c r="Q198" i="6"/>
  <c r="X198" i="6"/>
  <c r="P198" i="6"/>
  <c r="U198" i="6"/>
  <c r="O202" i="6"/>
  <c r="W202" i="6"/>
  <c r="S202" i="6"/>
  <c r="V202" i="6"/>
  <c r="R202" i="6"/>
  <c r="Y202" i="6"/>
  <c r="Q202" i="6"/>
  <c r="X202" i="6"/>
  <c r="P202" i="6"/>
  <c r="U202" i="6"/>
  <c r="O206" i="6"/>
  <c r="W206" i="6"/>
  <c r="S206" i="6"/>
  <c r="V206" i="6"/>
  <c r="R206" i="6"/>
  <c r="Y206" i="6"/>
  <c r="Q206" i="6"/>
  <c r="X206" i="6"/>
  <c r="P206" i="6"/>
  <c r="U206" i="6"/>
  <c r="O210" i="6"/>
  <c r="W210" i="6"/>
  <c r="S210" i="6"/>
  <c r="V210" i="6"/>
  <c r="R210" i="6"/>
  <c r="Y210" i="6"/>
  <c r="Q210" i="6"/>
  <c r="X210" i="6"/>
  <c r="P210" i="6"/>
  <c r="U210" i="6"/>
  <c r="O214" i="6"/>
  <c r="W214" i="6"/>
  <c r="S214" i="6"/>
  <c r="V214" i="6"/>
  <c r="R214" i="6"/>
  <c r="Y214" i="6"/>
  <c r="Q214" i="6"/>
  <c r="X214" i="6"/>
  <c r="P214" i="6"/>
  <c r="U214" i="6"/>
  <c r="O218" i="6"/>
  <c r="W218" i="6"/>
  <c r="S218" i="6"/>
  <c r="V218" i="6"/>
  <c r="R218" i="6"/>
  <c r="Y218" i="6"/>
  <c r="Q218" i="6"/>
  <c r="X218" i="6"/>
  <c r="P218" i="6"/>
  <c r="U218" i="6"/>
  <c r="O222" i="6"/>
  <c r="W222" i="6"/>
  <c r="S222" i="6"/>
  <c r="V222" i="6"/>
  <c r="R222" i="6"/>
  <c r="Y222" i="6"/>
  <c r="Q222" i="6"/>
  <c r="X222" i="6"/>
  <c r="P222" i="6"/>
  <c r="U222" i="6"/>
  <c r="O226" i="6"/>
  <c r="W226" i="6"/>
  <c r="S226" i="6"/>
  <c r="V226" i="6"/>
  <c r="R226" i="6"/>
  <c r="Y226" i="6"/>
  <c r="Q226" i="6"/>
  <c r="X226" i="6"/>
  <c r="P226" i="6"/>
  <c r="U226" i="6"/>
  <c r="O230" i="6"/>
  <c r="W230" i="6"/>
  <c r="S230" i="6"/>
  <c r="V230" i="6"/>
  <c r="R230" i="6"/>
  <c r="Y230" i="6"/>
  <c r="Q230" i="6"/>
  <c r="X230" i="6"/>
  <c r="P230" i="6"/>
  <c r="U230" i="6"/>
  <c r="O234" i="6"/>
  <c r="W234" i="6"/>
  <c r="S234" i="6"/>
  <c r="V234" i="6"/>
  <c r="R234" i="6"/>
  <c r="Y234" i="6"/>
  <c r="Q234" i="6"/>
  <c r="X234" i="6"/>
  <c r="P234" i="6"/>
  <c r="U234" i="6"/>
  <c r="O238" i="6"/>
  <c r="W238" i="6"/>
  <c r="S238" i="6"/>
  <c r="V238" i="6"/>
  <c r="R238" i="6"/>
  <c r="Y238" i="6"/>
  <c r="Q238" i="6"/>
  <c r="X238" i="6"/>
  <c r="P238" i="6"/>
  <c r="U238" i="6"/>
  <c r="O242" i="6"/>
  <c r="W242" i="6"/>
  <c r="S242" i="6"/>
  <c r="V242" i="6"/>
  <c r="R242" i="6"/>
  <c r="Y242" i="6"/>
  <c r="Q242" i="6"/>
  <c r="X242" i="6"/>
  <c r="P242" i="6"/>
  <c r="U242" i="6"/>
  <c r="O246" i="6"/>
  <c r="W246" i="6"/>
  <c r="S246" i="6"/>
  <c r="V246" i="6"/>
  <c r="R246" i="6"/>
  <c r="Y246" i="6"/>
  <c r="Q246" i="6"/>
  <c r="X246" i="6"/>
  <c r="P246" i="6"/>
  <c r="U246" i="6"/>
  <c r="O250" i="6"/>
  <c r="W250" i="6"/>
  <c r="S250" i="6"/>
  <c r="V250" i="6"/>
  <c r="R250" i="6"/>
  <c r="Y250" i="6"/>
  <c r="Q250" i="6"/>
  <c r="X250" i="6"/>
  <c r="P250" i="6"/>
  <c r="U250" i="6"/>
  <c r="O254" i="6"/>
  <c r="W254" i="6"/>
  <c r="S254" i="6"/>
  <c r="V254" i="6"/>
  <c r="R254" i="6"/>
  <c r="Y254" i="6"/>
  <c r="Q254" i="6"/>
  <c r="X254" i="6"/>
  <c r="P254" i="6"/>
  <c r="U254" i="6"/>
  <c r="O258" i="6"/>
  <c r="W258" i="6"/>
  <c r="S258" i="6"/>
  <c r="V258" i="6"/>
  <c r="R258" i="6"/>
  <c r="Y258" i="6"/>
  <c r="Q258" i="6"/>
  <c r="X258" i="6"/>
  <c r="P258" i="6"/>
  <c r="U258" i="6"/>
  <c r="O262" i="6"/>
  <c r="W262" i="6"/>
  <c r="S262" i="6"/>
  <c r="V262" i="6"/>
  <c r="R262" i="6"/>
  <c r="Y262" i="6"/>
  <c r="Q262" i="6"/>
  <c r="X262" i="6"/>
  <c r="P262" i="6"/>
  <c r="U262" i="6"/>
  <c r="O266" i="6"/>
  <c r="W266" i="6"/>
  <c r="S266" i="6"/>
  <c r="V266" i="6"/>
  <c r="R266" i="6"/>
  <c r="Y266" i="6"/>
  <c r="Q266" i="6"/>
  <c r="X266" i="6"/>
  <c r="P266" i="6"/>
  <c r="U266" i="6"/>
  <c r="O270" i="6"/>
  <c r="W270" i="6"/>
  <c r="S270" i="6"/>
  <c r="V270" i="6"/>
  <c r="R270" i="6"/>
  <c r="Y270" i="6"/>
  <c r="Q270" i="6"/>
  <c r="X270" i="6"/>
  <c r="P270" i="6"/>
  <c r="U270" i="6"/>
  <c r="O274" i="6"/>
  <c r="W274" i="6"/>
  <c r="S274" i="6"/>
  <c r="V274" i="6"/>
  <c r="R274" i="6"/>
  <c r="Y274" i="6"/>
  <c r="Q274" i="6"/>
  <c r="X274" i="6"/>
  <c r="P274" i="6"/>
  <c r="U274" i="6"/>
  <c r="O278" i="6"/>
  <c r="W278" i="6"/>
  <c r="S278" i="6"/>
  <c r="V278" i="6"/>
  <c r="R278" i="6"/>
  <c r="Y278" i="6"/>
  <c r="Q278" i="6"/>
  <c r="X278" i="6"/>
  <c r="P278" i="6"/>
  <c r="U278" i="6"/>
  <c r="O282" i="6"/>
  <c r="W282" i="6"/>
  <c r="S282" i="6"/>
  <c r="V282" i="6"/>
  <c r="R282" i="6"/>
  <c r="Y282" i="6"/>
  <c r="Q282" i="6"/>
  <c r="X282" i="6"/>
  <c r="P282" i="6"/>
  <c r="U282" i="6"/>
  <c r="O286" i="6"/>
  <c r="W286" i="6"/>
  <c r="S286" i="6"/>
  <c r="V286" i="6"/>
  <c r="R286" i="6"/>
  <c r="Y286" i="6"/>
  <c r="Q286" i="6"/>
  <c r="X286" i="6"/>
  <c r="P286" i="6"/>
  <c r="U286" i="6"/>
  <c r="O290" i="6"/>
  <c r="W290" i="6"/>
  <c r="S290" i="6"/>
  <c r="V290" i="6"/>
  <c r="R290" i="6"/>
  <c r="Y290" i="6"/>
  <c r="Q290" i="6"/>
  <c r="X290" i="6"/>
  <c r="P290" i="6"/>
  <c r="U290" i="6"/>
  <c r="O294" i="6"/>
  <c r="W294" i="6"/>
  <c r="S294" i="6"/>
  <c r="V294" i="6"/>
  <c r="R294" i="6"/>
  <c r="Y294" i="6"/>
  <c r="Q294" i="6"/>
  <c r="X294" i="6"/>
  <c r="P294" i="6"/>
  <c r="U294" i="6"/>
  <c r="O298" i="6"/>
  <c r="W298" i="6"/>
  <c r="S298" i="6"/>
  <c r="V298" i="6"/>
  <c r="R298" i="6"/>
  <c r="Y298" i="6"/>
  <c r="Q298" i="6"/>
  <c r="X298" i="6"/>
  <c r="P298" i="6"/>
  <c r="U298" i="6"/>
  <c r="O302" i="6"/>
  <c r="W302" i="6"/>
  <c r="S302" i="6"/>
  <c r="V302" i="6"/>
  <c r="R302" i="6"/>
  <c r="Y302" i="6"/>
  <c r="Q302" i="6"/>
  <c r="X302" i="6"/>
  <c r="P302" i="6"/>
  <c r="U302" i="6"/>
  <c r="O306" i="6"/>
  <c r="W306" i="6"/>
  <c r="S306" i="6"/>
  <c r="V306" i="6"/>
  <c r="R306" i="6"/>
  <c r="Y306" i="6"/>
  <c r="Q306" i="6"/>
  <c r="X306" i="6"/>
  <c r="P306" i="6"/>
  <c r="U306" i="6"/>
  <c r="O310" i="6"/>
  <c r="W310" i="6"/>
  <c r="S310" i="6"/>
  <c r="V310" i="6"/>
  <c r="R310" i="6"/>
  <c r="Y310" i="6"/>
  <c r="Q310" i="6"/>
  <c r="X310" i="6"/>
  <c r="P310" i="6"/>
  <c r="U310" i="6"/>
  <c r="O314" i="6"/>
  <c r="W314" i="6"/>
  <c r="S314" i="6"/>
  <c r="V314" i="6"/>
  <c r="R314" i="6"/>
  <c r="Y314" i="6"/>
  <c r="Q314" i="6"/>
  <c r="X314" i="6"/>
  <c r="P314" i="6"/>
  <c r="U314" i="6"/>
  <c r="O318" i="6"/>
  <c r="W318" i="6"/>
  <c r="S318" i="6"/>
  <c r="V318" i="6"/>
  <c r="R318" i="6"/>
  <c r="Y318" i="6"/>
  <c r="Q318" i="6"/>
  <c r="X318" i="6"/>
  <c r="P318" i="6"/>
  <c r="U318" i="6"/>
  <c r="O322" i="6"/>
  <c r="W322" i="6"/>
  <c r="S322" i="6"/>
  <c r="V322" i="6"/>
  <c r="R322" i="6"/>
  <c r="Y322" i="6"/>
  <c r="Q322" i="6"/>
  <c r="X322" i="6"/>
  <c r="P322" i="6"/>
  <c r="U322" i="6"/>
  <c r="O326" i="6"/>
  <c r="W326" i="6"/>
  <c r="S326" i="6"/>
  <c r="V326" i="6"/>
  <c r="R326" i="6"/>
  <c r="Y326" i="6"/>
  <c r="Q326" i="6"/>
  <c r="X326" i="6"/>
  <c r="P326" i="6"/>
  <c r="U326" i="6"/>
  <c r="O330" i="6"/>
  <c r="W330" i="6"/>
  <c r="S330" i="6"/>
  <c r="V330" i="6"/>
  <c r="R330" i="6"/>
  <c r="Y330" i="6"/>
  <c r="Q330" i="6"/>
  <c r="X330" i="6"/>
  <c r="P330" i="6"/>
  <c r="U330" i="6"/>
  <c r="O334" i="6"/>
  <c r="W334" i="6"/>
  <c r="S334" i="6"/>
  <c r="V334" i="6"/>
  <c r="R334" i="6"/>
  <c r="Y334" i="6"/>
  <c r="Q334" i="6"/>
  <c r="X334" i="6"/>
  <c r="P334" i="6"/>
  <c r="U334" i="6"/>
  <c r="O338" i="6"/>
  <c r="Y338" i="6"/>
  <c r="U338" i="6"/>
  <c r="Q338" i="6"/>
  <c r="T338" i="6"/>
  <c r="X338" i="6"/>
  <c r="S338" i="6"/>
  <c r="R338" i="6"/>
  <c r="P338" i="6"/>
  <c r="W338" i="6"/>
  <c r="O342" i="6"/>
  <c r="Y342" i="6"/>
  <c r="U342" i="6"/>
  <c r="Q342" i="6"/>
  <c r="W342" i="6"/>
  <c r="R342" i="6"/>
  <c r="V342" i="6"/>
  <c r="P342" i="6"/>
  <c r="T342" i="6"/>
  <c r="S342" i="6"/>
  <c r="O346" i="6"/>
  <c r="Y346" i="6"/>
  <c r="U346" i="6"/>
  <c r="Q346" i="6"/>
  <c r="T346" i="6"/>
  <c r="X346" i="6"/>
  <c r="S346" i="6"/>
  <c r="W346" i="6"/>
  <c r="V346" i="6"/>
  <c r="R346" i="6"/>
  <c r="O350" i="6"/>
  <c r="Y350" i="6"/>
  <c r="U350" i="6"/>
  <c r="Q350" i="6"/>
  <c r="W350" i="6"/>
  <c r="R350" i="6"/>
  <c r="V350" i="6"/>
  <c r="P350" i="6"/>
  <c r="X350" i="6"/>
  <c r="T350" i="6"/>
  <c r="O354" i="6"/>
  <c r="Y354" i="6"/>
  <c r="U354" i="6"/>
  <c r="Q354" i="6"/>
  <c r="T354" i="6"/>
  <c r="X354" i="6"/>
  <c r="S354" i="6"/>
  <c r="R354" i="6"/>
  <c r="P354" i="6"/>
  <c r="W354" i="6"/>
  <c r="O358" i="6"/>
  <c r="Y358" i="6"/>
  <c r="U358" i="6"/>
  <c r="Q358" i="6"/>
  <c r="W358" i="6"/>
  <c r="R358" i="6"/>
  <c r="V358" i="6"/>
  <c r="P358" i="6"/>
  <c r="T358" i="6"/>
  <c r="S358" i="6"/>
  <c r="O362" i="6"/>
  <c r="Y362" i="6"/>
  <c r="U362" i="6"/>
  <c r="Q362" i="6"/>
  <c r="T362" i="6"/>
  <c r="X362" i="6"/>
  <c r="S362" i="6"/>
  <c r="W362" i="6"/>
  <c r="V362" i="6"/>
  <c r="R362" i="6"/>
  <c r="O366" i="6"/>
  <c r="Y366" i="6"/>
  <c r="U366" i="6"/>
  <c r="Q366" i="6"/>
  <c r="W366" i="6"/>
  <c r="R366" i="6"/>
  <c r="V366" i="6"/>
  <c r="P366" i="6"/>
  <c r="T366" i="6"/>
  <c r="X366" i="6"/>
  <c r="S366" i="6"/>
  <c r="O370" i="6"/>
  <c r="Y370" i="6"/>
  <c r="U370" i="6"/>
  <c r="Q370" i="6"/>
  <c r="T370" i="6"/>
  <c r="X370" i="6"/>
  <c r="S370" i="6"/>
  <c r="W370" i="6"/>
  <c r="R370" i="6"/>
  <c r="V370" i="6"/>
  <c r="O374" i="6"/>
  <c r="Y374" i="6"/>
  <c r="U374" i="6"/>
  <c r="Q374" i="6"/>
  <c r="W374" i="6"/>
  <c r="R374" i="6"/>
  <c r="V374" i="6"/>
  <c r="P374" i="6"/>
  <c r="T374" i="6"/>
  <c r="X374" i="6"/>
  <c r="O378" i="6"/>
  <c r="Y378" i="6"/>
  <c r="U378" i="6"/>
  <c r="Q378" i="6"/>
  <c r="T378" i="6"/>
  <c r="X378" i="6"/>
  <c r="S378" i="6"/>
  <c r="W378" i="6"/>
  <c r="R378" i="6"/>
  <c r="P378" i="6"/>
  <c r="O382" i="6"/>
  <c r="Y382" i="6"/>
  <c r="U382" i="6"/>
  <c r="Q382" i="6"/>
  <c r="W382" i="6"/>
  <c r="R382" i="6"/>
  <c r="V382" i="6"/>
  <c r="P382" i="6"/>
  <c r="T382" i="6"/>
  <c r="S382" i="6"/>
  <c r="O386" i="6"/>
  <c r="Y386" i="6"/>
  <c r="U386" i="6"/>
  <c r="Q386" i="6"/>
  <c r="T386" i="6"/>
  <c r="X386" i="6"/>
  <c r="S386" i="6"/>
  <c r="W386" i="6"/>
  <c r="R386" i="6"/>
  <c r="V386" i="6"/>
  <c r="P386" i="6"/>
  <c r="O390" i="6"/>
  <c r="V390" i="6"/>
  <c r="R390" i="6"/>
  <c r="Y390" i="6"/>
  <c r="U390" i="6"/>
  <c r="Q390" i="6"/>
  <c r="S390" i="6"/>
  <c r="X390" i="6"/>
  <c r="P390" i="6"/>
  <c r="W390" i="6"/>
  <c r="T390" i="6"/>
  <c r="O394" i="6"/>
  <c r="V394" i="6"/>
  <c r="R394" i="6"/>
  <c r="Y394" i="6"/>
  <c r="U394" i="6"/>
  <c r="Q394" i="6"/>
  <c r="S394" i="6"/>
  <c r="X394" i="6"/>
  <c r="P394" i="6"/>
  <c r="W394" i="6"/>
  <c r="T394" i="6"/>
  <c r="O398" i="6"/>
  <c r="V398" i="6"/>
  <c r="R398" i="6"/>
  <c r="Y398" i="6"/>
  <c r="U398" i="6"/>
  <c r="Q398" i="6"/>
  <c r="S398" i="6"/>
  <c r="X398" i="6"/>
  <c r="P398" i="6"/>
  <c r="W398" i="6"/>
  <c r="T398" i="6"/>
  <c r="O402" i="6"/>
  <c r="V402" i="6"/>
  <c r="R402" i="6"/>
  <c r="Y402" i="6"/>
  <c r="U402" i="6"/>
  <c r="Q402" i="6"/>
  <c r="S402" i="6"/>
  <c r="X402" i="6"/>
  <c r="P402" i="6"/>
  <c r="W402" i="6"/>
  <c r="O406" i="6"/>
  <c r="V406" i="6"/>
  <c r="R406" i="6"/>
  <c r="Y406" i="6"/>
  <c r="U406" i="6"/>
  <c r="Q406" i="6"/>
  <c r="S406" i="6"/>
  <c r="X406" i="6"/>
  <c r="P406" i="6"/>
  <c r="W406" i="6"/>
  <c r="T406" i="6"/>
  <c r="O410" i="6"/>
  <c r="V410" i="6"/>
  <c r="R410" i="6"/>
  <c r="Y410" i="6"/>
  <c r="U410" i="6"/>
  <c r="Q410" i="6"/>
  <c r="S410" i="6"/>
  <c r="X410" i="6"/>
  <c r="P410" i="6"/>
  <c r="W410" i="6"/>
  <c r="T410" i="6"/>
  <c r="O414" i="6"/>
  <c r="V414" i="6"/>
  <c r="R414" i="6"/>
  <c r="Y414" i="6"/>
  <c r="U414" i="6"/>
  <c r="Q414" i="6"/>
  <c r="S414" i="6"/>
  <c r="X414" i="6"/>
  <c r="P414" i="6"/>
  <c r="W414" i="6"/>
  <c r="T414" i="6"/>
  <c r="O418" i="6"/>
  <c r="V418" i="6"/>
  <c r="R418" i="6"/>
  <c r="Y418" i="6"/>
  <c r="U418" i="6"/>
  <c r="Q418" i="6"/>
  <c r="S418" i="6"/>
  <c r="X418" i="6"/>
  <c r="P418" i="6"/>
  <c r="W418" i="6"/>
  <c r="O422" i="6"/>
  <c r="V422" i="6"/>
  <c r="R422" i="6"/>
  <c r="Y422" i="6"/>
  <c r="U422" i="6"/>
  <c r="Q422" i="6"/>
  <c r="S422" i="6"/>
  <c r="X422" i="6"/>
  <c r="P422" i="6"/>
  <c r="W422" i="6"/>
  <c r="T422" i="6"/>
  <c r="O426" i="6"/>
  <c r="V426" i="6"/>
  <c r="R426" i="6"/>
  <c r="Y426" i="6"/>
  <c r="U426" i="6"/>
  <c r="Q426" i="6"/>
  <c r="S426" i="6"/>
  <c r="X426" i="6"/>
  <c r="P426" i="6"/>
  <c r="W426" i="6"/>
  <c r="T426" i="6"/>
  <c r="O430" i="6"/>
  <c r="V430" i="6"/>
  <c r="R430" i="6"/>
  <c r="Y430" i="6"/>
  <c r="U430" i="6"/>
  <c r="Q430" i="6"/>
  <c r="S430" i="6"/>
  <c r="X430" i="6"/>
  <c r="P430" i="6"/>
  <c r="W430" i="6"/>
  <c r="T430" i="6"/>
  <c r="O434" i="6"/>
  <c r="V434" i="6"/>
  <c r="R434" i="6"/>
  <c r="Y434" i="6"/>
  <c r="U434" i="6"/>
  <c r="Q434" i="6"/>
  <c r="S434" i="6"/>
  <c r="X434" i="6"/>
  <c r="P434" i="6"/>
  <c r="W434" i="6"/>
  <c r="O438" i="6"/>
  <c r="V438" i="6"/>
  <c r="R438" i="6"/>
  <c r="Y438" i="6"/>
  <c r="U438" i="6"/>
  <c r="Q438" i="6"/>
  <c r="S438" i="6"/>
  <c r="X438" i="6"/>
  <c r="P438" i="6"/>
  <c r="W438" i="6"/>
  <c r="T438" i="6"/>
  <c r="O442" i="6"/>
  <c r="V442" i="6"/>
  <c r="R442" i="6"/>
  <c r="Y442" i="6"/>
  <c r="U442" i="6"/>
  <c r="Q442" i="6"/>
  <c r="S442" i="6"/>
  <c r="X442" i="6"/>
  <c r="P442" i="6"/>
  <c r="W442" i="6"/>
  <c r="T442" i="6"/>
  <c r="O446" i="6"/>
  <c r="V446" i="6"/>
  <c r="R446" i="6"/>
  <c r="Y446" i="6"/>
  <c r="U446" i="6"/>
  <c r="Q446" i="6"/>
  <c r="S446" i="6"/>
  <c r="X446" i="6"/>
  <c r="P446" i="6"/>
  <c r="W446" i="6"/>
  <c r="T446" i="6"/>
  <c r="O450" i="6"/>
  <c r="V450" i="6"/>
  <c r="R450" i="6"/>
  <c r="Y450" i="6"/>
  <c r="U450" i="6"/>
  <c r="Q450" i="6"/>
  <c r="S450" i="6"/>
  <c r="X450" i="6"/>
  <c r="P450" i="6"/>
  <c r="W450" i="6"/>
  <c r="O454" i="6"/>
  <c r="V454" i="6"/>
  <c r="R454" i="6"/>
  <c r="Y454" i="6"/>
  <c r="U454" i="6"/>
  <c r="Q454" i="6"/>
  <c r="S454" i="6"/>
  <c r="X454" i="6"/>
  <c r="P454" i="6"/>
  <c r="W454" i="6"/>
  <c r="T454" i="6"/>
  <c r="O458" i="6"/>
  <c r="V458" i="6"/>
  <c r="R458" i="6"/>
  <c r="Y458" i="6"/>
  <c r="U458" i="6"/>
  <c r="Q458" i="6"/>
  <c r="X458" i="6"/>
  <c r="T458" i="6"/>
  <c r="P458" i="6"/>
  <c r="S458" i="6"/>
  <c r="W458" i="6"/>
  <c r="O462" i="6"/>
  <c r="V462" i="6"/>
  <c r="R462" i="6"/>
  <c r="Y462" i="6"/>
  <c r="U462" i="6"/>
  <c r="Q462" i="6"/>
  <c r="X462" i="6"/>
  <c r="T462" i="6"/>
  <c r="P462" i="6"/>
  <c r="W462" i="6"/>
  <c r="S462" i="6"/>
  <c r="O466" i="6"/>
  <c r="V466" i="6"/>
  <c r="R466" i="6"/>
  <c r="Y466" i="6"/>
  <c r="U466" i="6"/>
  <c r="Q466" i="6"/>
  <c r="X466" i="6"/>
  <c r="T466" i="6"/>
  <c r="P466" i="6"/>
  <c r="S466" i="6"/>
  <c r="W466" i="6"/>
  <c r="O470" i="6"/>
  <c r="V470" i="6"/>
  <c r="R470" i="6"/>
  <c r="Y470" i="6"/>
  <c r="U470" i="6"/>
  <c r="Q470" i="6"/>
  <c r="X470" i="6"/>
  <c r="T470" i="6"/>
  <c r="P470" i="6"/>
  <c r="W470" i="6"/>
  <c r="S470" i="6"/>
  <c r="O474" i="6"/>
  <c r="V474" i="6"/>
  <c r="R474" i="6"/>
  <c r="Y474" i="6"/>
  <c r="U474" i="6"/>
  <c r="Q474" i="6"/>
  <c r="X474" i="6"/>
  <c r="T474" i="6"/>
  <c r="P474" i="6"/>
  <c r="S474" i="6"/>
  <c r="W474" i="6"/>
  <c r="O478" i="6"/>
  <c r="V478" i="6"/>
  <c r="R478" i="6"/>
  <c r="Y478" i="6"/>
  <c r="U478" i="6"/>
  <c r="Q478" i="6"/>
  <c r="X478" i="6"/>
  <c r="T478" i="6"/>
  <c r="P478" i="6"/>
  <c r="W478" i="6"/>
  <c r="S478" i="6"/>
  <c r="O482" i="6"/>
  <c r="V482" i="6"/>
  <c r="R482" i="6"/>
  <c r="Y482" i="6"/>
  <c r="U482" i="6"/>
  <c r="Q482" i="6"/>
  <c r="X482" i="6"/>
  <c r="T482" i="6"/>
  <c r="P482" i="6"/>
  <c r="S482" i="6"/>
  <c r="O486" i="6"/>
  <c r="V486" i="6"/>
  <c r="R486" i="6"/>
  <c r="Y486" i="6"/>
  <c r="U486" i="6"/>
  <c r="Q486" i="6"/>
  <c r="X486" i="6"/>
  <c r="T486" i="6"/>
  <c r="P486" i="6"/>
  <c r="W486" i="6"/>
  <c r="S486" i="6"/>
  <c r="O490" i="6"/>
  <c r="V490" i="6"/>
  <c r="R490" i="6"/>
  <c r="Y490" i="6"/>
  <c r="U490" i="6"/>
  <c r="Q490" i="6"/>
  <c r="X490" i="6"/>
  <c r="T490" i="6"/>
  <c r="P490" i="6"/>
  <c r="S490" i="6"/>
  <c r="W490" i="6"/>
  <c r="O494" i="6"/>
  <c r="V494" i="6"/>
  <c r="R494" i="6"/>
  <c r="Y494" i="6"/>
  <c r="U494" i="6"/>
  <c r="Q494" i="6"/>
  <c r="X494" i="6"/>
  <c r="T494" i="6"/>
  <c r="P494" i="6"/>
  <c r="W494" i="6"/>
  <c r="S494" i="6"/>
  <c r="O498" i="6"/>
  <c r="V498" i="6"/>
  <c r="R498" i="6"/>
  <c r="Y498" i="6"/>
  <c r="U498" i="6"/>
  <c r="Q498" i="6"/>
  <c r="X498" i="6"/>
  <c r="T498" i="6"/>
  <c r="P498" i="6"/>
  <c r="S498" i="6"/>
  <c r="W498" i="6"/>
  <c r="O502" i="6"/>
  <c r="V502" i="6"/>
  <c r="R502" i="6"/>
  <c r="Y502" i="6"/>
  <c r="U502" i="6"/>
  <c r="Q502" i="6"/>
  <c r="X502" i="6"/>
  <c r="T502" i="6"/>
  <c r="P502" i="6"/>
  <c r="W502" i="6"/>
  <c r="S502" i="6"/>
  <c r="O506" i="6"/>
  <c r="V506" i="6"/>
  <c r="R506" i="6"/>
  <c r="Y506" i="6"/>
  <c r="U506" i="6"/>
  <c r="Q506" i="6"/>
  <c r="X506" i="6"/>
  <c r="T506" i="6"/>
  <c r="P506" i="6"/>
  <c r="S506" i="6"/>
  <c r="W506" i="6"/>
  <c r="O510" i="6"/>
  <c r="V510" i="6"/>
  <c r="R510" i="6"/>
  <c r="Y510" i="6"/>
  <c r="U510" i="6"/>
  <c r="Q510" i="6"/>
  <c r="X510" i="6"/>
  <c r="T510" i="6"/>
  <c r="P510" i="6"/>
  <c r="W510" i="6"/>
  <c r="S510" i="6"/>
  <c r="O514" i="6"/>
  <c r="V514" i="6"/>
  <c r="R514" i="6"/>
  <c r="Y514" i="6"/>
  <c r="U514" i="6"/>
  <c r="Q514" i="6"/>
  <c r="X514" i="6"/>
  <c r="T514" i="6"/>
  <c r="P514" i="6"/>
  <c r="S514" i="6"/>
  <c r="O518" i="6"/>
  <c r="V518" i="6"/>
  <c r="R518" i="6"/>
  <c r="Y518" i="6"/>
  <c r="U518" i="6"/>
  <c r="Q518" i="6"/>
  <c r="X518" i="6"/>
  <c r="T518" i="6"/>
  <c r="P518" i="6"/>
  <c r="W518" i="6"/>
  <c r="S518" i="6"/>
  <c r="O522" i="6"/>
  <c r="V522" i="6"/>
  <c r="R522" i="6"/>
  <c r="Y522" i="6"/>
  <c r="U522" i="6"/>
  <c r="Q522" i="6"/>
  <c r="X522" i="6"/>
  <c r="T522" i="6"/>
  <c r="P522" i="6"/>
  <c r="S522" i="6"/>
  <c r="W522" i="6"/>
  <c r="O526" i="6"/>
  <c r="V526" i="6"/>
  <c r="R526" i="6"/>
  <c r="Y526" i="6"/>
  <c r="U526" i="6"/>
  <c r="Q526" i="6"/>
  <c r="X526" i="6"/>
  <c r="T526" i="6"/>
  <c r="P526" i="6"/>
  <c r="W526" i="6"/>
  <c r="S526" i="6"/>
  <c r="O530" i="6"/>
  <c r="V530" i="6"/>
  <c r="R530" i="6"/>
  <c r="Y530" i="6"/>
  <c r="U530" i="6"/>
  <c r="Q530" i="6"/>
  <c r="X530" i="6"/>
  <c r="T530" i="6"/>
  <c r="P530" i="6"/>
  <c r="S530" i="6"/>
  <c r="W530" i="6"/>
  <c r="O534" i="6"/>
  <c r="V534" i="6"/>
  <c r="R534" i="6"/>
  <c r="Y534" i="6"/>
  <c r="U534" i="6"/>
  <c r="Q534" i="6"/>
  <c r="X534" i="6"/>
  <c r="T534" i="6"/>
  <c r="P534" i="6"/>
  <c r="W534" i="6"/>
  <c r="S534" i="6"/>
  <c r="O538" i="6"/>
  <c r="V538" i="6"/>
  <c r="R538" i="6"/>
  <c r="Y538" i="6"/>
  <c r="U538" i="6"/>
  <c r="Q538" i="6"/>
  <c r="X538" i="6"/>
  <c r="T538" i="6"/>
  <c r="P538" i="6"/>
  <c r="S538" i="6"/>
  <c r="W538" i="6"/>
  <c r="O542" i="6"/>
  <c r="V542" i="6"/>
  <c r="R542" i="6"/>
  <c r="Y542" i="6"/>
  <c r="U542" i="6"/>
  <c r="Q542" i="6"/>
  <c r="X542" i="6"/>
  <c r="T542" i="6"/>
  <c r="P542" i="6"/>
  <c r="W542" i="6"/>
  <c r="S542" i="6"/>
  <c r="O546" i="6"/>
  <c r="V546" i="6"/>
  <c r="R546" i="6"/>
  <c r="Y546" i="6"/>
  <c r="U546" i="6"/>
  <c r="Q546" i="6"/>
  <c r="X546" i="6"/>
  <c r="T546" i="6"/>
  <c r="P546" i="6"/>
  <c r="S546" i="6"/>
  <c r="O550" i="6"/>
  <c r="V550" i="6"/>
  <c r="R550" i="6"/>
  <c r="Y550" i="6"/>
  <c r="U550" i="6"/>
  <c r="Q550" i="6"/>
  <c r="X550" i="6"/>
  <c r="T550" i="6"/>
  <c r="P550" i="6"/>
  <c r="W550" i="6"/>
  <c r="S550" i="6"/>
  <c r="O554" i="6"/>
  <c r="V554" i="6"/>
  <c r="R554" i="6"/>
  <c r="Y554" i="6"/>
  <c r="U554" i="6"/>
  <c r="Q554" i="6"/>
  <c r="X554" i="6"/>
  <c r="T554" i="6"/>
  <c r="P554" i="6"/>
  <c r="S554" i="6"/>
  <c r="W554" i="6"/>
  <c r="O558" i="6"/>
  <c r="V558" i="6"/>
  <c r="R558" i="6"/>
  <c r="Y558" i="6"/>
  <c r="U558" i="6"/>
  <c r="Q558" i="6"/>
  <c r="X558" i="6"/>
  <c r="T558" i="6"/>
  <c r="P558" i="6"/>
  <c r="W558" i="6"/>
  <c r="S558" i="6"/>
  <c r="O562" i="6"/>
  <c r="X562" i="6"/>
  <c r="T562" i="6"/>
  <c r="P562" i="6"/>
  <c r="W562" i="6"/>
  <c r="S562" i="6"/>
  <c r="R562" i="6"/>
  <c r="Y562" i="6"/>
  <c r="Q562" i="6"/>
  <c r="V562" i="6"/>
  <c r="U562" i="6"/>
  <c r="O566" i="6"/>
  <c r="X566" i="6"/>
  <c r="T566" i="6"/>
  <c r="P566" i="6"/>
  <c r="W566" i="6"/>
  <c r="S566" i="6"/>
  <c r="R566" i="6"/>
  <c r="Y566" i="6"/>
  <c r="Q566" i="6"/>
  <c r="V566" i="6"/>
  <c r="U566" i="6"/>
  <c r="O570" i="6"/>
  <c r="X570" i="6"/>
  <c r="T570" i="6"/>
  <c r="P570" i="6"/>
  <c r="W570" i="6"/>
  <c r="S570" i="6"/>
  <c r="R570" i="6"/>
  <c r="Y570" i="6"/>
  <c r="Q570" i="6"/>
  <c r="V570" i="6"/>
  <c r="U570" i="6"/>
  <c r="O574" i="6"/>
  <c r="X574" i="6"/>
  <c r="T574" i="6"/>
  <c r="P574" i="6"/>
  <c r="W574" i="6"/>
  <c r="S574" i="6"/>
  <c r="R574" i="6"/>
  <c r="Y574" i="6"/>
  <c r="Q574" i="6"/>
  <c r="V574" i="6"/>
  <c r="U574" i="6"/>
  <c r="O578" i="6"/>
  <c r="X578" i="6"/>
  <c r="T578" i="6"/>
  <c r="P578" i="6"/>
  <c r="W578" i="6"/>
  <c r="S578" i="6"/>
  <c r="R578" i="6"/>
  <c r="Y578" i="6"/>
  <c r="Q578" i="6"/>
  <c r="V578" i="6"/>
  <c r="U578" i="6"/>
  <c r="O582" i="6"/>
  <c r="X582" i="6"/>
  <c r="T582" i="6"/>
  <c r="P582" i="6"/>
  <c r="W582" i="6"/>
  <c r="S582" i="6"/>
  <c r="R582" i="6"/>
  <c r="Y582" i="6"/>
  <c r="Q582" i="6"/>
  <c r="V582" i="6"/>
  <c r="U582" i="6"/>
  <c r="O586" i="6"/>
  <c r="X586" i="6"/>
  <c r="T586" i="6"/>
  <c r="P586" i="6"/>
  <c r="W586" i="6"/>
  <c r="S586" i="6"/>
  <c r="R586" i="6"/>
  <c r="Y586" i="6"/>
  <c r="Q586" i="6"/>
  <c r="V586" i="6"/>
  <c r="U586" i="6"/>
  <c r="O590" i="6"/>
  <c r="X590" i="6"/>
  <c r="T590" i="6"/>
  <c r="P590" i="6"/>
  <c r="W590" i="6"/>
  <c r="S590" i="6"/>
  <c r="R590" i="6"/>
  <c r="Y590" i="6"/>
  <c r="Q590" i="6"/>
  <c r="V590" i="6"/>
  <c r="U590" i="6"/>
  <c r="O594" i="6"/>
  <c r="X594" i="6"/>
  <c r="T594" i="6"/>
  <c r="P594" i="6"/>
  <c r="W594" i="6"/>
  <c r="S594" i="6"/>
  <c r="R594" i="6"/>
  <c r="Y594" i="6"/>
  <c r="Q594" i="6"/>
  <c r="V594" i="6"/>
  <c r="U594" i="6"/>
  <c r="O598" i="6"/>
  <c r="X598" i="6"/>
  <c r="T598" i="6"/>
  <c r="P598" i="6"/>
  <c r="W598" i="6"/>
  <c r="S598" i="6"/>
  <c r="R598" i="6"/>
  <c r="Y598" i="6"/>
  <c r="Q598" i="6"/>
  <c r="V598" i="6"/>
  <c r="O602" i="6"/>
  <c r="X602" i="6"/>
  <c r="T602" i="6"/>
  <c r="P602" i="6"/>
  <c r="W602" i="6"/>
  <c r="S602" i="6"/>
  <c r="R602" i="6"/>
  <c r="Y602" i="6"/>
  <c r="Q602" i="6"/>
  <c r="V602" i="6"/>
  <c r="U602" i="6"/>
  <c r="O606" i="6"/>
  <c r="X606" i="6"/>
  <c r="T606" i="6"/>
  <c r="P606" i="6"/>
  <c r="W606" i="6"/>
  <c r="S606" i="6"/>
  <c r="R606" i="6"/>
  <c r="Y606" i="6"/>
  <c r="Q606" i="6"/>
  <c r="V606" i="6"/>
  <c r="U606" i="6"/>
  <c r="O610" i="6"/>
  <c r="X610" i="6"/>
  <c r="T610" i="6"/>
  <c r="P610" i="6"/>
  <c r="W610" i="6"/>
  <c r="S610" i="6"/>
  <c r="R610" i="6"/>
  <c r="Y610" i="6"/>
  <c r="Q610" i="6"/>
  <c r="V610" i="6"/>
  <c r="U610" i="6"/>
  <c r="O614" i="6"/>
  <c r="X614" i="6"/>
  <c r="T614" i="6"/>
  <c r="P614" i="6"/>
  <c r="W614" i="6"/>
  <c r="S614" i="6"/>
  <c r="R614" i="6"/>
  <c r="Y614" i="6"/>
  <c r="Q614" i="6"/>
  <c r="V614" i="6"/>
  <c r="U614" i="6"/>
  <c r="O618" i="6"/>
  <c r="X618" i="6"/>
  <c r="T618" i="6"/>
  <c r="P618" i="6"/>
  <c r="W618" i="6"/>
  <c r="S618" i="6"/>
  <c r="R618" i="6"/>
  <c r="Y618" i="6"/>
  <c r="Q618" i="6"/>
  <c r="V618" i="6"/>
  <c r="U618" i="6"/>
  <c r="O622" i="6"/>
  <c r="X622" i="6"/>
  <c r="T622" i="6"/>
  <c r="P622" i="6"/>
  <c r="W622" i="6"/>
  <c r="S622" i="6"/>
  <c r="R622" i="6"/>
  <c r="Y622" i="6"/>
  <c r="Q622" i="6"/>
  <c r="V622" i="6"/>
  <c r="U622" i="6"/>
  <c r="O626" i="6"/>
  <c r="X626" i="6"/>
  <c r="T626" i="6"/>
  <c r="P626" i="6"/>
  <c r="W626" i="6"/>
  <c r="S626" i="6"/>
  <c r="R626" i="6"/>
  <c r="Y626" i="6"/>
  <c r="Q626" i="6"/>
  <c r="V626" i="6"/>
  <c r="U626" i="6"/>
  <c r="O630" i="6"/>
  <c r="X630" i="6"/>
  <c r="T630" i="6"/>
  <c r="P630" i="6"/>
  <c r="W630" i="6"/>
  <c r="S630" i="6"/>
  <c r="V630" i="6"/>
  <c r="R630" i="6"/>
  <c r="Y630" i="6"/>
  <c r="U630" i="6"/>
  <c r="Q630" i="6"/>
  <c r="O634" i="6"/>
  <c r="X634" i="6"/>
  <c r="T634" i="6"/>
  <c r="P634" i="6"/>
  <c r="W634" i="6"/>
  <c r="S634" i="6"/>
  <c r="V634" i="6"/>
  <c r="R634" i="6"/>
  <c r="Q634" i="6"/>
  <c r="Y634" i="6"/>
  <c r="U634" i="6"/>
  <c r="O638" i="6"/>
  <c r="X638" i="6"/>
  <c r="T638" i="6"/>
  <c r="P638" i="6"/>
  <c r="W638" i="6"/>
  <c r="S638" i="6"/>
  <c r="V638" i="6"/>
  <c r="R638" i="6"/>
  <c r="Y638" i="6"/>
  <c r="U638" i="6"/>
  <c r="Q638" i="6"/>
  <c r="O642" i="6"/>
  <c r="X642" i="6"/>
  <c r="T642" i="6"/>
  <c r="P642" i="6"/>
  <c r="W642" i="6"/>
  <c r="S642" i="6"/>
  <c r="V642" i="6"/>
  <c r="R642" i="6"/>
  <c r="Q642" i="6"/>
  <c r="Y642" i="6"/>
  <c r="U642" i="6"/>
  <c r="O646" i="6"/>
  <c r="W646" i="6"/>
  <c r="S646" i="6"/>
  <c r="U646" i="6"/>
  <c r="P646" i="6"/>
  <c r="Y646" i="6"/>
  <c r="T646" i="6"/>
  <c r="X646" i="6"/>
  <c r="R646" i="6"/>
  <c r="V646" i="6"/>
  <c r="Q646" i="6"/>
  <c r="O650" i="6"/>
  <c r="W650" i="6"/>
  <c r="S650" i="6"/>
  <c r="X650" i="6"/>
  <c r="R650" i="6"/>
  <c r="V650" i="6"/>
  <c r="Q650" i="6"/>
  <c r="U650" i="6"/>
  <c r="P650" i="6"/>
  <c r="Y650" i="6"/>
  <c r="T650" i="6"/>
  <c r="O654" i="6"/>
  <c r="X654" i="6"/>
  <c r="W654" i="6"/>
  <c r="S654" i="6"/>
  <c r="U654" i="6"/>
  <c r="P654" i="6"/>
  <c r="T654" i="6"/>
  <c r="Y654" i="6"/>
  <c r="R654" i="6"/>
  <c r="V654" i="6"/>
  <c r="Q654" i="6"/>
  <c r="O658" i="6"/>
  <c r="X658" i="6"/>
  <c r="T658" i="6"/>
  <c r="P658" i="6"/>
  <c r="W658" i="6"/>
  <c r="S658" i="6"/>
  <c r="U658" i="6"/>
  <c r="R658" i="6"/>
  <c r="Y658" i="6"/>
  <c r="Q658" i="6"/>
  <c r="V658" i="6"/>
  <c r="O662" i="6"/>
  <c r="X662" i="6"/>
  <c r="T662" i="6"/>
  <c r="P662" i="6"/>
  <c r="W662" i="6"/>
  <c r="S662" i="6"/>
  <c r="U662" i="6"/>
  <c r="R662" i="6"/>
  <c r="Y662" i="6"/>
  <c r="Q662" i="6"/>
  <c r="V662" i="6"/>
  <c r="O666" i="6"/>
  <c r="X666" i="6"/>
  <c r="T666" i="6"/>
  <c r="P666" i="6"/>
  <c r="W666" i="6"/>
  <c r="S666" i="6"/>
  <c r="U666" i="6"/>
  <c r="R666" i="6"/>
  <c r="Y666" i="6"/>
  <c r="Q666" i="6"/>
  <c r="V666" i="6"/>
  <c r="O670" i="6"/>
  <c r="X670" i="6"/>
  <c r="T670" i="6"/>
  <c r="P670" i="6"/>
  <c r="W670" i="6"/>
  <c r="S670" i="6"/>
  <c r="U670" i="6"/>
  <c r="R670" i="6"/>
  <c r="Y670" i="6"/>
  <c r="Q670" i="6"/>
  <c r="V670" i="6"/>
  <c r="O674" i="6"/>
  <c r="X674" i="6"/>
  <c r="T674" i="6"/>
  <c r="P674" i="6"/>
  <c r="W674" i="6"/>
  <c r="S674" i="6"/>
  <c r="U674" i="6"/>
  <c r="R674" i="6"/>
  <c r="Y674" i="6"/>
  <c r="Q674" i="6"/>
  <c r="V674" i="6"/>
  <c r="O678" i="6"/>
  <c r="X678" i="6"/>
  <c r="T678" i="6"/>
  <c r="P678" i="6"/>
  <c r="W678" i="6"/>
  <c r="S678" i="6"/>
  <c r="U678" i="6"/>
  <c r="R678" i="6"/>
  <c r="Y678" i="6"/>
  <c r="Q678" i="6"/>
  <c r="V678" i="6"/>
  <c r="O682" i="6"/>
  <c r="X682" i="6"/>
  <c r="T682" i="6"/>
  <c r="P682" i="6"/>
  <c r="W682" i="6"/>
  <c r="S682" i="6"/>
  <c r="U682" i="6"/>
  <c r="R682" i="6"/>
  <c r="Y682" i="6"/>
  <c r="Q682" i="6"/>
  <c r="V682" i="6"/>
  <c r="O686" i="6"/>
  <c r="X686" i="6"/>
  <c r="T686" i="6"/>
  <c r="P686" i="6"/>
  <c r="W686" i="6"/>
  <c r="S686" i="6"/>
  <c r="U686" i="6"/>
  <c r="R686" i="6"/>
  <c r="Y686" i="6"/>
  <c r="Q686" i="6"/>
  <c r="V686" i="6"/>
  <c r="O690" i="6"/>
  <c r="X690" i="6"/>
  <c r="T690" i="6"/>
  <c r="P690" i="6"/>
  <c r="W690" i="6"/>
  <c r="S690" i="6"/>
  <c r="U690" i="6"/>
  <c r="R690" i="6"/>
  <c r="Y690" i="6"/>
  <c r="Q690" i="6"/>
  <c r="V690" i="6"/>
  <c r="O694" i="6"/>
  <c r="W694" i="6"/>
  <c r="S694" i="6"/>
  <c r="U694" i="6"/>
  <c r="P694" i="6"/>
  <c r="Y694" i="6"/>
  <c r="T694" i="6"/>
  <c r="Q694" i="6"/>
  <c r="X694" i="6"/>
  <c r="V694" i="6"/>
  <c r="R694" i="6"/>
  <c r="O698" i="6"/>
  <c r="W698" i="6"/>
  <c r="S698" i="6"/>
  <c r="X698" i="6"/>
  <c r="R698" i="6"/>
  <c r="V698" i="6"/>
  <c r="Q698" i="6"/>
  <c r="T698" i="6"/>
  <c r="P698" i="6"/>
  <c r="Y698" i="6"/>
  <c r="U698" i="6"/>
  <c r="O702" i="6"/>
  <c r="W702" i="6"/>
  <c r="S702" i="6"/>
  <c r="U702" i="6"/>
  <c r="P702" i="6"/>
  <c r="Y702" i="6"/>
  <c r="T702" i="6"/>
  <c r="X702" i="6"/>
  <c r="R702" i="6"/>
  <c r="V702" i="6"/>
  <c r="Q702" i="6"/>
  <c r="O706" i="6"/>
  <c r="W706" i="6"/>
  <c r="S706" i="6"/>
  <c r="X706" i="6"/>
  <c r="R706" i="6"/>
  <c r="V706" i="6"/>
  <c r="Q706" i="6"/>
  <c r="U706" i="6"/>
  <c r="P706" i="6"/>
  <c r="Y706" i="6"/>
  <c r="T706" i="6"/>
  <c r="O710" i="6"/>
  <c r="W710" i="6"/>
  <c r="S710" i="6"/>
  <c r="U710" i="6"/>
  <c r="P710" i="6"/>
  <c r="Y710" i="6"/>
  <c r="T710" i="6"/>
  <c r="X710" i="6"/>
  <c r="R710" i="6"/>
  <c r="V710" i="6"/>
  <c r="Q710" i="6"/>
  <c r="O714" i="6"/>
  <c r="W714" i="6"/>
  <c r="S714" i="6"/>
  <c r="X714" i="6"/>
  <c r="R714" i="6"/>
  <c r="V714" i="6"/>
  <c r="Q714" i="6"/>
  <c r="U714" i="6"/>
  <c r="P714" i="6"/>
  <c r="Y714" i="6"/>
  <c r="T714" i="6"/>
  <c r="O718" i="6"/>
  <c r="W718" i="6"/>
  <c r="S718" i="6"/>
  <c r="U718" i="6"/>
  <c r="P718" i="6"/>
  <c r="Y718" i="6"/>
  <c r="T718" i="6"/>
  <c r="X718" i="6"/>
  <c r="R718" i="6"/>
  <c r="Q718" i="6"/>
  <c r="V718" i="6"/>
  <c r="O722" i="6"/>
  <c r="W722" i="6"/>
  <c r="S722" i="6"/>
  <c r="X722" i="6"/>
  <c r="R722" i="6"/>
  <c r="V722" i="6"/>
  <c r="Q722" i="6"/>
  <c r="U722" i="6"/>
  <c r="P722" i="6"/>
  <c r="T722" i="6"/>
  <c r="Y722" i="6"/>
  <c r="O726" i="6"/>
  <c r="W726" i="6"/>
  <c r="S726" i="6"/>
  <c r="U726" i="6"/>
  <c r="P726" i="6"/>
  <c r="Y726" i="6"/>
  <c r="T726" i="6"/>
  <c r="X726" i="6"/>
  <c r="R726" i="6"/>
  <c r="V726" i="6"/>
  <c r="Q726" i="6"/>
  <c r="O730" i="6"/>
  <c r="W730" i="6"/>
  <c r="S730" i="6"/>
  <c r="X730" i="6"/>
  <c r="R730" i="6"/>
  <c r="V730" i="6"/>
  <c r="Q730" i="6"/>
  <c r="U730" i="6"/>
  <c r="P730" i="6"/>
  <c r="Y730" i="6"/>
  <c r="T730" i="6"/>
  <c r="O734" i="6"/>
  <c r="W734" i="6"/>
  <c r="S734" i="6"/>
  <c r="U734" i="6"/>
  <c r="P734" i="6"/>
  <c r="Y734" i="6"/>
  <c r="T734" i="6"/>
  <c r="X734" i="6"/>
  <c r="R734" i="6"/>
  <c r="V734" i="6"/>
  <c r="Q734" i="6"/>
  <c r="O738" i="6"/>
  <c r="W738" i="6"/>
  <c r="S738" i="6"/>
  <c r="X738" i="6"/>
  <c r="R738" i="6"/>
  <c r="V738" i="6"/>
  <c r="Q738" i="6"/>
  <c r="U738" i="6"/>
  <c r="P738" i="6"/>
  <c r="Y738" i="6"/>
  <c r="T738" i="6"/>
  <c r="O742" i="6"/>
  <c r="W742" i="6"/>
  <c r="S742" i="6"/>
  <c r="U742" i="6"/>
  <c r="P742" i="6"/>
  <c r="Y742" i="6"/>
  <c r="T742" i="6"/>
  <c r="X742" i="6"/>
  <c r="R742" i="6"/>
  <c r="V742" i="6"/>
  <c r="Q742" i="6"/>
  <c r="O746" i="6"/>
  <c r="W746" i="6"/>
  <c r="S746" i="6"/>
  <c r="X746" i="6"/>
  <c r="R746" i="6"/>
  <c r="V746" i="6"/>
  <c r="Q746" i="6"/>
  <c r="U746" i="6"/>
  <c r="P746" i="6"/>
  <c r="Y746" i="6"/>
  <c r="T746" i="6"/>
  <c r="O750" i="6"/>
  <c r="W750" i="6"/>
  <c r="S750" i="6"/>
  <c r="U750" i="6"/>
  <c r="P750" i="6"/>
  <c r="Y750" i="6"/>
  <c r="T750" i="6"/>
  <c r="X750" i="6"/>
  <c r="R750" i="6"/>
  <c r="Q750" i="6"/>
  <c r="V750" i="6"/>
  <c r="O754" i="6"/>
  <c r="W754" i="6"/>
  <c r="S754" i="6"/>
  <c r="X754" i="6"/>
  <c r="R754" i="6"/>
  <c r="V754" i="6"/>
  <c r="Q754" i="6"/>
  <c r="U754" i="6"/>
  <c r="P754" i="6"/>
  <c r="T754" i="6"/>
  <c r="Y754" i="6"/>
  <c r="O758" i="6"/>
  <c r="W758" i="6"/>
  <c r="S758" i="6"/>
  <c r="U758" i="6"/>
  <c r="P758" i="6"/>
  <c r="Y758" i="6"/>
  <c r="T758" i="6"/>
  <c r="X758" i="6"/>
  <c r="R758" i="6"/>
  <c r="V758" i="6"/>
  <c r="Q758" i="6"/>
  <c r="O762" i="6"/>
  <c r="W762" i="6"/>
  <c r="S762" i="6"/>
  <c r="X762" i="6"/>
  <c r="R762" i="6"/>
  <c r="V762" i="6"/>
  <c r="Q762" i="6"/>
  <c r="U762" i="6"/>
  <c r="P762" i="6"/>
  <c r="Y762" i="6"/>
  <c r="T762" i="6"/>
  <c r="O766" i="6"/>
  <c r="W766" i="6"/>
  <c r="S766" i="6"/>
  <c r="U766" i="6"/>
  <c r="P766" i="6"/>
  <c r="Y766" i="6"/>
  <c r="T766" i="6"/>
  <c r="X766" i="6"/>
  <c r="R766" i="6"/>
  <c r="V766" i="6"/>
  <c r="Q766" i="6"/>
  <c r="O770" i="6"/>
  <c r="W770" i="6"/>
  <c r="S770" i="6"/>
  <c r="X770" i="6"/>
  <c r="R770" i="6"/>
  <c r="V770" i="6"/>
  <c r="Q770" i="6"/>
  <c r="U770" i="6"/>
  <c r="P770" i="6"/>
  <c r="Y770" i="6"/>
  <c r="T770" i="6"/>
  <c r="O774" i="6"/>
  <c r="W774" i="6"/>
  <c r="S774" i="6"/>
  <c r="U774" i="6"/>
  <c r="P774" i="6"/>
  <c r="Y774" i="6"/>
  <c r="T774" i="6"/>
  <c r="X774" i="6"/>
  <c r="R774" i="6"/>
  <c r="V774" i="6"/>
  <c r="Q774" i="6"/>
  <c r="O778" i="6"/>
  <c r="W778" i="6"/>
  <c r="S778" i="6"/>
  <c r="X778" i="6"/>
  <c r="R778" i="6"/>
  <c r="V778" i="6"/>
  <c r="Q778" i="6"/>
  <c r="U778" i="6"/>
  <c r="P778" i="6"/>
  <c r="Y778" i="6"/>
  <c r="T778" i="6"/>
  <c r="O782" i="6"/>
  <c r="Y782" i="6"/>
  <c r="U782" i="6"/>
  <c r="Q782" i="6"/>
  <c r="W782" i="6"/>
  <c r="S782" i="6"/>
  <c r="R782" i="6"/>
  <c r="X782" i="6"/>
  <c r="P782" i="6"/>
  <c r="V782" i="6"/>
  <c r="T782" i="6"/>
  <c r="O786" i="6"/>
  <c r="Y786" i="6"/>
  <c r="U786" i="6"/>
  <c r="Q786" i="6"/>
  <c r="W786" i="6"/>
  <c r="S786" i="6"/>
  <c r="R786" i="6"/>
  <c r="X786" i="6"/>
  <c r="P786" i="6"/>
  <c r="V786" i="6"/>
  <c r="T786" i="6"/>
  <c r="O790" i="6"/>
  <c r="Y790" i="6"/>
  <c r="U790" i="6"/>
  <c r="Q790" i="6"/>
  <c r="W790" i="6"/>
  <c r="S790" i="6"/>
  <c r="R790" i="6"/>
  <c r="X790" i="6"/>
  <c r="P790" i="6"/>
  <c r="V790" i="6"/>
  <c r="T790" i="6"/>
  <c r="O794" i="6"/>
  <c r="Y794" i="6"/>
  <c r="U794" i="6"/>
  <c r="Q794" i="6"/>
  <c r="W794" i="6"/>
  <c r="S794" i="6"/>
  <c r="R794" i="6"/>
  <c r="X794" i="6"/>
  <c r="P794" i="6"/>
  <c r="V794" i="6"/>
  <c r="T794" i="6"/>
  <c r="O798" i="6"/>
  <c r="Y798" i="6"/>
  <c r="U798" i="6"/>
  <c r="Q798" i="6"/>
  <c r="W798" i="6"/>
  <c r="S798" i="6"/>
  <c r="R798" i="6"/>
  <c r="X798" i="6"/>
  <c r="P798" i="6"/>
  <c r="V798" i="6"/>
  <c r="T798" i="6"/>
  <c r="O802" i="6"/>
  <c r="Y802" i="6"/>
  <c r="U802" i="6"/>
  <c r="Q802" i="6"/>
  <c r="W802" i="6"/>
  <c r="S802" i="6"/>
  <c r="R802" i="6"/>
  <c r="X802" i="6"/>
  <c r="P802" i="6"/>
  <c r="V802" i="6"/>
  <c r="T802" i="6"/>
  <c r="O806" i="6"/>
  <c r="W806" i="6"/>
  <c r="S806" i="6"/>
  <c r="V806" i="6"/>
  <c r="Q806" i="6"/>
  <c r="Y806" i="6"/>
  <c r="T806" i="6"/>
  <c r="X806" i="6"/>
  <c r="U806" i="6"/>
  <c r="R806" i="6"/>
  <c r="P806" i="6"/>
  <c r="O810" i="6"/>
  <c r="W810" i="6"/>
  <c r="S810" i="6"/>
  <c r="Y810" i="6"/>
  <c r="T810" i="6"/>
  <c r="V810" i="6"/>
  <c r="Q810" i="6"/>
  <c r="P810" i="6"/>
  <c r="X810" i="6"/>
  <c r="U810" i="6"/>
  <c r="R810" i="6"/>
  <c r="O814" i="6"/>
  <c r="W814" i="6"/>
  <c r="S814" i="6"/>
  <c r="V814" i="6"/>
  <c r="Q814" i="6"/>
  <c r="Y814" i="6"/>
  <c r="T814" i="6"/>
  <c r="R814" i="6"/>
  <c r="P814" i="6"/>
  <c r="X814" i="6"/>
  <c r="U814" i="6"/>
  <c r="O818" i="6"/>
  <c r="W818" i="6"/>
  <c r="S818" i="6"/>
  <c r="Y818" i="6"/>
  <c r="T818" i="6"/>
  <c r="V818" i="6"/>
  <c r="Q818" i="6"/>
  <c r="U818" i="6"/>
  <c r="R818" i="6"/>
  <c r="P818" i="6"/>
  <c r="X818" i="6"/>
  <c r="O822" i="6"/>
  <c r="V822" i="6"/>
  <c r="R822" i="6"/>
  <c r="W822" i="6"/>
  <c r="S822" i="6"/>
  <c r="Y822" i="6"/>
  <c r="Q822" i="6"/>
  <c r="U822" i="6"/>
  <c r="X822" i="6"/>
  <c r="T822" i="6"/>
  <c r="P822" i="6"/>
  <c r="O826" i="6"/>
  <c r="V826" i="6"/>
  <c r="R826" i="6"/>
  <c r="W826" i="6"/>
  <c r="S826" i="6"/>
  <c r="Y826" i="6"/>
  <c r="Q826" i="6"/>
  <c r="U826" i="6"/>
  <c r="T826" i="6"/>
  <c r="P826" i="6"/>
  <c r="X826" i="6"/>
  <c r="O830" i="6"/>
  <c r="V830" i="6"/>
  <c r="R830" i="6"/>
  <c r="W830" i="6"/>
  <c r="S830" i="6"/>
  <c r="Y830" i="6"/>
  <c r="Q830" i="6"/>
  <c r="U830" i="6"/>
  <c r="X830" i="6"/>
  <c r="T830" i="6"/>
  <c r="P830" i="6"/>
  <c r="O834" i="6"/>
  <c r="V834" i="6"/>
  <c r="R834" i="6"/>
  <c r="W834" i="6"/>
  <c r="S834" i="6"/>
  <c r="Y834" i="6"/>
  <c r="Q834" i="6"/>
  <c r="U834" i="6"/>
  <c r="T834" i="6"/>
  <c r="P834" i="6"/>
  <c r="X834" i="6"/>
  <c r="O838" i="6"/>
  <c r="V838" i="6"/>
  <c r="R838" i="6"/>
  <c r="W838" i="6"/>
  <c r="S838" i="6"/>
  <c r="Y838" i="6"/>
  <c r="Q838" i="6"/>
  <c r="U838" i="6"/>
  <c r="X838" i="6"/>
  <c r="T838" i="6"/>
  <c r="P838" i="6"/>
  <c r="O842" i="6"/>
  <c r="V842" i="6"/>
  <c r="R842" i="6"/>
  <c r="W842" i="6"/>
  <c r="S842" i="6"/>
  <c r="Y842" i="6"/>
  <c r="Q842" i="6"/>
  <c r="U842" i="6"/>
  <c r="T842" i="6"/>
  <c r="P842" i="6"/>
  <c r="X842" i="6"/>
  <c r="O846" i="6"/>
  <c r="V846" i="6"/>
  <c r="R846" i="6"/>
  <c r="Y846" i="6"/>
  <c r="U846" i="6"/>
  <c r="Q846" i="6"/>
  <c r="X846" i="6"/>
  <c r="T846" i="6"/>
  <c r="P846" i="6"/>
  <c r="W846" i="6"/>
  <c r="S846" i="6"/>
  <c r="O850" i="6"/>
  <c r="V850" i="6"/>
  <c r="R850" i="6"/>
  <c r="Y850" i="6"/>
  <c r="U850" i="6"/>
  <c r="Q850" i="6"/>
  <c r="X850" i="6"/>
  <c r="T850" i="6"/>
  <c r="P850" i="6"/>
  <c r="W850" i="6"/>
  <c r="S850" i="6"/>
  <c r="O854" i="6"/>
  <c r="V854" i="6"/>
  <c r="R854" i="6"/>
  <c r="Y854" i="6"/>
  <c r="U854" i="6"/>
  <c r="Q854" i="6"/>
  <c r="X854" i="6"/>
  <c r="T854" i="6"/>
  <c r="P854" i="6"/>
  <c r="W854" i="6"/>
  <c r="S854" i="6"/>
  <c r="O858" i="6"/>
  <c r="V858" i="6"/>
  <c r="R858" i="6"/>
  <c r="Y858" i="6"/>
  <c r="U858" i="6"/>
  <c r="Q858" i="6"/>
  <c r="X858" i="6"/>
  <c r="T858" i="6"/>
  <c r="P858" i="6"/>
  <c r="W858" i="6"/>
  <c r="S858" i="6"/>
  <c r="O862" i="6"/>
  <c r="V862" i="6"/>
  <c r="R862" i="6"/>
  <c r="Y862" i="6"/>
  <c r="U862" i="6"/>
  <c r="Q862" i="6"/>
  <c r="X862" i="6"/>
  <c r="T862" i="6"/>
  <c r="P862" i="6"/>
  <c r="W862" i="6"/>
  <c r="S862" i="6"/>
  <c r="O866" i="6"/>
  <c r="V866" i="6"/>
  <c r="R866" i="6"/>
  <c r="Y866" i="6"/>
  <c r="U866" i="6"/>
  <c r="Q866" i="6"/>
  <c r="X866" i="6"/>
  <c r="T866" i="6"/>
  <c r="P866" i="6"/>
  <c r="W866" i="6"/>
  <c r="S866" i="6"/>
  <c r="O870" i="6"/>
  <c r="V870" i="6"/>
  <c r="R870" i="6"/>
  <c r="Y870" i="6"/>
  <c r="U870" i="6"/>
  <c r="Q870" i="6"/>
  <c r="X870" i="6"/>
  <c r="T870" i="6"/>
  <c r="P870" i="6"/>
  <c r="W870" i="6"/>
  <c r="S870" i="6"/>
  <c r="O874" i="6"/>
  <c r="V874" i="6"/>
  <c r="R874" i="6"/>
  <c r="Y874" i="6"/>
  <c r="U874" i="6"/>
  <c r="Q874" i="6"/>
  <c r="X874" i="6"/>
  <c r="T874" i="6"/>
  <c r="P874" i="6"/>
  <c r="W874" i="6"/>
  <c r="S874" i="6"/>
  <c r="O878" i="6"/>
  <c r="V878" i="6"/>
  <c r="R878" i="6"/>
  <c r="Y878" i="6"/>
  <c r="U878" i="6"/>
  <c r="Q878" i="6"/>
  <c r="X878" i="6"/>
  <c r="T878" i="6"/>
  <c r="P878" i="6"/>
  <c r="W878" i="6"/>
  <c r="S878" i="6"/>
  <c r="O882" i="6"/>
  <c r="V882" i="6"/>
  <c r="R882" i="6"/>
  <c r="Y882" i="6"/>
  <c r="U882" i="6"/>
  <c r="Q882" i="6"/>
  <c r="X882" i="6"/>
  <c r="T882" i="6"/>
  <c r="P882" i="6"/>
  <c r="W882" i="6"/>
  <c r="S882" i="6"/>
  <c r="O886" i="6"/>
  <c r="V886" i="6"/>
  <c r="R886" i="6"/>
  <c r="Y886" i="6"/>
  <c r="U886" i="6"/>
  <c r="Q886" i="6"/>
  <c r="X886" i="6"/>
  <c r="T886" i="6"/>
  <c r="P886" i="6"/>
  <c r="W886" i="6"/>
  <c r="S886" i="6"/>
  <c r="O890" i="6"/>
  <c r="V890" i="6"/>
  <c r="R890" i="6"/>
  <c r="Y890" i="6"/>
  <c r="U890" i="6"/>
  <c r="Q890" i="6"/>
  <c r="X890" i="6"/>
  <c r="T890" i="6"/>
  <c r="P890" i="6"/>
  <c r="W890" i="6"/>
  <c r="S890" i="6"/>
  <c r="O894" i="6"/>
  <c r="V894" i="6"/>
  <c r="R894" i="6"/>
  <c r="Y894" i="6"/>
  <c r="U894" i="6"/>
  <c r="Q894" i="6"/>
  <c r="X894" i="6"/>
  <c r="T894" i="6"/>
  <c r="P894" i="6"/>
  <c r="W894" i="6"/>
  <c r="S894" i="6"/>
  <c r="O898" i="6"/>
  <c r="V898" i="6"/>
  <c r="R898" i="6"/>
  <c r="Y898" i="6"/>
  <c r="U898" i="6"/>
  <c r="Q898" i="6"/>
  <c r="X898" i="6"/>
  <c r="T898" i="6"/>
  <c r="P898" i="6"/>
  <c r="W898" i="6"/>
  <c r="S898" i="6"/>
  <c r="O902" i="6"/>
  <c r="V902" i="6"/>
  <c r="R902" i="6"/>
  <c r="Y902" i="6"/>
  <c r="U902" i="6"/>
  <c r="Q902" i="6"/>
  <c r="X902" i="6"/>
  <c r="T902" i="6"/>
  <c r="P902" i="6"/>
  <c r="W902" i="6"/>
  <c r="S902" i="6"/>
  <c r="O906" i="6"/>
  <c r="V906" i="6"/>
  <c r="R906" i="6"/>
  <c r="Y906" i="6"/>
  <c r="U906" i="6"/>
  <c r="Q906" i="6"/>
  <c r="X906" i="6"/>
  <c r="T906" i="6"/>
  <c r="P906" i="6"/>
  <c r="W906" i="6"/>
  <c r="S906" i="6"/>
  <c r="O910" i="6"/>
  <c r="V910" i="6"/>
  <c r="R910" i="6"/>
  <c r="Y910" i="6"/>
  <c r="U910" i="6"/>
  <c r="Q910" i="6"/>
  <c r="X910" i="6"/>
  <c r="T910" i="6"/>
  <c r="P910" i="6"/>
  <c r="W910" i="6"/>
  <c r="S910" i="6"/>
  <c r="O914" i="6"/>
  <c r="V914" i="6"/>
  <c r="R914" i="6"/>
  <c r="Y914" i="6"/>
  <c r="U914" i="6"/>
  <c r="Q914" i="6"/>
  <c r="X914" i="6"/>
  <c r="T914" i="6"/>
  <c r="P914" i="6"/>
  <c r="W914" i="6"/>
  <c r="S914" i="6"/>
  <c r="O918" i="6"/>
  <c r="V918" i="6"/>
  <c r="R918" i="6"/>
  <c r="Y918" i="6"/>
  <c r="U918" i="6"/>
  <c r="Q918" i="6"/>
  <c r="X918" i="6"/>
  <c r="T918" i="6"/>
  <c r="P918" i="6"/>
  <c r="W918" i="6"/>
  <c r="S918" i="6"/>
  <c r="O922" i="6"/>
  <c r="V922" i="6"/>
  <c r="R922" i="6"/>
  <c r="Y922" i="6"/>
  <c r="U922" i="6"/>
  <c r="Q922" i="6"/>
  <c r="X922" i="6"/>
  <c r="T922" i="6"/>
  <c r="P922" i="6"/>
  <c r="W922" i="6"/>
  <c r="S922" i="6"/>
  <c r="O926" i="6"/>
  <c r="V926" i="6"/>
  <c r="R926" i="6"/>
  <c r="Y926" i="6"/>
  <c r="U926" i="6"/>
  <c r="Q926" i="6"/>
  <c r="X926" i="6"/>
  <c r="T926" i="6"/>
  <c r="P926" i="6"/>
  <c r="W926" i="6"/>
  <c r="S926" i="6"/>
  <c r="O930" i="6"/>
  <c r="V930" i="6"/>
  <c r="R930" i="6"/>
  <c r="Y930" i="6"/>
  <c r="U930" i="6"/>
  <c r="Q930" i="6"/>
  <c r="X930" i="6"/>
  <c r="T930" i="6"/>
  <c r="P930" i="6"/>
  <c r="W930" i="6"/>
  <c r="S930" i="6"/>
  <c r="O934" i="6"/>
  <c r="V934" i="6"/>
  <c r="R934" i="6"/>
  <c r="Y934" i="6"/>
  <c r="U934" i="6"/>
  <c r="Q934" i="6"/>
  <c r="X934" i="6"/>
  <c r="T934" i="6"/>
  <c r="P934" i="6"/>
  <c r="W934" i="6"/>
  <c r="S934" i="6"/>
  <c r="O938" i="6"/>
  <c r="V938" i="6"/>
  <c r="R938" i="6"/>
  <c r="Y938" i="6"/>
  <c r="U938" i="6"/>
  <c r="Q938" i="6"/>
  <c r="X938" i="6"/>
  <c r="T938" i="6"/>
  <c r="P938" i="6"/>
  <c r="W938" i="6"/>
  <c r="S938" i="6"/>
  <c r="O942" i="6"/>
  <c r="V942" i="6"/>
  <c r="R942" i="6"/>
  <c r="Y942" i="6"/>
  <c r="U942" i="6"/>
  <c r="Q942" i="6"/>
  <c r="X942" i="6"/>
  <c r="T942" i="6"/>
  <c r="P942" i="6"/>
  <c r="W942" i="6"/>
  <c r="S942" i="6"/>
  <c r="O946" i="6"/>
  <c r="V946" i="6"/>
  <c r="R946" i="6"/>
  <c r="Y946" i="6"/>
  <c r="U946" i="6"/>
  <c r="Q946" i="6"/>
  <c r="X946" i="6"/>
  <c r="T946" i="6"/>
  <c r="P946" i="6"/>
  <c r="W946" i="6"/>
  <c r="S946" i="6"/>
  <c r="O950" i="6"/>
  <c r="V950" i="6"/>
  <c r="R950" i="6"/>
  <c r="Y950" i="6"/>
  <c r="U950" i="6"/>
  <c r="Q950" i="6"/>
  <c r="X950" i="6"/>
  <c r="T950" i="6"/>
  <c r="P950" i="6"/>
  <c r="W950" i="6"/>
  <c r="S950" i="6"/>
  <c r="O954" i="6"/>
  <c r="W954" i="6"/>
  <c r="S954" i="6"/>
  <c r="V954" i="6"/>
  <c r="R954" i="6"/>
  <c r="Y954" i="6"/>
  <c r="Q954" i="6"/>
  <c r="X954" i="6"/>
  <c r="P954" i="6"/>
  <c r="U954" i="6"/>
  <c r="T954" i="6"/>
  <c r="O958" i="6"/>
  <c r="X958" i="6"/>
  <c r="T958" i="6"/>
  <c r="P958" i="6"/>
  <c r="W958" i="6"/>
  <c r="S958" i="6"/>
  <c r="V958" i="6"/>
  <c r="R958" i="6"/>
  <c r="Y958" i="6"/>
  <c r="U958" i="6"/>
  <c r="Q958" i="6"/>
  <c r="O962" i="6"/>
  <c r="X962" i="6"/>
  <c r="T962" i="6"/>
  <c r="P962" i="6"/>
  <c r="W962" i="6"/>
  <c r="S962" i="6"/>
  <c r="V962" i="6"/>
  <c r="R962" i="6"/>
  <c r="Q962" i="6"/>
  <c r="Y962" i="6"/>
  <c r="U962" i="6"/>
  <c r="O966" i="6"/>
  <c r="X966" i="6"/>
  <c r="T966" i="6"/>
  <c r="P966" i="6"/>
  <c r="W966" i="6"/>
  <c r="S966" i="6"/>
  <c r="V966" i="6"/>
  <c r="R966" i="6"/>
  <c r="Y966" i="6"/>
  <c r="U966" i="6"/>
  <c r="Q966" i="6"/>
  <c r="O970" i="6"/>
  <c r="X970" i="6"/>
  <c r="T970" i="6"/>
  <c r="P970" i="6"/>
  <c r="W970" i="6"/>
  <c r="S970" i="6"/>
  <c r="V970" i="6"/>
  <c r="R970" i="6"/>
  <c r="Q970" i="6"/>
  <c r="Y970" i="6"/>
  <c r="U970" i="6"/>
  <c r="O974" i="6"/>
  <c r="X974" i="6"/>
  <c r="T974" i="6"/>
  <c r="P974" i="6"/>
  <c r="W974" i="6"/>
  <c r="S974" i="6"/>
  <c r="V974" i="6"/>
  <c r="R974" i="6"/>
  <c r="Y974" i="6"/>
  <c r="U974" i="6"/>
  <c r="Q974" i="6"/>
  <c r="O978" i="6"/>
  <c r="X978" i="6"/>
  <c r="T978" i="6"/>
  <c r="P978" i="6"/>
  <c r="W978" i="6"/>
  <c r="S978" i="6"/>
  <c r="V978" i="6"/>
  <c r="R978" i="6"/>
  <c r="Q978" i="6"/>
  <c r="Y978" i="6"/>
  <c r="U978" i="6"/>
  <c r="O982" i="6"/>
  <c r="X982" i="6"/>
  <c r="T982" i="6"/>
  <c r="P982" i="6"/>
  <c r="W982" i="6"/>
  <c r="S982" i="6"/>
  <c r="V982" i="6"/>
  <c r="R982" i="6"/>
  <c r="Y982" i="6"/>
  <c r="U982" i="6"/>
  <c r="Q982" i="6"/>
  <c r="O986" i="6"/>
  <c r="X986" i="6"/>
  <c r="T986" i="6"/>
  <c r="P986" i="6"/>
  <c r="W986" i="6"/>
  <c r="S986" i="6"/>
  <c r="V986" i="6"/>
  <c r="R986" i="6"/>
  <c r="Q986" i="6"/>
  <c r="Y986" i="6"/>
  <c r="U986" i="6"/>
  <c r="O990" i="6"/>
  <c r="X990" i="6"/>
  <c r="T990" i="6"/>
  <c r="P990" i="6"/>
  <c r="W990" i="6"/>
  <c r="S990" i="6"/>
  <c r="V990" i="6"/>
  <c r="R990" i="6"/>
  <c r="Y990" i="6"/>
  <c r="U990" i="6"/>
  <c r="Q990" i="6"/>
  <c r="O994" i="6"/>
  <c r="X994" i="6"/>
  <c r="T994" i="6"/>
  <c r="P994" i="6"/>
  <c r="W994" i="6"/>
  <c r="S994" i="6"/>
  <c r="V994" i="6"/>
  <c r="R994" i="6"/>
  <c r="Q994" i="6"/>
  <c r="Y994" i="6"/>
  <c r="U994" i="6"/>
  <c r="O998" i="6"/>
  <c r="X998" i="6"/>
  <c r="T998" i="6"/>
  <c r="P998" i="6"/>
  <c r="W998" i="6"/>
  <c r="S998" i="6"/>
  <c r="V998" i="6"/>
  <c r="R998" i="6"/>
  <c r="Y998" i="6"/>
  <c r="U998" i="6"/>
  <c r="Q998" i="6"/>
  <c r="O1002" i="6"/>
  <c r="X1002" i="6"/>
  <c r="T1002" i="6"/>
  <c r="P1002" i="6"/>
  <c r="W1002" i="6"/>
  <c r="S1002" i="6"/>
  <c r="V1002" i="6"/>
  <c r="R1002" i="6"/>
  <c r="Q1002" i="6"/>
  <c r="Y1002" i="6"/>
  <c r="U1002" i="6"/>
  <c r="O1006" i="6"/>
  <c r="Y1006" i="6"/>
  <c r="U1006" i="6"/>
  <c r="Q1006" i="6"/>
  <c r="X1006" i="6"/>
  <c r="T1006" i="6"/>
  <c r="P1006" i="6"/>
  <c r="W1006" i="6"/>
  <c r="S1006" i="6"/>
  <c r="V1006" i="6"/>
  <c r="R1006" i="6"/>
  <c r="O1010" i="6"/>
  <c r="Y1010" i="6"/>
  <c r="U1010" i="6"/>
  <c r="Q1010" i="6"/>
  <c r="X1010" i="6"/>
  <c r="T1010" i="6"/>
  <c r="P1010" i="6"/>
  <c r="W1010" i="6"/>
  <c r="S1010" i="6"/>
  <c r="V1010" i="6"/>
  <c r="R1010" i="6"/>
  <c r="O1014" i="6"/>
  <c r="Y1014" i="6"/>
  <c r="U1014" i="6"/>
  <c r="Q1014" i="6"/>
  <c r="X1014" i="6"/>
  <c r="T1014" i="6"/>
  <c r="P1014" i="6"/>
  <c r="W1014" i="6"/>
  <c r="S1014" i="6"/>
  <c r="V1014" i="6"/>
  <c r="R1014" i="6"/>
  <c r="O1018" i="6"/>
  <c r="Y1018" i="6"/>
  <c r="U1018" i="6"/>
  <c r="Q1018" i="6"/>
  <c r="X1018" i="6"/>
  <c r="T1018" i="6"/>
  <c r="P1018" i="6"/>
  <c r="W1018" i="6"/>
  <c r="S1018" i="6"/>
  <c r="V1018" i="6"/>
  <c r="R1018" i="6"/>
  <c r="O1022" i="6"/>
  <c r="Y1022" i="6"/>
  <c r="U1022" i="6"/>
  <c r="Q1022" i="6"/>
  <c r="X1022" i="6"/>
  <c r="T1022" i="6"/>
  <c r="P1022" i="6"/>
  <c r="W1022" i="6"/>
  <c r="S1022" i="6"/>
  <c r="V1022" i="6"/>
  <c r="R1022" i="6"/>
  <c r="O1026" i="6"/>
  <c r="Y1026" i="6"/>
  <c r="U1026" i="6"/>
  <c r="Q1026" i="6"/>
  <c r="X1026" i="6"/>
  <c r="T1026" i="6"/>
  <c r="P1026" i="6"/>
  <c r="W1026" i="6"/>
  <c r="S1026" i="6"/>
  <c r="V1026" i="6"/>
  <c r="R1026" i="6"/>
  <c r="O1030" i="6"/>
  <c r="Y1030" i="6"/>
  <c r="U1030" i="6"/>
  <c r="Q1030" i="6"/>
  <c r="X1030" i="6"/>
  <c r="T1030" i="6"/>
  <c r="P1030" i="6"/>
  <c r="W1030" i="6"/>
  <c r="S1030" i="6"/>
  <c r="V1030" i="6"/>
  <c r="R1030" i="6"/>
  <c r="O1034" i="6"/>
  <c r="Y1034" i="6"/>
  <c r="U1034" i="6"/>
  <c r="Q1034" i="6"/>
  <c r="X1034" i="6"/>
  <c r="T1034" i="6"/>
  <c r="P1034" i="6"/>
  <c r="W1034" i="6"/>
  <c r="S1034" i="6"/>
  <c r="V1034" i="6"/>
  <c r="R1034" i="6"/>
  <c r="O1038" i="6"/>
  <c r="Y1038" i="6"/>
  <c r="U1038" i="6"/>
  <c r="Q1038" i="6"/>
  <c r="X1038" i="6"/>
  <c r="T1038" i="6"/>
  <c r="P1038" i="6"/>
  <c r="W1038" i="6"/>
  <c r="S1038" i="6"/>
  <c r="V1038" i="6"/>
  <c r="R1038" i="6"/>
  <c r="O1042" i="6"/>
  <c r="Y1042" i="6"/>
  <c r="U1042" i="6"/>
  <c r="Q1042" i="6"/>
  <c r="X1042" i="6"/>
  <c r="T1042" i="6"/>
  <c r="P1042" i="6"/>
  <c r="W1042" i="6"/>
  <c r="S1042" i="6"/>
  <c r="V1042" i="6"/>
  <c r="R1042" i="6"/>
  <c r="O1046" i="6"/>
  <c r="Y1046" i="6"/>
  <c r="U1046" i="6"/>
  <c r="Q1046" i="6"/>
  <c r="X1046" i="6"/>
  <c r="T1046" i="6"/>
  <c r="P1046" i="6"/>
  <c r="W1046" i="6"/>
  <c r="S1046" i="6"/>
  <c r="V1046" i="6"/>
  <c r="R1046" i="6"/>
  <c r="O1050" i="6"/>
  <c r="Y1050" i="6"/>
  <c r="U1050" i="6"/>
  <c r="Q1050" i="6"/>
  <c r="X1050" i="6"/>
  <c r="T1050" i="6"/>
  <c r="P1050" i="6"/>
  <c r="W1050" i="6"/>
  <c r="S1050" i="6"/>
  <c r="V1050" i="6"/>
  <c r="R1050" i="6"/>
  <c r="O1054" i="6"/>
  <c r="Y1054" i="6"/>
  <c r="U1054" i="6"/>
  <c r="Q1054" i="6"/>
  <c r="X1054" i="6"/>
  <c r="T1054" i="6"/>
  <c r="P1054" i="6"/>
  <c r="W1054" i="6"/>
  <c r="S1054" i="6"/>
  <c r="V1054" i="6"/>
  <c r="R1054" i="6"/>
  <c r="O1058" i="6"/>
  <c r="Y1058" i="6"/>
  <c r="U1058" i="6"/>
  <c r="Q1058" i="6"/>
  <c r="X1058" i="6"/>
  <c r="T1058" i="6"/>
  <c r="P1058" i="6"/>
  <c r="W1058" i="6"/>
  <c r="S1058" i="6"/>
  <c r="V1058" i="6"/>
  <c r="R1058" i="6"/>
  <c r="O1062" i="6"/>
  <c r="X1062" i="6"/>
  <c r="T1062" i="6"/>
  <c r="P1062" i="6"/>
  <c r="V1062" i="6"/>
  <c r="Q1062" i="6"/>
  <c r="U1062" i="6"/>
  <c r="Y1062" i="6"/>
  <c r="S1062" i="6"/>
  <c r="W1062" i="6"/>
  <c r="R1062" i="6"/>
  <c r="O1066" i="6"/>
  <c r="X1066" i="6"/>
  <c r="T1066" i="6"/>
  <c r="P1066" i="6"/>
  <c r="W1066" i="6"/>
  <c r="S1066" i="6"/>
  <c r="V1066" i="6"/>
  <c r="R1066" i="6"/>
  <c r="U1066" i="6"/>
  <c r="Q1066" i="6"/>
  <c r="Y1066" i="6"/>
  <c r="O1070" i="6"/>
  <c r="X1070" i="6"/>
  <c r="T1070" i="6"/>
  <c r="P1070" i="6"/>
  <c r="W1070" i="6"/>
  <c r="S1070" i="6"/>
  <c r="V1070" i="6"/>
  <c r="R1070" i="6"/>
  <c r="Y1070" i="6"/>
  <c r="U1070" i="6"/>
  <c r="Q1070" i="6"/>
  <c r="O1074" i="6"/>
  <c r="X1074" i="6"/>
  <c r="T1074" i="6"/>
  <c r="P1074" i="6"/>
  <c r="W1074" i="6"/>
  <c r="S1074" i="6"/>
  <c r="V1074" i="6"/>
  <c r="R1074" i="6"/>
  <c r="U1074" i="6"/>
  <c r="Q1074" i="6"/>
  <c r="Y1074" i="6"/>
  <c r="O1078" i="6"/>
  <c r="X1078" i="6"/>
  <c r="T1078" i="6"/>
  <c r="P1078" i="6"/>
  <c r="W1078" i="6"/>
  <c r="S1078" i="6"/>
  <c r="V1078" i="6"/>
  <c r="R1078" i="6"/>
  <c r="Y1078" i="6"/>
  <c r="U1078" i="6"/>
  <c r="Q1078" i="6"/>
  <c r="O1082" i="6"/>
  <c r="X1082" i="6"/>
  <c r="T1082" i="6"/>
  <c r="P1082" i="6"/>
  <c r="W1082" i="6"/>
  <c r="S1082" i="6"/>
  <c r="V1082" i="6"/>
  <c r="R1082" i="6"/>
  <c r="U1082" i="6"/>
  <c r="Q1082" i="6"/>
  <c r="Y1082" i="6"/>
  <c r="O1086" i="6"/>
  <c r="X1086" i="6"/>
  <c r="T1086" i="6"/>
  <c r="P1086" i="6"/>
  <c r="W1086" i="6"/>
  <c r="S1086" i="6"/>
  <c r="V1086" i="6"/>
  <c r="R1086" i="6"/>
  <c r="Y1086" i="6"/>
  <c r="U1086" i="6"/>
  <c r="Q1086" i="6"/>
  <c r="O1090" i="6"/>
  <c r="W1090" i="6"/>
  <c r="S1090" i="6"/>
  <c r="V1090" i="6"/>
  <c r="R1090" i="6"/>
  <c r="Y1090" i="6"/>
  <c r="Q1090" i="6"/>
  <c r="X1090" i="6"/>
  <c r="P1090" i="6"/>
  <c r="U1090" i="6"/>
  <c r="T1090" i="6"/>
  <c r="O1094" i="6"/>
  <c r="W1094" i="6"/>
  <c r="S1094" i="6"/>
  <c r="V1094" i="6"/>
  <c r="R1094" i="6"/>
  <c r="Y1094" i="6"/>
  <c r="U1094" i="6"/>
  <c r="Q1094" i="6"/>
  <c r="X1094" i="6"/>
  <c r="T1094" i="6"/>
  <c r="P1094" i="6"/>
  <c r="O1098" i="6"/>
  <c r="W1098" i="6"/>
  <c r="S1098" i="6"/>
  <c r="V1098" i="6"/>
  <c r="R1098" i="6"/>
  <c r="Y1098" i="6"/>
  <c r="U1098" i="6"/>
  <c r="Q1098" i="6"/>
  <c r="P1098" i="6"/>
  <c r="X1098" i="6"/>
  <c r="T1098" i="6"/>
  <c r="O1102" i="6"/>
  <c r="W1102" i="6"/>
  <c r="S1102" i="6"/>
  <c r="V1102" i="6"/>
  <c r="R1102" i="6"/>
  <c r="Y1102" i="6"/>
  <c r="U1102" i="6"/>
  <c r="Q1102" i="6"/>
  <c r="X1102" i="6"/>
  <c r="T1102" i="6"/>
  <c r="P1102" i="6"/>
  <c r="O1106" i="6"/>
  <c r="W1106" i="6"/>
  <c r="S1106" i="6"/>
  <c r="V1106" i="6"/>
  <c r="R1106" i="6"/>
  <c r="Y1106" i="6"/>
  <c r="U1106" i="6"/>
  <c r="Q1106" i="6"/>
  <c r="P1106" i="6"/>
  <c r="X1106" i="6"/>
  <c r="T1106" i="6"/>
  <c r="O1110" i="6"/>
  <c r="Y1110" i="6"/>
  <c r="U1110" i="6"/>
  <c r="Q1110" i="6"/>
  <c r="X1110" i="6"/>
  <c r="T1110" i="6"/>
  <c r="P1110" i="6"/>
  <c r="S1110" i="6"/>
  <c r="R1110" i="6"/>
  <c r="W1110" i="6"/>
  <c r="V1110" i="6"/>
  <c r="O1114" i="6"/>
  <c r="Y1114" i="6"/>
  <c r="U1114" i="6"/>
  <c r="Q1114" i="6"/>
  <c r="X1114" i="6"/>
  <c r="T1114" i="6"/>
  <c r="P1114" i="6"/>
  <c r="S1114" i="6"/>
  <c r="R1114" i="6"/>
  <c r="W1114" i="6"/>
  <c r="V1114" i="6"/>
  <c r="O1118" i="6"/>
  <c r="Y1118" i="6"/>
  <c r="U1118" i="6"/>
  <c r="Q1118" i="6"/>
  <c r="X1118" i="6"/>
  <c r="T1118" i="6"/>
  <c r="P1118" i="6"/>
  <c r="S1118" i="6"/>
  <c r="R1118" i="6"/>
  <c r="W1118" i="6"/>
  <c r="V1118" i="6"/>
  <c r="O1122" i="6"/>
  <c r="Y1122" i="6"/>
  <c r="U1122" i="6"/>
  <c r="Q1122" i="6"/>
  <c r="X1122" i="6"/>
  <c r="T1122" i="6"/>
  <c r="P1122" i="6"/>
  <c r="S1122" i="6"/>
  <c r="R1122" i="6"/>
  <c r="W1122" i="6"/>
  <c r="V1122" i="6"/>
  <c r="O1126" i="6"/>
  <c r="Y1126" i="6"/>
  <c r="U1126" i="6"/>
  <c r="Q1126" i="6"/>
  <c r="X1126" i="6"/>
  <c r="T1126" i="6"/>
  <c r="P1126" i="6"/>
  <c r="S1126" i="6"/>
  <c r="R1126" i="6"/>
  <c r="W1126" i="6"/>
  <c r="V1126" i="6"/>
  <c r="O1130" i="6"/>
  <c r="Y1130" i="6"/>
  <c r="U1130" i="6"/>
  <c r="Q1130" i="6"/>
  <c r="X1130" i="6"/>
  <c r="T1130" i="6"/>
  <c r="P1130" i="6"/>
  <c r="S1130" i="6"/>
  <c r="R1130" i="6"/>
  <c r="W1130" i="6"/>
  <c r="V1130" i="6"/>
  <c r="O1134" i="6"/>
  <c r="Y1134" i="6"/>
  <c r="U1134" i="6"/>
  <c r="Q1134" i="6"/>
  <c r="X1134" i="6"/>
  <c r="T1134" i="6"/>
  <c r="P1134" i="6"/>
  <c r="S1134" i="6"/>
  <c r="R1134" i="6"/>
  <c r="W1134" i="6"/>
  <c r="V1134" i="6"/>
  <c r="O1138" i="6"/>
  <c r="Y1138" i="6"/>
  <c r="U1138" i="6"/>
  <c r="Q1138" i="6"/>
  <c r="X1138" i="6"/>
  <c r="T1138" i="6"/>
  <c r="P1138" i="6"/>
  <c r="S1138" i="6"/>
  <c r="R1138" i="6"/>
  <c r="W1138" i="6"/>
  <c r="V1138" i="6"/>
  <c r="R3" i="6"/>
  <c r="P4" i="6"/>
  <c r="X4" i="6"/>
  <c r="V5" i="6"/>
  <c r="T6" i="6"/>
  <c r="R7" i="6"/>
  <c r="P8" i="6"/>
  <c r="X8" i="6"/>
  <c r="V9" i="6"/>
  <c r="T10" i="6"/>
  <c r="R11" i="6"/>
  <c r="P12" i="6"/>
  <c r="X12" i="6"/>
  <c r="V13" i="6"/>
  <c r="T14" i="6"/>
  <c r="R15" i="6"/>
  <c r="S16" i="6"/>
  <c r="Y17" i="6"/>
  <c r="U19" i="6"/>
  <c r="Q21" i="6"/>
  <c r="W22" i="6"/>
  <c r="S24" i="6"/>
  <c r="Y25" i="6"/>
  <c r="U27" i="6"/>
  <c r="Q29" i="6"/>
  <c r="W30" i="6"/>
  <c r="S32" i="6"/>
  <c r="Y33" i="6"/>
  <c r="U35" i="6"/>
  <c r="Q37" i="6"/>
  <c r="W38" i="6"/>
  <c r="S40" i="6"/>
  <c r="Y41" i="6"/>
  <c r="U43" i="6"/>
  <c r="Q45" i="6"/>
  <c r="W46" i="6"/>
  <c r="S48" i="6"/>
  <c r="Y49" i="6"/>
  <c r="U51" i="6"/>
  <c r="Q53" i="6"/>
  <c r="W54" i="6"/>
  <c r="S56" i="6"/>
  <c r="Y57" i="6"/>
  <c r="U59" i="6"/>
  <c r="Q61" i="6"/>
  <c r="W62" i="6"/>
  <c r="S64" i="6"/>
  <c r="Y65" i="6"/>
  <c r="U67" i="6"/>
  <c r="Q69" i="6"/>
  <c r="W70" i="6"/>
  <c r="S72" i="6"/>
  <c r="Y73" i="6"/>
  <c r="U75" i="6"/>
  <c r="Q77" i="6"/>
  <c r="W78" i="6"/>
  <c r="S80" i="6"/>
  <c r="Y81" i="6"/>
  <c r="U83" i="6"/>
  <c r="Q85" i="6"/>
  <c r="W86" i="6"/>
  <c r="S88" i="6"/>
  <c r="Y89" i="6"/>
  <c r="U91" i="6"/>
  <c r="Q93" i="6"/>
  <c r="W94" i="6"/>
  <c r="S96" i="6"/>
  <c r="Y97" i="6"/>
  <c r="U99" i="6"/>
  <c r="Q101" i="6"/>
  <c r="W102" i="6"/>
  <c r="S104" i="6"/>
  <c r="Y105" i="6"/>
  <c r="U107" i="6"/>
  <c r="Q109" i="6"/>
  <c r="W110" i="6"/>
  <c r="S112" i="6"/>
  <c r="Y113" i="6"/>
  <c r="U115" i="6"/>
  <c r="Q117" i="6"/>
  <c r="W118" i="6"/>
  <c r="S120" i="6"/>
  <c r="Y121" i="6"/>
  <c r="U123" i="6"/>
  <c r="Q125" i="6"/>
  <c r="W126" i="6"/>
  <c r="S128" i="6"/>
  <c r="Y129" i="6"/>
  <c r="U131" i="6"/>
  <c r="Q133" i="6"/>
  <c r="W134" i="6"/>
  <c r="S136" i="6"/>
  <c r="Y137" i="6"/>
  <c r="U139" i="6"/>
  <c r="Q141" i="6"/>
  <c r="W142" i="6"/>
  <c r="S144" i="6"/>
  <c r="Y145" i="6"/>
  <c r="U147" i="6"/>
  <c r="Q149" i="6"/>
  <c r="W150" i="6"/>
  <c r="S152" i="6"/>
  <c r="Y153" i="6"/>
  <c r="U155" i="6"/>
  <c r="Q157" i="6"/>
  <c r="W158" i="6"/>
  <c r="S160" i="6"/>
  <c r="Y161" i="6"/>
  <c r="U163" i="6"/>
  <c r="Q165" i="6"/>
  <c r="W166" i="6"/>
  <c r="S168" i="6"/>
  <c r="Y169" i="6"/>
  <c r="U171" i="6"/>
  <c r="Q173" i="6"/>
  <c r="X174" i="6"/>
  <c r="V177" i="6"/>
  <c r="X180" i="6"/>
  <c r="P184" i="6"/>
  <c r="R187" i="6"/>
  <c r="T190" i="6"/>
  <c r="V193" i="6"/>
  <c r="X196" i="6"/>
  <c r="P200" i="6"/>
  <c r="R203" i="6"/>
  <c r="T206" i="6"/>
  <c r="V209" i="6"/>
  <c r="X212" i="6"/>
  <c r="P216" i="6"/>
  <c r="R219" i="6"/>
  <c r="T222" i="6"/>
  <c r="V225" i="6"/>
  <c r="X228" i="6"/>
  <c r="P232" i="6"/>
  <c r="R235" i="6"/>
  <c r="T238" i="6"/>
  <c r="V241" i="6"/>
  <c r="X244" i="6"/>
  <c r="P248" i="6"/>
  <c r="R251" i="6"/>
  <c r="T254" i="6"/>
  <c r="V257" i="6"/>
  <c r="X260" i="6"/>
  <c r="P264" i="6"/>
  <c r="R267" i="6"/>
  <c r="T270" i="6"/>
  <c r="V273" i="6"/>
  <c r="X276" i="6"/>
  <c r="P280" i="6"/>
  <c r="R283" i="6"/>
  <c r="T286" i="6"/>
  <c r="V289" i="6"/>
  <c r="X292" i="6"/>
  <c r="P296" i="6"/>
  <c r="R299" i="6"/>
  <c r="T302" i="6"/>
  <c r="V305" i="6"/>
  <c r="X308" i="6"/>
  <c r="P312" i="6"/>
  <c r="R315" i="6"/>
  <c r="T318" i="6"/>
  <c r="V321" i="6"/>
  <c r="X324" i="6"/>
  <c r="P328" i="6"/>
  <c r="R331" i="6"/>
  <c r="T334" i="6"/>
  <c r="V337" i="6"/>
  <c r="X341" i="6"/>
  <c r="P346" i="6"/>
  <c r="S350" i="6"/>
  <c r="V354" i="6"/>
  <c r="X358" i="6"/>
  <c r="V363" i="6"/>
  <c r="R372" i="6"/>
  <c r="W380" i="6"/>
  <c r="V389" i="6"/>
  <c r="T402" i="6"/>
  <c r="R415" i="6"/>
  <c r="P428" i="6"/>
  <c r="X440" i="6"/>
  <c r="V453" i="6"/>
  <c r="S476" i="6"/>
  <c r="Y501" i="6"/>
  <c r="U527" i="6"/>
  <c r="Q553" i="6"/>
  <c r="U598" i="6"/>
  <c r="P689" i="6"/>
  <c r="O1140" i="6"/>
  <c r="Y1140" i="6"/>
  <c r="U1140" i="6"/>
  <c r="Q1140" i="6"/>
  <c r="X1140" i="6"/>
  <c r="T1140" i="6"/>
  <c r="P1140" i="6"/>
  <c r="W1140" i="6"/>
  <c r="V1140" i="6"/>
  <c r="S1140" i="6"/>
  <c r="R1140" i="6"/>
  <c r="O1133" i="6"/>
  <c r="W1133" i="6"/>
  <c r="S1133" i="6"/>
  <c r="V1133" i="6"/>
  <c r="R1133" i="6"/>
  <c r="U1133" i="6"/>
  <c r="T1133" i="6"/>
  <c r="Y1133" i="6"/>
  <c r="Q1133" i="6"/>
  <c r="X1133" i="6"/>
  <c r="P1133" i="6"/>
  <c r="O1137" i="6"/>
  <c r="W1137" i="6"/>
  <c r="S1137" i="6"/>
  <c r="V1137" i="6"/>
  <c r="R1137" i="6"/>
  <c r="U1137" i="6"/>
  <c r="T1137" i="6"/>
  <c r="Y1137" i="6"/>
  <c r="Q1137" i="6"/>
  <c r="P1137" i="6"/>
  <c r="X1137" i="6"/>
  <c r="Y2" i="6"/>
  <c r="X2" i="6"/>
  <c r="W2" i="6"/>
  <c r="V2" i="6"/>
  <c r="U2" i="6"/>
  <c r="T2" i="6"/>
  <c r="S2" i="6"/>
  <c r="R2" i="6"/>
  <c r="Q2" i="6"/>
  <c r="P2" i="6"/>
  <c r="H2058" i="3"/>
  <c r="H1522" i="3"/>
  <c r="H1521" i="3"/>
  <c r="H1050" i="3"/>
  <c r="H801" i="3"/>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D262" i="2"/>
  <c r="D258" i="2"/>
  <c r="D254" i="2"/>
  <c r="D253" i="2"/>
  <c r="D252" i="2"/>
  <c r="D249" i="2"/>
  <c r="D242" i="2"/>
  <c r="D241" i="2"/>
  <c r="D240" i="2"/>
  <c r="G267" i="2"/>
  <c r="H267" i="2" s="1"/>
  <c r="D267" i="2" s="1"/>
  <c r="G266" i="2"/>
  <c r="H266" i="2" s="1"/>
  <c r="D266" i="2" s="1"/>
  <c r="G265" i="2"/>
  <c r="H265" i="2" s="1"/>
  <c r="D265" i="2" s="1"/>
  <c r="G264" i="2"/>
  <c r="H264" i="2" s="1"/>
  <c r="D264" i="2" s="1"/>
  <c r="G263" i="2"/>
  <c r="H263" i="2" s="1"/>
  <c r="D263" i="2" s="1"/>
  <c r="G262" i="2"/>
  <c r="G261" i="2"/>
  <c r="H261" i="2" s="1"/>
  <c r="D261" i="2" s="1"/>
  <c r="G260" i="2"/>
  <c r="H260" i="2" s="1"/>
  <c r="D260" i="2" s="1"/>
  <c r="G259" i="2"/>
  <c r="H259" i="2" s="1"/>
  <c r="D259" i="2" s="1"/>
  <c r="G258" i="2"/>
  <c r="G257" i="2"/>
  <c r="H257" i="2" s="1"/>
  <c r="D257" i="2" s="1"/>
  <c r="G256" i="2"/>
  <c r="H256" i="2" s="1"/>
  <c r="D256" i="2" s="1"/>
  <c r="G255" i="2"/>
  <c r="H255" i="2" s="1"/>
  <c r="D255" i="2" s="1"/>
  <c r="G254" i="2"/>
  <c r="G253" i="2"/>
  <c r="G252" i="2"/>
  <c r="G251" i="2"/>
  <c r="H251" i="2" s="1"/>
  <c r="D251" i="2" s="1"/>
  <c r="G250" i="2"/>
  <c r="H250" i="2" s="1"/>
  <c r="D250" i="2" s="1"/>
  <c r="G249" i="2"/>
  <c r="G248" i="2"/>
  <c r="H248" i="2" s="1"/>
  <c r="D248" i="2" s="1"/>
  <c r="G247" i="2"/>
  <c r="H247" i="2" s="1"/>
  <c r="D247" i="2" s="1"/>
  <c r="G246" i="2"/>
  <c r="H246" i="2" s="1"/>
  <c r="D246" i="2" s="1"/>
  <c r="G245" i="2"/>
  <c r="H245" i="2" s="1"/>
  <c r="D245" i="2" s="1"/>
  <c r="G244" i="2"/>
  <c r="H244" i="2" s="1"/>
  <c r="D244" i="2" s="1"/>
  <c r="G243" i="2"/>
  <c r="H243" i="2" s="1"/>
  <c r="D243" i="2" s="1"/>
  <c r="G242" i="2"/>
  <c r="G241" i="2"/>
  <c r="G240" i="2"/>
  <c r="A232" i="12" l="1"/>
  <c r="A231" i="12"/>
  <c r="A230" i="12"/>
  <c r="A229" i="12"/>
  <c r="A228" i="12"/>
  <c r="A227" i="12"/>
  <c r="A226" i="12"/>
  <c r="A225" i="12"/>
  <c r="A224" i="12"/>
  <c r="A223" i="12"/>
  <c r="A222" i="12"/>
  <c r="A221" i="12"/>
  <c r="A220" i="12"/>
  <c r="A219" i="12"/>
  <c r="A218" i="12"/>
  <c r="A217" i="12"/>
  <c r="A216" i="12"/>
  <c r="A215" i="12"/>
  <c r="A214" i="12"/>
  <c r="A213" i="12"/>
  <c r="A212" i="12"/>
  <c r="A211" i="12"/>
  <c r="A210" i="12"/>
  <c r="A209" i="12"/>
  <c r="A208" i="12"/>
  <c r="A207" i="12"/>
  <c r="A206" i="12"/>
  <c r="A205" i="12"/>
  <c r="A204" i="12"/>
  <c r="A203" i="12"/>
  <c r="A202" i="12"/>
  <c r="A201" i="12"/>
  <c r="A200" i="12"/>
  <c r="A199" i="12"/>
  <c r="A198" i="12"/>
  <c r="A197" i="12"/>
  <c r="A196" i="12"/>
  <c r="A195" i="12"/>
  <c r="A194" i="12"/>
  <c r="A193" i="12"/>
  <c r="A192" i="12"/>
  <c r="A191" i="12"/>
  <c r="A190" i="12"/>
  <c r="A189" i="12"/>
  <c r="A188" i="12"/>
  <c r="A187" i="12"/>
  <c r="A186" i="12"/>
  <c r="A185" i="12"/>
  <c r="A184" i="12"/>
  <c r="A183" i="12"/>
  <c r="A182" i="12"/>
  <c r="A181" i="12"/>
  <c r="A180" i="12"/>
  <c r="A179" i="12"/>
  <c r="A178" i="12"/>
  <c r="A177" i="12"/>
  <c r="A176" i="12"/>
  <c r="A175" i="12"/>
  <c r="A174" i="12"/>
  <c r="A173" i="12"/>
  <c r="A172" i="12"/>
  <c r="A171" i="12"/>
  <c r="A170" i="12"/>
  <c r="A169" i="12"/>
  <c r="A168" i="12"/>
  <c r="A167" i="12"/>
  <c r="A166" i="12"/>
  <c r="A165" i="12"/>
  <c r="A164" i="12"/>
  <c r="A163" i="12"/>
  <c r="A162" i="12"/>
  <c r="A161" i="12"/>
  <c r="A160" i="12"/>
  <c r="A159" i="12"/>
  <c r="A158" i="12"/>
  <c r="A157" i="12"/>
  <c r="A156" i="12"/>
  <c r="A155" i="12"/>
  <c r="A154" i="12"/>
  <c r="A153" i="12"/>
  <c r="A152" i="12"/>
  <c r="A151" i="12"/>
  <c r="A150" i="12"/>
  <c r="A149" i="12"/>
  <c r="A148" i="12"/>
  <c r="A147" i="12"/>
  <c r="A146" i="12"/>
  <c r="A145" i="12"/>
  <c r="A144" i="12"/>
  <c r="A143" i="12"/>
  <c r="A142" i="12"/>
  <c r="A141" i="12"/>
  <c r="A140" i="12"/>
  <c r="A139" i="12"/>
  <c r="A138" i="12"/>
  <c r="A137" i="12"/>
  <c r="A136" i="12"/>
  <c r="A135" i="12"/>
  <c r="A134" i="12"/>
  <c r="A133" i="12"/>
  <c r="A132" i="12"/>
  <c r="A131" i="12"/>
  <c r="A130" i="12"/>
  <c r="A129" i="12"/>
  <c r="A128" i="12"/>
  <c r="A127" i="12"/>
  <c r="A126" i="12"/>
  <c r="A125" i="12"/>
  <c r="A124" i="12"/>
  <c r="A123" i="12"/>
  <c r="A122" i="12"/>
  <c r="A121" i="12"/>
  <c r="A120" i="12"/>
  <c r="A119" i="12"/>
  <c r="A118" i="12"/>
  <c r="A117" i="12"/>
  <c r="A116" i="12"/>
  <c r="A115" i="12"/>
  <c r="A114" i="12"/>
  <c r="A113" i="12"/>
  <c r="A112" i="12"/>
  <c r="A111" i="12"/>
  <c r="A110" i="12"/>
  <c r="A109" i="12"/>
  <c r="A108" i="12"/>
  <c r="A107" i="12"/>
  <c r="A106" i="12"/>
  <c r="A105" i="12"/>
  <c r="A104" i="12"/>
  <c r="A103" i="12"/>
  <c r="A102" i="12"/>
  <c r="A101" i="12"/>
  <c r="A100" i="12"/>
  <c r="A99" i="12"/>
  <c r="A98" i="12"/>
  <c r="A97" i="12"/>
  <c r="A96" i="12"/>
  <c r="A95" i="12"/>
  <c r="A94" i="12"/>
  <c r="A93" i="12"/>
  <c r="A92" i="12"/>
  <c r="A91" i="12"/>
  <c r="A90" i="12"/>
  <c r="A89" i="12"/>
  <c r="A88" i="12"/>
  <c r="A87" i="12"/>
  <c r="A86" i="12"/>
  <c r="A85" i="12"/>
  <c r="A84" i="12"/>
  <c r="A83" i="12"/>
  <c r="A82" i="12"/>
  <c r="A81" i="12"/>
  <c r="A80" i="12"/>
  <c r="A79" i="12"/>
  <c r="A78" i="12"/>
  <c r="A77" i="12"/>
  <c r="A76" i="12"/>
  <c r="A75" i="12"/>
  <c r="A74" i="12"/>
  <c r="A73" i="12"/>
  <c r="A72" i="12"/>
  <c r="A71" i="12"/>
  <c r="A70" i="12"/>
  <c r="A69" i="12"/>
  <c r="A68" i="12"/>
  <c r="A67" i="12"/>
  <c r="A66" i="12"/>
  <c r="A65"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Antw</author>
  </authors>
  <commentList>
    <comment ref="B15" authorId="0" shapeId="0" xr:uid="{00000000-0006-0000-0000-000001000000}">
      <text>
        <r>
          <rPr>
            <b/>
            <sz val="9"/>
            <color indexed="81"/>
            <rFont val="Tahoma"/>
            <charset val="1"/>
          </rPr>
          <t>Antw:</t>
        </r>
        <r>
          <rPr>
            <sz val="9"/>
            <color indexed="81"/>
            <rFont val="Tahoma"/>
            <charset val="1"/>
          </rPr>
          <t xml:space="preserve">
Duplicate removed: frequency</t>
        </r>
      </text>
    </comment>
    <comment ref="B28" authorId="0" shapeId="0" xr:uid="{00000000-0006-0000-0000-000002000000}">
      <text>
        <r>
          <rPr>
            <b/>
            <sz val="9"/>
            <color indexed="81"/>
            <rFont val="Tahoma"/>
            <charset val="1"/>
          </rPr>
          <t>Antw:</t>
        </r>
        <r>
          <rPr>
            <sz val="9"/>
            <color indexed="81"/>
            <rFont val="Tahoma"/>
            <charset val="1"/>
          </rPr>
          <t xml:space="preserve">
Duplicate removed: data transmission speed</t>
        </r>
      </text>
    </comment>
    <comment ref="B50" authorId="0" shapeId="0" xr:uid="{00000000-0006-0000-0000-000003000000}">
      <text>
        <r>
          <rPr>
            <b/>
            <sz val="9"/>
            <color indexed="81"/>
            <rFont val="Tahoma"/>
            <charset val="1"/>
          </rPr>
          <t>Antw:</t>
        </r>
        <r>
          <rPr>
            <sz val="9"/>
            <color indexed="81"/>
            <rFont val="Tahoma"/>
            <charset val="1"/>
          </rPr>
          <t xml:space="preserve">
Duplicate removed: attenuation</t>
        </r>
      </text>
    </comment>
    <comment ref="B54" authorId="0" shapeId="0" xr:uid="{00000000-0006-0000-0000-000004000000}">
      <text>
        <r>
          <rPr>
            <b/>
            <sz val="9"/>
            <color indexed="81"/>
            <rFont val="Tahoma"/>
            <charset val="1"/>
          </rPr>
          <t>Antw:</t>
        </r>
        <r>
          <rPr>
            <sz val="9"/>
            <color indexed="81"/>
            <rFont val="Tahoma"/>
            <charset val="1"/>
          </rPr>
          <t xml:space="preserve">
Removed duplication: volumic concentration</t>
        </r>
      </text>
    </comment>
    <comment ref="B145" authorId="0" shapeId="0" xr:uid="{00000000-0006-0000-0000-000005000000}">
      <text>
        <r>
          <rPr>
            <b/>
            <sz val="9"/>
            <color indexed="81"/>
            <rFont val="Tahoma"/>
            <charset val="1"/>
          </rPr>
          <t>Antw:</t>
        </r>
        <r>
          <rPr>
            <sz val="9"/>
            <color indexed="81"/>
            <rFont val="Tahoma"/>
            <charset val="1"/>
          </rPr>
          <t xml:space="preserve">
Duplicate removed: productivity index</t>
        </r>
      </text>
    </comment>
    <comment ref="B180" authorId="0" shapeId="0" xr:uid="{00000000-0006-0000-0000-000006000000}">
      <text>
        <r>
          <rPr>
            <b/>
            <sz val="9"/>
            <color indexed="81"/>
            <rFont val="Tahoma"/>
            <charset val="1"/>
          </rPr>
          <t>Antw:</t>
        </r>
        <r>
          <rPr>
            <sz val="9"/>
            <color indexed="81"/>
            <rFont val="Tahoma"/>
            <charset val="1"/>
          </rPr>
          <t xml:space="preserve">
Duplicate removed: force per volume</t>
        </r>
      </text>
    </comment>
    <comment ref="B181" authorId="0" shapeId="0" xr:uid="{00000000-0006-0000-0000-000007000000}">
      <text>
        <r>
          <rPr>
            <b/>
            <sz val="9"/>
            <color indexed="81"/>
            <rFont val="Tahoma"/>
            <charset val="1"/>
          </rPr>
          <t>Antw:</t>
        </r>
        <r>
          <rPr>
            <sz val="9"/>
            <color indexed="81"/>
            <rFont val="Tahoma"/>
            <charset val="1"/>
          </rPr>
          <t xml:space="preserve">
Duplicate removed: pressure per length</t>
        </r>
      </text>
    </comment>
    <comment ref="B240" authorId="0" shapeId="0" xr:uid="{00000000-0006-0000-0000-000008000000}">
      <text>
        <r>
          <rPr>
            <b/>
            <sz val="9"/>
            <color indexed="81"/>
            <rFont val="Tahoma"/>
            <charset val="1"/>
          </rPr>
          <t>Antw:</t>
        </r>
        <r>
          <rPr>
            <sz val="9"/>
            <color indexed="81"/>
            <rFont val="Tahoma"/>
            <charset val="1"/>
          </rPr>
          <t xml:space="preserve">
These items have been copied from "Table of Customary Units" to here, as they were missing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Antw</author>
  </authors>
  <commentList>
    <comment ref="A1" authorId="0" shapeId="0" xr:uid="{00000000-0006-0000-0400-000001000000}">
      <text>
        <r>
          <rPr>
            <b/>
            <sz val="9"/>
            <color indexed="81"/>
            <rFont val="Tahoma"/>
            <family val="2"/>
          </rPr>
          <t>Antw:</t>
        </r>
        <r>
          <rPr>
            <sz val="9"/>
            <color indexed="81"/>
            <rFont val="Tahoma"/>
            <family val="2"/>
          </rPr>
          <t xml:space="preserve">
1=OK, any other value: do not use</t>
        </r>
      </text>
    </comment>
    <comment ref="B1" authorId="0" shapeId="0" xr:uid="{00000000-0006-0000-0400-000002000000}">
      <text>
        <r>
          <rPr>
            <b/>
            <sz val="9"/>
            <color indexed="81"/>
            <rFont val="Tahoma"/>
            <family val="2"/>
          </rPr>
          <t>Antw:</t>
        </r>
        <r>
          <rPr>
            <sz val="9"/>
            <color indexed="81"/>
            <rFont val="Tahoma"/>
            <family val="2"/>
          </rPr>
          <t xml:space="preserve">
Data source: http://www.ebyte.it/library/educards/sidimensions/SiDimensionsByCategory.html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Antw</author>
  </authors>
  <commentList>
    <comment ref="C1" authorId="0" shapeId="0" xr:uid="{00000000-0006-0000-0500-000001000000}">
      <text>
        <r>
          <rPr>
            <b/>
            <sz val="9"/>
            <color indexed="81"/>
            <rFont val="Tahoma"/>
            <charset val="1"/>
          </rPr>
          <t>Antw:</t>
        </r>
        <r>
          <rPr>
            <sz val="9"/>
            <color indexed="81"/>
            <rFont val="Tahoma"/>
            <charset val="1"/>
          </rPr>
          <t xml:space="preserve">
Higher numbers will be more popular, so appear higher in selection lists.
Rough categories:
0 or empty: default
1 = Common
2 = Very common
10 = User favorite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Antw</author>
  </authors>
  <commentList>
    <comment ref="B1" authorId="0" shapeId="0" xr:uid="{00000000-0006-0000-0700-000001000000}">
      <text>
        <r>
          <rPr>
            <b/>
            <sz val="9"/>
            <color indexed="81"/>
            <rFont val="Tahoma"/>
            <family val="2"/>
          </rPr>
          <t>Antw:</t>
        </r>
        <r>
          <rPr>
            <sz val="9"/>
            <color indexed="81"/>
            <rFont val="Tahoma"/>
            <family val="2"/>
          </rPr>
          <t xml:space="preserve">
1=OK, any other value: do not use</t>
        </r>
      </text>
    </comment>
    <comment ref="D1" authorId="0" shapeId="0" xr:uid="{00000000-0006-0000-0700-000002000000}">
      <text>
        <r>
          <rPr>
            <b/>
            <sz val="9"/>
            <color indexed="81"/>
            <rFont val="Tahoma"/>
            <charset val="1"/>
          </rPr>
          <t>Antw:</t>
        </r>
        <r>
          <rPr>
            <sz val="9"/>
            <color indexed="81"/>
            <rFont val="Tahoma"/>
            <charset val="1"/>
          </rPr>
          <t xml:space="preserve">
Higher numbers will be more popular, so appear higher in selection lists.
Rough categories:
0 or empty: default
1 = Common
2 = Very common
10 = User favorite</t>
        </r>
      </text>
    </comment>
    <comment ref="E1" authorId="0" shapeId="0" xr:uid="{00000000-0006-0000-0700-000003000000}">
      <text>
        <r>
          <rPr>
            <b/>
            <sz val="9"/>
            <color indexed="81"/>
            <rFont val="Tahoma"/>
            <charset val="1"/>
          </rPr>
          <t>Antw:</t>
        </r>
        <r>
          <rPr>
            <sz val="9"/>
            <color indexed="81"/>
            <rFont val="Tahoma"/>
            <charset val="1"/>
          </rPr>
          <t xml:space="preserve">
Defines a set of param types that are equivalent (possibly even just alternative names)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Antw</author>
  </authors>
  <commentList>
    <comment ref="B1" authorId="0" shapeId="0" xr:uid="{00000000-0006-0000-0800-000001000000}">
      <text>
        <r>
          <rPr>
            <b/>
            <sz val="9"/>
            <color indexed="81"/>
            <rFont val="Tahoma"/>
            <family val="2"/>
          </rPr>
          <t>Antw:</t>
        </r>
        <r>
          <rPr>
            <sz val="9"/>
            <color indexed="81"/>
            <rFont val="Tahoma"/>
            <family val="2"/>
          </rPr>
          <t xml:space="preserve">
1=OK, any other value: do not use</t>
        </r>
      </text>
    </comment>
    <comment ref="E1" authorId="0" shapeId="0" xr:uid="{00000000-0006-0000-0800-000002000000}">
      <text>
        <r>
          <rPr>
            <b/>
            <sz val="9"/>
            <color indexed="81"/>
            <rFont val="Tahoma"/>
            <charset val="1"/>
          </rPr>
          <t>Antw:</t>
        </r>
        <r>
          <rPr>
            <sz val="9"/>
            <color indexed="81"/>
            <rFont val="Tahoma"/>
            <charset val="1"/>
          </rPr>
          <t xml:space="preserve">
Higher numbers will be more popular, so appear higher in selection lists.
Rough categories:
0 or empty: default
1 = Common
2 = Very common
10 = User favorite</t>
        </r>
      </text>
    </comment>
    <comment ref="N1" authorId="0" shapeId="0" xr:uid="{F21A6716-EB6E-479D-AF9C-13809CD6A8AB}">
      <text>
        <r>
          <rPr>
            <b/>
            <sz val="9"/>
            <color indexed="81"/>
            <rFont val="Tahoma"/>
            <charset val="1"/>
          </rPr>
          <t>Antw:</t>
        </r>
        <r>
          <rPr>
            <sz val="9"/>
            <color indexed="81"/>
            <rFont val="Tahoma"/>
            <charset val="1"/>
          </rPr>
          <t xml:space="preserve">
Strange formula because the test must be case sensitive
</t>
        </r>
      </text>
    </comment>
  </commentList>
</comments>
</file>

<file path=xl/sharedStrings.xml><?xml version="1.0" encoding="utf-8"?>
<sst xmlns="http://schemas.openxmlformats.org/spreadsheetml/2006/main" count="17318" uniqueCount="4486">
  <si>
    <t>Name</t>
  </si>
  <si>
    <t>Quantity Type</t>
  </si>
  <si>
    <t>Catalog Name</t>
  </si>
  <si>
    <t>Catalog Symbol</t>
  </si>
  <si>
    <t>RP66 symbol</t>
  </si>
  <si>
    <t>Base Unit Description</t>
  </si>
  <si>
    <t>inverse henry</t>
  </si>
  <si>
    <t>reluctance</t>
  </si>
  <si>
    <t>POSC</t>
  </si>
  <si>
    <t>1/H</t>
  </si>
  <si>
    <t>per Kelvin</t>
  </si>
  <si>
    <t>volumetric thermal expansion</t>
  </si>
  <si>
    <t>linear thermal expansion</t>
  </si>
  <si>
    <t>1/K</t>
  </si>
  <si>
    <t>per kilogram</t>
  </si>
  <si>
    <t>per mass</t>
  </si>
  <si>
    <t>1/kg</t>
  </si>
  <si>
    <t>per metre</t>
  </si>
  <si>
    <t>per length</t>
  </si>
  <si>
    <t>wave number</t>
  </si>
  <si>
    <t>1/m</t>
  </si>
  <si>
    <t>per square metre</t>
  </si>
  <si>
    <t>per area</t>
  </si>
  <si>
    <t>1/m2</t>
  </si>
  <si>
    <t>per cubic metre</t>
  </si>
  <si>
    <t>per volume</t>
  </si>
  <si>
    <t>1/m3</t>
  </si>
  <si>
    <t>per Newton</t>
  </si>
  <si>
    <t>per force</t>
  </si>
  <si>
    <t>1/N</t>
  </si>
  <si>
    <t>per Pascal</t>
  </si>
  <si>
    <t>bulk compressibility</t>
  </si>
  <si>
    <t>compressibility</t>
  </si>
  <si>
    <t>1/Pa</t>
  </si>
  <si>
    <t>per second</t>
  </si>
  <si>
    <t>per time</t>
  </si>
  <si>
    <t>operations per time</t>
  </si>
  <si>
    <t>frequency</t>
  </si>
  <si>
    <t>1/s</t>
  </si>
  <si>
    <t>per Volt</t>
  </si>
  <si>
    <t>per electric potential</t>
  </si>
  <si>
    <t>1/V</t>
  </si>
  <si>
    <t>ampere</t>
  </si>
  <si>
    <t>electric current</t>
  </si>
  <si>
    <t>magnetic potential difference</t>
  </si>
  <si>
    <t>magnetomotive force</t>
  </si>
  <si>
    <t>A</t>
  </si>
  <si>
    <t>The ampere is that constant current which, if maintained in two straight parallel conductors of infinite length, of negligible circular cross section, and placed 1 metre apart in vacuum,would produce between these conductors a force equal to 2 x 10**-7 newton per metre of length.</t>
  </si>
  <si>
    <t>amperes metres squared</t>
  </si>
  <si>
    <t>electromagnetic moment</t>
  </si>
  <si>
    <t>A.m2</t>
  </si>
  <si>
    <t>amperes/metre</t>
  </si>
  <si>
    <t>linear electric current density</t>
  </si>
  <si>
    <t>magnetic field strength</t>
  </si>
  <si>
    <t>magnetization</t>
  </si>
  <si>
    <t>A/m</t>
  </si>
  <si>
    <t>amperes/square metre</t>
  </si>
  <si>
    <t>current density</t>
  </si>
  <si>
    <t>A/m2</t>
  </si>
  <si>
    <t>bel</t>
  </si>
  <si>
    <t>level of power intensity</t>
  </si>
  <si>
    <t>B</t>
  </si>
  <si>
    <t>10 dB</t>
  </si>
  <si>
    <t>A unit of intensity. A bel is the base 10 logarithm of a power or amplitude ratio. Some systems define a specific base value.</t>
  </si>
  <si>
    <t>bels/metre</t>
  </si>
  <si>
    <t>attenuation per length</t>
  </si>
  <si>
    <t>B/m</t>
  </si>
  <si>
    <t>10 dB/m</t>
  </si>
  <si>
    <t>bels/octave</t>
  </si>
  <si>
    <t>attenuation</t>
  </si>
  <si>
    <t>B/O</t>
  </si>
  <si>
    <t>The power or amplitude variation that occurs over a doubling of the domain variable.</t>
  </si>
  <si>
    <t>baud</t>
  </si>
  <si>
    <t>data transmission speed</t>
  </si>
  <si>
    <t>Bd</t>
  </si>
  <si>
    <t>A unit of transmission speed, equal to one bit per second. This unit is being deprecated in favor of bits per second (bps).</t>
  </si>
  <si>
    <t>bits per second</t>
  </si>
  <si>
    <t>bps</t>
  </si>
  <si>
    <t>A unit of transmission speed, equal to one bit per second.</t>
  </si>
  <si>
    <t>becquerel</t>
  </si>
  <si>
    <t>activity (of radioactivity)</t>
  </si>
  <si>
    <t>Bq</t>
  </si>
  <si>
    <t>The activity of a radionuclide decaying at the rate of one spontaneous nuclear transition per second</t>
  </si>
  <si>
    <t>becquerel per kilogram</t>
  </si>
  <si>
    <t>specific activity (of radioactivity)</t>
  </si>
  <si>
    <t>Bq/kg</t>
  </si>
  <si>
    <t>byte</t>
  </si>
  <si>
    <t>digital storage</t>
  </si>
  <si>
    <t>The capacity, in bytes, of a storage device or an information system,is one eighth of the base two logarithm of the number of possible states of the device or system.</t>
  </si>
  <si>
    <t>coulomb</t>
  </si>
  <si>
    <t>electric capacity</t>
  </si>
  <si>
    <t>electric charge</t>
  </si>
  <si>
    <t>electric flux</t>
  </si>
  <si>
    <t>C</t>
  </si>
  <si>
    <t>The time integral of electric current,equal to 1 A.s</t>
  </si>
  <si>
    <t>coulomb metres</t>
  </si>
  <si>
    <t>electric dipole moment</t>
  </si>
  <si>
    <t>C.m</t>
  </si>
  <si>
    <t>coulomb per kilogram</t>
  </si>
  <si>
    <t>exposure (radioactivity)</t>
  </si>
  <si>
    <t>C/kg</t>
  </si>
  <si>
    <t>coulombs/square metre</t>
  </si>
  <si>
    <t>electric polarization</t>
  </si>
  <si>
    <t>C/m2</t>
  </si>
  <si>
    <t>coulombs/cubic metre</t>
  </si>
  <si>
    <t>charge density</t>
  </si>
  <si>
    <t>C/m3</t>
  </si>
  <si>
    <t>candela</t>
  </si>
  <si>
    <t>luminous intensity</t>
  </si>
  <si>
    <t>cd</t>
  </si>
  <si>
    <t>The candela is the luminous intensity, in a given direction,of a source that emits monochromatic radiation of frequency 540 X 10**12 hertz and that has a radian intensity in that direction of 1/683 watt per steradian.</t>
  </si>
  <si>
    <t>candelas/square metre</t>
  </si>
  <si>
    <t>luminance</t>
  </si>
  <si>
    <t>cd/m2</t>
  </si>
  <si>
    <t>equivalent</t>
  </si>
  <si>
    <t>electrochemical equivalent</t>
  </si>
  <si>
    <t>eq</t>
  </si>
  <si>
    <t>The charge contained in one mole of electrons. The amount is equal to 96487 coulombs.</t>
  </si>
  <si>
    <t>equivalent per kilogram</t>
  </si>
  <si>
    <t>equivalent per mass</t>
  </si>
  <si>
    <t>eq/kg</t>
  </si>
  <si>
    <t>equivalents per cubic metre</t>
  </si>
  <si>
    <t>equivalent per volume</t>
  </si>
  <si>
    <t>eq/m3</t>
  </si>
  <si>
    <t>euclid</t>
  </si>
  <si>
    <t>dimensionless</t>
  </si>
  <si>
    <t>volumic concentration</t>
  </si>
  <si>
    <t>mass concentration</t>
  </si>
  <si>
    <t>linear strain</t>
  </si>
  <si>
    <t>shear strain</t>
  </si>
  <si>
    <t>poisson ratio</t>
  </si>
  <si>
    <t>Euc</t>
  </si>
  <si>
    <t>A base unit to describe all dimensionless values,such as ratios and factors.</t>
  </si>
  <si>
    <t>farad</t>
  </si>
  <si>
    <t>capacitance</t>
  </si>
  <si>
    <t>F</t>
  </si>
  <si>
    <t>The capacitance of a capacitor between the plates of which there appears a difference of potential of 1 V when it is charged by a quantity of electricity equal to 1 C.</t>
  </si>
  <si>
    <t>farads/metre</t>
  </si>
  <si>
    <t>permittivity</t>
  </si>
  <si>
    <t>F/m</t>
  </si>
  <si>
    <t>gas unit</t>
  </si>
  <si>
    <t>gu</t>
  </si>
  <si>
    <t>Can mean 1/50th per cent or 1/100th percent,depending on country.</t>
  </si>
  <si>
    <t>API gamma ray units</t>
  </si>
  <si>
    <t>gamma ray API unit</t>
  </si>
  <si>
    <t>gAPI</t>
  </si>
  <si>
    <t>A unit defined by the American Petroleum Institute for gamma ray log measurements.</t>
  </si>
  <si>
    <t>gray</t>
  </si>
  <si>
    <t>absorbed dose</t>
  </si>
  <si>
    <t>Gy</t>
  </si>
  <si>
    <t>The absorbed dose when the energy per unit mass imparted to matter by ionizing radiation is 1 J/kg</t>
  </si>
  <si>
    <t>henry</t>
  </si>
  <si>
    <t>self inductance</t>
  </si>
  <si>
    <t>permeance</t>
  </si>
  <si>
    <t>H</t>
  </si>
  <si>
    <t>The inductance of a closed circuit in which an electromotive force of 1 V is produced when the electric current in the circuit varies uniformly at a rate of 1 A/s.</t>
  </si>
  <si>
    <t>henries/metre</t>
  </si>
  <si>
    <t>magnetic permeability</t>
  </si>
  <si>
    <t>H/m</t>
  </si>
  <si>
    <t>hertz</t>
  </si>
  <si>
    <t>Hz</t>
  </si>
  <si>
    <t>The frequency of a periodic phenomenon of which the period is 1 second.</t>
  </si>
  <si>
    <t>joule</t>
  </si>
  <si>
    <t>moment of force</t>
  </si>
  <si>
    <t>moment of couple</t>
  </si>
  <si>
    <t>torque</t>
  </si>
  <si>
    <t>energy</t>
  </si>
  <si>
    <t>work</t>
  </si>
  <si>
    <t>J</t>
  </si>
  <si>
    <t>The work done when the point of application of a force of 1 N is displaced a distance of 1 m in the direction of the force.</t>
  </si>
  <si>
    <t>joules per delta kelvin</t>
  </si>
  <si>
    <t>heat capacity</t>
  </si>
  <si>
    <t>J/K</t>
  </si>
  <si>
    <t>joules/kilogram</t>
  </si>
  <si>
    <t>specific energy</t>
  </si>
  <si>
    <t>J/kg</t>
  </si>
  <si>
    <t>joules/kilogram degree kelvin</t>
  </si>
  <si>
    <t>specific heat capacity</t>
  </si>
  <si>
    <t>massic heat capacity</t>
  </si>
  <si>
    <t>J/kg.K</t>
  </si>
  <si>
    <t>joules/cubic metre</t>
  </si>
  <si>
    <t>normal stress</t>
  </si>
  <si>
    <t>shear stress</t>
  </si>
  <si>
    <t>modulus of elasticity</t>
  </si>
  <si>
    <t>shear modulus</t>
  </si>
  <si>
    <t>modulus of rigidity</t>
  </si>
  <si>
    <t>bulk modulus</t>
  </si>
  <si>
    <t>modulus of compression</t>
  </si>
  <si>
    <t>electromagnetic energy density</t>
  </si>
  <si>
    <t>radiant energy density</t>
  </si>
  <si>
    <t>J/m3</t>
  </si>
  <si>
    <t>joules/mole</t>
  </si>
  <si>
    <t>molar thermodynamic energy</t>
  </si>
  <si>
    <t>chemical potential</t>
  </si>
  <si>
    <t>affinity of a chemical reaction</t>
  </si>
  <si>
    <t>J/mol</t>
  </si>
  <si>
    <t>joules/mole degree kelvin</t>
  </si>
  <si>
    <t>molar heat capacity</t>
  </si>
  <si>
    <t>molar entropy</t>
  </si>
  <si>
    <t>molar gas constant</t>
  </si>
  <si>
    <t>J/mol.K</t>
  </si>
  <si>
    <t>kelvin</t>
  </si>
  <si>
    <t>thermodynamic temperature</t>
  </si>
  <si>
    <t>delta temperature</t>
  </si>
  <si>
    <t>K</t>
  </si>
  <si>
    <t>The kelvin, unit of thermodynamic temperature,is the fraction 1/273.16 of the thermodynamic temperature of the triple point of water.</t>
  </si>
  <si>
    <t>kelvin metres squared/watt</t>
  </si>
  <si>
    <t>thermal insulance</t>
  </si>
  <si>
    <t>coefficient of thermal insulation</t>
  </si>
  <si>
    <t>K.m2/W</t>
  </si>
  <si>
    <t>degrees kelvin/metre</t>
  </si>
  <si>
    <t>temperature per length</t>
  </si>
  <si>
    <t>K/m</t>
  </si>
  <si>
    <t>kelvin per second</t>
  </si>
  <si>
    <t>temperature per time</t>
  </si>
  <si>
    <t>K/s</t>
  </si>
  <si>
    <t>delta kelvin per watt</t>
  </si>
  <si>
    <t>thermal resistance</t>
  </si>
  <si>
    <t>K/W</t>
  </si>
  <si>
    <t>kilogram</t>
  </si>
  <si>
    <t>mass</t>
  </si>
  <si>
    <t>kg</t>
  </si>
  <si>
    <t>The kilogram is the unit of mass (not force); it is equal to the mass of the international prototype of the kilogram.</t>
  </si>
  <si>
    <t>meter-kilogram</t>
  </si>
  <si>
    <t>mass length</t>
  </si>
  <si>
    <t>kg.m</t>
  </si>
  <si>
    <t>kilogram metres/second</t>
  </si>
  <si>
    <t>momentum</t>
  </si>
  <si>
    <t>impulse</t>
  </si>
  <si>
    <t>kg.m/s</t>
  </si>
  <si>
    <t>kilogram metres squared</t>
  </si>
  <si>
    <t>moment of inertia</t>
  </si>
  <si>
    <t>kg.m2</t>
  </si>
  <si>
    <t>kilograms/joule</t>
  </si>
  <si>
    <t>mass per energy</t>
  </si>
  <si>
    <t>kg/J</t>
  </si>
  <si>
    <t>kilograms/metre</t>
  </si>
  <si>
    <t>linear density</t>
  </si>
  <si>
    <t>linear mass</t>
  </si>
  <si>
    <t>mass per length</t>
  </si>
  <si>
    <t>kg/m</t>
  </si>
  <si>
    <t>kilograms/square metre</t>
  </si>
  <si>
    <t>surface density</t>
  </si>
  <si>
    <t>areic mass</t>
  </si>
  <si>
    <t>kg/m2</t>
  </si>
  <si>
    <t>kilograms/square metre seconds</t>
  </si>
  <si>
    <t>mass per time per area</t>
  </si>
  <si>
    <t>kg/m2.s</t>
  </si>
  <si>
    <t>kilograms/cubic metre</t>
  </si>
  <si>
    <t>density</t>
  </si>
  <si>
    <t>mass density</t>
  </si>
  <si>
    <t>volumic mass</t>
  </si>
  <si>
    <t>kg/m3</t>
  </si>
  <si>
    <t>kilogram/metre fourth</t>
  </si>
  <si>
    <t>mass per volume per length</t>
  </si>
  <si>
    <t>kg/m4</t>
  </si>
  <si>
    <t>kilograms/second</t>
  </si>
  <si>
    <t>mass flow rate</t>
  </si>
  <si>
    <t>kg/s</t>
  </si>
  <si>
    <t>lumen</t>
  </si>
  <si>
    <t>luminous flux</t>
  </si>
  <si>
    <t>lm</t>
  </si>
  <si>
    <t>The luminous flux emitted in a solid angle of 1 sr by a point source having a uniform intensity of 1 cd.</t>
  </si>
  <si>
    <t>lumen second</t>
  </si>
  <si>
    <t>quantity of light</t>
  </si>
  <si>
    <t>lm.s</t>
  </si>
  <si>
    <t>lumens/watt</t>
  </si>
  <si>
    <t>luminous efficacy</t>
  </si>
  <si>
    <t>lm/W</t>
  </si>
  <si>
    <t>lux</t>
  </si>
  <si>
    <t>illuminance</t>
  </si>
  <si>
    <t>lx</t>
  </si>
  <si>
    <t>The illuminance produced by a luminous flux of 1 lm uniformly distributed over a surface of 1 m2.</t>
  </si>
  <si>
    <t>lux seconds</t>
  </si>
  <si>
    <t>light exposure</t>
  </si>
  <si>
    <t>lx.s</t>
  </si>
  <si>
    <t>metre</t>
  </si>
  <si>
    <t>length</t>
  </si>
  <si>
    <t>breadth</t>
  </si>
  <si>
    <t>height</t>
  </si>
  <si>
    <t>depth</t>
  </si>
  <si>
    <t>thickness</t>
  </si>
  <si>
    <t>radius</t>
  </si>
  <si>
    <t>radius of curvature</t>
  </si>
  <si>
    <t>Cartesian coordinates</t>
  </si>
  <si>
    <t>diameter</t>
  </si>
  <si>
    <t>length of path</t>
  </si>
  <si>
    <t>distance</t>
  </si>
  <si>
    <t>wavelength</t>
  </si>
  <si>
    <t>mean free path</t>
  </si>
  <si>
    <t>m</t>
  </si>
  <si>
    <t>The metre is the length equal to 1 650 763.73 wavelengths in vacuum of the radiation corresponding to the transition between the levels 2p10 and 5d5 of the krypton-86 atom.</t>
  </si>
  <si>
    <t>metres/degree kelvin</t>
  </si>
  <si>
    <t>length per temperature</t>
  </si>
  <si>
    <t>m/K</t>
  </si>
  <si>
    <t>metres/second</t>
  </si>
  <si>
    <t>velocity</t>
  </si>
  <si>
    <t>m/s</t>
  </si>
  <si>
    <t>metres/second squared</t>
  </si>
  <si>
    <t>acceleration linear</t>
  </si>
  <si>
    <t>m/s2</t>
  </si>
  <si>
    <t>square metres</t>
  </si>
  <si>
    <t>area</t>
  </si>
  <si>
    <t>m2</t>
  </si>
  <si>
    <t>square metres/kilogram</t>
  </si>
  <si>
    <t>mass attenuation coefficient</t>
  </si>
  <si>
    <t>m2/kg</t>
  </si>
  <si>
    <t>square metres/mol</t>
  </si>
  <si>
    <t>cross section absorption</t>
  </si>
  <si>
    <t>m2/mol</t>
  </si>
  <si>
    <t>square metres/second Pascal</t>
  </si>
  <si>
    <t>unit productivity index</t>
  </si>
  <si>
    <t>mobility</t>
  </si>
  <si>
    <t>m2/Pa.s</t>
  </si>
  <si>
    <t>square metres/second</t>
  </si>
  <si>
    <t>kinematic viscosity</t>
  </si>
  <si>
    <t>thermal diffusivity</t>
  </si>
  <si>
    <t>diffusion coefficient</t>
  </si>
  <si>
    <t>area per time</t>
  </si>
  <si>
    <t>m2/s</t>
  </si>
  <si>
    <t>cubic metres</t>
  </si>
  <si>
    <t>volume</t>
  </si>
  <si>
    <t>m3</t>
  </si>
  <si>
    <t>cubic metres/joule</t>
  </si>
  <si>
    <t>isothermal compressibility</t>
  </si>
  <si>
    <t>m3/J</t>
  </si>
  <si>
    <t>cubic metres/kilogram</t>
  </si>
  <si>
    <t>specific volume</t>
  </si>
  <si>
    <t>massic volume</t>
  </si>
  <si>
    <t>m3/kg</t>
  </si>
  <si>
    <t>cubic metres/mole</t>
  </si>
  <si>
    <t>molar volume</t>
  </si>
  <si>
    <t>m3/mol</t>
  </si>
  <si>
    <t>cubic metres/second pascal</t>
  </si>
  <si>
    <t>productivity index</t>
  </si>
  <si>
    <t>m3/Pa.s</t>
  </si>
  <si>
    <t>(cubic metres/second) per pascal</t>
  </si>
  <si>
    <t>WITSML</t>
  </si>
  <si>
    <t>m3/Pa/s</t>
  </si>
  <si>
    <t>cubic metres/pascal second squared</t>
  </si>
  <si>
    <t>specific productivity index</t>
  </si>
  <si>
    <t>m3/Pa2.s2</t>
  </si>
  <si>
    <t>cubic metres/second</t>
  </si>
  <si>
    <t>volume flow rate</t>
  </si>
  <si>
    <t>m3/s</t>
  </si>
  <si>
    <t>cubic metres/seconds squared</t>
  </si>
  <si>
    <t>volume per time per time</t>
  </si>
  <si>
    <t>m3/s2</t>
  </si>
  <si>
    <t>cubic metres/std cubic metres, 0 deg C</t>
  </si>
  <si>
    <t>volume per standard volume</t>
  </si>
  <si>
    <t>m3/scm(0C)</t>
  </si>
  <si>
    <t>cubic metres/std cubic metres, 15 deg C</t>
  </si>
  <si>
    <t>m3/scm(15C)</t>
  </si>
  <si>
    <t>metres fourth</t>
  </si>
  <si>
    <t>second moment of area</t>
  </si>
  <si>
    <t>moment of section</t>
  </si>
  <si>
    <t>m4</t>
  </si>
  <si>
    <t>metres fourth/second</t>
  </si>
  <si>
    <t>volume length per time</t>
  </si>
  <si>
    <t>m4/s</t>
  </si>
  <si>
    <t>mole</t>
  </si>
  <si>
    <t>amount of substance</t>
  </si>
  <si>
    <t>mol</t>
  </si>
  <si>
    <t>The mole is the amount of substance of a system that contains as many elementary entities as there are atoms in 0.012 kilogram of carbon-12. When the mole is used, the elementary entities must be specified and may be atoms, molecules, ions, electrons, other particles,or specified groups of such particles.</t>
  </si>
  <si>
    <t>moles/square metre</t>
  </si>
  <si>
    <t>mole per area</t>
  </si>
  <si>
    <t>mol/m2</t>
  </si>
  <si>
    <t>moles/square metre second</t>
  </si>
  <si>
    <t>mole per time per area</t>
  </si>
  <si>
    <t>mol/m2.s</t>
  </si>
  <si>
    <t>moles/cubic metre</t>
  </si>
  <si>
    <t>concentration of B</t>
  </si>
  <si>
    <t>amount of a substance</t>
  </si>
  <si>
    <t>mol/m3</t>
  </si>
  <si>
    <t>moles/second</t>
  </si>
  <si>
    <t>mole per time</t>
  </si>
  <si>
    <t>mol/s</t>
  </si>
  <si>
    <t>newton</t>
  </si>
  <si>
    <t>force</t>
  </si>
  <si>
    <t>N</t>
  </si>
  <si>
    <t>That force which, when ap0plied to a body having a mass of 1 kg,gives it an acceleration of 1 m/s2.</t>
  </si>
  <si>
    <t>newton square metres</t>
  </si>
  <si>
    <t>force area</t>
  </si>
  <si>
    <t>N.m2</t>
  </si>
  <si>
    <t>newtons/metre</t>
  </si>
  <si>
    <t>force per length</t>
  </si>
  <si>
    <t>energy per area</t>
  </si>
  <si>
    <t>N/m</t>
  </si>
  <si>
    <t>newtons/cubic metre</t>
  </si>
  <si>
    <t>force per volume</t>
  </si>
  <si>
    <t>pressure per length</t>
  </si>
  <si>
    <t>N/m3</t>
  </si>
  <si>
    <t>newtons fourth metres/kilogram</t>
  </si>
  <si>
    <t>parachor</t>
  </si>
  <si>
    <t>N4/kg.m7</t>
  </si>
  <si>
    <t>API neutron units</t>
  </si>
  <si>
    <t>neutron API unit</t>
  </si>
  <si>
    <t>nAPI</t>
  </si>
  <si>
    <t>A unit defined by the American Petroleum Institute for neutron log measurements.</t>
  </si>
  <si>
    <t>octave</t>
  </si>
  <si>
    <t>frequency interval</t>
  </si>
  <si>
    <t>O</t>
  </si>
  <si>
    <t>The number of octaves between two positive values is the base two logarithm of their ratio.</t>
  </si>
  <si>
    <t>ohm</t>
  </si>
  <si>
    <t>resistance</t>
  </si>
  <si>
    <t>impedance</t>
  </si>
  <si>
    <t>The electric resistance between two points of a conductor when a constant difference of potential of 1 V, applied between these two points, produces in this conductor a current of 1 A,this conductor not being the source of any electromotive force.</t>
  </si>
  <si>
    <t>ohm metre</t>
  </si>
  <si>
    <t>electrical resistivity</t>
  </si>
  <si>
    <t>ohm.m</t>
  </si>
  <si>
    <t>ohm per metre</t>
  </si>
  <si>
    <t>resistivity per length</t>
  </si>
  <si>
    <t>ohm/m</t>
  </si>
  <si>
    <t>pascal</t>
  </si>
  <si>
    <t>force per area</t>
  </si>
  <si>
    <t>pressure</t>
  </si>
  <si>
    <t>Pa</t>
  </si>
  <si>
    <t>The pressure or stress of 1 N/m2.</t>
  </si>
  <si>
    <t>pascal seconds</t>
  </si>
  <si>
    <t>dynamic viscosity</t>
  </si>
  <si>
    <t>mass per time per length</t>
  </si>
  <si>
    <t>Pa.s</t>
  </si>
  <si>
    <t>pascal seconds/cubic metre</t>
  </si>
  <si>
    <t>pressure time per volume</t>
  </si>
  <si>
    <t>acoustic impedance</t>
  </si>
  <si>
    <t>Pa.s/m3</t>
  </si>
  <si>
    <t>pascal second /cubic metre squared</t>
  </si>
  <si>
    <t>nonDarcy flow coefficient</t>
  </si>
  <si>
    <t>Pa.s/m6</t>
  </si>
  <si>
    <t>pascals/metre</t>
  </si>
  <si>
    <t>Pa/m</t>
  </si>
  <si>
    <t>pascals/cubic metre</t>
  </si>
  <si>
    <t>Darcy flow coefficient</t>
  </si>
  <si>
    <t>Pa/m3</t>
  </si>
  <si>
    <t>pascal/ second</t>
  </si>
  <si>
    <t>pressure per time</t>
  </si>
  <si>
    <t>Pa/s</t>
  </si>
  <si>
    <t>pascal squared</t>
  </si>
  <si>
    <t>pressure squared</t>
  </si>
  <si>
    <t>Pa2</t>
  </si>
  <si>
    <t>pH</t>
  </si>
  <si>
    <t>The negative,base 10 logarithm of the concentration of hydrogen ions in a solution.</t>
  </si>
  <si>
    <t>radian</t>
  </si>
  <si>
    <t>plane angle</t>
  </si>
  <si>
    <t>rad</t>
  </si>
  <si>
    <t>The radian is the plane angle between two radii of a circle that cut of, on the circumference,an arc equal in length to the radius.</t>
  </si>
  <si>
    <t>radians/metre</t>
  </si>
  <si>
    <t>angle per length</t>
  </si>
  <si>
    <t>rad/m</t>
  </si>
  <si>
    <t>radians per cubic metre</t>
  </si>
  <si>
    <t>angle per volume</t>
  </si>
  <si>
    <t>rad/m3</t>
  </si>
  <si>
    <t>radians/second</t>
  </si>
  <si>
    <t>angular velocity</t>
  </si>
  <si>
    <t>rotational frequency</t>
  </si>
  <si>
    <t>circular frequency</t>
  </si>
  <si>
    <t>angle per time</t>
  </si>
  <si>
    <t>rotational velocity</t>
  </si>
  <si>
    <t>rad/s</t>
  </si>
  <si>
    <t>radians/second squared</t>
  </si>
  <si>
    <t>angular acceleration</t>
  </si>
  <si>
    <t>rad/s2</t>
  </si>
  <si>
    <t>siemens</t>
  </si>
  <si>
    <t>electric conductance</t>
  </si>
  <si>
    <t>admittance</t>
  </si>
  <si>
    <t>susceptance</t>
  </si>
  <si>
    <t>S</t>
  </si>
  <si>
    <t>The electric conductance of a conductor in which a current of 1 A is produced by an electric potential difference of 1 V.</t>
  </si>
  <si>
    <t>second</t>
  </si>
  <si>
    <t>time</t>
  </si>
  <si>
    <t>s</t>
  </si>
  <si>
    <t>The second is the duration of 9 192 631 770 periods of the radiation corresponding to the transition between the two hyperfine levels of the ground state of the cesium-133 atom.</t>
  </si>
  <si>
    <t>siemens/metre</t>
  </si>
  <si>
    <t>conductivity</t>
  </si>
  <si>
    <t>S/m</t>
  </si>
  <si>
    <t>seconds/metre</t>
  </si>
  <si>
    <t>time per length</t>
  </si>
  <si>
    <t>slowness</t>
  </si>
  <si>
    <t>interval transit time</t>
  </si>
  <si>
    <t>s/m</t>
  </si>
  <si>
    <t>seconds/cubic metre</t>
  </si>
  <si>
    <t>time per volume</t>
  </si>
  <si>
    <t>s/m3</t>
  </si>
  <si>
    <t>standard cubic metres at 0 deg Celsius</t>
  </si>
  <si>
    <t>standard volume</t>
  </si>
  <si>
    <t>scm(0C)</t>
  </si>
  <si>
    <t>A unit of standard volume. The number of scm(0C) of a fluid is the volume the fluid will occupy (in cubic metres) when the fluid is reduced to standard conditions of 1 atm.,0 degrees Celsius.</t>
  </si>
  <si>
    <t>std cubic metres, 0 deg C/square metre</t>
  </si>
  <si>
    <t>standard volume per area</t>
  </si>
  <si>
    <t>scm(0C)/m2</t>
  </si>
  <si>
    <t>std cubic metres, 0 deg C/cubic metre</t>
  </si>
  <si>
    <t>standard volume per volume</t>
  </si>
  <si>
    <t>scm(0C)/m3</t>
  </si>
  <si>
    <t>standard cubic metres at 15 deg Celsius</t>
  </si>
  <si>
    <t>scm(15C)</t>
  </si>
  <si>
    <t>A unit of standard volume. The number of scm(15C) of a fluid is the volume the fluid will occupy (in cubic metres) when the fluid is reduced to standard conditions of 1 atm.,15 degrees Celsius.</t>
  </si>
  <si>
    <t>std cubic metres, 15 deg C/square metre</t>
  </si>
  <si>
    <t>scm(15C)/m2</t>
  </si>
  <si>
    <t>std cubic metres, 15 deg C/cubic metre</t>
  </si>
  <si>
    <t>scm(15C)/m3</t>
  </si>
  <si>
    <t>std cubic metres, 15 deg C/second</t>
  </si>
  <si>
    <t>standard volume per time</t>
  </si>
  <si>
    <t>scm(15C)/s</t>
  </si>
  <si>
    <t>steradian</t>
  </si>
  <si>
    <t>solid angle</t>
  </si>
  <si>
    <t>sr</t>
  </si>
  <si>
    <t>The steradian is the solid angle that, having its vertex in the center of a circle,cuts of an area of the surface of the sphere equal to that of a square with sides of length equal to the radius of the sphere.</t>
  </si>
  <si>
    <t>sievert</t>
  </si>
  <si>
    <t>dose equivalent</t>
  </si>
  <si>
    <t>Sv</t>
  </si>
  <si>
    <t>The dose equivalent when the absorbed dose of ionizing radiation multiplied by the dimensionless factors Q (quality facot) and N (product of any othe multiplying factors) stipulated by the Intl. Commission on Radiological Protection is 1. J/kg.</t>
  </si>
  <si>
    <t>sievert per second</t>
  </si>
  <si>
    <t>dose equivalent rate</t>
  </si>
  <si>
    <t>Sv/s</t>
  </si>
  <si>
    <t>The dose equivalent rate when the absorbed dose per second of ionizing radiation multiplied by the appropriate factors is equivalent to 1 Sievert per second.</t>
  </si>
  <si>
    <t>tesla</t>
  </si>
  <si>
    <t>magnetic induction</t>
  </si>
  <si>
    <t>magnetic flux density</t>
  </si>
  <si>
    <t>T</t>
  </si>
  <si>
    <t>The magnetic flux density of 1 Wb/m2. Alternatively, it is defined as the magnetic flux density that produces on a 1-m length of wire carrying a current of 1A, oriented normal to the flux density, a force of 1 N,magnetic flux density being defined as an axial vector quantity such that the force exerted on an element of current is equal to the vector product of this element and the magnetic flux density.</t>
  </si>
  <si>
    <t>volt</t>
  </si>
  <si>
    <t>electric potential</t>
  </si>
  <si>
    <t>V</t>
  </si>
  <si>
    <t>The difference of electric potential between two points of a conductor carrying a constant current of 1 A when the power dissipated between these points is equal to 1 W.</t>
  </si>
  <si>
    <t>volts/Bel</t>
  </si>
  <si>
    <t>potential difference per per power drop</t>
  </si>
  <si>
    <t>V/B</t>
  </si>
  <si>
    <t>volts/metre</t>
  </si>
  <si>
    <t>electric field strength</t>
  </si>
  <si>
    <t>V/m</t>
  </si>
  <si>
    <t>watt</t>
  </si>
  <si>
    <t>power</t>
  </si>
  <si>
    <t>heat flow rate</t>
  </si>
  <si>
    <t>W</t>
  </si>
  <si>
    <t>The power that represents a rate of energy transfer of 1 J/s.</t>
  </si>
  <si>
    <t>Watts per delta kelvin</t>
  </si>
  <si>
    <t>thermal conductance</t>
  </si>
  <si>
    <t>W/K</t>
  </si>
  <si>
    <t>watts/metre kelvin</t>
  </si>
  <si>
    <t>energy length per time area temperature</t>
  </si>
  <si>
    <t>thermal conductivity</t>
  </si>
  <si>
    <t>W/m.K</t>
  </si>
  <si>
    <t>watts/square metre</t>
  </si>
  <si>
    <t>density of heat flow rate</t>
  </si>
  <si>
    <t>poynting vector</t>
  </si>
  <si>
    <t>radiant energy</t>
  </si>
  <si>
    <t>fluence rate</t>
  </si>
  <si>
    <t>radiant exitance</t>
  </si>
  <si>
    <t>irradiance</t>
  </si>
  <si>
    <t>sound intensity</t>
  </si>
  <si>
    <t>energy fluence rate</t>
  </si>
  <si>
    <t>W/m2</t>
  </si>
  <si>
    <t>watts/square metre kelvin</t>
  </si>
  <si>
    <t>heat transfer coefficient</t>
  </si>
  <si>
    <t>W/m2.K</t>
  </si>
  <si>
    <t>watts/square metre steradian</t>
  </si>
  <si>
    <t>radiance</t>
  </si>
  <si>
    <t>W/m2.sr</t>
  </si>
  <si>
    <t>watts/cubic metre</t>
  </si>
  <si>
    <t>power per volume</t>
  </si>
  <si>
    <t>W/m3</t>
  </si>
  <si>
    <t>watts/cubic metre kelvin</t>
  </si>
  <si>
    <t>volumetric heat transfer coefficient</t>
  </si>
  <si>
    <t>W/m3.K</t>
  </si>
  <si>
    <t>watts/steradian</t>
  </si>
  <si>
    <t>radiant intensity</t>
  </si>
  <si>
    <t>W/sr</t>
  </si>
  <si>
    <t>weber</t>
  </si>
  <si>
    <t>magnetic flux</t>
  </si>
  <si>
    <t>Wb</t>
  </si>
  <si>
    <t>The magnetic flux which, linking a circuit of one turn,produces in it an alectromotive orce of 1 V as it is reduced to zero at a uniform rate in 1 s.</t>
  </si>
  <si>
    <t>weber metres</t>
  </si>
  <si>
    <t>magnetic dipole moment</t>
  </si>
  <si>
    <t>Wb.m</t>
  </si>
  <si>
    <t>webers/metre</t>
  </si>
  <si>
    <t>magnetic vector potential</t>
  </si>
  <si>
    <t>Wb/m</t>
  </si>
  <si>
    <t>Base</t>
  </si>
  <si>
    <t>Unit</t>
  </si>
  <si>
    <t>Conversion To Base Unit:</t>
  </si>
  <si>
    <t>(A + BX) / (C + DX)</t>
  </si>
  <si>
    <t>D</t>
  </si>
  <si>
    <t>percent</t>
  </si>
  <si>
    <t>area per area</t>
  </si>
  <si>
    <t>force per force</t>
  </si>
  <si>
    <t>relative elongation</t>
  </si>
  <si>
    <t>relative power</t>
  </si>
  <si>
    <t>length per length</t>
  </si>
  <si>
    <t>%</t>
  </si>
  <si>
    <t>pu</t>
  </si>
  <si>
    <t>per annum</t>
  </si>
  <si>
    <t>1/a</t>
  </si>
  <si>
    <t>per angstrom</t>
  </si>
  <si>
    <t>1/angstrom</t>
  </si>
  <si>
    <t>per bar</t>
  </si>
  <si>
    <t>1/bar</t>
  </si>
  <si>
    <t>per barrel</t>
  </si>
  <si>
    <t>1/bbl</t>
  </si>
  <si>
    <t>per centimetre</t>
  </si>
  <si>
    <t>1/cm</t>
  </si>
  <si>
    <t>per day</t>
  </si>
  <si>
    <t>1/d</t>
  </si>
  <si>
    <t>per degree Celsius</t>
  </si>
  <si>
    <t>1/degC</t>
  </si>
  <si>
    <t>per degree Fahrenheit</t>
  </si>
  <si>
    <t>1/degF</t>
  </si>
  <si>
    <t>per degree Rankine</t>
  </si>
  <si>
    <t>1/degR</t>
  </si>
  <si>
    <t>per foot</t>
  </si>
  <si>
    <t>1/ft</t>
  </si>
  <si>
    <t>per square foot</t>
  </si>
  <si>
    <t>1/ft2</t>
  </si>
  <si>
    <t>per cubic foot</t>
  </si>
  <si>
    <t>1/ft3</t>
  </si>
  <si>
    <t>per gram</t>
  </si>
  <si>
    <t>1/g</t>
  </si>
  <si>
    <t>per UK gallon</t>
  </si>
  <si>
    <t>1/galUK</t>
  </si>
  <si>
    <t>per US gallon</t>
  </si>
  <si>
    <t>1/galUS</t>
  </si>
  <si>
    <t>per hour</t>
  </si>
  <si>
    <t>1/h</t>
  </si>
  <si>
    <t>per inch</t>
  </si>
  <si>
    <t>1/in</t>
  </si>
  <si>
    <t>per square kilometre</t>
  </si>
  <si>
    <t>1/km2</t>
  </si>
  <si>
    <t>per kilopascal</t>
  </si>
  <si>
    <t>1/kPa</t>
  </si>
  <si>
    <t>per litre</t>
  </si>
  <si>
    <t>1/L</t>
  </si>
  <si>
    <t>per pound force</t>
  </si>
  <si>
    <t>1/lbf</t>
  </si>
  <si>
    <t>per pound</t>
  </si>
  <si>
    <t>1/lbm</t>
  </si>
  <si>
    <t>per mile</t>
  </si>
  <si>
    <t>1/mi</t>
  </si>
  <si>
    <t>per square mile</t>
  </si>
  <si>
    <t>1/mi2</t>
  </si>
  <si>
    <t>per minute</t>
  </si>
  <si>
    <t>1/min</t>
  </si>
  <si>
    <t>per millimetre</t>
  </si>
  <si>
    <t>1/mm</t>
  </si>
  <si>
    <t>per nanometre</t>
  </si>
  <si>
    <t>1/nm</t>
  </si>
  <si>
    <t>per pico pascal</t>
  </si>
  <si>
    <t>1/pPa</t>
  </si>
  <si>
    <t>per pounds/square inch</t>
  </si>
  <si>
    <t>1/psi</t>
  </si>
  <si>
    <t>per micro pounds per square inch</t>
  </si>
  <si>
    <t>1/upsi</t>
  </si>
  <si>
    <t>per microvolt</t>
  </si>
  <si>
    <t>1/uV</t>
  </si>
  <si>
    <t>per week</t>
  </si>
  <si>
    <t>1/wk</t>
  </si>
  <si>
    <t>per yard</t>
  </si>
  <si>
    <t>1/yd</t>
  </si>
  <si>
    <t>thousand cubic feet</t>
  </si>
  <si>
    <t>1000ft3</t>
  </si>
  <si>
    <t>thousand cubic feet per barrel</t>
  </si>
  <si>
    <t>volume per volume</t>
  </si>
  <si>
    <t>1000ft3/bbl</t>
  </si>
  <si>
    <t>thousand cubic feet per day</t>
  </si>
  <si>
    <t>1000ft3/d</t>
  </si>
  <si>
    <t>thousand cubic feet per day per foot</t>
  </si>
  <si>
    <t>volume per time per length</t>
  </si>
  <si>
    <t>1000ft3/d.ft</t>
  </si>
  <si>
    <t>thousand cubic feet per day per psi</t>
  </si>
  <si>
    <t>1000ft3/psi.d</t>
  </si>
  <si>
    <t>thousand cubic metres per day</t>
  </si>
  <si>
    <t>1000m3/d</t>
  </si>
  <si>
    <t>thousand cubic meter per day per meter</t>
  </si>
  <si>
    <t>1000m3/d.m</t>
  </si>
  <si>
    <t>km3/(d.m)</t>
  </si>
  <si>
    <t>thousand cubic metres per hour</t>
  </si>
  <si>
    <t>1000m3/h</t>
  </si>
  <si>
    <t>thousand cubic meters per hour per meter</t>
  </si>
  <si>
    <t>1000m3/h.m</t>
  </si>
  <si>
    <t>km3/(h.m)</t>
  </si>
  <si>
    <t>thousand (cubic meter per day)-meter</t>
  </si>
  <si>
    <t>1000m4/d</t>
  </si>
  <si>
    <t>100000 years</t>
  </si>
  <si>
    <t>100ka</t>
  </si>
  <si>
    <t>ten thousand kilograms per cubic metre</t>
  </si>
  <si>
    <t>10Mg/m3</t>
  </si>
  <si>
    <t>annum</t>
  </si>
  <si>
    <t>a</t>
  </si>
  <si>
    <t>Ampere hour</t>
  </si>
  <si>
    <t>A.h</t>
  </si>
  <si>
    <t>ampere per square centimeter</t>
  </si>
  <si>
    <t>A/cm2</t>
  </si>
  <si>
    <t>ampere per square foot</t>
  </si>
  <si>
    <t>A/ft2</t>
  </si>
  <si>
    <t>Ampere/millimetre</t>
  </si>
  <si>
    <t>A/mm</t>
  </si>
  <si>
    <t>Ampere/square millimetre</t>
  </si>
  <si>
    <t>A/mm2</t>
  </si>
  <si>
    <t>acre</t>
  </si>
  <si>
    <t>acre foot</t>
  </si>
  <si>
    <t>acre.ft</t>
  </si>
  <si>
    <t>acre feet/million stbs, 60 deg F</t>
  </si>
  <si>
    <t>acre.ft/MMstb</t>
  </si>
  <si>
    <t>attogram</t>
  </si>
  <si>
    <t>ag</t>
  </si>
  <si>
    <t>attojoule</t>
  </si>
  <si>
    <t>aJ</t>
  </si>
  <si>
    <t>Angstrom</t>
  </si>
  <si>
    <t>angstrom</t>
  </si>
  <si>
    <t>Technical atmosphere</t>
  </si>
  <si>
    <t>at</t>
  </si>
  <si>
    <t>Atmosphere</t>
  </si>
  <si>
    <t>atm</t>
  </si>
  <si>
    <t>Atmospheres per ft</t>
  </si>
  <si>
    <t>atm/ft</t>
  </si>
  <si>
    <t>atmosphere per hour</t>
  </si>
  <si>
    <t>atm/h</t>
  </si>
  <si>
    <t>Atmospheres per hundred metre</t>
  </si>
  <si>
    <t>atm/hm</t>
  </si>
  <si>
    <t>Atmospheres/metre</t>
  </si>
  <si>
    <t>atm/m</t>
  </si>
  <si>
    <t>barn</t>
  </si>
  <si>
    <t>b</t>
  </si>
  <si>
    <t>barns/cubic centimetre</t>
  </si>
  <si>
    <t>area per volume</t>
  </si>
  <si>
    <t>b/cm3</t>
  </si>
  <si>
    <t>barns/electron</t>
  </si>
  <si>
    <t>b/elec</t>
  </si>
  <si>
    <t>bar</t>
  </si>
  <si>
    <t>bar per hour</t>
  </si>
  <si>
    <t>bar/h</t>
  </si>
  <si>
    <t>bar per kilometer</t>
  </si>
  <si>
    <t>bar/km</t>
  </si>
  <si>
    <t>bar per meter</t>
  </si>
  <si>
    <t>bar/m</t>
  </si>
  <si>
    <t>bar squared</t>
  </si>
  <si>
    <t>bar2</t>
  </si>
  <si>
    <t>bar squared per centipoise</t>
  </si>
  <si>
    <t>pressure squared per (dynamic viscosity)</t>
  </si>
  <si>
    <t>bar2/cP</t>
  </si>
  <si>
    <t>barrel</t>
  </si>
  <si>
    <t>bbl</t>
  </si>
  <si>
    <t>barrel per hundred barrel</t>
  </si>
  <si>
    <t>bbl/100bbl</t>
  </si>
  <si>
    <t>barrels/acre</t>
  </si>
  <si>
    <t>volume per area</t>
  </si>
  <si>
    <t>bbl/acre</t>
  </si>
  <si>
    <t>barrel/acre foot</t>
  </si>
  <si>
    <t>bbl/acre.ft</t>
  </si>
  <si>
    <t>barrel/barrel</t>
  </si>
  <si>
    <t>bbl/bbl</t>
  </si>
  <si>
    <t>barrels/centiPoise day psi</t>
  </si>
  <si>
    <t>bbl/cP.d.psi</t>
  </si>
  <si>
    <t>barrel/day</t>
  </si>
  <si>
    <t>bbl/d</t>
  </si>
  <si>
    <t>barrels/day acre foot</t>
  </si>
  <si>
    <t>volume per time per volume</t>
  </si>
  <si>
    <t>bbl/d.acre.ft</t>
  </si>
  <si>
    <t>barrels/day foot</t>
  </si>
  <si>
    <t>bbl/d.ft</t>
  </si>
  <si>
    <t>bbl/(d.ft)</t>
  </si>
  <si>
    <t>barrels/day foot pounds/sq in</t>
  </si>
  <si>
    <t>bbl/d.ft.psi</t>
  </si>
  <si>
    <t>barrel/day pounds/square inch</t>
  </si>
  <si>
    <t>bbl/d.psi</t>
  </si>
  <si>
    <t>(Deprecated)</t>
  </si>
  <si>
    <t>barrels/day per day</t>
  </si>
  <si>
    <t>bbl/d2</t>
  </si>
  <si>
    <t>barrel/foot</t>
  </si>
  <si>
    <t>volume per length</t>
  </si>
  <si>
    <t>bbl/ft</t>
  </si>
  <si>
    <t>barrel per cubic foot</t>
  </si>
  <si>
    <t>bbl/ft3</t>
  </si>
  <si>
    <t>barrel/hour</t>
  </si>
  <si>
    <t>bbl/hr</t>
  </si>
  <si>
    <t>barrels/hour/hour</t>
  </si>
  <si>
    <t>bbl/hr2</t>
  </si>
  <si>
    <t>barrel/inch</t>
  </si>
  <si>
    <t>bbl/in</t>
  </si>
  <si>
    <t>barrel per thousand cubic feet</t>
  </si>
  <si>
    <t>bbl/k(ft3)</t>
  </si>
  <si>
    <t>barrel per day per kilopascal</t>
  </si>
  <si>
    <t>bbl/kPa.d</t>
  </si>
  <si>
    <t>bbl/(d.kPa)</t>
  </si>
  <si>
    <t>barrel per million cubic feet</t>
  </si>
  <si>
    <t>bbl/M(ft3)</t>
  </si>
  <si>
    <t>barrel/mile</t>
  </si>
  <si>
    <t>bbl/mi</t>
  </si>
  <si>
    <t>barrel per minute</t>
  </si>
  <si>
    <t>bbl/min</t>
  </si>
  <si>
    <t>barrels/million std cubic feet, 60 degF</t>
  </si>
  <si>
    <t>bbl/MMscf(60F)</t>
  </si>
  <si>
    <t>barrel per day per psi</t>
  </si>
  <si>
    <t>bbl/psi.d</t>
  </si>
  <si>
    <t>bbl/(d.psi)</t>
  </si>
  <si>
    <t>barrels/stock tank barrel, 60 deg F</t>
  </si>
  <si>
    <t>bbl/stb(60F)</t>
  </si>
  <si>
    <t>barrel per U.K. ton</t>
  </si>
  <si>
    <t>bbl/tonUK</t>
  </si>
  <si>
    <t>barrel per U.S. ton</t>
  </si>
  <si>
    <t>bbl/tonUS</t>
  </si>
  <si>
    <t>billion cubic feet</t>
  </si>
  <si>
    <t>bcf</t>
  </si>
  <si>
    <t>bit</t>
  </si>
  <si>
    <t>British thermal unit</t>
  </si>
  <si>
    <t>Btu</t>
  </si>
  <si>
    <t>Btus/hour foot squared deg F per inch</t>
  </si>
  <si>
    <t>Btu.in/hr.ft2.F</t>
  </si>
  <si>
    <t>Btu.in/h.ft2.degF</t>
  </si>
  <si>
    <t>million Btus/hour</t>
  </si>
  <si>
    <t>Btu(million)/hr</t>
  </si>
  <si>
    <t>British thermal units/barrel</t>
  </si>
  <si>
    <t>Btu/bbl</t>
  </si>
  <si>
    <t>Btus/brake-horsepower hour</t>
  </si>
  <si>
    <t>Btu/bhp.hr</t>
  </si>
  <si>
    <t>British thermal units/cubic foot</t>
  </si>
  <si>
    <t>Btu/ft3</t>
  </si>
  <si>
    <t>British thermal units/U.K. gallon</t>
  </si>
  <si>
    <t>Btu/galUK</t>
  </si>
  <si>
    <t>British thermal units/U.S. gallon</t>
  </si>
  <si>
    <t>Btu/galUS</t>
  </si>
  <si>
    <t>British thermal unit/hour</t>
  </si>
  <si>
    <t>Btu/hr</t>
  </si>
  <si>
    <t>Btu/h</t>
  </si>
  <si>
    <t>British thermal units/hour foot deg F</t>
  </si>
  <si>
    <t>Btu/hr.ft.degF</t>
  </si>
  <si>
    <t>Btu/h.ft.degF</t>
  </si>
  <si>
    <t>Btus/hour per square foot</t>
  </si>
  <si>
    <t>Btu/hr.ft2</t>
  </si>
  <si>
    <t>Btu/h.ft2</t>
  </si>
  <si>
    <t>Btus/hour foot squared deg F</t>
  </si>
  <si>
    <t>Btu/hr.ft2.degF</t>
  </si>
  <si>
    <t>Btu/h.ft2.degF</t>
  </si>
  <si>
    <t>Btus/hour foot squared deg R</t>
  </si>
  <si>
    <t>Btu/hr.ft2.degR</t>
  </si>
  <si>
    <t>British thermal units/hour cubic foot</t>
  </si>
  <si>
    <t>Btu/hr.ft3</t>
  </si>
  <si>
    <t>Btu/h.ft3</t>
  </si>
  <si>
    <t>Btus/hour foot cubed deg F</t>
  </si>
  <si>
    <t>Btu/hr.ft3.degF</t>
  </si>
  <si>
    <t>Btu/h.ft3.degF</t>
  </si>
  <si>
    <t>Btus/hour metre squared deg C</t>
  </si>
  <si>
    <t>Btu/hr.m2.degC</t>
  </si>
  <si>
    <t>Btu/h.m2.degC</t>
  </si>
  <si>
    <t>British thermal units/pound mass</t>
  </si>
  <si>
    <t>Btu/lbm</t>
  </si>
  <si>
    <t>British thermal units/pound mass deg F</t>
  </si>
  <si>
    <t>Btu/lbm.degF</t>
  </si>
  <si>
    <t>British thermal units/pound mass deg R</t>
  </si>
  <si>
    <t>Btu/lbm.degR</t>
  </si>
  <si>
    <t>British thermal units/minute</t>
  </si>
  <si>
    <t>Btu/min</t>
  </si>
  <si>
    <t>British thermal units/pound mass mol</t>
  </si>
  <si>
    <t>Btu/lbmole</t>
  </si>
  <si>
    <t>Btu/mol(lbm)</t>
  </si>
  <si>
    <t>Btus/pound mass mol deg F</t>
  </si>
  <si>
    <t>Btu/lbmole.F</t>
  </si>
  <si>
    <t>Btu/mol(lbm).F</t>
  </si>
  <si>
    <t>British thermal units/second</t>
  </si>
  <si>
    <t>Btu/s</t>
  </si>
  <si>
    <t>British thermal units/second square foot</t>
  </si>
  <si>
    <t>Btu/s.ft2</t>
  </si>
  <si>
    <t>Btus/second per square foot deg F</t>
  </si>
  <si>
    <t>Btu/s.ft2.degF</t>
  </si>
  <si>
    <t>Btus/second per cubic foot</t>
  </si>
  <si>
    <t>Btu/s.ft3</t>
  </si>
  <si>
    <t>Btus/second per cubic foot deg F</t>
  </si>
  <si>
    <t>Btu/s.ft3.degF</t>
  </si>
  <si>
    <t>cycle</t>
  </si>
  <si>
    <t>c</t>
  </si>
  <si>
    <t>Coulombs/square centimetre</t>
  </si>
  <si>
    <t>C/cm2</t>
  </si>
  <si>
    <t>Coulombs/cubic centimeter</t>
  </si>
  <si>
    <t>C/cm3</t>
  </si>
  <si>
    <t>coulomb per gram</t>
  </si>
  <si>
    <t>C/g</t>
  </si>
  <si>
    <t>Coulombs/square millimetre</t>
  </si>
  <si>
    <t>C/mm2</t>
  </si>
  <si>
    <t>Coulombs/cubic millimetre</t>
  </si>
  <si>
    <t>C/mm3</t>
  </si>
  <si>
    <t>cycles/second</t>
  </si>
  <si>
    <t>c/s</t>
  </si>
  <si>
    <t>calorie</t>
  </si>
  <si>
    <t>cal</t>
  </si>
  <si>
    <t>calories/cubic centimetre</t>
  </si>
  <si>
    <t>cal/cm3</t>
  </si>
  <si>
    <t>calories/gram</t>
  </si>
  <si>
    <t>cal/g</t>
  </si>
  <si>
    <t>calories/gram degree Kelvin</t>
  </si>
  <si>
    <t>cal/g.K</t>
  </si>
  <si>
    <t>calories/hour centimetre degree Celsius</t>
  </si>
  <si>
    <t>cal/h.cm.degC</t>
  </si>
  <si>
    <t>calories/hour centimetre squared</t>
  </si>
  <si>
    <t>cal/h.cm2</t>
  </si>
  <si>
    <t>calories/hour square centimetre deg C</t>
  </si>
  <si>
    <t>cal/h.cm2.degC</t>
  </si>
  <si>
    <t>calories/hour cubic centimetre</t>
  </si>
  <si>
    <t>cal/h.cm3</t>
  </si>
  <si>
    <t>calories/kilogram</t>
  </si>
  <si>
    <t>cal/kg</t>
  </si>
  <si>
    <t>calories/pound mass</t>
  </si>
  <si>
    <t>cal/lbm</t>
  </si>
  <si>
    <t>calories/milliliter</t>
  </si>
  <si>
    <t>cal/mL</t>
  </si>
  <si>
    <t>calories/cubic millimetre</t>
  </si>
  <si>
    <t>cal/mm3</t>
  </si>
  <si>
    <t>calories/gram mol degree celsius</t>
  </si>
  <si>
    <t>cal/mol.degC</t>
  </si>
  <si>
    <t>cal/mol(g).degC</t>
  </si>
  <si>
    <t>calories/second centimetre deg C</t>
  </si>
  <si>
    <t>cal/s.cm.degC</t>
  </si>
  <si>
    <t>calories/second square centimetre deg C</t>
  </si>
  <si>
    <t>cal/s.cm2.degC</t>
  </si>
  <si>
    <t>calories/second cubic centimetre</t>
  </si>
  <si>
    <t>cal/s.cm3</t>
  </si>
  <si>
    <t>centesimal second</t>
  </si>
  <si>
    <t>ccgr</t>
  </si>
  <si>
    <t>centiEuclid</t>
  </si>
  <si>
    <t>cEuc</t>
  </si>
  <si>
    <t>centesimal minute</t>
  </si>
  <si>
    <t>cgr</t>
  </si>
  <si>
    <t>ch</t>
  </si>
  <si>
    <t>ch hours</t>
  </si>
  <si>
    <t>ch.h</t>
  </si>
  <si>
    <t>Benoit chain (1895 A)</t>
  </si>
  <si>
    <t>chBnA</t>
  </si>
  <si>
    <t>Benoit chain (1895 B)</t>
  </si>
  <si>
    <t>chBnB</t>
  </si>
  <si>
    <t>Clarke chain</t>
  </si>
  <si>
    <t>chCla</t>
  </si>
  <si>
    <t>Sears chain</t>
  </si>
  <si>
    <t>chSe</t>
  </si>
  <si>
    <t>chus</t>
  </si>
  <si>
    <t>Chu</t>
  </si>
  <si>
    <t>US Survey chain</t>
  </si>
  <si>
    <t>chUS</t>
  </si>
  <si>
    <t>curie</t>
  </si>
  <si>
    <t>Ci</t>
  </si>
  <si>
    <t>centimetre</t>
  </si>
  <si>
    <t>cm</t>
  </si>
  <si>
    <t>centimeter per year</t>
  </si>
  <si>
    <t>cm/a</t>
  </si>
  <si>
    <t>centimetre/second</t>
  </si>
  <si>
    <t>cm/s</t>
  </si>
  <si>
    <t>centimetre/second squared</t>
  </si>
  <si>
    <t>cm/s2</t>
  </si>
  <si>
    <t>square centimetre</t>
  </si>
  <si>
    <t>cm2</t>
  </si>
  <si>
    <t>centimetres squared/gram</t>
  </si>
  <si>
    <t>cm2/g</t>
  </si>
  <si>
    <t>centimetres squared/second</t>
  </si>
  <si>
    <t>cm2/s</t>
  </si>
  <si>
    <t>cubic centimetre</t>
  </si>
  <si>
    <t>cm3</t>
  </si>
  <si>
    <t>cubic centimeter per thirty minutes</t>
  </si>
  <si>
    <t>cm3/30min</t>
  </si>
  <si>
    <t>cubic centimeters/ cubic centimetres</t>
  </si>
  <si>
    <t>cm3/cm3</t>
  </si>
  <si>
    <t>cubic centimetres/gram</t>
  </si>
  <si>
    <t>cm3/g</t>
  </si>
  <si>
    <t>cubic centimeter per hour</t>
  </si>
  <si>
    <t>cm3/h</t>
  </si>
  <si>
    <t>cubic centimetre/cubic metre</t>
  </si>
  <si>
    <t>cm3/m3</t>
  </si>
  <si>
    <t>cubic centimeter per minute</t>
  </si>
  <si>
    <t>cm3/min</t>
  </si>
  <si>
    <t>cubic centimeter per second</t>
  </si>
  <si>
    <t>cm3/s</t>
  </si>
  <si>
    <t>centimetres fourth</t>
  </si>
  <si>
    <t>cm4</t>
  </si>
  <si>
    <t>cm of water at 4 degC.</t>
  </si>
  <si>
    <t>cmH2O(4degC)</t>
  </si>
  <si>
    <t>centipoise</t>
  </si>
  <si>
    <t>cP</t>
  </si>
  <si>
    <t>ten milli second</t>
  </si>
  <si>
    <t>cs</t>
  </si>
  <si>
    <t>centiStoke</t>
  </si>
  <si>
    <t>cSt</t>
  </si>
  <si>
    <t>carat</t>
  </si>
  <si>
    <t>ct</t>
  </si>
  <si>
    <t>capture unit</t>
  </si>
  <si>
    <t>cu</t>
  </si>
  <si>
    <t>cubic feet</t>
  </si>
  <si>
    <t>cu ft</t>
  </si>
  <si>
    <t>ft3</t>
  </si>
  <si>
    <t>cubic inch</t>
  </si>
  <si>
    <t>cu in</t>
  </si>
  <si>
    <t>in3</t>
  </si>
  <si>
    <t>cubic yard</t>
  </si>
  <si>
    <t>cu yd</t>
  </si>
  <si>
    <t>1/27 ft3</t>
  </si>
  <si>
    <t>cubic mile</t>
  </si>
  <si>
    <t>cubem</t>
  </si>
  <si>
    <t>mi3</t>
  </si>
  <si>
    <t>cheval vapeur</t>
  </si>
  <si>
    <t>CV</t>
  </si>
  <si>
    <t>CV hours</t>
  </si>
  <si>
    <t>CV.h</t>
  </si>
  <si>
    <t>UK hundredweight</t>
  </si>
  <si>
    <t>cwtUK</t>
  </si>
  <si>
    <t>US hundredweight</t>
  </si>
  <si>
    <t>cwtUS</t>
  </si>
  <si>
    <t>darcy</t>
  </si>
  <si>
    <t>permeability rock</t>
  </si>
  <si>
    <t>day</t>
  </si>
  <si>
    <t>d</t>
  </si>
  <si>
    <t>darcy foot</t>
  </si>
  <si>
    <t>permeability length</t>
  </si>
  <si>
    <t>D.ft</t>
  </si>
  <si>
    <t>darcy metre</t>
  </si>
  <si>
    <t>D.m</t>
  </si>
  <si>
    <t>day per barrel</t>
  </si>
  <si>
    <t>d/bbl</t>
  </si>
  <si>
    <t>days/cubic foot</t>
  </si>
  <si>
    <t>d/ft3</t>
  </si>
  <si>
    <t>day per thousand cubic feet</t>
  </si>
  <si>
    <t>d/k(ft3)</t>
  </si>
  <si>
    <t>days/cubic metre</t>
  </si>
  <si>
    <t>d/m3</t>
  </si>
  <si>
    <t>decanewtons</t>
  </si>
  <si>
    <t>daN</t>
  </si>
  <si>
    <t>decanewton metres</t>
  </si>
  <si>
    <t>daN.m</t>
  </si>
  <si>
    <t>API gravity</t>
  </si>
  <si>
    <t>dAPI</t>
  </si>
  <si>
    <t>decibel</t>
  </si>
  <si>
    <t>dB</t>
  </si>
  <si>
    <t>decibels/foot</t>
  </si>
  <si>
    <t>dB/ft</t>
  </si>
  <si>
    <t>decibels/metre</t>
  </si>
  <si>
    <t>dB/m</t>
  </si>
  <si>
    <t>decibels/kilometre</t>
  </si>
  <si>
    <t>dB/km</t>
  </si>
  <si>
    <t>decibels/octave</t>
  </si>
  <si>
    <t>dB/O</t>
  </si>
  <si>
    <t>change in degrees Celsius</t>
  </si>
  <si>
    <t>ddegC</t>
  </si>
  <si>
    <t>degC</t>
  </si>
  <si>
    <t>change in degrees Fahrenheit</t>
  </si>
  <si>
    <t>ddegF</t>
  </si>
  <si>
    <t>degF</t>
  </si>
  <si>
    <t>change in degrees Kelvin</t>
  </si>
  <si>
    <t>ddegK</t>
  </si>
  <si>
    <t>change in degrees Rankine</t>
  </si>
  <si>
    <t>ddegR</t>
  </si>
  <si>
    <t>degR</t>
  </si>
  <si>
    <t>degree of an angle</t>
  </si>
  <si>
    <t>dega</t>
  </si>
  <si>
    <t>degrees of an angle/100 feet</t>
  </si>
  <si>
    <t>dega/100ft</t>
  </si>
  <si>
    <t>degrees of an angle per thirty feet</t>
  </si>
  <si>
    <t>dega/30ft</t>
  </si>
  <si>
    <t>degrees of an angle/30 metres</t>
  </si>
  <si>
    <t>dega/30m</t>
  </si>
  <si>
    <t>degrees of an angle/foot</t>
  </si>
  <si>
    <t>dega/ft</t>
  </si>
  <si>
    <t>dega/ft(100)</t>
  </si>
  <si>
    <t>degrees of an angle per hour</t>
  </si>
  <si>
    <t>dega/h</t>
  </si>
  <si>
    <t>degrees of an angle/metre</t>
  </si>
  <si>
    <t>dega/m</t>
  </si>
  <si>
    <t>dega/m(30)</t>
  </si>
  <si>
    <t>degrees of an angle/minute</t>
  </si>
  <si>
    <t>dega/min</t>
  </si>
  <si>
    <t>degrees of an angle per second</t>
  </si>
  <si>
    <t>dega/s</t>
  </si>
  <si>
    <t>degrees Celsius</t>
  </si>
  <si>
    <t>degrees C square metres hours/kilocal</t>
  </si>
  <si>
    <t>degC.m2.h/kcal</t>
  </si>
  <si>
    <t>degrees Celsius per hundred metre</t>
  </si>
  <si>
    <t>degC/100m</t>
  </si>
  <si>
    <t>degrees Celsius per foot</t>
  </si>
  <si>
    <t>degC/ft</t>
  </si>
  <si>
    <t>degrees Celsius per hour</t>
  </si>
  <si>
    <t>degC/h</t>
  </si>
  <si>
    <t>degrees Celsius/kilometre</t>
  </si>
  <si>
    <t>degC/km</t>
  </si>
  <si>
    <t>degrees Celsius/metre</t>
  </si>
  <si>
    <t>degC/m</t>
  </si>
  <si>
    <t>degrees Celsius per minute</t>
  </si>
  <si>
    <t>degC/min</t>
  </si>
  <si>
    <t>degrees Celsius per second</t>
  </si>
  <si>
    <t>degC/s</t>
  </si>
  <si>
    <t>degree Fahrenheit</t>
  </si>
  <si>
    <t>degrees F square feet hours/Btu</t>
  </si>
  <si>
    <t>degF.ft2.h/Btu</t>
  </si>
  <si>
    <t>degrees Fahrenheit/100 feet.</t>
  </si>
  <si>
    <t>degF/100ft</t>
  </si>
  <si>
    <t>degrees Fahrenheit/foot</t>
  </si>
  <si>
    <t>degF/ft</t>
  </si>
  <si>
    <t>degF/ft(100)</t>
  </si>
  <si>
    <t>degrees Fahrenheit per hour</t>
  </si>
  <si>
    <t>degF/h</t>
  </si>
  <si>
    <t>degrees Fahrenheit per meter</t>
  </si>
  <si>
    <t>degF/m</t>
  </si>
  <si>
    <t>degrees Fahrenheit per minute</t>
  </si>
  <si>
    <t>degF/min</t>
  </si>
  <si>
    <t>degrees Fahrenheit per second</t>
  </si>
  <si>
    <t>degF/s</t>
  </si>
  <si>
    <t>degrees Rankine</t>
  </si>
  <si>
    <t>decimetre</t>
  </si>
  <si>
    <t>dm</t>
  </si>
  <si>
    <t>decimeter per second</t>
  </si>
  <si>
    <t>dm/s</t>
  </si>
  <si>
    <t>cubic decimetre</t>
  </si>
  <si>
    <t>dm3</t>
  </si>
  <si>
    <t>L</t>
  </si>
  <si>
    <t>cubic decimetres/100 kilometres</t>
  </si>
  <si>
    <t>dm3/100km</t>
  </si>
  <si>
    <t>cubic decimetres/kilogram</t>
  </si>
  <si>
    <t>dm3/kg</t>
  </si>
  <si>
    <t>dm3/km(100)</t>
  </si>
  <si>
    <t>cubic decimetres/kilowatt hour</t>
  </si>
  <si>
    <t>dm3/kW.h</t>
  </si>
  <si>
    <t>cubic decimetres/metre</t>
  </si>
  <si>
    <t>dm3/m</t>
  </si>
  <si>
    <t>cubic decimetres/cubic metre</t>
  </si>
  <si>
    <t>dm3/m3</t>
  </si>
  <si>
    <t>cubic decimetres/megajoule</t>
  </si>
  <si>
    <t>dm3/MJ</t>
  </si>
  <si>
    <t>cubic decimetres/kilogram mole</t>
  </si>
  <si>
    <t>dm3/kmol</t>
  </si>
  <si>
    <t>dm3/mol(kg)</t>
  </si>
  <si>
    <t>dm3/mol</t>
  </si>
  <si>
    <t>cubic decimetres/second</t>
  </si>
  <si>
    <t>dm3/s</t>
  </si>
  <si>
    <t>cubic decimetres/second/second</t>
  </si>
  <si>
    <t>dm3/s2</t>
  </si>
  <si>
    <t>cubic decimetres/ton</t>
  </si>
  <si>
    <t>dm3/t</t>
  </si>
  <si>
    <t>decinewton metres</t>
  </si>
  <si>
    <t>dN.m</t>
  </si>
  <si>
    <t>dynes</t>
  </si>
  <si>
    <t>dyne</t>
  </si>
  <si>
    <t>dyne centimetre squared</t>
  </si>
  <si>
    <t>dyne.cm2</t>
  </si>
  <si>
    <t>dyne seconds/square centimetre</t>
  </si>
  <si>
    <t>dyne.s/cm2</t>
  </si>
  <si>
    <t>dynes/centimetre</t>
  </si>
  <si>
    <t>dyne/cm</t>
  </si>
  <si>
    <t>dynes/square centimetre</t>
  </si>
  <si>
    <t>dyne/cm2</t>
  </si>
  <si>
    <t>.1 Pa</t>
  </si>
  <si>
    <t>dynes/centimetre fourth/gram cm cubed</t>
  </si>
  <si>
    <t>(dyne/cm)4/gcm3</t>
  </si>
  <si>
    <t>newton/metre fourth/kilogram metre cubed</t>
  </si>
  <si>
    <t>(N/m)4/kg.m3</t>
  </si>
  <si>
    <t>electric horsepower</t>
  </si>
  <si>
    <t>ehp</t>
  </si>
  <si>
    <t>exajoule</t>
  </si>
  <si>
    <t>EJ</t>
  </si>
  <si>
    <t>exajoules/year</t>
  </si>
  <si>
    <t>EJ/a</t>
  </si>
  <si>
    <t>equivalents/ Liter</t>
  </si>
  <si>
    <t>eq/L</t>
  </si>
  <si>
    <t>ergs</t>
  </si>
  <si>
    <t>erg</t>
  </si>
  <si>
    <t>ergs/year</t>
  </si>
  <si>
    <t>erg/a</t>
  </si>
  <si>
    <t>ergs/square centimetre</t>
  </si>
  <si>
    <t>erg/cm2</t>
  </si>
  <si>
    <t>mN/m</t>
  </si>
  <si>
    <t>ergs/cubic centimetre</t>
  </si>
  <si>
    <t>erg/cm3</t>
  </si>
  <si>
    <t>ergs/gram</t>
  </si>
  <si>
    <t>erg/g</t>
  </si>
  <si>
    <t>ergs/kilogram</t>
  </si>
  <si>
    <t>erg/kg</t>
  </si>
  <si>
    <t>ergs/cubic metre</t>
  </si>
  <si>
    <t>erg/m3</t>
  </si>
  <si>
    <t>electron volts</t>
  </si>
  <si>
    <t>eV</t>
  </si>
  <si>
    <t>fathoms</t>
  </si>
  <si>
    <t>fathom</t>
  </si>
  <si>
    <t>femtocoulomb</t>
  </si>
  <si>
    <t>fC</t>
  </si>
  <si>
    <t>UK fluid ounce</t>
  </si>
  <si>
    <t>fl ozUK</t>
  </si>
  <si>
    <t>US fluid ounces</t>
  </si>
  <si>
    <t>fl ozUS</t>
  </si>
  <si>
    <t>flops</t>
  </si>
  <si>
    <t>flozUK</t>
  </si>
  <si>
    <t>flozUS</t>
  </si>
  <si>
    <t>femtometer</t>
  </si>
  <si>
    <t>fm</t>
  </si>
  <si>
    <t>footcandles</t>
  </si>
  <si>
    <t>footcandle</t>
  </si>
  <si>
    <t>footcandle seconds</t>
  </si>
  <si>
    <t>footcandle.s</t>
  </si>
  <si>
    <t>foot</t>
  </si>
  <si>
    <t>ft</t>
  </si>
  <si>
    <t>foot pounds force</t>
  </si>
  <si>
    <t>ft.lbf</t>
  </si>
  <si>
    <t>foot pounds force/barrel</t>
  </si>
  <si>
    <t>ft.lbf/bbl</t>
  </si>
  <si>
    <t>foot pounds force/US gallon</t>
  </si>
  <si>
    <t>ft.lbf/galUS</t>
  </si>
  <si>
    <t>foot pounds force/pound mass</t>
  </si>
  <si>
    <t>ft.lbf/lbm</t>
  </si>
  <si>
    <t>foot pounds force/minute</t>
  </si>
  <si>
    <t>ft.lbf/min</t>
  </si>
  <si>
    <t>foot pounds force/second</t>
  </si>
  <si>
    <t>ft.lbf/s</t>
  </si>
  <si>
    <t>foot-pound mass</t>
  </si>
  <si>
    <t>ft.lbm</t>
  </si>
  <si>
    <t>feet per 100 feet</t>
  </si>
  <si>
    <t>scale</t>
  </si>
  <si>
    <t>linear concentration</t>
  </si>
  <si>
    <t>ft/100ft</t>
  </si>
  <si>
    <t>feet/barrel</t>
  </si>
  <si>
    <t>length per volume</t>
  </si>
  <si>
    <t>ft/bbl</t>
  </si>
  <si>
    <t>feet/day</t>
  </si>
  <si>
    <t>ft/d</t>
  </si>
  <si>
    <t>feet/degree Fahrenheit</t>
  </si>
  <si>
    <t>ft/degF</t>
  </si>
  <si>
    <t>feet per feet</t>
  </si>
  <si>
    <t>ft/ft</t>
  </si>
  <si>
    <t>feet/cubic foot</t>
  </si>
  <si>
    <t>ft/ft3</t>
  </si>
  <si>
    <t>feet/US gallon</t>
  </si>
  <si>
    <t>ft/galUS</t>
  </si>
  <si>
    <t>feet/hour</t>
  </si>
  <si>
    <t>ft/h</t>
  </si>
  <si>
    <t>feet/inch</t>
  </si>
  <si>
    <t>ft/in</t>
  </si>
  <si>
    <t>feet/metre</t>
  </si>
  <si>
    <t>ft/m</t>
  </si>
  <si>
    <t>feet/mile</t>
  </si>
  <si>
    <t>ft/mi</t>
  </si>
  <si>
    <t>feet/minute</t>
  </si>
  <si>
    <t>ft/min</t>
  </si>
  <si>
    <t>foot per millisecond</t>
  </si>
  <si>
    <t>ft/ms</t>
  </si>
  <si>
    <t>feet/second</t>
  </si>
  <si>
    <t>ft/s</t>
  </si>
  <si>
    <t>feet/second squared</t>
  </si>
  <si>
    <t>ft/s2</t>
  </si>
  <si>
    <t>foot per microsecond</t>
  </si>
  <si>
    <t>ft/us</t>
  </si>
  <si>
    <t>square foot</t>
  </si>
  <si>
    <t>ft2</t>
  </si>
  <si>
    <t>square feet/hour</t>
  </si>
  <si>
    <t>ft2/h</t>
  </si>
  <si>
    <t>square feet/cubic inch</t>
  </si>
  <si>
    <t>ft2/in3</t>
  </si>
  <si>
    <t>square feet/second</t>
  </si>
  <si>
    <t>ft2/s</t>
  </si>
  <si>
    <t>cubic feet at standard conditions</t>
  </si>
  <si>
    <t>ft3(std,60F)</t>
  </si>
  <si>
    <t>cubic feet/barrel</t>
  </si>
  <si>
    <t>ft3/bbl</t>
  </si>
  <si>
    <t>cubic feet/day</t>
  </si>
  <si>
    <t>ft3/d</t>
  </si>
  <si>
    <t>cubic feet/day foot psi</t>
  </si>
  <si>
    <t>ft3/d.ft.psi</t>
  </si>
  <si>
    <t>cubic feet/day/day</t>
  </si>
  <si>
    <t>ft3/d2</t>
  </si>
  <si>
    <t>cubic feet/foot</t>
  </si>
  <si>
    <t>ft3/ft</t>
  </si>
  <si>
    <t>cubic feet/cubic foot</t>
  </si>
  <si>
    <t>ft3/ft3</t>
  </si>
  <si>
    <t>cubic feet/hour</t>
  </si>
  <si>
    <t>ft3/h</t>
  </si>
  <si>
    <t>cubic feet/hour/hour</t>
  </si>
  <si>
    <t>ft3/h2</t>
  </si>
  <si>
    <t>cubic feet per kilogram</t>
  </si>
  <si>
    <t>ft3/kg</t>
  </si>
  <si>
    <t>cubic feet/pound mass</t>
  </si>
  <si>
    <t>ft3/lbm</t>
  </si>
  <si>
    <t>cubic feet/minute</t>
  </si>
  <si>
    <t>ft3/min</t>
  </si>
  <si>
    <t>cubic feet/min square foot</t>
  </si>
  <si>
    <t>volume per time per area</t>
  </si>
  <si>
    <t>ft3/min.ft2</t>
  </si>
  <si>
    <t>cubic feet/minute/minute</t>
  </si>
  <si>
    <t>ft3/min2</t>
  </si>
  <si>
    <t>cubic feet/mole (pound mass)</t>
  </si>
  <si>
    <t>ft3/lbmole</t>
  </si>
  <si>
    <t>ft3/mol(lbm)</t>
  </si>
  <si>
    <t>cubic feet/second</t>
  </si>
  <si>
    <t>ft3/s</t>
  </si>
  <si>
    <t>cubic feet/second square foot</t>
  </si>
  <si>
    <t>ft3/s.ft2</t>
  </si>
  <si>
    <t>cubic feet/second/second</t>
  </si>
  <si>
    <t>ft3/s2</t>
  </si>
  <si>
    <t>cubic feet per 94 pound sack</t>
  </si>
  <si>
    <t>ft3/sack94</t>
  </si>
  <si>
    <t>cubic feet/std cubic foot, 60 deg F</t>
  </si>
  <si>
    <t>ft3/scf(60F)</t>
  </si>
  <si>
    <t>British Foot (Benoit 1895 A)</t>
  </si>
  <si>
    <t>ftBnA</t>
  </si>
  <si>
    <t>British Foot (Benoit 1895 B)</t>
  </si>
  <si>
    <t>ftBnB</t>
  </si>
  <si>
    <t>British Foot 1865</t>
  </si>
  <si>
    <t>ftBr(65)</t>
  </si>
  <si>
    <t>Imperial Foot</t>
  </si>
  <si>
    <t>ftCla</t>
  </si>
  <si>
    <t>Gold Coast Foot</t>
  </si>
  <si>
    <t>ftGC</t>
  </si>
  <si>
    <t>Indian Foot</t>
  </si>
  <si>
    <t>ftInd</t>
  </si>
  <si>
    <t>Indian Foot, 1937</t>
  </si>
  <si>
    <t>ftInd(37)</t>
  </si>
  <si>
    <t>Indian Foot, 1962</t>
  </si>
  <si>
    <t>ftInd(62)</t>
  </si>
  <si>
    <t>Indian Foot, 1975</t>
  </si>
  <si>
    <t>ftInd(75)</t>
  </si>
  <si>
    <t>Modified American Foot</t>
  </si>
  <si>
    <t>ftMA</t>
  </si>
  <si>
    <t>ftAM</t>
  </si>
  <si>
    <t>Sears Foot</t>
  </si>
  <si>
    <t>ftSe</t>
  </si>
  <si>
    <t>US Survey Foot</t>
  </si>
  <si>
    <t>ftUS</t>
  </si>
  <si>
    <t>gram</t>
  </si>
  <si>
    <t>g</t>
  </si>
  <si>
    <t>gram feet/cubic centimetre second</t>
  </si>
  <si>
    <t>g.ft/cm3.s</t>
  </si>
  <si>
    <t>grams/cubic centimetre</t>
  </si>
  <si>
    <t>g/cm3</t>
  </si>
  <si>
    <t>grams/centimetre fourth</t>
  </si>
  <si>
    <t>g/cm4</t>
  </si>
  <si>
    <t>grams/cubic decimetre</t>
  </si>
  <si>
    <t>g/dm3</t>
  </si>
  <si>
    <t>grams/UK gallon</t>
  </si>
  <si>
    <t>g/galUK</t>
  </si>
  <si>
    <t>grams/US gallon</t>
  </si>
  <si>
    <t>g/galUS</t>
  </si>
  <si>
    <t>grams/kilogram</t>
  </si>
  <si>
    <t>g/kg</t>
  </si>
  <si>
    <t>grams/litre</t>
  </si>
  <si>
    <t>g/L</t>
  </si>
  <si>
    <t>grams/cubic metre</t>
  </si>
  <si>
    <t>g/m3</t>
  </si>
  <si>
    <t>grams/second</t>
  </si>
  <si>
    <t>g/s</t>
  </si>
  <si>
    <t>gigayears</t>
  </si>
  <si>
    <t>Ga</t>
  </si>
  <si>
    <t>galileo</t>
  </si>
  <si>
    <t>Gal</t>
  </si>
  <si>
    <t>US gallons/94 lb sack</t>
  </si>
  <si>
    <t>gal/sack</t>
  </si>
  <si>
    <t>UK gallon</t>
  </si>
  <si>
    <t>galUK</t>
  </si>
  <si>
    <t>UK gallons per day</t>
  </si>
  <si>
    <t>galUK/d</t>
  </si>
  <si>
    <t>UK gallons/cubic foot</t>
  </si>
  <si>
    <t>galUK/ft3</t>
  </si>
  <si>
    <t>UK gallons/hour</t>
  </si>
  <si>
    <t>galUK/hr</t>
  </si>
  <si>
    <t>galUK/h</t>
  </si>
  <si>
    <t>UK gallons/hour foot</t>
  </si>
  <si>
    <t>galUK/hr.ft</t>
  </si>
  <si>
    <t>galUK/h.ft</t>
  </si>
  <si>
    <t>UK gallons/hour square foot</t>
  </si>
  <si>
    <t>galUK/hr.ft2</t>
  </si>
  <si>
    <t>galUK/h.ft2</t>
  </si>
  <si>
    <t>UK gallons/hour inch</t>
  </si>
  <si>
    <t>galUK/hr.in</t>
  </si>
  <si>
    <t>galUK/h.in</t>
  </si>
  <si>
    <t>UK gallons/hour square inch</t>
  </si>
  <si>
    <t>galUK/hr.in2</t>
  </si>
  <si>
    <t>galUK/h.in2</t>
  </si>
  <si>
    <t>UK gallons/hour/hour</t>
  </si>
  <si>
    <t>galUK/hr2</t>
  </si>
  <si>
    <t>galUK/h2</t>
  </si>
  <si>
    <t>UK gallons per thousand UK gallons</t>
  </si>
  <si>
    <t>galUK/kgalUK</t>
  </si>
  <si>
    <t>UK gallons/pound mass</t>
  </si>
  <si>
    <t>galUK/lbm</t>
  </si>
  <si>
    <t>UK gallons/1000 barrels</t>
  </si>
  <si>
    <t>galUK/Mbbl</t>
  </si>
  <si>
    <t>UK gallons/mile</t>
  </si>
  <si>
    <t>galUK/mi</t>
  </si>
  <si>
    <t>UK gallons/minute</t>
  </si>
  <si>
    <t>galUK/min</t>
  </si>
  <si>
    <t>UK gallons/minute foot</t>
  </si>
  <si>
    <t>galUK/min.ft</t>
  </si>
  <si>
    <t>UK gallons/minute square foot</t>
  </si>
  <si>
    <t>galUK/min.ft2</t>
  </si>
  <si>
    <t>UK gallons/minute/minute</t>
  </si>
  <si>
    <t>galUK/min2</t>
  </si>
  <si>
    <t>US gallons</t>
  </si>
  <si>
    <t>galUS</t>
  </si>
  <si>
    <t>US gallons per ten barrels</t>
  </si>
  <si>
    <t>galUS/10bbl</t>
  </si>
  <si>
    <t>US gallons/barrels</t>
  </si>
  <si>
    <t>galUS/bbl</t>
  </si>
  <si>
    <t>US gallons per day</t>
  </si>
  <si>
    <t>galUS/d</t>
  </si>
  <si>
    <t>US gallons/foot</t>
  </si>
  <si>
    <t>galUS/ft</t>
  </si>
  <si>
    <t>US gallons/cubic foot</t>
  </si>
  <si>
    <t>galUS/ft3</t>
  </si>
  <si>
    <t>US gallons/hour</t>
  </si>
  <si>
    <t>galUS/hr</t>
  </si>
  <si>
    <t>galUS/h</t>
  </si>
  <si>
    <t>US gallons/foot hour</t>
  </si>
  <si>
    <t>galUS/hr.ft</t>
  </si>
  <si>
    <t>galUS/h.ft</t>
  </si>
  <si>
    <t>US gallons/hour square foot</t>
  </si>
  <si>
    <t>galUS/hr.ft2</t>
  </si>
  <si>
    <t>galUS/h.ft2</t>
  </si>
  <si>
    <t>US gallons/hour inch</t>
  </si>
  <si>
    <t>galUS/hr.in</t>
  </si>
  <si>
    <t>galUS/h.in</t>
  </si>
  <si>
    <t>US gallons/hour square inch</t>
  </si>
  <si>
    <t>galUS/hr.in2</t>
  </si>
  <si>
    <t>galUS/h.in2</t>
  </si>
  <si>
    <t>US gallons/hour/hour</t>
  </si>
  <si>
    <t>galUS/hr2</t>
  </si>
  <si>
    <t>galUS/h2</t>
  </si>
  <si>
    <t>US gallons per thousand US gallons</t>
  </si>
  <si>
    <t>galUS/kgalUS</t>
  </si>
  <si>
    <t>US gallons/pound mass</t>
  </si>
  <si>
    <t>galUS/lbm</t>
  </si>
  <si>
    <t>US gallons/1000 barrels</t>
  </si>
  <si>
    <t>galUS/Mbbl</t>
  </si>
  <si>
    <t>US gallons/mile</t>
  </si>
  <si>
    <t>galUS/mi</t>
  </si>
  <si>
    <t>US gallons/minute</t>
  </si>
  <si>
    <t>galUS/min</t>
  </si>
  <si>
    <t>US gallons/minute foot</t>
  </si>
  <si>
    <t>galUS/min.ft</t>
  </si>
  <si>
    <t>US gallons/minute square foot</t>
  </si>
  <si>
    <t>galUS/min.ft2</t>
  </si>
  <si>
    <t>US gallons/minute/minute</t>
  </si>
  <si>
    <t>galUS/min2</t>
  </si>
  <si>
    <t>US gals/1000 std cubic feet, 60 deg F</t>
  </si>
  <si>
    <t>galUS/Mscf(60F)</t>
  </si>
  <si>
    <t>galUS/sack94</t>
  </si>
  <si>
    <t>US gallons/UK ton</t>
  </si>
  <si>
    <t>galUS/tonUK</t>
  </si>
  <si>
    <t>US gallons/US ton</t>
  </si>
  <si>
    <t>galUS/tonUS</t>
  </si>
  <si>
    <t>gamma</t>
  </si>
  <si>
    <t>gauss</t>
  </si>
  <si>
    <t>gigabecquerel</t>
  </si>
  <si>
    <t>GBq</t>
  </si>
  <si>
    <t>billions of electron volts</t>
  </si>
  <si>
    <t>GeV</t>
  </si>
  <si>
    <t>gram force</t>
  </si>
  <si>
    <t>gf</t>
  </si>
  <si>
    <t>gigahertz</t>
  </si>
  <si>
    <t>GHz</t>
  </si>
  <si>
    <t>gigajoule</t>
  </si>
  <si>
    <t>GJ</t>
  </si>
  <si>
    <t>gravity</t>
  </si>
  <si>
    <t>gn</t>
  </si>
  <si>
    <t>gigaohm</t>
  </si>
  <si>
    <t>Gohm</t>
  </si>
  <si>
    <t>gons</t>
  </si>
  <si>
    <t>gon</t>
  </si>
  <si>
    <t>gigapascal</t>
  </si>
  <si>
    <t>GPa</t>
  </si>
  <si>
    <t>gigapascal per centimeter</t>
  </si>
  <si>
    <t>GPa/cm</t>
  </si>
  <si>
    <t>gigapascal squared</t>
  </si>
  <si>
    <t>GPa2</t>
  </si>
  <si>
    <t>grad</t>
  </si>
  <si>
    <t>gr</t>
  </si>
  <si>
    <t>gigaradian</t>
  </si>
  <si>
    <t>Grad</t>
  </si>
  <si>
    <t>grain</t>
  </si>
  <si>
    <t>grains/100 cubic feet</t>
  </si>
  <si>
    <t>grain/100ft3</t>
  </si>
  <si>
    <t>grains/cubic foot</t>
  </si>
  <si>
    <t>grain/ft3</t>
  </si>
  <si>
    <t>grain/ft3(100)</t>
  </si>
  <si>
    <t>grains/US gallon</t>
  </si>
  <si>
    <t>grain/galUS</t>
  </si>
  <si>
    <t>gigasiemens</t>
  </si>
  <si>
    <t>GS</t>
  </si>
  <si>
    <t>giga standard cubic metres 15C</t>
  </si>
  <si>
    <t>Gsm3</t>
  </si>
  <si>
    <t>gigawatt</t>
  </si>
  <si>
    <t>GW</t>
  </si>
  <si>
    <t>gigawatt hour</t>
  </si>
  <si>
    <t>GW.h</t>
  </si>
  <si>
    <t>hour</t>
  </si>
  <si>
    <t>h</t>
  </si>
  <si>
    <t>hours/cubic foot</t>
  </si>
  <si>
    <t>h/ft3</t>
  </si>
  <si>
    <t>hour per thousand foot</t>
  </si>
  <si>
    <t>h/kft</t>
  </si>
  <si>
    <t>hour per kilometer</t>
  </si>
  <si>
    <t>h/km</t>
  </si>
  <si>
    <t>hour per cubic meter</t>
  </si>
  <si>
    <t>h/m3</t>
  </si>
  <si>
    <t>hectare</t>
  </si>
  <si>
    <t>ha</t>
  </si>
  <si>
    <t>hectare metres</t>
  </si>
  <si>
    <t>ha.m</t>
  </si>
  <si>
    <t>hectobar</t>
  </si>
  <si>
    <t>hbar</t>
  </si>
  <si>
    <t>hydraulic horsepower</t>
  </si>
  <si>
    <t>hhp</t>
  </si>
  <si>
    <t>(hydraulic) horsepower per square inch</t>
  </si>
  <si>
    <t>hhp/in2</t>
  </si>
  <si>
    <t>hectoliter</t>
  </si>
  <si>
    <t>hL</t>
  </si>
  <si>
    <t>horsepower</t>
  </si>
  <si>
    <t>hp</t>
  </si>
  <si>
    <t>horsepower hour</t>
  </si>
  <si>
    <t>hp.hr</t>
  </si>
  <si>
    <t>hp.h</t>
  </si>
  <si>
    <t>horsepower hours/barrel</t>
  </si>
  <si>
    <t>hp.hr/bbl</t>
  </si>
  <si>
    <t>hp.h/bbl</t>
  </si>
  <si>
    <t>horsepower hours/pound mass</t>
  </si>
  <si>
    <t>hp.hr/lbm</t>
  </si>
  <si>
    <t>hp.h/lbm</t>
  </si>
  <si>
    <t>horsepower/cubic foot</t>
  </si>
  <si>
    <t>hp/ft3</t>
  </si>
  <si>
    <t>horsepower per square inch</t>
  </si>
  <si>
    <t>hp/in2</t>
  </si>
  <si>
    <t>hundred seconds</t>
  </si>
  <si>
    <t>hs</t>
  </si>
  <si>
    <t>inch</t>
  </si>
  <si>
    <t>in</t>
  </si>
  <si>
    <t>tenth of an inch</t>
  </si>
  <si>
    <t>in/10</t>
  </si>
  <si>
    <t>16th of an inch</t>
  </si>
  <si>
    <t>in/16</t>
  </si>
  <si>
    <t>1/16 in</t>
  </si>
  <si>
    <t>32nd of an inch</t>
  </si>
  <si>
    <t>in/32</t>
  </si>
  <si>
    <t>1/32 in</t>
  </si>
  <si>
    <t>64th of an inch</t>
  </si>
  <si>
    <t>in/64</t>
  </si>
  <si>
    <t>1/64 in</t>
  </si>
  <si>
    <t>inches/year</t>
  </si>
  <si>
    <t>in/a</t>
  </si>
  <si>
    <t>inches/inch degree Fahrenheit</t>
  </si>
  <si>
    <t>in/in.degF</t>
  </si>
  <si>
    <t>inches/minute</t>
  </si>
  <si>
    <t>in/min</t>
  </si>
  <si>
    <t>inches/second</t>
  </si>
  <si>
    <t>in/s</t>
  </si>
  <si>
    <t>square inches</t>
  </si>
  <si>
    <t>in2</t>
  </si>
  <si>
    <t>in2|sq in</t>
  </si>
  <si>
    <t>square inches/square foot</t>
  </si>
  <si>
    <t>in2/ft2</t>
  </si>
  <si>
    <t>square inches/square inch</t>
  </si>
  <si>
    <t>in2/in2</t>
  </si>
  <si>
    <t>square inches/second</t>
  </si>
  <si>
    <t>in2/s</t>
  </si>
  <si>
    <t>cubic inches</t>
  </si>
  <si>
    <t>in3|cu in</t>
  </si>
  <si>
    <t>cubic inches/foot</t>
  </si>
  <si>
    <t>in3/ft</t>
  </si>
  <si>
    <t>inches to the fourth</t>
  </si>
  <si>
    <t>in4</t>
  </si>
  <si>
    <t>inches of water at 39.2 deg F</t>
  </si>
  <si>
    <t>inH2O(39.2F)</t>
  </si>
  <si>
    <t>inches of water at 60 deg F</t>
  </si>
  <si>
    <t>inH2O(60F)</t>
  </si>
  <si>
    <t>inches of mercury at 32 deg F</t>
  </si>
  <si>
    <t>inHg(32F)</t>
  </si>
  <si>
    <t>inches of mercury at 60 deg F</t>
  </si>
  <si>
    <t>inHg(60F)</t>
  </si>
  <si>
    <t>US Survey inch</t>
  </si>
  <si>
    <t>inUS</t>
  </si>
  <si>
    <t>joules/square centimetre</t>
  </si>
  <si>
    <t>J/cm2</t>
  </si>
  <si>
    <t>joules/cubic decimetre</t>
  </si>
  <si>
    <t>J/dm3</t>
  </si>
  <si>
    <t>joules/gram</t>
  </si>
  <si>
    <t>J/g</t>
  </si>
  <si>
    <t>joules/gram degree Kelvin</t>
  </si>
  <si>
    <t>J/g.K</t>
  </si>
  <si>
    <t>joules/metre</t>
  </si>
  <si>
    <t>energy per length</t>
  </si>
  <si>
    <t>J/m</t>
  </si>
  <si>
    <t>joules/square metre</t>
  </si>
  <si>
    <t>J/m2</t>
  </si>
  <si>
    <t>joules/second square metre deg C</t>
  </si>
  <si>
    <t>J/s.m2.degC</t>
  </si>
  <si>
    <t>degrees Kelvin square metres/kilowatt</t>
  </si>
  <si>
    <t>K.m2/kW</t>
  </si>
  <si>
    <t>kiloampere</t>
  </si>
  <si>
    <t>kA</t>
  </si>
  <si>
    <t>thousand barrels per day</t>
  </si>
  <si>
    <t>kbbl/d</t>
  </si>
  <si>
    <t>kilobyte</t>
  </si>
  <si>
    <t>kbyte</t>
  </si>
  <si>
    <t>kilocoulombs</t>
  </si>
  <si>
    <t>kC</t>
  </si>
  <si>
    <t>kilocalories</t>
  </si>
  <si>
    <t>kcal</t>
  </si>
  <si>
    <t>kilocalorie metres/square centimetre</t>
  </si>
  <si>
    <t>energy length per area</t>
  </si>
  <si>
    <t>kcal.m/cm2</t>
  </si>
  <si>
    <t>kilocalories/cubic centimetre</t>
  </si>
  <si>
    <t>kcal/cm3</t>
  </si>
  <si>
    <t>kilocalories/gram</t>
  </si>
  <si>
    <t>kcal/g</t>
  </si>
  <si>
    <t>kilocalories/hour</t>
  </si>
  <si>
    <t>kcal/h</t>
  </si>
  <si>
    <t>kilocalories/hour metre degree Celsius</t>
  </si>
  <si>
    <t>kcal/h.m.degC</t>
  </si>
  <si>
    <t>kilocalorie/hour square metre deg C</t>
  </si>
  <si>
    <t>kcal/h.m2.degC</t>
  </si>
  <si>
    <t>kilocalories/kilogram</t>
  </si>
  <si>
    <t>kcal/kg</t>
  </si>
  <si>
    <t>kilocalories/kilogram degree Celsius</t>
  </si>
  <si>
    <t>kcal/kg.degC</t>
  </si>
  <si>
    <t>kilocalroies/cubic metre</t>
  </si>
  <si>
    <t>kcal/m3</t>
  </si>
  <si>
    <t>kilocalories/mole (gram)</t>
  </si>
  <si>
    <t>kcal/mol</t>
  </si>
  <si>
    <t>kcal/mol(g)</t>
  </si>
  <si>
    <t>kilocandela</t>
  </si>
  <si>
    <t>kcd</t>
  </si>
  <si>
    <t>kilkodynes</t>
  </si>
  <si>
    <t>kdyne</t>
  </si>
  <si>
    <t>thousand per second</t>
  </si>
  <si>
    <t>kEuc/s</t>
  </si>
  <si>
    <t>kiloelectron volts</t>
  </si>
  <si>
    <t>keV</t>
  </si>
  <si>
    <t>thousand foot pounds force</t>
  </si>
  <si>
    <t>kft.lbf</t>
  </si>
  <si>
    <t>thousand feet per hour</t>
  </si>
  <si>
    <t>kft/h</t>
  </si>
  <si>
    <t>thousand feet per second</t>
  </si>
  <si>
    <t>kft/s</t>
  </si>
  <si>
    <t>kilogram metres/square centimetre</t>
  </si>
  <si>
    <t>kg.m/cm2</t>
  </si>
  <si>
    <t>kilogram per day</t>
  </si>
  <si>
    <t>kg/d</t>
  </si>
  <si>
    <t>kilograms/cubic decimetre</t>
  </si>
  <si>
    <t>kg/dm3</t>
  </si>
  <si>
    <t>kilograms/decimetre fourth</t>
  </si>
  <si>
    <t>kg/dm4</t>
  </si>
  <si>
    <t>kilograms/hour</t>
  </si>
  <si>
    <t>kg/h</t>
  </si>
  <si>
    <t>kilograms/kilogram</t>
  </si>
  <si>
    <t>kg/kg</t>
  </si>
  <si>
    <t>kilograms/kilowatt hour</t>
  </si>
  <si>
    <t>kg/kW.h</t>
  </si>
  <si>
    <t>kilogram per litre</t>
  </si>
  <si>
    <t>kg/L</t>
  </si>
  <si>
    <t>kilograms/metre second</t>
  </si>
  <si>
    <t>kg/m.s</t>
  </si>
  <si>
    <t>kilogram per min</t>
  </si>
  <si>
    <t>kg/min</t>
  </si>
  <si>
    <t>kilograms/megajoule</t>
  </si>
  <si>
    <t>kg/MJ</t>
  </si>
  <si>
    <t>kilogram per 94 pound sack</t>
  </si>
  <si>
    <t>kg/sack94</t>
  </si>
  <si>
    <t>kilogram force</t>
  </si>
  <si>
    <t>kgf</t>
  </si>
  <si>
    <t>kilogram force metres</t>
  </si>
  <si>
    <t>kgf.m</t>
  </si>
  <si>
    <t>kilogram force metres/square centimetre</t>
  </si>
  <si>
    <t>kgf.m/cm2</t>
  </si>
  <si>
    <t>kilograms force metres/metre</t>
  </si>
  <si>
    <t>force length per length</t>
  </si>
  <si>
    <t>kgf.m/m</t>
  </si>
  <si>
    <t>kilogram force metres squared</t>
  </si>
  <si>
    <t>kgf.m2</t>
  </si>
  <si>
    <t>kilograms force seconds/square metre</t>
  </si>
  <si>
    <t>kgf.s/m2</t>
  </si>
  <si>
    <t>kilograms force/centimetre</t>
  </si>
  <si>
    <t>kgf/cm</t>
  </si>
  <si>
    <t>kilogram per square centimeter</t>
  </si>
  <si>
    <t>kgf/cm2</t>
  </si>
  <si>
    <t>kilogram force per kilogram force</t>
  </si>
  <si>
    <t>kgf/kgf</t>
  </si>
  <si>
    <t>kilogram force/square millimetre</t>
  </si>
  <si>
    <t>kgf/mm2</t>
  </si>
  <si>
    <t>kilohertz</t>
  </si>
  <si>
    <t>kHz</t>
  </si>
  <si>
    <t>kilojoules</t>
  </si>
  <si>
    <t>kJ</t>
  </si>
  <si>
    <t>kilojoule metres/hour sq metre deg K</t>
  </si>
  <si>
    <t>kJ.m/h.m2.K</t>
  </si>
  <si>
    <t>kilojoules/cubic decimetre</t>
  </si>
  <si>
    <t>kJ/dm3</t>
  </si>
  <si>
    <t>kilojoules/hour square metre deg K</t>
  </si>
  <si>
    <t>kJ/h.m2.K</t>
  </si>
  <si>
    <t>kilojoule/kilogram</t>
  </si>
  <si>
    <t>kJ/kg</t>
  </si>
  <si>
    <t>kilojoules/kilogram degree Kelvin</t>
  </si>
  <si>
    <t>kJ/kg.K</t>
  </si>
  <si>
    <t>kilojoule/cubic metre</t>
  </si>
  <si>
    <t>kJ/m3</t>
  </si>
  <si>
    <t>kilojoule/mole (kilogram)</t>
  </si>
  <si>
    <t>kJ/kmol</t>
  </si>
  <si>
    <t>kJ/mol</t>
  </si>
  <si>
    <t>kJ/mol(kg)</t>
  </si>
  <si>
    <t>kilojoules/mole (kilogram) deg K</t>
  </si>
  <si>
    <t>kJ/kmol.K</t>
  </si>
  <si>
    <t>kJ/mol(kg).K</t>
  </si>
  <si>
    <t>kJ/mol.K</t>
  </si>
  <si>
    <t>thousand pounds force</t>
  </si>
  <si>
    <t>klbf</t>
  </si>
  <si>
    <t>thousand pounds mass</t>
  </si>
  <si>
    <t>klbm</t>
  </si>
  <si>
    <t>thousand pounds mass per inch</t>
  </si>
  <si>
    <t>klbm/in</t>
  </si>
  <si>
    <t>kilolux</t>
  </si>
  <si>
    <t>klx</t>
  </si>
  <si>
    <t>kilometre</t>
  </si>
  <si>
    <t>km</t>
  </si>
  <si>
    <t>kilometre/ centimetre</t>
  </si>
  <si>
    <t>km/cm</t>
  </si>
  <si>
    <t>kilometres/cubic decimetre</t>
  </si>
  <si>
    <t>km/dm3</t>
  </si>
  <si>
    <t>kilometres/hour</t>
  </si>
  <si>
    <t>km/h</t>
  </si>
  <si>
    <t>kilometres/litre</t>
  </si>
  <si>
    <t>km/L</t>
  </si>
  <si>
    <t>kilometer per second</t>
  </si>
  <si>
    <t>km/s</t>
  </si>
  <si>
    <t>square kilometres</t>
  </si>
  <si>
    <t>km2</t>
  </si>
  <si>
    <t>cubic kilometres</t>
  </si>
  <si>
    <t>km3</t>
  </si>
  <si>
    <t>kilomole</t>
  </si>
  <si>
    <t>kmol</t>
  </si>
  <si>
    <t>kilonewtons</t>
  </si>
  <si>
    <t>kN</t>
  </si>
  <si>
    <t>kilonewton metres</t>
  </si>
  <si>
    <t>kN.m</t>
  </si>
  <si>
    <t>kilonewton metres squared</t>
  </si>
  <si>
    <t>kN.m2</t>
  </si>
  <si>
    <t>kilonewtons/metre</t>
  </si>
  <si>
    <t>kN/m</t>
  </si>
  <si>
    <t>kilonewtons/square metre</t>
  </si>
  <si>
    <t>kN/m2</t>
  </si>
  <si>
    <t>knots</t>
  </si>
  <si>
    <t>knot</t>
  </si>
  <si>
    <t>kilohm</t>
  </si>
  <si>
    <t>kohm</t>
  </si>
  <si>
    <t>kilo ohm metre</t>
  </si>
  <si>
    <t>kohm.m</t>
  </si>
  <si>
    <t>kilopascals</t>
  </si>
  <si>
    <t>kPa</t>
  </si>
  <si>
    <t>kilopascal seconds/metre</t>
  </si>
  <si>
    <t>kPa.s/m</t>
  </si>
  <si>
    <t>kilopascal per hundred meter</t>
  </si>
  <si>
    <t>kPa/100m</t>
  </si>
  <si>
    <t>kPa/hm</t>
  </si>
  <si>
    <t>kilopascal per hour</t>
  </si>
  <si>
    <t>kPa/h</t>
  </si>
  <si>
    <t>kilopascals/metre</t>
  </si>
  <si>
    <t>kPa/m</t>
  </si>
  <si>
    <t>kilopascal per min</t>
  </si>
  <si>
    <t>kPa/min</t>
  </si>
  <si>
    <t>kilopascal squared</t>
  </si>
  <si>
    <t>kPa2</t>
  </si>
  <si>
    <t>kilopascal squared per centipoise</t>
  </si>
  <si>
    <t>kPa2/cP</t>
  </si>
  <si>
    <t>kilopascal squared per thousand centipoise</t>
  </si>
  <si>
    <t>kPa2/kcP</t>
  </si>
  <si>
    <t>thousand pounds per square inch</t>
  </si>
  <si>
    <t>kpsi</t>
  </si>
  <si>
    <t>thousand pound per square inch, squared</t>
  </si>
  <si>
    <t>kpsi2</t>
  </si>
  <si>
    <t>kiloradian</t>
  </si>
  <si>
    <t>krad</t>
  </si>
  <si>
    <t>kilosiemens</t>
  </si>
  <si>
    <t>kS</t>
  </si>
  <si>
    <t>kilo standard cubic metres 15C</t>
  </si>
  <si>
    <t>ksm3</t>
  </si>
  <si>
    <t>thousand std cubic metres/ day</t>
  </si>
  <si>
    <t>ksm3/d</t>
  </si>
  <si>
    <t>1000 std cubic metres/ std cubic metre</t>
  </si>
  <si>
    <t>ksm3/sm3</t>
  </si>
  <si>
    <t>kilovolt</t>
  </si>
  <si>
    <t>kV</t>
  </si>
  <si>
    <t>kilowatts</t>
  </si>
  <si>
    <t>kW</t>
  </si>
  <si>
    <t>kilowatt hours</t>
  </si>
  <si>
    <t>kW.h</t>
  </si>
  <si>
    <t>kilowatt hours/decimetre</t>
  </si>
  <si>
    <t>kW.h/dm3</t>
  </si>
  <si>
    <t>kilowatt hours/kilogram</t>
  </si>
  <si>
    <t>kW.h/kg</t>
  </si>
  <si>
    <t>kilowatt hours/kilogram degree C</t>
  </si>
  <si>
    <t>kW.h/kg.degC</t>
  </si>
  <si>
    <t>kilowatt hours/cubic metres</t>
  </si>
  <si>
    <t>kW.h/m3</t>
  </si>
  <si>
    <t>kilowatts/square centimetre</t>
  </si>
  <si>
    <t>kW/cm2</t>
  </si>
  <si>
    <t>kilowatts/square metre</t>
  </si>
  <si>
    <t>kW/m2</t>
  </si>
  <si>
    <t>kilowatts/square metre degree Kelvin</t>
  </si>
  <si>
    <t>kW/m2.K</t>
  </si>
  <si>
    <t>kilowatts/cubic metre</t>
  </si>
  <si>
    <t>kW/m3</t>
  </si>
  <si>
    <t>killowatts/cubic metre degree Kelvin</t>
  </si>
  <si>
    <t>kW/m3.K</t>
  </si>
  <si>
    <t>litre</t>
  </si>
  <si>
    <t>liter per hundred kilogram</t>
  </si>
  <si>
    <t>L/100kg</t>
  </si>
  <si>
    <t>litres/100 kilometres</t>
  </si>
  <si>
    <t>L/100km</t>
  </si>
  <si>
    <t>liter per ten barrel</t>
  </si>
  <si>
    <t>L/10bbl</t>
  </si>
  <si>
    <t>litres per minute per bar</t>
  </si>
  <si>
    <t>L/bar.min</t>
  </si>
  <si>
    <t>(L/min)/bar</t>
  </si>
  <si>
    <t>liter per hour</t>
  </si>
  <si>
    <t>L/h</t>
  </si>
  <si>
    <t>liter per kilogram</t>
  </si>
  <si>
    <t>L/kg</t>
  </si>
  <si>
    <t>L/km(100)</t>
  </si>
  <si>
    <t>litres/metre</t>
  </si>
  <si>
    <t>L/m</t>
  </si>
  <si>
    <t>litres/cubic metre</t>
  </si>
  <si>
    <t>L/m3</t>
  </si>
  <si>
    <t>liter per minute</t>
  </si>
  <si>
    <t>L/min</t>
  </si>
  <si>
    <t>litres/mole (gram)</t>
  </si>
  <si>
    <t>L/mol</t>
  </si>
  <si>
    <t>L/mol(g)</t>
  </si>
  <si>
    <t>litres/mole (kilogram)</t>
  </si>
  <si>
    <t>L/kmol</t>
  </si>
  <si>
    <t>L/mol(kg)</t>
  </si>
  <si>
    <t>litres/second</t>
  </si>
  <si>
    <t>L/s</t>
  </si>
  <si>
    <t>litres/second/second</t>
  </si>
  <si>
    <t>L/s2</t>
  </si>
  <si>
    <t>litres/tonne</t>
  </si>
  <si>
    <t>L/t</t>
  </si>
  <si>
    <t>liter per UK ton</t>
  </si>
  <si>
    <t>L/tonUK</t>
  </si>
  <si>
    <t>pounds force</t>
  </si>
  <si>
    <t>lbf</t>
  </si>
  <si>
    <t>lbf.ft</t>
  </si>
  <si>
    <t>lbf.ft/bbl</t>
  </si>
  <si>
    <t>pounds force feet/inch</t>
  </si>
  <si>
    <t>lbf.ft/in</t>
  </si>
  <si>
    <t>foot pounds force/square inch</t>
  </si>
  <si>
    <t>lbf.ft/in2</t>
  </si>
  <si>
    <t>lbf.ft/lbm</t>
  </si>
  <si>
    <t>inch pounds force</t>
  </si>
  <si>
    <t>lbf.in</t>
  </si>
  <si>
    <t>pounds force inches/inch</t>
  </si>
  <si>
    <t>lbf.in/in</t>
  </si>
  <si>
    <t>pounds force inches squared</t>
  </si>
  <si>
    <t>lbf.in2</t>
  </si>
  <si>
    <t>pounds force seconds/square foot</t>
  </si>
  <si>
    <t>lbf.s/ft2</t>
  </si>
  <si>
    <t>pounds force seconds/square inch</t>
  </si>
  <si>
    <t>lbf.s/in2</t>
  </si>
  <si>
    <t>pounds force per hundred foot</t>
  </si>
  <si>
    <t>lbf/100ft</t>
  </si>
  <si>
    <t>pounds force/100 square foot</t>
  </si>
  <si>
    <t>lbf/100ft2</t>
  </si>
  <si>
    <t>pounds force per thirty meters</t>
  </si>
  <si>
    <t>lbf/30m</t>
  </si>
  <si>
    <t>pounds force per foot</t>
  </si>
  <si>
    <t>lbf/ft</t>
  </si>
  <si>
    <t>pounds force/square foot</t>
  </si>
  <si>
    <t>lbf/ft2</t>
  </si>
  <si>
    <t>lbf/ft2(100)</t>
  </si>
  <si>
    <t>pounds force/cubic foot</t>
  </si>
  <si>
    <t>lbf/ft3</t>
  </si>
  <si>
    <t>pounds force/US gallon</t>
  </si>
  <si>
    <t>lbf/galUS</t>
  </si>
  <si>
    <t>pounds force/inch</t>
  </si>
  <si>
    <t>lbf/in</t>
  </si>
  <si>
    <t>pounds force/square inch</t>
  </si>
  <si>
    <t>lbf/in2</t>
  </si>
  <si>
    <t>pound force per pound force</t>
  </si>
  <si>
    <t>lbf/lbf</t>
  </si>
  <si>
    <t>pounds mass</t>
  </si>
  <si>
    <t>lbm</t>
  </si>
  <si>
    <t>foot pounds mass/second</t>
  </si>
  <si>
    <t>lbm.ft/s</t>
  </si>
  <si>
    <t>pounds mass square feet</t>
  </si>
  <si>
    <t>lbm.ft2</t>
  </si>
  <si>
    <t>pounds mass square feet/second squared</t>
  </si>
  <si>
    <t>lbm.ft2/s2</t>
  </si>
  <si>
    <t>million pounds mass/year</t>
  </si>
  <si>
    <t>lbm(million)/yr</t>
  </si>
  <si>
    <t>pounds mass/1000 UK gallons</t>
  </si>
  <si>
    <t>lbm/1000galUK</t>
  </si>
  <si>
    <t>pounds mass/1000 US gallons</t>
  </si>
  <si>
    <t>lbm/1000galUS</t>
  </si>
  <si>
    <t>pounds mass per hundred square foot</t>
  </si>
  <si>
    <t>lbm/100ft2</t>
  </si>
  <si>
    <t>pounds mass per 10 barrel</t>
  </si>
  <si>
    <t>lbm/10bbl</t>
  </si>
  <si>
    <t>pounds mass/barrel</t>
  </si>
  <si>
    <t>lbm/bbl</t>
  </si>
  <si>
    <t>pound mass per day</t>
  </si>
  <si>
    <t>lbm/d</t>
  </si>
  <si>
    <t>pounds mass/foot</t>
  </si>
  <si>
    <t>lbm/ft</t>
  </si>
  <si>
    <t>pounds mass/foot hour</t>
  </si>
  <si>
    <t>lbm/ft.h</t>
  </si>
  <si>
    <t>lbm/h.ft</t>
  </si>
  <si>
    <t>pounds mass/foot second</t>
  </si>
  <si>
    <t>lbm/ft.s</t>
  </si>
  <si>
    <t>lbm/s.ft</t>
  </si>
  <si>
    <t>pounds mass/square foot</t>
  </si>
  <si>
    <t>lbm/ft2</t>
  </si>
  <si>
    <t>pounds mass/cubic foot</t>
  </si>
  <si>
    <t>lbm/ft3</t>
  </si>
  <si>
    <t>pounds mass/foot fourth</t>
  </si>
  <si>
    <t>lbm/ft4</t>
  </si>
  <si>
    <t>pounds mass/UK gallon</t>
  </si>
  <si>
    <t>lbm/galUK</t>
  </si>
  <si>
    <t>pounds mass/UK gallon foot</t>
  </si>
  <si>
    <t>lbm/galUK.ft</t>
  </si>
  <si>
    <t>lbm/galUK(1000)</t>
  </si>
  <si>
    <t>pounds mass/US gallon</t>
  </si>
  <si>
    <t>lbm/galUS</t>
  </si>
  <si>
    <t>pounds mass/US gallon foot</t>
  </si>
  <si>
    <t>lbm/galUS.ft</t>
  </si>
  <si>
    <t>lbm/galUS(1000)</t>
  </si>
  <si>
    <t>pounds mass/hour</t>
  </si>
  <si>
    <t>lbm/h</t>
  </si>
  <si>
    <t>pounds mass/hour foot</t>
  </si>
  <si>
    <t>pounds mass/hour square foot</t>
  </si>
  <si>
    <t>lbm/h.ft2</t>
  </si>
  <si>
    <t>pounds mass/horsepower hour</t>
  </si>
  <si>
    <t>lbm/hp.h</t>
  </si>
  <si>
    <t>pounds mass/cubic inch</t>
  </si>
  <si>
    <t>lbm/in3</t>
  </si>
  <si>
    <t>pounds mass/1000 barrels</t>
  </si>
  <si>
    <t>lbm/Mbbl</t>
  </si>
  <si>
    <t>pounds mass/minute</t>
  </si>
  <si>
    <t>lbm/min</t>
  </si>
  <si>
    <t>pounds mass/second</t>
  </si>
  <si>
    <t>lbm/s</t>
  </si>
  <si>
    <t>pounds mass/second foot</t>
  </si>
  <si>
    <t>pounds mass/second square foot</t>
  </si>
  <si>
    <t>lbm/s.ft2</t>
  </si>
  <si>
    <t>British link 1895 A</t>
  </si>
  <si>
    <t>lkBnA</t>
  </si>
  <si>
    <t>British link 1895 B</t>
  </si>
  <si>
    <t>lkBnB</t>
  </si>
  <si>
    <t>Clarke link</t>
  </si>
  <si>
    <t>lkCla</t>
  </si>
  <si>
    <t>Sears link</t>
  </si>
  <si>
    <t>lkSe</t>
  </si>
  <si>
    <t>US Survey link</t>
  </si>
  <si>
    <t>lkUS</t>
  </si>
  <si>
    <t>lumens/square metre</t>
  </si>
  <si>
    <t>luminous exitance</t>
  </si>
  <si>
    <t>lm/m2</t>
  </si>
  <si>
    <t>million cubic feet</t>
  </si>
  <si>
    <t>M(ft3)</t>
  </si>
  <si>
    <t>million cubic feet per acre-foot</t>
  </si>
  <si>
    <t>M(ft3)/acre.ft</t>
  </si>
  <si>
    <t>million cubic feet per day</t>
  </si>
  <si>
    <t>M(ft3)/d</t>
  </si>
  <si>
    <t>million cubic meters</t>
  </si>
  <si>
    <t>M(m3)</t>
  </si>
  <si>
    <t>million cubic metres per day</t>
  </si>
  <si>
    <t>M(m3)/d</t>
  </si>
  <si>
    <t>metres per thirty metres</t>
  </si>
  <si>
    <t>m/30m</t>
  </si>
  <si>
    <t>metres/ centimetre</t>
  </si>
  <si>
    <t>m/cm</t>
  </si>
  <si>
    <t>metres/day</t>
  </si>
  <si>
    <t>m/d</t>
  </si>
  <si>
    <t>metres/hour</t>
  </si>
  <si>
    <t>m/h</t>
  </si>
  <si>
    <t>metres/kilometre</t>
  </si>
  <si>
    <t>m/km</t>
  </si>
  <si>
    <t>metres/metre</t>
  </si>
  <si>
    <t>m/m</t>
  </si>
  <si>
    <t>metres/metre Kelvin</t>
  </si>
  <si>
    <t>m/m.K</t>
  </si>
  <si>
    <t>metres/cubic metre</t>
  </si>
  <si>
    <t>m/m3</t>
  </si>
  <si>
    <t>meter per minute</t>
  </si>
  <si>
    <t>m/min</t>
  </si>
  <si>
    <t>metres/millisecond</t>
  </si>
  <si>
    <t>m/ms</t>
  </si>
  <si>
    <t>square metres/cubic centimetre</t>
  </si>
  <si>
    <t>m2/cm3</t>
  </si>
  <si>
    <t>square metres/day kiloPascal</t>
  </si>
  <si>
    <t>m2/d.kPa</t>
  </si>
  <si>
    <t>square metres/gram</t>
  </si>
  <si>
    <t>m2/g</t>
  </si>
  <si>
    <t>square metres/hour</t>
  </si>
  <si>
    <t>m2/h</t>
  </si>
  <si>
    <t>square metres/square metre</t>
  </si>
  <si>
    <t>m2/m2</t>
  </si>
  <si>
    <t>square metres/cubic metre</t>
  </si>
  <si>
    <t>m2/m3</t>
  </si>
  <si>
    <t>cubic metres at std condition (0 deg C)</t>
  </si>
  <si>
    <t>m3(std,0C)</t>
  </si>
  <si>
    <t>cubic metres at std condition (15 deg C)</t>
  </si>
  <si>
    <t>m3(std,15C)</t>
  </si>
  <si>
    <t>cubic meter per day per bar</t>
  </si>
  <si>
    <t>m3/bar.d</t>
  </si>
  <si>
    <t>m3/(d.bar)</t>
  </si>
  <si>
    <t>cubic meter per hour per bar</t>
  </si>
  <si>
    <t>m3/bar.h</t>
  </si>
  <si>
    <t>m3.bar.h</t>
  </si>
  <si>
    <t>m3/(h.bar)</t>
  </si>
  <si>
    <t>cubic meter per minute per bar</t>
  </si>
  <si>
    <t>m3/bar.min</t>
  </si>
  <si>
    <t>m3/(min.bar)</t>
  </si>
  <si>
    <t>cubic metres/centiPoise day kiloPascal</t>
  </si>
  <si>
    <t>m3/cP.d.kPa</t>
  </si>
  <si>
    <t>cubic metres/centiPoise Pascal second</t>
  </si>
  <si>
    <t>m3/cP.Pa.s</t>
  </si>
  <si>
    <t>cubic metres/day</t>
  </si>
  <si>
    <t>m3/d</t>
  </si>
  <si>
    <t>cubic metres/day kilopascal</t>
  </si>
  <si>
    <t>m3/d.kPa</t>
  </si>
  <si>
    <t>m3/(d.kPa)</t>
  </si>
  <si>
    <t>cubic meter per day per meter</t>
  </si>
  <si>
    <t>m3/d.m</t>
  </si>
  <si>
    <t>m3/(d.m)</t>
  </si>
  <si>
    <t>cubic metres/day/day</t>
  </si>
  <si>
    <t>m3/d2</t>
  </si>
  <si>
    <t>cubic metres/gram</t>
  </si>
  <si>
    <t>m3/g</t>
  </si>
  <si>
    <t>cubic metres/hour</t>
  </si>
  <si>
    <t>m3/h</t>
  </si>
  <si>
    <t>cubic meter per hour per meter</t>
  </si>
  <si>
    <t>m3/h.m</t>
  </si>
  <si>
    <t>m3/(h.m)</t>
  </si>
  <si>
    <t>cubic metres/hectare metre</t>
  </si>
  <si>
    <t>m3/ha.m</t>
  </si>
  <si>
    <t>cubic metres/kilometre</t>
  </si>
  <si>
    <t>m3/km</t>
  </si>
  <si>
    <t>cubic meter per day per kilopascal</t>
  </si>
  <si>
    <t>m3/kPa.d</t>
  </si>
  <si>
    <t>m3/k.kPa</t>
  </si>
  <si>
    <t>(cubic metres per hour) per kilopascal</t>
  </si>
  <si>
    <t>m3/kPa.h</t>
  </si>
  <si>
    <t>(m3/h)/kPa</t>
  </si>
  <si>
    <t>cubic metres/kilowatt hour</t>
  </si>
  <si>
    <t>m3/kW.h</t>
  </si>
  <si>
    <t>cubic metres/metre</t>
  </si>
  <si>
    <t>m3/m</t>
  </si>
  <si>
    <t>cubic meter per square meter</t>
  </si>
  <si>
    <t>m3/m2</t>
  </si>
  <si>
    <t>cubic metres/cubic metre</t>
  </si>
  <si>
    <t>m3/m3</t>
  </si>
  <si>
    <t>cubic meter per minute</t>
  </si>
  <si>
    <t>m3/min</t>
  </si>
  <si>
    <t>cubic metres/mole (kilogram)</t>
  </si>
  <si>
    <t>m3/kmol</t>
  </si>
  <si>
    <t>m3/mol(kg)</t>
  </si>
  <si>
    <t>cubic meter per day per (pound per square inch)</t>
  </si>
  <si>
    <t>m3/psi.d</t>
  </si>
  <si>
    <t>m3/(d.psi)</t>
  </si>
  <si>
    <t>cubic meter per second per foot</t>
  </si>
  <si>
    <t>m3/s.ft</t>
  </si>
  <si>
    <t>m3/(s.ft)</t>
  </si>
  <si>
    <t>cubic metres/second metre</t>
  </si>
  <si>
    <t>m3/s.m</t>
  </si>
  <si>
    <t>cubic metres/second square metre</t>
  </si>
  <si>
    <t>m3/s.m2</t>
  </si>
  <si>
    <t>cubic metres/tonne</t>
  </si>
  <si>
    <t>m3/t</t>
  </si>
  <si>
    <t>cubic meters per UK ton</t>
  </si>
  <si>
    <t>m3/tonUK</t>
  </si>
  <si>
    <t>cubic meters per US ton</t>
  </si>
  <si>
    <t>m3/tonUS</t>
  </si>
  <si>
    <t>milliamp</t>
  </si>
  <si>
    <t>mA</t>
  </si>
  <si>
    <t>megayears</t>
  </si>
  <si>
    <t>Ma</t>
  </si>
  <si>
    <t>megaampere</t>
  </si>
  <si>
    <t>MA</t>
  </si>
  <si>
    <t>milliampere per square centimeter</t>
  </si>
  <si>
    <t>mA/cm2</t>
  </si>
  <si>
    <t>milliampere per square foot</t>
  </si>
  <si>
    <t>mA/ft2</t>
  </si>
  <si>
    <t>millibar</t>
  </si>
  <si>
    <t>mbar</t>
  </si>
  <si>
    <t>thousand barrels</t>
  </si>
  <si>
    <t>Mbbl</t>
  </si>
  <si>
    <t>thousand barrel feet/day</t>
  </si>
  <si>
    <t>Mbbl.ft/d</t>
  </si>
  <si>
    <t>thousand barrels/day</t>
  </si>
  <si>
    <t>Mbbl/d</t>
  </si>
  <si>
    <t>megabecquerel</t>
  </si>
  <si>
    <t>MBq</t>
  </si>
  <si>
    <t>MBtu/hr</t>
  </si>
  <si>
    <t>megabyte</t>
  </si>
  <si>
    <t>Mbyte</t>
  </si>
  <si>
    <t>millicoulomb</t>
  </si>
  <si>
    <t>mC</t>
  </si>
  <si>
    <t>millicoulombs/square metre</t>
  </si>
  <si>
    <t>mC/m2</t>
  </si>
  <si>
    <t>Mcf</t>
  </si>
  <si>
    <t>mCi</t>
  </si>
  <si>
    <t>millicurie</t>
  </si>
  <si>
    <t>mcurie</t>
  </si>
  <si>
    <t>millidarcy</t>
  </si>
  <si>
    <t>mD</t>
  </si>
  <si>
    <t>millidarcy foot</t>
  </si>
  <si>
    <t>mD.ft</t>
  </si>
  <si>
    <t>millidarcy sq feet/pound force second</t>
  </si>
  <si>
    <t>mD.ft2/lbf.s</t>
  </si>
  <si>
    <t>millidarcy sq inches/pound force second</t>
  </si>
  <si>
    <t>mD.in2/lbf.s</t>
  </si>
  <si>
    <t>millidarcy metres</t>
  </si>
  <si>
    <t>mD.m</t>
  </si>
  <si>
    <t>millidarcies/centipoise</t>
  </si>
  <si>
    <t>mD/cP</t>
  </si>
  <si>
    <t>millidarcies/Pascal second</t>
  </si>
  <si>
    <t>mD/Pa.s</t>
  </si>
  <si>
    <t>milliequivalent</t>
  </si>
  <si>
    <t>meq</t>
  </si>
  <si>
    <t>milliequivalents/ hectogram</t>
  </si>
  <si>
    <t>meq/100g</t>
  </si>
  <si>
    <t>milliequivalents/ cubic centimeter</t>
  </si>
  <si>
    <t>meq/cm3</t>
  </si>
  <si>
    <t>milliequivalents/ gram</t>
  </si>
  <si>
    <t>meq/g</t>
  </si>
  <si>
    <t>milliEuclid</t>
  </si>
  <si>
    <t>mEuc</t>
  </si>
  <si>
    <t>ppk</t>
  </si>
  <si>
    <t>millions of electron volts</t>
  </si>
  <si>
    <t>MeV</t>
  </si>
  <si>
    <t>megaflops</t>
  </si>
  <si>
    <t>Mflops</t>
  </si>
  <si>
    <t>megagram</t>
  </si>
  <si>
    <t>Mg</t>
  </si>
  <si>
    <t>milligram</t>
  </si>
  <si>
    <t>mg</t>
  </si>
  <si>
    <t>megagrams/year</t>
  </si>
  <si>
    <t>Mg/a</t>
  </si>
  <si>
    <t>megagrams/day</t>
  </si>
  <si>
    <t>Mg/d</t>
  </si>
  <si>
    <t>milligrams/cubic decimetre</t>
  </si>
  <si>
    <t>mg/dm3</t>
  </si>
  <si>
    <t>milligrams/US gallon</t>
  </si>
  <si>
    <t>mg/galUS</t>
  </si>
  <si>
    <t>megagrams/hour</t>
  </si>
  <si>
    <t>Mg/h</t>
  </si>
  <si>
    <t>thousand kilograms per inch</t>
  </si>
  <si>
    <t>Mg/in</t>
  </si>
  <si>
    <t>milligrams/joule</t>
  </si>
  <si>
    <t>mg/J</t>
  </si>
  <si>
    <t>milligrams/kilogram</t>
  </si>
  <si>
    <t>mg/kg</t>
  </si>
  <si>
    <t>milligram per litre</t>
  </si>
  <si>
    <t>mg/L</t>
  </si>
  <si>
    <t>megagrams/square metre</t>
  </si>
  <si>
    <t>Mg/m2</t>
  </si>
  <si>
    <t>milligrams/cubic metre</t>
  </si>
  <si>
    <t>mg/m3</t>
  </si>
  <si>
    <t>thousand kilograms per cubic metre</t>
  </si>
  <si>
    <t>Mg/m3</t>
  </si>
  <si>
    <t>milligalileo</t>
  </si>
  <si>
    <t>mGal</t>
  </si>
  <si>
    <t>milligauss</t>
  </si>
  <si>
    <t>mgauss</t>
  </si>
  <si>
    <t>German legal metre</t>
  </si>
  <si>
    <t>mGer</t>
  </si>
  <si>
    <t>thousand kilograms force</t>
  </si>
  <si>
    <t>Mgf</t>
  </si>
  <si>
    <t>milligravity</t>
  </si>
  <si>
    <t>mgn</t>
  </si>
  <si>
    <t>milligray</t>
  </si>
  <si>
    <t>mGy</t>
  </si>
  <si>
    <t>millihenries</t>
  </si>
  <si>
    <t>mH</t>
  </si>
  <si>
    <t>mhos</t>
  </si>
  <si>
    <t>mho</t>
  </si>
  <si>
    <t>mhos/metre</t>
  </si>
  <si>
    <t>mho/m</t>
  </si>
  <si>
    <t>megahertz</t>
  </si>
  <si>
    <t>MHz</t>
  </si>
  <si>
    <t>millihertz</t>
  </si>
  <si>
    <t>mHz</t>
  </si>
  <si>
    <t>mile</t>
  </si>
  <si>
    <t>mi</t>
  </si>
  <si>
    <t>miles/UK gallon</t>
  </si>
  <si>
    <t>mi/galUK</t>
  </si>
  <si>
    <t>miles/US gallon</t>
  </si>
  <si>
    <t>mi/galUS</t>
  </si>
  <si>
    <t>miles/hour</t>
  </si>
  <si>
    <t>mi/h</t>
  </si>
  <si>
    <t>miles/inch</t>
  </si>
  <si>
    <t>mi/in</t>
  </si>
  <si>
    <t>square miles</t>
  </si>
  <si>
    <t>mi2</t>
  </si>
  <si>
    <t>mil, a thousandth of an inch</t>
  </si>
  <si>
    <t>mil</t>
  </si>
  <si>
    <t>mils/year</t>
  </si>
  <si>
    <t>mil/yr</t>
  </si>
  <si>
    <t>mil_6400</t>
  </si>
  <si>
    <t>mila</t>
  </si>
  <si>
    <t>minutes</t>
  </si>
  <si>
    <t>min</t>
  </si>
  <si>
    <t>minute per foot</t>
  </si>
  <si>
    <t>min/ft</t>
  </si>
  <si>
    <t>minute per meter</t>
  </si>
  <si>
    <t>min/m</t>
  </si>
  <si>
    <t>minutes angular</t>
  </si>
  <si>
    <t>mina</t>
  </si>
  <si>
    <t>U.S. Survey mile</t>
  </si>
  <si>
    <t>miUS</t>
  </si>
  <si>
    <t>U.S. Survey square mile</t>
  </si>
  <si>
    <t>miUS2</t>
  </si>
  <si>
    <t>megajoules</t>
  </si>
  <si>
    <t>MJ</t>
  </si>
  <si>
    <t>millijoules</t>
  </si>
  <si>
    <t>mJ</t>
  </si>
  <si>
    <t>megajoules/year</t>
  </si>
  <si>
    <t>MJ/a</t>
  </si>
  <si>
    <t>millijoules/square centimetre</t>
  </si>
  <si>
    <t>mJ/cm2</t>
  </si>
  <si>
    <t>megajoules/kilogram</t>
  </si>
  <si>
    <t>MJ/kg</t>
  </si>
  <si>
    <t>megajoules/metre</t>
  </si>
  <si>
    <t>MJ/m</t>
  </si>
  <si>
    <t>millijoules/square metre</t>
  </si>
  <si>
    <t>mJ/m2</t>
  </si>
  <si>
    <t>megajoules/cubic metre</t>
  </si>
  <si>
    <t>MJ/m3</t>
  </si>
  <si>
    <t>megajoules/mole (kilogram)</t>
  </si>
  <si>
    <t>MJ/kmol</t>
  </si>
  <si>
    <t>MJ/mol</t>
  </si>
  <si>
    <t>MJ/mol(kg)</t>
  </si>
  <si>
    <t>millidegrees Kelvin/metre</t>
  </si>
  <si>
    <t>mK/m</t>
  </si>
  <si>
    <t>millilitre</t>
  </si>
  <si>
    <t>mL</t>
  </si>
  <si>
    <t>millilitres/UK gallon</t>
  </si>
  <si>
    <t>mL/galUK</t>
  </si>
  <si>
    <t>millilitres/US gallon</t>
  </si>
  <si>
    <t>mL/galUS</t>
  </si>
  <si>
    <t>milliliter per milliliter</t>
  </si>
  <si>
    <t>mL/mL</t>
  </si>
  <si>
    <t>Mlbm/yr</t>
  </si>
  <si>
    <t>millimetres</t>
  </si>
  <si>
    <t>mm</t>
  </si>
  <si>
    <t>megameter</t>
  </si>
  <si>
    <t>Mm</t>
  </si>
  <si>
    <t>millimetres/year</t>
  </si>
  <si>
    <t>mm/a</t>
  </si>
  <si>
    <t>millimetres/millimetre degree Kelvin</t>
  </si>
  <si>
    <t>mm/mm.K</t>
  </si>
  <si>
    <t>millimetres/second</t>
  </si>
  <si>
    <t>mm/s</t>
  </si>
  <si>
    <t>square millimetres</t>
  </si>
  <si>
    <t>mm2</t>
  </si>
  <si>
    <t>square millimetres/square millimetre</t>
  </si>
  <si>
    <t>mm2/mm2</t>
  </si>
  <si>
    <t>square millimetres/second</t>
  </si>
  <si>
    <t>mm2/s</t>
  </si>
  <si>
    <t>cubic millimetres</t>
  </si>
  <si>
    <t>mm3</t>
  </si>
  <si>
    <t>cubic millimetres/joule</t>
  </si>
  <si>
    <t>mm3/J</t>
  </si>
  <si>
    <t>million barrels</t>
  </si>
  <si>
    <t>MMbbl</t>
  </si>
  <si>
    <t>million barrels/acre foot</t>
  </si>
  <si>
    <t>MMbbl/acre.ft</t>
  </si>
  <si>
    <t>MMcf</t>
  </si>
  <si>
    <t>millimetres of Mercury at 0 deg C</t>
  </si>
  <si>
    <t>mmHg(0C)</t>
  </si>
  <si>
    <t>millimhos/metre</t>
  </si>
  <si>
    <t>mmho/m</t>
  </si>
  <si>
    <t>millimole</t>
  </si>
  <si>
    <t>mmol</t>
  </si>
  <si>
    <t>million standard cubic feet at 60 deg F</t>
  </si>
  <si>
    <t>MMscf(60F)</t>
  </si>
  <si>
    <t>million standard cubic feet/day</t>
  </si>
  <si>
    <t>MMscf(60F)/d</t>
  </si>
  <si>
    <t>million std cu ft/ stock tank barrel</t>
  </si>
  <si>
    <t>MMscf60/stb60</t>
  </si>
  <si>
    <t>million standard cubic metres 15C</t>
  </si>
  <si>
    <t>MMscm(15C)</t>
  </si>
  <si>
    <t>million std cubic metres, 15 degC/day</t>
  </si>
  <si>
    <t>MMscm(15C)/d</t>
  </si>
  <si>
    <t>million stock tank barrels 60 deg F</t>
  </si>
  <si>
    <t>MMstb(60F)</t>
  </si>
  <si>
    <t>million stock tank barrels, 60 deg F/day</t>
  </si>
  <si>
    <t>MMstb(60F)/d</t>
  </si>
  <si>
    <t>million stock tank barrels 60 deg F/acre</t>
  </si>
  <si>
    <t>MMstb/acre</t>
  </si>
  <si>
    <t>million stbs, 60 deg F/acre foot</t>
  </si>
  <si>
    <t>MMstb/acre.ft</t>
  </si>
  <si>
    <t>meganewtons</t>
  </si>
  <si>
    <t>MN</t>
  </si>
  <si>
    <t>millinewtons</t>
  </si>
  <si>
    <t>mN</t>
  </si>
  <si>
    <t>millinewton metres squared</t>
  </si>
  <si>
    <t>mN.m2</t>
  </si>
  <si>
    <t>millinewtons/kilometre</t>
  </si>
  <si>
    <t>mN/km</t>
  </si>
  <si>
    <t>millinewtons/metre</t>
  </si>
  <si>
    <t>megaohm</t>
  </si>
  <si>
    <t>Mohm</t>
  </si>
  <si>
    <t>milliohm</t>
  </si>
  <si>
    <t>mohm</t>
  </si>
  <si>
    <t>mole (gram)</t>
  </si>
  <si>
    <t>mol(g)</t>
  </si>
  <si>
    <t>mole (kilogram)</t>
  </si>
  <si>
    <t>mol(kg)</t>
  </si>
  <si>
    <t>moles (kilogram)/hour</t>
  </si>
  <si>
    <t>kmol/h</t>
  </si>
  <si>
    <t>mol/h</t>
  </si>
  <si>
    <t>mol(kg)/h</t>
  </si>
  <si>
    <t>moles (kilogram)/cubic metre</t>
  </si>
  <si>
    <t>kmol/m3</t>
  </si>
  <si>
    <t>mol(kg)/m3</t>
  </si>
  <si>
    <t>moles (kilogram)/second</t>
  </si>
  <si>
    <t>kmol/s</t>
  </si>
  <si>
    <t>mol(kg)/s</t>
  </si>
  <si>
    <t>moles (pounds mass)</t>
  </si>
  <si>
    <t>lbmole</t>
  </si>
  <si>
    <t>mol(lbm)</t>
  </si>
  <si>
    <t>moles (pounds mass)/cubic foot</t>
  </si>
  <si>
    <t>lbmole/ft3</t>
  </si>
  <si>
    <t>mol(lbm)/ft3</t>
  </si>
  <si>
    <t>moles (pounds mass)/UK gallon</t>
  </si>
  <si>
    <t>lbmole/galUK</t>
  </si>
  <si>
    <t>mol(lbm)/galUK</t>
  </si>
  <si>
    <t>moles (pounds mass)/US gallon</t>
  </si>
  <si>
    <t>lbmole/galUS</t>
  </si>
  <si>
    <t>mol(lbm)/galUS</t>
  </si>
  <si>
    <t>moles (pounds mass)/hour</t>
  </si>
  <si>
    <t>lbmole/h</t>
  </si>
  <si>
    <t>mol(lbm)/h</t>
  </si>
  <si>
    <t>moles (pounds mass)/hour square foot</t>
  </si>
  <si>
    <t>mol(lbm)/h.ft2</t>
  </si>
  <si>
    <t>lbmole/h.ft2</t>
  </si>
  <si>
    <t>moles (pounds mass)/second</t>
  </si>
  <si>
    <t>lbmole/s</t>
  </si>
  <si>
    <t>mol(lbm)/s</t>
  </si>
  <si>
    <t>moles (pounds mass)/second square foot</t>
  </si>
  <si>
    <t>lbmole/s.ft2</t>
  </si>
  <si>
    <t>mol(lbm)/s.ft2</t>
  </si>
  <si>
    <t>millipascal</t>
  </si>
  <si>
    <t>mPa</t>
  </si>
  <si>
    <t>megapascals</t>
  </si>
  <si>
    <t>MPa</t>
  </si>
  <si>
    <t>millipascal seconds</t>
  </si>
  <si>
    <t>mPa.s</t>
  </si>
  <si>
    <t>megapascal seconds/metre (megarayl)</t>
  </si>
  <si>
    <t>MPa.s/m</t>
  </si>
  <si>
    <t>megapascal per hour</t>
  </si>
  <si>
    <t>MPa/h</t>
  </si>
  <si>
    <t>megapascal per meter</t>
  </si>
  <si>
    <t>MPa/m</t>
  </si>
  <si>
    <t>mega pounds per square inch</t>
  </si>
  <si>
    <t>Mpsi</t>
  </si>
  <si>
    <t>milliradian</t>
  </si>
  <si>
    <t>mrad</t>
  </si>
  <si>
    <t>megaradian</t>
  </si>
  <si>
    <t>Mrad</t>
  </si>
  <si>
    <t>milli-rem</t>
  </si>
  <si>
    <t>mrem</t>
  </si>
  <si>
    <t>milli-rems per hour</t>
  </si>
  <si>
    <t>mrem/h</t>
  </si>
  <si>
    <t>millisiemen</t>
  </si>
  <si>
    <t>mS</t>
  </si>
  <si>
    <t>milliseconds</t>
  </si>
  <si>
    <t>ms</t>
  </si>
  <si>
    <t>half a millisecond</t>
  </si>
  <si>
    <t>ms/2</t>
  </si>
  <si>
    <t>milliseconds/centimetre</t>
  </si>
  <si>
    <t>ms/cm</t>
  </si>
  <si>
    <t>millisecond per foot</t>
  </si>
  <si>
    <t>ms/ft</t>
  </si>
  <si>
    <t>milliseconds/inch</t>
  </si>
  <si>
    <t>ms/in</t>
  </si>
  <si>
    <t>millisiemens/metre</t>
  </si>
  <si>
    <t>mS/m</t>
  </si>
  <si>
    <t>millisecond per meter</t>
  </si>
  <si>
    <t>ms/m</t>
  </si>
  <si>
    <t>milliseconds/second</t>
  </si>
  <si>
    <t>relative time</t>
  </si>
  <si>
    <t>ms/s</t>
  </si>
  <si>
    <t>thousand cubic feet at 60 deg F</t>
  </si>
  <si>
    <t>Mscf(60F)</t>
  </si>
  <si>
    <t>thousand standard cubic feet/day</t>
  </si>
  <si>
    <t>Mscf(60F)/d</t>
  </si>
  <si>
    <t>thousand std cu ft/ stock tank barrel</t>
  </si>
  <si>
    <t>Mscf60/stb60</t>
  </si>
  <si>
    <t>thousand std cubic metres, 15 degC/day</t>
  </si>
  <si>
    <t>Mscm(15C)/d</t>
  </si>
  <si>
    <t>milliseconds angular</t>
  </si>
  <si>
    <t>mseca</t>
  </si>
  <si>
    <t>mega standard cubic metres 15C</t>
  </si>
  <si>
    <t>Msm3</t>
  </si>
  <si>
    <t>thousand stock tank barrels 60 F</t>
  </si>
  <si>
    <t>Mstb(60F)</t>
  </si>
  <si>
    <t>thousand stock tank barrels,60 deg F/day</t>
  </si>
  <si>
    <t>Mstb(60F)/d</t>
  </si>
  <si>
    <t>millisievert</t>
  </si>
  <si>
    <t>mSv</t>
  </si>
  <si>
    <t>millisieverts per hour</t>
  </si>
  <si>
    <t>mSv/h</t>
  </si>
  <si>
    <t>milliteslas</t>
  </si>
  <si>
    <t>mT</t>
  </si>
  <si>
    <t>megavolt</t>
  </si>
  <si>
    <t>MV</t>
  </si>
  <si>
    <t>millivolts</t>
  </si>
  <si>
    <t>mV</t>
  </si>
  <si>
    <t>millivolt per foot</t>
  </si>
  <si>
    <t>mV/ft</t>
  </si>
  <si>
    <t>millivolt per meter</t>
  </si>
  <si>
    <t>mV/m</t>
  </si>
  <si>
    <t>megawatts</t>
  </si>
  <si>
    <t>MW</t>
  </si>
  <si>
    <t>milliwatt</t>
  </si>
  <si>
    <t>mW</t>
  </si>
  <si>
    <t>megawatt hours</t>
  </si>
  <si>
    <t>MW.h</t>
  </si>
  <si>
    <t>megawatt hours/kilogram</t>
  </si>
  <si>
    <t>MW.h/kg</t>
  </si>
  <si>
    <t>megawatt hours/cubic metre</t>
  </si>
  <si>
    <t>MW.h/m3</t>
  </si>
  <si>
    <t>milliwatts/square metres</t>
  </si>
  <si>
    <t>mW/m2</t>
  </si>
  <si>
    <t>milliwebers</t>
  </si>
  <si>
    <t>mWb</t>
  </si>
  <si>
    <t>MY</t>
  </si>
  <si>
    <t>newton metre</t>
  </si>
  <si>
    <t>N.m</t>
  </si>
  <si>
    <t>newton metres/metre</t>
  </si>
  <si>
    <t>N.m/m</t>
  </si>
  <si>
    <t>newton seconds/metre squared</t>
  </si>
  <si>
    <t>N.s/m2</t>
  </si>
  <si>
    <t>newton per thirty meters</t>
  </si>
  <si>
    <t>N/30m</t>
  </si>
  <si>
    <t>newtons/square metre</t>
  </si>
  <si>
    <t>N/m2</t>
  </si>
  <si>
    <t>newtons/square millimetre</t>
  </si>
  <si>
    <t>N/mm2</t>
  </si>
  <si>
    <t>nanoampere</t>
  </si>
  <si>
    <t>nA</t>
  </si>
  <si>
    <t>nautical mile</t>
  </si>
  <si>
    <t>nautmi</t>
  </si>
  <si>
    <t>nanocoulomb</t>
  </si>
  <si>
    <t>nC</t>
  </si>
  <si>
    <t>nCi</t>
  </si>
  <si>
    <t>nanocurie</t>
  </si>
  <si>
    <t>ncurie</t>
  </si>
  <si>
    <t>nanoeuclid</t>
  </si>
  <si>
    <t>nEuc</t>
  </si>
  <si>
    <t>nanohenry</t>
  </si>
  <si>
    <t>nH</t>
  </si>
  <si>
    <t>nanojoules</t>
  </si>
  <si>
    <t>nJ</t>
  </si>
  <si>
    <t>nanometres</t>
  </si>
  <si>
    <t>nm</t>
  </si>
  <si>
    <t>nanometer per second</t>
  </si>
  <si>
    <t>nm/s</t>
  </si>
  <si>
    <t>nanohm</t>
  </si>
  <si>
    <t>nohm</t>
  </si>
  <si>
    <t>nanoseconds</t>
  </si>
  <si>
    <t>ns</t>
  </si>
  <si>
    <t>nanoseconds/foot</t>
  </si>
  <si>
    <t>ns/ft</t>
  </si>
  <si>
    <t>nanoseconds/metre</t>
  </si>
  <si>
    <t>ns/m</t>
  </si>
  <si>
    <t>nanoteslas</t>
  </si>
  <si>
    <t>nT</t>
  </si>
  <si>
    <t>nanowatts</t>
  </si>
  <si>
    <t>nW</t>
  </si>
  <si>
    <t>oersted</t>
  </si>
  <si>
    <t>Oe</t>
  </si>
  <si>
    <t>ohm centimetres</t>
  </si>
  <si>
    <t>ohm.cm</t>
  </si>
  <si>
    <t>avoirdupois ounces</t>
  </si>
  <si>
    <t>oz(av)</t>
  </si>
  <si>
    <t>troy ounces</t>
  </si>
  <si>
    <t>oz(troy)</t>
  </si>
  <si>
    <t>ounce force</t>
  </si>
  <si>
    <t>ozf</t>
  </si>
  <si>
    <t>ounce mass</t>
  </si>
  <si>
    <t>ozm</t>
  </si>
  <si>
    <t>poise</t>
  </si>
  <si>
    <t>P</t>
  </si>
  <si>
    <t>picoampere</t>
  </si>
  <si>
    <t>pA</t>
  </si>
  <si>
    <t>pascal seconds squared/ cubic metre</t>
  </si>
  <si>
    <t>Pa.s2/m3</t>
  </si>
  <si>
    <t>pascal gauge</t>
  </si>
  <si>
    <t>Pa(g)</t>
  </si>
  <si>
    <t>pascal per hour</t>
  </si>
  <si>
    <t>Pa/h</t>
  </si>
  <si>
    <t>picocoulomb</t>
  </si>
  <si>
    <t>pC</t>
  </si>
  <si>
    <t>pCi</t>
  </si>
  <si>
    <t>picocurie per gram</t>
  </si>
  <si>
    <t>pCi/g</t>
  </si>
  <si>
    <t>picocurie</t>
  </si>
  <si>
    <t>pcurie</t>
  </si>
  <si>
    <t>poundals</t>
  </si>
  <si>
    <t>pdl</t>
  </si>
  <si>
    <t>poundal centimetre squared</t>
  </si>
  <si>
    <t>pdl.cm2</t>
  </si>
  <si>
    <t>foot poundal</t>
  </si>
  <si>
    <t>pdl.ft</t>
  </si>
  <si>
    <t>poundals/centimetre</t>
  </si>
  <si>
    <t>pdl/cm</t>
  </si>
  <si>
    <t>per mille</t>
  </si>
  <si>
    <t>permil</t>
  </si>
  <si>
    <t>picrofarads</t>
  </si>
  <si>
    <t>pF</t>
  </si>
  <si>
    <t>picometer</t>
  </si>
  <si>
    <t>pm</t>
  </si>
  <si>
    <t>picopascal</t>
  </si>
  <si>
    <t>pPa</t>
  </si>
  <si>
    <t>parts per ten thousand</t>
  </si>
  <si>
    <t>ppdk</t>
  </si>
  <si>
    <t>parts per thousand</t>
  </si>
  <si>
    <t>parts per million</t>
  </si>
  <si>
    <t>ppm</t>
  </si>
  <si>
    <t>part per million per degree Celsius</t>
  </si>
  <si>
    <t>ppm/degC</t>
  </si>
  <si>
    <t>part per million per degree Fahrenheit</t>
  </si>
  <si>
    <t>ppm/degF</t>
  </si>
  <si>
    <t>picosecond</t>
  </si>
  <si>
    <t>ps</t>
  </si>
  <si>
    <t>picosiemens</t>
  </si>
  <si>
    <t>pS</t>
  </si>
  <si>
    <t>pounds/square foot</t>
  </si>
  <si>
    <t>psf</t>
  </si>
  <si>
    <t>pounds/square inch</t>
  </si>
  <si>
    <t>psi</t>
  </si>
  <si>
    <t>pounds per square inch days/barrel</t>
  </si>
  <si>
    <t>psi.d/bbl</t>
  </si>
  <si>
    <t>pound per square inch second</t>
  </si>
  <si>
    <t>psi.s</t>
  </si>
  <si>
    <t>pounds/square inch per 100 feet</t>
  </si>
  <si>
    <t>psi/100ft</t>
  </si>
  <si>
    <t>pounds/square inch per foot</t>
  </si>
  <si>
    <t>psi/ft</t>
  </si>
  <si>
    <t>psi/ft(100)</t>
  </si>
  <si>
    <t>pound per square inch per hour</t>
  </si>
  <si>
    <t>psi/h</t>
  </si>
  <si>
    <t>pounds/square inch per thousand feet</t>
  </si>
  <si>
    <t>psi/kft</t>
  </si>
  <si>
    <t>pound per square inch per meter</t>
  </si>
  <si>
    <t>psi/m</t>
  </si>
  <si>
    <t>pound per square inch per minute</t>
  </si>
  <si>
    <t>psi/min</t>
  </si>
  <si>
    <t>pound per square inch squared</t>
  </si>
  <si>
    <t>psi2</t>
  </si>
  <si>
    <t>psi squared days/ centipoise cubic foot</t>
  </si>
  <si>
    <t>psi2.d/cP.ft3</t>
  </si>
  <si>
    <t>psi2.d/cp.ft3</t>
  </si>
  <si>
    <t>(psi days/cubic foot)squared/centipoise</t>
  </si>
  <si>
    <t>psi2.d2/cP.ft6</t>
  </si>
  <si>
    <t>psi2.d2/cp.ft6</t>
  </si>
  <si>
    <t>pounds/square inch squared/ centipoise</t>
  </si>
  <si>
    <t>psi2/cP</t>
  </si>
  <si>
    <t>pounds/square inch absolute</t>
  </si>
  <si>
    <t>psia</t>
  </si>
  <si>
    <t>pounds/square inch gauge</t>
  </si>
  <si>
    <t>psig</t>
  </si>
  <si>
    <t>UK pint</t>
  </si>
  <si>
    <t>ptUK</t>
  </si>
  <si>
    <t>UK pints/horsepower hour</t>
  </si>
  <si>
    <t>ptUK/hp.hr</t>
  </si>
  <si>
    <t>UK pints/1000 barrels</t>
  </si>
  <si>
    <t>ptUK/Mbbl</t>
  </si>
  <si>
    <t>US pints</t>
  </si>
  <si>
    <t>ptUS</t>
  </si>
  <si>
    <t>US pint per ten barrel</t>
  </si>
  <si>
    <t>ptUS/10bbl</t>
  </si>
  <si>
    <t>UK quarts</t>
  </si>
  <si>
    <t>qtUK</t>
  </si>
  <si>
    <t>US quarts</t>
  </si>
  <si>
    <t>qtUS</t>
  </si>
  <si>
    <t>quads</t>
  </si>
  <si>
    <t>quad</t>
  </si>
  <si>
    <t>quads/year</t>
  </si>
  <si>
    <t>quad/yr</t>
  </si>
  <si>
    <t>radians per foot</t>
  </si>
  <si>
    <t>rad/ft</t>
  </si>
  <si>
    <t>radians per cubic foot</t>
  </si>
  <si>
    <t>rad/ft3</t>
  </si>
  <si>
    <t>rd</t>
  </si>
  <si>
    <t>rem</t>
  </si>
  <si>
    <t>rems per hour</t>
  </si>
  <si>
    <t>rem/h</t>
  </si>
  <si>
    <t>revolutions/minute</t>
  </si>
  <si>
    <t>rev/min</t>
  </si>
  <si>
    <t>revolutions/second</t>
  </si>
  <si>
    <t>rev/s</t>
  </si>
  <si>
    <t>rpm</t>
  </si>
  <si>
    <t>revolutions/minute per second</t>
  </si>
  <si>
    <t>rpm/s</t>
  </si>
  <si>
    <t>seconds/centimetre</t>
  </si>
  <si>
    <t>s/cm</t>
  </si>
  <si>
    <t>seconds/foot</t>
  </si>
  <si>
    <t>s/ft</t>
  </si>
  <si>
    <t>second per cubic foot</t>
  </si>
  <si>
    <t>s/ft3</t>
  </si>
  <si>
    <t>seconds/inch</t>
  </si>
  <si>
    <t>s/in</t>
  </si>
  <si>
    <t>second per litre</t>
  </si>
  <si>
    <t>s/L</t>
  </si>
  <si>
    <t>second per UK quart</t>
  </si>
  <si>
    <t>s/qtUK</t>
  </si>
  <si>
    <t>second per US quart</t>
  </si>
  <si>
    <t>s/qtUS</t>
  </si>
  <si>
    <t>sacks</t>
  </si>
  <si>
    <t>sack94</t>
  </si>
  <si>
    <t>std cubic feet at 60 deg F</t>
  </si>
  <si>
    <t>scf(60F)</t>
  </si>
  <si>
    <t>std cubic feet at 60 deg F/barrel</t>
  </si>
  <si>
    <t>scf(60F)/bbl</t>
  </si>
  <si>
    <t>standard cubic feet/day</t>
  </si>
  <si>
    <t>scf(60F)/d</t>
  </si>
  <si>
    <t>std cubic feet at 60 deg F/square foot</t>
  </si>
  <si>
    <t>scf(60F)/ft2</t>
  </si>
  <si>
    <t>std cubic feet at 60 deg Ft/cubic foot</t>
  </si>
  <si>
    <t>scf(60F)/ft3</t>
  </si>
  <si>
    <t>std cubic metres at 15 deg C/day</t>
  </si>
  <si>
    <t>scm(15C)/d</t>
  </si>
  <si>
    <t>std cubic metres / stock tank barrel</t>
  </si>
  <si>
    <t>scm15/stb60</t>
  </si>
  <si>
    <t>seconds angular</t>
  </si>
  <si>
    <t>seca</t>
  </si>
  <si>
    <t>sigma</t>
  </si>
  <si>
    <t>std cubic metres/ 1000 std cubic metre</t>
  </si>
  <si>
    <t>sm3/ksm3</t>
  </si>
  <si>
    <t>std cubic metres/ std cubic metres</t>
  </si>
  <si>
    <t>sm3/sm3</t>
  </si>
  <si>
    <t>square feet</t>
  </si>
  <si>
    <t>sq ft</t>
  </si>
  <si>
    <t>sq in</t>
  </si>
  <si>
    <t>sq mi</t>
  </si>
  <si>
    <t>square yards</t>
  </si>
  <si>
    <t>sq yd</t>
  </si>
  <si>
    <t>yd2</t>
  </si>
  <si>
    <t>stock tank barrel at 60 deg F</t>
  </si>
  <si>
    <t>stb(60F)</t>
  </si>
  <si>
    <t>stock tank barrels, 60 deg F/acre</t>
  </si>
  <si>
    <t>stb(60F)/acre</t>
  </si>
  <si>
    <t>stock tank barrels, 60 deg F/barrel</t>
  </si>
  <si>
    <t>stb(60F)/bbl</t>
  </si>
  <si>
    <t>stock tank barrels, 60 deg F/day</t>
  </si>
  <si>
    <t>stb(60F)/d</t>
  </si>
  <si>
    <t>stock tank barrels/ million std cu ft</t>
  </si>
  <si>
    <t>stb60/MMscf60</t>
  </si>
  <si>
    <t>stock tank barrels/ million std cu mts</t>
  </si>
  <si>
    <t>stb60/MMscm15</t>
  </si>
  <si>
    <t>stock tank barrels/ 1000 std cu ft</t>
  </si>
  <si>
    <t>stb60/Mscf60</t>
  </si>
  <si>
    <t>stock tank barrels/ 1000 std cu metres</t>
  </si>
  <si>
    <t>stb60/Mscm15</t>
  </si>
  <si>
    <t>stock tank barrels/ std cu metres</t>
  </si>
  <si>
    <t>stb60/scm15</t>
  </si>
  <si>
    <t>sieverts per hour</t>
  </si>
  <si>
    <t>Sv/h</t>
  </si>
  <si>
    <t>tonne</t>
  </si>
  <si>
    <t>t</t>
  </si>
  <si>
    <t>tonnes/year</t>
  </si>
  <si>
    <t>t/a</t>
  </si>
  <si>
    <t>tonnes/day</t>
  </si>
  <si>
    <t>t/d</t>
  </si>
  <si>
    <t>tonnes/hour</t>
  </si>
  <si>
    <t>t/h</t>
  </si>
  <si>
    <t>tonnes per minute</t>
  </si>
  <si>
    <t>t/min</t>
  </si>
  <si>
    <t>talbot</t>
  </si>
  <si>
    <t>terabecquerel</t>
  </si>
  <si>
    <t>TBq</t>
  </si>
  <si>
    <t>trillion cubic feet</t>
  </si>
  <si>
    <t>tcf</t>
  </si>
  <si>
    <t>tera electron volts</t>
  </si>
  <si>
    <t>TeV</t>
  </si>
  <si>
    <t>therms</t>
  </si>
  <si>
    <t>therm</t>
  </si>
  <si>
    <t>therms/cubic foot</t>
  </si>
  <si>
    <t>therm/ft3</t>
  </si>
  <si>
    <t>therms/UK gallon</t>
  </si>
  <si>
    <t>therm/galUK</t>
  </si>
  <si>
    <t>therms/pound mass</t>
  </si>
  <si>
    <t>therm/lbm</t>
  </si>
  <si>
    <t>terajoules</t>
  </si>
  <si>
    <t>TJ</t>
  </si>
  <si>
    <t>terajoules/year</t>
  </si>
  <si>
    <t>TJ/a</t>
  </si>
  <si>
    <t>teraohm</t>
  </si>
  <si>
    <t>Tohm</t>
  </si>
  <si>
    <t>tons of refrigeration</t>
  </si>
  <si>
    <t>ton of refrig</t>
  </si>
  <si>
    <t>UK tons force</t>
  </si>
  <si>
    <t>tonfUK</t>
  </si>
  <si>
    <t>UK ton feet squared</t>
  </si>
  <si>
    <t>tonfUK.ft2</t>
  </si>
  <si>
    <t>UK tons force/foot</t>
  </si>
  <si>
    <t>tonfUK/ft</t>
  </si>
  <si>
    <t>UK tons force/square foot</t>
  </si>
  <si>
    <t>tonfUK/ft2</t>
  </si>
  <si>
    <t>US tons force</t>
  </si>
  <si>
    <t>tonfUS</t>
  </si>
  <si>
    <t>US tons force feet</t>
  </si>
  <si>
    <t>tonfUS.ft</t>
  </si>
  <si>
    <t>US tons force feet squared</t>
  </si>
  <si>
    <t>tonfUS.ft2</t>
  </si>
  <si>
    <t>US tons force miles</t>
  </si>
  <si>
    <t>tonfUS.mi</t>
  </si>
  <si>
    <t>US ton force miles/barrel</t>
  </si>
  <si>
    <t>tonfUS.mi/bbl</t>
  </si>
  <si>
    <t>US tons force miles/foot</t>
  </si>
  <si>
    <t>tonfUS.mi/ft</t>
  </si>
  <si>
    <t>US tons force/foot</t>
  </si>
  <si>
    <t>tonfUS/ft</t>
  </si>
  <si>
    <t>US tons force/square foot</t>
  </si>
  <si>
    <t>tonfUS/ft2</t>
  </si>
  <si>
    <t>US tons force/square inch</t>
  </si>
  <si>
    <t>tonfUS/in2</t>
  </si>
  <si>
    <t>UK tons</t>
  </si>
  <si>
    <t>tonUK</t>
  </si>
  <si>
    <t>UK tons/year</t>
  </si>
  <si>
    <t>tonUK/a</t>
  </si>
  <si>
    <t>UK tons/day</t>
  </si>
  <si>
    <t>tonUK/d</t>
  </si>
  <si>
    <t>UK tons/hour</t>
  </si>
  <si>
    <t>tonUK/h</t>
  </si>
  <si>
    <t>UK tons/minute</t>
  </si>
  <si>
    <t>tonUK/min</t>
  </si>
  <si>
    <t>US tons</t>
  </si>
  <si>
    <t>tonUS</t>
  </si>
  <si>
    <t>US tons/year</t>
  </si>
  <si>
    <t>tonUS/a</t>
  </si>
  <si>
    <t>US tons/day</t>
  </si>
  <si>
    <t>tonUS/d</t>
  </si>
  <si>
    <t>US tons/square foot</t>
  </si>
  <si>
    <t>tonUS/ft2</t>
  </si>
  <si>
    <t>US tons/hour</t>
  </si>
  <si>
    <t>tonUS/h</t>
  </si>
  <si>
    <t>US tons/minute</t>
  </si>
  <si>
    <t>tonUS/min</t>
  </si>
  <si>
    <t>torr</t>
  </si>
  <si>
    <t>terawatts</t>
  </si>
  <si>
    <t>TW</t>
  </si>
  <si>
    <t>terrawatt hours</t>
  </si>
  <si>
    <t>TW.h</t>
  </si>
  <si>
    <t>microampere</t>
  </si>
  <si>
    <t>uA</t>
  </si>
  <si>
    <t>microampere per square centimeter</t>
  </si>
  <si>
    <t>uA/cm2</t>
  </si>
  <si>
    <t>microampere per square inch</t>
  </si>
  <si>
    <t>uA/in2</t>
  </si>
  <si>
    <t>microbars</t>
  </si>
  <si>
    <t>ubar</t>
  </si>
  <si>
    <t>microcoulomb</t>
  </si>
  <si>
    <t>uC</t>
  </si>
  <si>
    <t>microcalories/second square centimetre</t>
  </si>
  <si>
    <t>ucal/s.cm2</t>
  </si>
  <si>
    <t>uCi</t>
  </si>
  <si>
    <t>microcurie</t>
  </si>
  <si>
    <t>ucurie</t>
  </si>
  <si>
    <t>microEuclids</t>
  </si>
  <si>
    <t>uEuc</t>
  </si>
  <si>
    <t>microfarads</t>
  </si>
  <si>
    <t>uF</t>
  </si>
  <si>
    <t>microfarads/metre</t>
  </si>
  <si>
    <t>uF/m</t>
  </si>
  <si>
    <t>micrograms</t>
  </si>
  <si>
    <t>ug</t>
  </si>
  <si>
    <t>micrograms/cubic centimetre</t>
  </si>
  <si>
    <t>ug/cm3</t>
  </si>
  <si>
    <t>microhenry</t>
  </si>
  <si>
    <t>uH</t>
  </si>
  <si>
    <t>microhenries/metre</t>
  </si>
  <si>
    <t>uH/m</t>
  </si>
  <si>
    <t>microhertz</t>
  </si>
  <si>
    <t>uHz</t>
  </si>
  <si>
    <t>microjoules</t>
  </si>
  <si>
    <t>uJ</t>
  </si>
  <si>
    <t>microns</t>
  </si>
  <si>
    <t>um</t>
  </si>
  <si>
    <t>micrometer per second</t>
  </si>
  <si>
    <t>um/s</t>
  </si>
  <si>
    <t>square microns</t>
  </si>
  <si>
    <t>um2</t>
  </si>
  <si>
    <t>square micron metres</t>
  </si>
  <si>
    <t>um2.m</t>
  </si>
  <si>
    <t>microns of Mercury at 0 deg C</t>
  </si>
  <si>
    <t>umHg(0C)</t>
  </si>
  <si>
    <t>micromole</t>
  </si>
  <si>
    <t>umol</t>
  </si>
  <si>
    <t>micronewtons</t>
  </si>
  <si>
    <t>uN</t>
  </si>
  <si>
    <t>unitless</t>
  </si>
  <si>
    <t>microohm</t>
  </si>
  <si>
    <t>uohm</t>
  </si>
  <si>
    <t>microhm per foot</t>
  </si>
  <si>
    <t>uohm/ft</t>
  </si>
  <si>
    <t>microhm per meter</t>
  </si>
  <si>
    <t>uohm/m</t>
  </si>
  <si>
    <t>micropascal</t>
  </si>
  <si>
    <t>uPa</t>
  </si>
  <si>
    <t>micropounds/square inch</t>
  </si>
  <si>
    <t>upsi</t>
  </si>
  <si>
    <t>microradian</t>
  </si>
  <si>
    <t>urad</t>
  </si>
  <si>
    <t>microsiemens</t>
  </si>
  <si>
    <t>uS</t>
  </si>
  <si>
    <t>microsecond</t>
  </si>
  <si>
    <t>us</t>
  </si>
  <si>
    <t>microseconds/foot</t>
  </si>
  <si>
    <t>us/ft</t>
  </si>
  <si>
    <t>microseconds/metre</t>
  </si>
  <si>
    <t>us/m</t>
  </si>
  <si>
    <t>microteslas</t>
  </si>
  <si>
    <t>uT</t>
  </si>
  <si>
    <t>microvolts</t>
  </si>
  <si>
    <t>uV</t>
  </si>
  <si>
    <t>microvolt per foot</t>
  </si>
  <si>
    <t>uV/ft</t>
  </si>
  <si>
    <t>microvolt per meter</t>
  </si>
  <si>
    <t>uV/m</t>
  </si>
  <si>
    <t>microwatts</t>
  </si>
  <si>
    <t>uW</t>
  </si>
  <si>
    <t>microwatts/cubic metre</t>
  </si>
  <si>
    <t>uW/m3</t>
  </si>
  <si>
    <t>microwebers</t>
  </si>
  <si>
    <t>uWb</t>
  </si>
  <si>
    <t>volts/decibel</t>
  </si>
  <si>
    <t>V/dB</t>
  </si>
  <si>
    <t>volume percent</t>
  </si>
  <si>
    <t>volpercent</t>
  </si>
  <si>
    <t>volume parts per million</t>
  </si>
  <si>
    <t>volppm</t>
  </si>
  <si>
    <t>watts/square centimetre</t>
  </si>
  <si>
    <t>W/cm2</t>
  </si>
  <si>
    <t>watts/kilowatt</t>
  </si>
  <si>
    <t>W/kW</t>
  </si>
  <si>
    <t>watts per square millimeter</t>
  </si>
  <si>
    <t>W/mm2</t>
  </si>
  <si>
    <t>watts/watt</t>
  </si>
  <si>
    <t>W/W</t>
  </si>
  <si>
    <t>webers/millimetre</t>
  </si>
  <si>
    <t>Wb/mm</t>
  </si>
  <si>
    <t>weeks</t>
  </si>
  <si>
    <t>wk</t>
  </si>
  <si>
    <t>weight percent</t>
  </si>
  <si>
    <t>wtpercent</t>
  </si>
  <si>
    <t>weight parts per million</t>
  </si>
  <si>
    <t>wtppm</t>
  </si>
  <si>
    <t>yards</t>
  </si>
  <si>
    <t>yd</t>
  </si>
  <si>
    <t>yd3</t>
  </si>
  <si>
    <t>Benoits yard (1895 A)</t>
  </si>
  <si>
    <t>ydBnA</t>
  </si>
  <si>
    <t>Benoits yard (1895 B)</t>
  </si>
  <si>
    <t>ydBnB</t>
  </si>
  <si>
    <t>Clarkes yard</t>
  </si>
  <si>
    <t>ydCla</t>
  </si>
  <si>
    <t>imperial yard</t>
  </si>
  <si>
    <t>ydIm</t>
  </si>
  <si>
    <t>Indian yard</t>
  </si>
  <si>
    <t>ydInd</t>
  </si>
  <si>
    <t>Indian yard (1937)</t>
  </si>
  <si>
    <t>ydInd(37)</t>
  </si>
  <si>
    <t>Indian yard (1962)</t>
  </si>
  <si>
    <t>ydInd(62)</t>
  </si>
  <si>
    <t>Indian yard (1975)</t>
  </si>
  <si>
    <t>ydInd(75)</t>
  </si>
  <si>
    <t>Sears yard</t>
  </si>
  <si>
    <t>ydSe</t>
  </si>
  <si>
    <t>yr(100k)</t>
  </si>
  <si>
    <t xml:space="preserve">Document: POSC Units of Measure Dictionary v2.2 </t>
  </si>
  <si>
    <t>Issue date: 2006-05-02</t>
  </si>
  <si>
    <t>Copied from:</t>
  </si>
  <si>
    <t>http://w3.energistics.org/uom/poscUnits22.xml</t>
  </si>
  <si>
    <t>Index</t>
  </si>
  <si>
    <t>Description</t>
  </si>
  <si>
    <t>BaseUOM</t>
  </si>
  <si>
    <t>Dim_Length</t>
  </si>
  <si>
    <t>Dim_Time</t>
  </si>
  <si>
    <t>Dim_Temperature</t>
  </si>
  <si>
    <t>Dim_Currency</t>
  </si>
  <si>
    <t>BaseUom</t>
  </si>
  <si>
    <t>Factor_B</t>
  </si>
  <si>
    <t>Factor_A</t>
  </si>
  <si>
    <t>Factor_C</t>
  </si>
  <si>
    <t>Factor_D</t>
  </si>
  <si>
    <t>UomIndex</t>
  </si>
  <si>
    <t>UomPartIndex</t>
  </si>
  <si>
    <t>Exponent</t>
  </si>
  <si>
    <t>Click the button to extract the data into the tables.</t>
  </si>
  <si>
    <t>Work = Force*Distance = Mass*Acceleraton*Distance</t>
  </si>
  <si>
    <t>Force = Mass*Acceleraton*Distance</t>
  </si>
  <si>
    <t>Dim_Mass</t>
  </si>
  <si>
    <t>Dim_QuantityOfSubstance</t>
  </si>
  <si>
    <t>Dim_Luminosity</t>
  </si>
  <si>
    <t>Dim_PlaneAngle</t>
  </si>
  <si>
    <t>Dim_SolidAngle</t>
  </si>
  <si>
    <t>Dim_ElectricCurrent</t>
  </si>
  <si>
    <t>US$</t>
  </si>
  <si>
    <t>Notes</t>
  </si>
  <si>
    <t>Illuminance:  lux. [Luminous flux]/[Area</t>
  </si>
  <si>
    <t>cd.sr</t>
  </si>
  <si>
    <t xml:space="preserve">Luminous flux | Luminous power: lumen. [Luminosity]*[Solid angle] </t>
  </si>
  <si>
    <t xml:space="preserve">Voltage | Electromotive force (emf) </t>
  </si>
  <si>
    <t xml:space="preserve">Absorbed dose, J.kg-1, Gy </t>
  </si>
  <si>
    <t xml:space="preserve">Radioactivity | Activity : bequerel. [Counts]/[Time] </t>
  </si>
  <si>
    <t>Power = Work/time: J/s</t>
  </si>
  <si>
    <t xml:space="preserve">Magnetic flux, weber. [ΔPotential]*[Time], [Power]/[dCurrent/dt], V.s, W.s.A-1, Wb </t>
  </si>
  <si>
    <t>Characteristic impedance,  √([Mag.Permeability]/[El.Permittivity]) , V.A-1, Ω, ohm</t>
  </si>
  <si>
    <t>Bel. Uses base-10 logarithm. Applies to power P. Dimensionless</t>
  </si>
  <si>
    <t>dimless</t>
  </si>
  <si>
    <t>Volume of fluid at 1 atm.,0 degrees Celsius.</t>
  </si>
  <si>
    <t>Volume of fluid at 1 atm.,15 degrees Celsius.</t>
  </si>
  <si>
    <r>
      <t>kg.m.s</t>
    </r>
    <r>
      <rPr>
        <vertAlign val="superscript"/>
        <sz val="10"/>
        <color rgb="FF000000"/>
        <rFont val="Arial"/>
        <family val="2"/>
      </rPr>
      <t>-2</t>
    </r>
  </si>
  <si>
    <r>
      <t>kg.m</t>
    </r>
    <r>
      <rPr>
        <vertAlign val="superscript"/>
        <sz val="10"/>
        <color rgb="FF000000"/>
        <rFont val="Arial"/>
        <family val="2"/>
      </rPr>
      <t>2</t>
    </r>
    <r>
      <rPr>
        <sz val="10"/>
        <color rgb="FF000000"/>
        <rFont val="Arial"/>
        <family val="2"/>
      </rPr>
      <t>.s</t>
    </r>
    <r>
      <rPr>
        <vertAlign val="superscript"/>
        <sz val="10"/>
        <color rgb="FF000000"/>
        <rFont val="Arial"/>
        <family val="2"/>
      </rPr>
      <t>-2</t>
    </r>
  </si>
  <si>
    <r>
      <t>kg.m</t>
    </r>
    <r>
      <rPr>
        <vertAlign val="superscript"/>
        <sz val="10"/>
        <color rgb="FF000000"/>
        <rFont val="Arial"/>
        <family val="2"/>
      </rPr>
      <t>2</t>
    </r>
    <r>
      <rPr>
        <sz val="10"/>
        <color rgb="FF000000"/>
        <rFont val="Arial"/>
        <family val="2"/>
      </rPr>
      <t>.s</t>
    </r>
    <r>
      <rPr>
        <vertAlign val="superscript"/>
        <sz val="10"/>
        <color rgb="FF000000"/>
        <rFont val="Arial"/>
        <family val="2"/>
      </rPr>
      <t>-3</t>
    </r>
  </si>
  <si>
    <r>
      <t>kg.m</t>
    </r>
    <r>
      <rPr>
        <vertAlign val="superscript"/>
        <sz val="10"/>
        <color rgb="FF000000"/>
        <rFont val="Arial"/>
        <family val="2"/>
      </rPr>
      <t>2</t>
    </r>
    <r>
      <rPr>
        <sz val="10"/>
        <color rgb="FF000000"/>
        <rFont val="Arial"/>
        <family val="2"/>
      </rPr>
      <t>.s</t>
    </r>
    <r>
      <rPr>
        <vertAlign val="superscript"/>
        <sz val="10"/>
        <color rgb="FF000000"/>
        <rFont val="Arial"/>
        <family val="2"/>
      </rPr>
      <t>-3</t>
    </r>
    <r>
      <rPr>
        <sz val="10"/>
        <color rgb="FF000000"/>
        <rFont val="Arial"/>
        <family val="2"/>
      </rPr>
      <t>.A</t>
    </r>
    <r>
      <rPr>
        <vertAlign val="superscript"/>
        <sz val="10"/>
        <color rgb="FF000000"/>
        <rFont val="Arial"/>
        <family val="2"/>
      </rPr>
      <t>-2</t>
    </r>
  </si>
  <si>
    <r>
      <t>kg.m</t>
    </r>
    <r>
      <rPr>
        <vertAlign val="superscript"/>
        <sz val="10"/>
        <color rgb="FF000000"/>
        <rFont val="Arial"/>
        <family val="2"/>
      </rPr>
      <t>2</t>
    </r>
    <r>
      <rPr>
        <sz val="10"/>
        <color rgb="FF000000"/>
        <rFont val="Arial"/>
        <family val="2"/>
      </rPr>
      <t>.s</t>
    </r>
    <r>
      <rPr>
        <vertAlign val="superscript"/>
        <sz val="10"/>
        <color rgb="FF000000"/>
        <rFont val="Arial"/>
        <family val="2"/>
      </rPr>
      <t>-3</t>
    </r>
    <r>
      <rPr>
        <sz val="10"/>
        <color rgb="FF000000"/>
        <rFont val="Arial"/>
        <family val="2"/>
      </rPr>
      <t>.A</t>
    </r>
    <r>
      <rPr>
        <vertAlign val="superscript"/>
        <sz val="10"/>
        <color rgb="FF000000"/>
        <rFont val="Arial"/>
        <family val="2"/>
      </rPr>
      <t>-1</t>
    </r>
  </si>
  <si>
    <r>
      <t>kg.m</t>
    </r>
    <r>
      <rPr>
        <vertAlign val="superscript"/>
        <sz val="10"/>
        <color rgb="FF000000"/>
        <rFont val="Arial"/>
        <family val="2"/>
      </rPr>
      <t>2</t>
    </r>
    <r>
      <rPr>
        <sz val="10"/>
        <color rgb="FF000000"/>
        <rFont val="Arial"/>
        <family val="2"/>
      </rPr>
      <t>.s</t>
    </r>
    <r>
      <rPr>
        <vertAlign val="superscript"/>
        <sz val="10"/>
        <color rgb="FF000000"/>
        <rFont val="Arial"/>
        <family val="2"/>
      </rPr>
      <t>-2</t>
    </r>
    <r>
      <rPr>
        <sz val="10"/>
        <color rgb="FF000000"/>
        <rFont val="Arial"/>
        <family val="2"/>
      </rPr>
      <t>.A</t>
    </r>
    <r>
      <rPr>
        <vertAlign val="superscript"/>
        <sz val="10"/>
        <color rgb="FF000000"/>
        <rFont val="Arial"/>
        <family val="2"/>
      </rPr>
      <t>-1</t>
    </r>
  </si>
  <si>
    <r>
      <t>cd.sr.m</t>
    </r>
    <r>
      <rPr>
        <vertAlign val="superscript"/>
        <sz val="10"/>
        <color rgb="FF000000"/>
        <rFont val="Arial"/>
        <family val="2"/>
      </rPr>
      <t>-2</t>
    </r>
  </si>
  <si>
    <r>
      <t>s</t>
    </r>
    <r>
      <rPr>
        <vertAlign val="superscript"/>
        <sz val="10"/>
        <color rgb="FF000000"/>
        <rFont val="Arial"/>
        <family val="2"/>
      </rPr>
      <t>-1</t>
    </r>
  </si>
  <si>
    <r>
      <t>m</t>
    </r>
    <r>
      <rPr>
        <vertAlign val="superscript"/>
        <sz val="10"/>
        <color rgb="FF000000"/>
        <rFont val="Arial"/>
        <family val="2"/>
      </rPr>
      <t>2</t>
    </r>
    <r>
      <rPr>
        <sz val="10"/>
        <color rgb="FF000000"/>
        <rFont val="Arial"/>
        <family val="2"/>
      </rPr>
      <t>.s</t>
    </r>
    <r>
      <rPr>
        <vertAlign val="superscript"/>
        <sz val="10"/>
        <color rgb="FF000000"/>
        <rFont val="Arial"/>
        <family val="2"/>
      </rPr>
      <t>-2</t>
    </r>
  </si>
  <si>
    <r>
      <t>m</t>
    </r>
    <r>
      <rPr>
        <vertAlign val="superscript"/>
        <sz val="10"/>
        <color rgb="FF000000"/>
        <rFont val="Arial"/>
        <family val="2"/>
      </rPr>
      <t>3</t>
    </r>
  </si>
  <si>
    <t>http://www.ebyte.it/library/educards/sidimensions/SiDimensionsByCategory.html</t>
  </si>
  <si>
    <t>Group</t>
  </si>
  <si>
    <t>ParsedUOM</t>
  </si>
  <si>
    <t>H,-1</t>
  </si>
  <si>
    <t>K,-1</t>
  </si>
  <si>
    <t>kg,-1</t>
  </si>
  <si>
    <t>m,-1</t>
  </si>
  <si>
    <t>m,-2</t>
  </si>
  <si>
    <t>m,-3</t>
  </si>
  <si>
    <t>N,-1</t>
  </si>
  <si>
    <t>Pa,-1</t>
  </si>
  <si>
    <t>s,-1</t>
  </si>
  <si>
    <t>V,-1</t>
  </si>
  <si>
    <t>A,1</t>
  </si>
  <si>
    <t>m,2</t>
  </si>
  <si>
    <t>A,1 | m,2</t>
  </si>
  <si>
    <t>A,1 | m,-1</t>
  </si>
  <si>
    <t>A,1 | m,-2</t>
  </si>
  <si>
    <t>B,1</t>
  </si>
  <si>
    <t>B,1 | m,-1</t>
  </si>
  <si>
    <t>B,1 | O,-1</t>
  </si>
  <si>
    <t>bps,1</t>
  </si>
  <si>
    <t>Bq,1</t>
  </si>
  <si>
    <t>Bq,1 | kg,-1</t>
  </si>
  <si>
    <t>byte,1</t>
  </si>
  <si>
    <t>C,1</t>
  </si>
  <si>
    <t>C,1 | m,1</t>
  </si>
  <si>
    <t>C,1 | kg,-1</t>
  </si>
  <si>
    <t>C,1 | m,-2</t>
  </si>
  <si>
    <t>C,1 | m,-3</t>
  </si>
  <si>
    <t>cd,1</t>
  </si>
  <si>
    <t>cd,1 | m,-2</t>
  </si>
  <si>
    <t>eq,1</t>
  </si>
  <si>
    <t>eq,1 | kg,-1</t>
  </si>
  <si>
    <t>eq,1 | m,-3</t>
  </si>
  <si>
    <t>Euc,1</t>
  </si>
  <si>
    <t>F,1</t>
  </si>
  <si>
    <t>F,1 | m,-1</t>
  </si>
  <si>
    <t>gAPI,1</t>
  </si>
  <si>
    <t>Gy,1</t>
  </si>
  <si>
    <t>H,1</t>
  </si>
  <si>
    <t>H,1 | m,-1</t>
  </si>
  <si>
    <t>Hz,1</t>
  </si>
  <si>
    <t>J,1</t>
  </si>
  <si>
    <t>J,1 | K,-1</t>
  </si>
  <si>
    <t>J,1 | kg,-1</t>
  </si>
  <si>
    <t>J,1 | kg,-1 | K,-1</t>
  </si>
  <si>
    <t>J,1 | m,-3</t>
  </si>
  <si>
    <t>J,1 | mol,-1</t>
  </si>
  <si>
    <t>J,1 | mol,-1 | K,-1</t>
  </si>
  <si>
    <t>K,1</t>
  </si>
  <si>
    <t>K,1 | m,2 | W,-1</t>
  </si>
  <si>
    <t>K,1 | m,-1</t>
  </si>
  <si>
    <t>K,1 | s,-1</t>
  </si>
  <si>
    <t>K,1 | W,-1</t>
  </si>
  <si>
    <t>kg,1</t>
  </si>
  <si>
    <t>kg,1 | m,1</t>
  </si>
  <si>
    <t>kg,1 | m,1 | s,-1</t>
  </si>
  <si>
    <t>kg,1 | m,2</t>
  </si>
  <si>
    <t>kg,1 | J,-1</t>
  </si>
  <si>
    <t>kg,1 | m,-1</t>
  </si>
  <si>
    <t>kg,1 | m,-2</t>
  </si>
  <si>
    <t>kg,1 | m,-3</t>
  </si>
  <si>
    <t>kg,1 | m,-4</t>
  </si>
  <si>
    <t>kg,1 | s,-1</t>
  </si>
  <si>
    <t>lm,1</t>
  </si>
  <si>
    <t>lm,1 | s,1</t>
  </si>
  <si>
    <t>lm,1 | W,-1</t>
  </si>
  <si>
    <t>lx,1</t>
  </si>
  <si>
    <t>lx,1 | s,1</t>
  </si>
  <si>
    <t>m,1</t>
  </si>
  <si>
    <t>m,1 | K,-1</t>
  </si>
  <si>
    <t>m,1 | s,-1</t>
  </si>
  <si>
    <t>m,1 | s,-2</t>
  </si>
  <si>
    <t>m,2 | kg,-1</t>
  </si>
  <si>
    <t>m,2 | mol,-1</t>
  </si>
  <si>
    <t>m,2 | Pa,-1 | s,-1</t>
  </si>
  <si>
    <t>m,2 | s,-1</t>
  </si>
  <si>
    <t>m,3</t>
  </si>
  <si>
    <t>m,3 | J,-1</t>
  </si>
  <si>
    <t>m,3 | kg,-1</t>
  </si>
  <si>
    <t>m,3 | mol,-1</t>
  </si>
  <si>
    <t>m,3 | Pa,-1 | s,-1</t>
  </si>
  <si>
    <t>m,3 | s,-1</t>
  </si>
  <si>
    <t>m,3 | s,-2</t>
  </si>
  <si>
    <t>kg,1 | m,-2 | s,-1</t>
  </si>
  <si>
    <t>m,3 | Pa,-2 | s,-2</t>
  </si>
  <si>
    <t>m,4</t>
  </si>
  <si>
    <t>m,4 | s,-1</t>
  </si>
  <si>
    <t>mol,1</t>
  </si>
  <si>
    <t>mol,1 | m,-2</t>
  </si>
  <si>
    <t>mol,1 | m,-2 | s,-1</t>
  </si>
  <si>
    <t>mol,1 | m,-3</t>
  </si>
  <si>
    <t>mol,1 | s,-1</t>
  </si>
  <si>
    <t>N,1</t>
  </si>
  <si>
    <t>N,1 | m,2</t>
  </si>
  <si>
    <t>N,1 | m,-1</t>
  </si>
  <si>
    <t>N,1 | m,-3</t>
  </si>
  <si>
    <t>N,4 | kg,-1 | m,-7</t>
  </si>
  <si>
    <t>nAPI,1</t>
  </si>
  <si>
    <t>O,1</t>
  </si>
  <si>
    <t>ohm,1</t>
  </si>
  <si>
    <t>ohm,1 | m,1</t>
  </si>
  <si>
    <t>ohm,1 | m,-1</t>
  </si>
  <si>
    <t>Pa,1</t>
  </si>
  <si>
    <t>Pa,1 | s,1</t>
  </si>
  <si>
    <t>Pa,1 | s,1 | m,-3</t>
  </si>
  <si>
    <t>Pa,1 | s,1 | m,-6</t>
  </si>
  <si>
    <t>Pa,1 | m,-3</t>
  </si>
  <si>
    <t>Pa,1 | s,-1</t>
  </si>
  <si>
    <t>Pa,2</t>
  </si>
  <si>
    <t>pH,1</t>
  </si>
  <si>
    <t>rad,1</t>
  </si>
  <si>
    <t>rad,1 | m,-1</t>
  </si>
  <si>
    <t>rad,1 | m,-3</t>
  </si>
  <si>
    <t>rad,1 | s,-1</t>
  </si>
  <si>
    <t>rad,1 | s,-2</t>
  </si>
  <si>
    <t>S,1</t>
  </si>
  <si>
    <t>s,1</t>
  </si>
  <si>
    <t>S,1 | m,-1</t>
  </si>
  <si>
    <t>s,1 | m,-1</t>
  </si>
  <si>
    <t>s,1 | m,-3</t>
  </si>
  <si>
    <t>sr,1</t>
  </si>
  <si>
    <t>Sv,1</t>
  </si>
  <si>
    <t>Sv,1 | s,-1</t>
  </si>
  <si>
    <t>T,1</t>
  </si>
  <si>
    <t>V,1</t>
  </si>
  <si>
    <t>V,1 | B,-1</t>
  </si>
  <si>
    <t>V,1 | m,-1</t>
  </si>
  <si>
    <t>W,1</t>
  </si>
  <si>
    <t>W,1 | K,-1</t>
  </si>
  <si>
    <t>W,1 | m,-1 | K,-1</t>
  </si>
  <si>
    <t>W,1 | m,-2</t>
  </si>
  <si>
    <t>W,1 | m,-2 | K,-1</t>
  </si>
  <si>
    <t>W,1 | m,-2 | sr,-1</t>
  </si>
  <si>
    <t>W,1 | m,-3</t>
  </si>
  <si>
    <t>W,1 | m,-3 | K,-1</t>
  </si>
  <si>
    <t>W,1 | sr,-1</t>
  </si>
  <si>
    <t>Wb,1</t>
  </si>
  <si>
    <t>Wb,1 | m,1</t>
  </si>
  <si>
    <t>Wb,1 | m,-1</t>
  </si>
  <si>
    <t>Grp: reluctance</t>
  </si>
  <si>
    <t>Grp: volumetric thermal expansion</t>
  </si>
  <si>
    <t>Grp: per mass</t>
  </si>
  <si>
    <t>Grp: per length</t>
  </si>
  <si>
    <t>Grp: per area</t>
  </si>
  <si>
    <t>Grp: per volume</t>
  </si>
  <si>
    <t>Grp: per force</t>
  </si>
  <si>
    <t>Grp: bulk compressibility</t>
  </si>
  <si>
    <t>Grp: per time</t>
  </si>
  <si>
    <t>Grp: per electric potential</t>
  </si>
  <si>
    <t>Grp: electric current</t>
  </si>
  <si>
    <t>Grp: electromagnetic moment</t>
  </si>
  <si>
    <t>Grp: linear electric current density</t>
  </si>
  <si>
    <t>Grp: current density</t>
  </si>
  <si>
    <t>Grp: level of power intensity</t>
  </si>
  <si>
    <t>Grp: attenuation per length</t>
  </si>
  <si>
    <t>Grp: attenuation</t>
  </si>
  <si>
    <t>Grp: data transmission speed</t>
  </si>
  <si>
    <t>Grp: activity (of radioactivity)</t>
  </si>
  <si>
    <t>Grp: specific activity (of radioactivity)</t>
  </si>
  <si>
    <t>Grp: digital storage</t>
  </si>
  <si>
    <t>Grp: electric capacity</t>
  </si>
  <si>
    <t>Grp: electric dipole moment</t>
  </si>
  <si>
    <t>Grp: exposure (radioactivity)</t>
  </si>
  <si>
    <t>Grp: electric polarization</t>
  </si>
  <si>
    <t>Grp: charge density</t>
  </si>
  <si>
    <t>Grp: luminous intensity</t>
  </si>
  <si>
    <t>Grp: luminance</t>
  </si>
  <si>
    <t>Grp: electrochemical equivalent</t>
  </si>
  <si>
    <t>Grp: equivalent per mass</t>
  </si>
  <si>
    <t>Grp: equivalent per volume</t>
  </si>
  <si>
    <t>Grp: dimensionless</t>
  </si>
  <si>
    <t>Grp: capacitance</t>
  </si>
  <si>
    <t>Grp: permittivity</t>
  </si>
  <si>
    <t>Grp: gamma ray API unit</t>
  </si>
  <si>
    <t>Grp: absorbed dose</t>
  </si>
  <si>
    <t>Grp: self inductance</t>
  </si>
  <si>
    <t>Grp: magnetic permeability</t>
  </si>
  <si>
    <t>Grp: frequency</t>
  </si>
  <si>
    <t>Grp: moment of force</t>
  </si>
  <si>
    <t>Grp: heat capacity</t>
  </si>
  <si>
    <t>Grp: specific energy</t>
  </si>
  <si>
    <t>Grp: specific heat capacity</t>
  </si>
  <si>
    <t>Grp: normal stress</t>
  </si>
  <si>
    <t>Grp: molar thermodynamic energy</t>
  </si>
  <si>
    <t>Grp: molar heat capacity</t>
  </si>
  <si>
    <t>Grp: thermodynamic temperature</t>
  </si>
  <si>
    <t>Grp: thermal insulance</t>
  </si>
  <si>
    <t>Grp: temperature per length</t>
  </si>
  <si>
    <t>Grp: temperature per time</t>
  </si>
  <si>
    <t>Grp: thermal resistance</t>
  </si>
  <si>
    <t>Grp: mass</t>
  </si>
  <si>
    <t>Grp: mass length</t>
  </si>
  <si>
    <t>Grp: momentum</t>
  </si>
  <si>
    <t>Grp: moment of inertia</t>
  </si>
  <si>
    <t>Grp: mass per energy</t>
  </si>
  <si>
    <t>Grp: linear density</t>
  </si>
  <si>
    <t>Grp: surface density</t>
  </si>
  <si>
    <t>Grp: mass per time per area</t>
  </si>
  <si>
    <t>Grp: density</t>
  </si>
  <si>
    <t>Grp: mass per volume per length</t>
  </si>
  <si>
    <t>Grp: mass flow rate</t>
  </si>
  <si>
    <t>Grp: luminous flux</t>
  </si>
  <si>
    <t>Grp: quantity of light</t>
  </si>
  <si>
    <t>Grp: luminous efficacy</t>
  </si>
  <si>
    <t>Grp: illuminance</t>
  </si>
  <si>
    <t>Grp: light exposure</t>
  </si>
  <si>
    <t>Grp: length</t>
  </si>
  <si>
    <t>Grp: length per temperature</t>
  </si>
  <si>
    <t>Grp: velocity</t>
  </si>
  <si>
    <t>Grp: acceleration linear</t>
  </si>
  <si>
    <t>Grp: area</t>
  </si>
  <si>
    <t>Grp: mass attenuation coefficient</t>
  </si>
  <si>
    <t>Grp: cross section absorption</t>
  </si>
  <si>
    <t>Grp: unit productivity index</t>
  </si>
  <si>
    <t>Grp: kinematic viscosity</t>
  </si>
  <si>
    <t>Grp: volume</t>
  </si>
  <si>
    <t>Grp: isothermal compressibility</t>
  </si>
  <si>
    <t>Grp: specific volume</t>
  </si>
  <si>
    <t>Grp: molar volume</t>
  </si>
  <si>
    <t>Grp: productivity index</t>
  </si>
  <si>
    <t>Grp: specific productivity index</t>
  </si>
  <si>
    <t>Grp: volume flow rate</t>
  </si>
  <si>
    <t>Grp: volume per time per time</t>
  </si>
  <si>
    <t>Grp: second moment of area</t>
  </si>
  <si>
    <t>Grp: volume length per time</t>
  </si>
  <si>
    <t>Grp: amount of substance</t>
  </si>
  <si>
    <t>Grp: mole per area</t>
  </si>
  <si>
    <t>Grp: mole per time per area</t>
  </si>
  <si>
    <t>Grp: concentration of B</t>
  </si>
  <si>
    <t>Grp: mole per time</t>
  </si>
  <si>
    <t>Grp: force</t>
  </si>
  <si>
    <t>Grp: force area</t>
  </si>
  <si>
    <t>Grp: force per length</t>
  </si>
  <si>
    <t>Grp: force per volume</t>
  </si>
  <si>
    <t>Grp: parachor</t>
  </si>
  <si>
    <t>Grp: neutron API unit</t>
  </si>
  <si>
    <t>Grp: frequency interval</t>
  </si>
  <si>
    <t>Grp: resistance</t>
  </si>
  <si>
    <t>Grp: electrical resistivity</t>
  </si>
  <si>
    <t>Grp: resistivity per length</t>
  </si>
  <si>
    <t>Grp: force per area</t>
  </si>
  <si>
    <t>Grp: dynamic viscosity</t>
  </si>
  <si>
    <t>Grp: pressure time per volume</t>
  </si>
  <si>
    <t>Grp: nonDarcy flow coefficient</t>
  </si>
  <si>
    <t>Grp: Darcy flow coefficient</t>
  </si>
  <si>
    <t>Grp: pressure per time</t>
  </si>
  <si>
    <t>Grp: pressure squared</t>
  </si>
  <si>
    <t>Grp: pH</t>
  </si>
  <si>
    <t>Grp: plane angle</t>
  </si>
  <si>
    <t>Grp: angle per length</t>
  </si>
  <si>
    <t>Grp: angle per volume</t>
  </si>
  <si>
    <t>Grp: angular velocity</t>
  </si>
  <si>
    <t>Grp: angular acceleration</t>
  </si>
  <si>
    <t>Grp: electric conductance</t>
  </si>
  <si>
    <t>Grp: time</t>
  </si>
  <si>
    <t>Grp: conductivity</t>
  </si>
  <si>
    <t>Grp: time per length</t>
  </si>
  <si>
    <t>Grp: time per volume</t>
  </si>
  <si>
    <t>Grp: solid angle</t>
  </si>
  <si>
    <t>Grp: dose equivalent</t>
  </si>
  <si>
    <t>Grp: dose equivalent rate</t>
  </si>
  <si>
    <t>Grp: magnetic induction</t>
  </si>
  <si>
    <t>Grp: electric potential</t>
  </si>
  <si>
    <t>Grp: potential difference per per power drop</t>
  </si>
  <si>
    <t>Grp: electric field strength</t>
  </si>
  <si>
    <t>Grp: power</t>
  </si>
  <si>
    <t>Grp: thermal conductance</t>
  </si>
  <si>
    <t>Grp: energy length per time area temperature</t>
  </si>
  <si>
    <t>Grp: density of heat flow rate</t>
  </si>
  <si>
    <t>Grp: heat transfer coefficient</t>
  </si>
  <si>
    <t>Grp: radiance</t>
  </si>
  <si>
    <t>Grp: power per volume</t>
  </si>
  <si>
    <t>Grp: volumetric heat transfer coefficient</t>
  </si>
  <si>
    <t>Grp: radiant intensity</t>
  </si>
  <si>
    <t>Grp: magnetic flux</t>
  </si>
  <si>
    <t>Grp: magnetic dipole moment</t>
  </si>
  <si>
    <t>Grp: magnetic vector potential</t>
  </si>
  <si>
    <t>standard volume(0C)</t>
  </si>
  <si>
    <t>standard volume(0C) per area</t>
  </si>
  <si>
    <t>standard volume(0C) per volume</t>
  </si>
  <si>
    <t>standard volume(15C)</t>
  </si>
  <si>
    <t>standard volume(15C) per area</t>
  </si>
  <si>
    <t>stadard volume(15C) per volume</t>
  </si>
  <si>
    <t>standard volume(15C) per time</t>
  </si>
  <si>
    <t>volume per standard volume(0C)</t>
  </si>
  <si>
    <t>volume per standard volume(15C)</t>
  </si>
  <si>
    <t>Grp: volume per standard volume(0C)</t>
  </si>
  <si>
    <t>Grp: volume per standard volume(15C)</t>
  </si>
  <si>
    <t>Grp: standard volume(0C)</t>
  </si>
  <si>
    <t>Grp: standard volume(0C) per area</t>
  </si>
  <si>
    <t>Grp: standard volume(0C) per volume</t>
  </si>
  <si>
    <t>Grp: standard volume(15C)</t>
  </si>
  <si>
    <t>Grp: standard volume(15C) per area</t>
  </si>
  <si>
    <t>Grp: stadard volume(15C) per volume</t>
  </si>
  <si>
    <t>Grp: standard volume(15C) per time</t>
  </si>
  <si>
    <t>UOM</t>
  </si>
  <si>
    <t>ParamTypes</t>
  </si>
  <si>
    <t>Symbol</t>
  </si>
  <si>
    <t>dimensionless | area per area | volumic concentration | mass concentration | force per force | linear strain | relative elongation | relative power | length per length</t>
  </si>
  <si>
    <t>a,-1</t>
  </si>
  <si>
    <t>angstrom,-1</t>
  </si>
  <si>
    <t>per length | wave number</t>
  </si>
  <si>
    <t>bar,-1</t>
  </si>
  <si>
    <t>bulk compressibility | compressibility</t>
  </si>
  <si>
    <t>bbl,-1</t>
  </si>
  <si>
    <t>cm,-1</t>
  </si>
  <si>
    <t>d,-1</t>
  </si>
  <si>
    <t>degC,-1</t>
  </si>
  <si>
    <t>degF,-1</t>
  </si>
  <si>
    <t>degR,-1</t>
  </si>
  <si>
    <t>ft,-1</t>
  </si>
  <si>
    <t>ft,-2</t>
  </si>
  <si>
    <t>ft,-3</t>
  </si>
  <si>
    <t>g,-1</t>
  </si>
  <si>
    <t>galUK,-1</t>
  </si>
  <si>
    <t>galUS,-1</t>
  </si>
  <si>
    <t>h,-1</t>
  </si>
  <si>
    <t>in,-1</t>
  </si>
  <si>
    <t>km,-2</t>
  </si>
  <si>
    <t>kPa,-1</t>
  </si>
  <si>
    <t>L,-1</t>
  </si>
  <si>
    <t>lbf,-1</t>
  </si>
  <si>
    <t>lbm,-1</t>
  </si>
  <si>
    <t>mi,-1</t>
  </si>
  <si>
    <t>mi,-2</t>
  </si>
  <si>
    <t>min,-1</t>
  </si>
  <si>
    <t>mm,-1</t>
  </si>
  <si>
    <t>nm,-1</t>
  </si>
  <si>
    <t>pPa,-1</t>
  </si>
  <si>
    <t>psi,-1</t>
  </si>
  <si>
    <t>upsi,-1</t>
  </si>
  <si>
    <t>uV,-1</t>
  </si>
  <si>
    <t>wk,-1</t>
  </si>
  <si>
    <t>yd,-1</t>
  </si>
  <si>
    <t>density | mass density | volumic mass</t>
  </si>
  <si>
    <t>a,1</t>
  </si>
  <si>
    <t>A,1 | h,1</t>
  </si>
  <si>
    <t>electric capacity | electric charge | electric flux</t>
  </si>
  <si>
    <t>A,1 | cm,-2</t>
  </si>
  <si>
    <t>A,1 | ft,-2</t>
  </si>
  <si>
    <t>A,1 | mm,-1</t>
  </si>
  <si>
    <t>linear electric current density | magnetic field strength | magnetization</t>
  </si>
  <si>
    <t>A,1 | mm,-2</t>
  </si>
  <si>
    <t>acre,1</t>
  </si>
  <si>
    <t>acre,1 | ft,1</t>
  </si>
  <si>
    <t>acre,1 | ft,1 | MMstb,-1</t>
  </si>
  <si>
    <t>ag,1</t>
  </si>
  <si>
    <t>aJ,1</t>
  </si>
  <si>
    <t>energy | work</t>
  </si>
  <si>
    <t>angstrom,1</t>
  </si>
  <si>
    <t>at,1</t>
  </si>
  <si>
    <t>force per area | pressure</t>
  </si>
  <si>
    <t>atm,1</t>
  </si>
  <si>
    <t>atm,1 | ft,-1</t>
  </si>
  <si>
    <t>force per volume | pressure per length</t>
  </si>
  <si>
    <t>atm,1 | h,-1</t>
  </si>
  <si>
    <t>atm,1 | hm,-1</t>
  </si>
  <si>
    <t>atm,1 | m,-1</t>
  </si>
  <si>
    <t>b,1</t>
  </si>
  <si>
    <t>b,1 | cm,-3</t>
  </si>
  <si>
    <t>b,1 | elec,-1</t>
  </si>
  <si>
    <t>bar,1</t>
  </si>
  <si>
    <t>bar,1 | h,-1</t>
  </si>
  <si>
    <t>bar,1 | km,-1</t>
  </si>
  <si>
    <t>bar,1 | m,-1</t>
  </si>
  <si>
    <t>bar,2</t>
  </si>
  <si>
    <t>bar,2 | cP,-1</t>
  </si>
  <si>
    <t>bbl,1</t>
  </si>
  <si>
    <t>bbl,1 | acre,-1</t>
  </si>
  <si>
    <t>bbl,1 | acre,-1 | ft,-1</t>
  </si>
  <si>
    <t>bbl,1 | bbl,-1</t>
  </si>
  <si>
    <t>bbl,1 | cP,-1 | d,-1 | psi,-1</t>
  </si>
  <si>
    <t>bbl,1 | d,-1</t>
  </si>
  <si>
    <t>bbl,1 | d,-1 | acre,-1 | ft,-1</t>
  </si>
  <si>
    <t>bbl,1 | d,-1 | ft,-1</t>
  </si>
  <si>
    <t>bbl,1 | d,-1 | ft,-1 | psi,-1</t>
  </si>
  <si>
    <t>bbl,1 | d,-1 | psi,-1</t>
  </si>
  <si>
    <t>bbl,1 | d,-2</t>
  </si>
  <si>
    <t>bbl,1 | ft,-1</t>
  </si>
  <si>
    <t>bbl,1 | ft,-3</t>
  </si>
  <si>
    <t>bbl,1 | hr,-1</t>
  </si>
  <si>
    <t>bbl,1 | hr,-2</t>
  </si>
  <si>
    <t>bbl,1 | in,-1</t>
  </si>
  <si>
    <t>bbl,1 | kPa,-1 | d,-1</t>
  </si>
  <si>
    <t>bbl,1 | mi,-1</t>
  </si>
  <si>
    <t>bbl,1 | min,-1</t>
  </si>
  <si>
    <t>bbl,1 | psi,-1 | d,-1</t>
  </si>
  <si>
    <t>bbl,1 | tonUK,-1</t>
  </si>
  <si>
    <t>specific volume | massic volume</t>
  </si>
  <si>
    <t>bbl,1 | tonUS,-1</t>
  </si>
  <si>
    <t>bcf,1</t>
  </si>
  <si>
    <t>bit,1</t>
  </si>
  <si>
    <t>Btu,1</t>
  </si>
  <si>
    <t>Btu,1 | in,1 | hr,-1 | ft,-2 | F,-1</t>
  </si>
  <si>
    <t>Btu,1 | bbl,-1</t>
  </si>
  <si>
    <t>normal stress | shear stress | modulus of elasticity | shear modulus | modulus of rigidity | bulk modulus | modulus of compression | electromagnetic energy density | radiant energy density</t>
  </si>
  <si>
    <t>Btu,1 | bhp,-1 | hr,-1</t>
  </si>
  <si>
    <t>Btu,1 | ft,-3</t>
  </si>
  <si>
    <t>Btu,1 | galUK,-1</t>
  </si>
  <si>
    <t>Btu,1 | galUS,-1</t>
  </si>
  <si>
    <t>Btu,1 | hr,-1</t>
  </si>
  <si>
    <t>Btu,1 | hr,-1 | ft,-1 | degF,-1</t>
  </si>
  <si>
    <t>Btu,1 | hr,-1 | ft,-2</t>
  </si>
  <si>
    <t>density of heat flow rate | poynting vector | radiant energy | fluence rate | radiant exitance | irradiance | sound intensity | energy fluence rate</t>
  </si>
  <si>
    <t>Btu,1 | hr,-1 | ft,-2 | degF,-1</t>
  </si>
  <si>
    <t>Btu,1 | hr,-1 | ft,-2 | degR,-1</t>
  </si>
  <si>
    <t>Btu,1 | hr,-1 | ft,-3</t>
  </si>
  <si>
    <t>Btu,1 | hr,-1 | ft,-3 | degF,-1</t>
  </si>
  <si>
    <t>Btu,1 | hr,-1 | m,-2 | degC,-1</t>
  </si>
  <si>
    <t>Btu,1 | lbm,-1</t>
  </si>
  <si>
    <t>Btu,1 | lbm,-1 | degF,-1</t>
  </si>
  <si>
    <t>specific heat capacity | massic heat capacity</t>
  </si>
  <si>
    <t>Btu,1 | lbm,-1 | degR,-1</t>
  </si>
  <si>
    <t>Btu,1 | min,-1</t>
  </si>
  <si>
    <t>Btu,1 | lbmole,-1</t>
  </si>
  <si>
    <t>molar thermodynamic energy | chemical potential | affinity of a chemical reaction</t>
  </si>
  <si>
    <t>Btu,1 | lbmole,-1 | F,-1</t>
  </si>
  <si>
    <t>molar heat capacity | molar entropy | molar gas constant</t>
  </si>
  <si>
    <t>Btu,1 | s,-1</t>
  </si>
  <si>
    <t>Btu,1 | s,-1 | ft,-2</t>
  </si>
  <si>
    <t>Btu,1 | s,-1 | ft,-2 | degF,-1</t>
  </si>
  <si>
    <t>Btu,1 | s,-1 | ft,-3</t>
  </si>
  <si>
    <t>Btu,1 | s,-1 | ft,-3 | degF,-1</t>
  </si>
  <si>
    <t>c,1</t>
  </si>
  <si>
    <t>C,1 | cm,-2</t>
  </si>
  <si>
    <t>C,1 | cm,-3</t>
  </si>
  <si>
    <t>C,1 | g,-1</t>
  </si>
  <si>
    <t>C,1 | mm,-2</t>
  </si>
  <si>
    <t>C,1 | mm,-3</t>
  </si>
  <si>
    <t>c,1 | s,-1</t>
  </si>
  <si>
    <t>cal,1</t>
  </si>
  <si>
    <t>cal,1 | cm,-3</t>
  </si>
  <si>
    <t>cal,1 | g,-1</t>
  </si>
  <si>
    <t>cal,1 | g,-1 | K,-1</t>
  </si>
  <si>
    <t>cal,1 | h,-1 | cm,-1 | degC,-1</t>
  </si>
  <si>
    <t>cal,1 | h,-1 | cm,-2</t>
  </si>
  <si>
    <t>cal,1 | h,-1 | cm,-2 | degC,-1</t>
  </si>
  <si>
    <t>cal,1 | h,-1 | cm,-3</t>
  </si>
  <si>
    <t>cal,1 | kg,-1</t>
  </si>
  <si>
    <t>cal,1 | lbm,-1</t>
  </si>
  <si>
    <t>cal,1 | mL,-1</t>
  </si>
  <si>
    <t>cal,1 | mm,-3</t>
  </si>
  <si>
    <t>cal,1 | mol,-1 | degC,-1</t>
  </si>
  <si>
    <t>cal,1 | s,-1 | cm,-1 | degC,-1</t>
  </si>
  <si>
    <t>cal,1 | s,-1 | cm,-2 | degC,-1</t>
  </si>
  <si>
    <t>cal,1 | s,-1 | cm,-3</t>
  </si>
  <si>
    <t>ccgr,1</t>
  </si>
  <si>
    <t>cEuc,1</t>
  </si>
  <si>
    <t>dimensionless | poisson ratio</t>
  </si>
  <si>
    <t>cgr,1</t>
  </si>
  <si>
    <t>ch,1</t>
  </si>
  <si>
    <t>ch,1 | h,1</t>
  </si>
  <si>
    <t>chBnA,1</t>
  </si>
  <si>
    <t>length | breadth | height | thickness | radius | Cartesian coordinates | diameter | distance</t>
  </si>
  <si>
    <t>chBnB,1</t>
  </si>
  <si>
    <t>chCla,1</t>
  </si>
  <si>
    <t>chSe,1</t>
  </si>
  <si>
    <t>Chu,1</t>
  </si>
  <si>
    <t>chUS,1</t>
  </si>
  <si>
    <t>Ci,1</t>
  </si>
  <si>
    <t>cm,1</t>
  </si>
  <si>
    <t>length | breadth | height | thickness | radius | radius of curvature | Cartesian coordinates | diameter | length of path | distance | wavelength | mean free path</t>
  </si>
  <si>
    <t>cm,1 | a,-1</t>
  </si>
  <si>
    <t>cm,1 | s,-1</t>
  </si>
  <si>
    <t>cm,1 | s,-2</t>
  </si>
  <si>
    <t>cm,2</t>
  </si>
  <si>
    <t>cm,2 | g,-1</t>
  </si>
  <si>
    <t>cm,2 | s,-1</t>
  </si>
  <si>
    <t>kinematic viscosity | thermal diffusivity | area per time</t>
  </si>
  <si>
    <t>cm,3</t>
  </si>
  <si>
    <t>cm,3 | cm,-3</t>
  </si>
  <si>
    <t>cm,3 | g,-1</t>
  </si>
  <si>
    <t>cm,3 | h,-1</t>
  </si>
  <si>
    <t>cm,3 | m,-3</t>
  </si>
  <si>
    <t>cm,3 | min,-1</t>
  </si>
  <si>
    <t>cm,3 | s,-1</t>
  </si>
  <si>
    <t>cm,4</t>
  </si>
  <si>
    <t>cP,1</t>
  </si>
  <si>
    <t>cs,1</t>
  </si>
  <si>
    <t>cSt,1</t>
  </si>
  <si>
    <t>kinematic viscosity | area per time</t>
  </si>
  <si>
    <t>ct,1</t>
  </si>
  <si>
    <t>cu,1</t>
  </si>
  <si>
    <t>cubem,1</t>
  </si>
  <si>
    <t>curie,1</t>
  </si>
  <si>
    <t>CV,1</t>
  </si>
  <si>
    <t>CV,1 | h,1</t>
  </si>
  <si>
    <t>cwtUK,1</t>
  </si>
  <si>
    <t>cwtUS,1</t>
  </si>
  <si>
    <t>D,1</t>
  </si>
  <si>
    <t>d,1</t>
  </si>
  <si>
    <t>D,1 | ft,1</t>
  </si>
  <si>
    <t>D,1 | m,1</t>
  </si>
  <si>
    <t>d,1 | bbl,-1</t>
  </si>
  <si>
    <t>d,1 | ft,-3</t>
  </si>
  <si>
    <t>d,1 | m,-3</t>
  </si>
  <si>
    <t>daN,1</t>
  </si>
  <si>
    <t>daN,1 | m,1</t>
  </si>
  <si>
    <t>moment of force | moment of couple | torque</t>
  </si>
  <si>
    <t>dAPI,1</t>
  </si>
  <si>
    <t>dB,1</t>
  </si>
  <si>
    <t>dB,1 | ft,-1</t>
  </si>
  <si>
    <t>dB,1 | m,-1</t>
  </si>
  <si>
    <t>dB,1 | km,-1</t>
  </si>
  <si>
    <t>dB,1 | O,-1</t>
  </si>
  <si>
    <t>ddegC,1</t>
  </si>
  <si>
    <t>ddegF,1</t>
  </si>
  <si>
    <t>ddegK,1</t>
  </si>
  <si>
    <t>ddegR,1</t>
  </si>
  <si>
    <t>dega,1</t>
  </si>
  <si>
    <t>dega,1 | ft,-1</t>
  </si>
  <si>
    <t>dega,1 | h,-1</t>
  </si>
  <si>
    <t>rotational frequency | circular frequency | angle per time | rotational velocity</t>
  </si>
  <si>
    <t>dega,1 | m,-1</t>
  </si>
  <si>
    <t>dega,1 | min,-1</t>
  </si>
  <si>
    <t>dega,1 | s,-1</t>
  </si>
  <si>
    <t>rotational frequency | circular frequency | angle per time</t>
  </si>
  <si>
    <t>degC,1</t>
  </si>
  <si>
    <t>degC,1 | m,2 | h,1 | kcal,-1</t>
  </si>
  <si>
    <t>thermal insulance | coefficient of thermal insulation</t>
  </si>
  <si>
    <t>degC,1 | ft,-1</t>
  </si>
  <si>
    <t>degC,1 | h,-1</t>
  </si>
  <si>
    <t>degC,1 | km,-1</t>
  </si>
  <si>
    <t>degC,1 | m,-1</t>
  </si>
  <si>
    <t>degC,1 | min,-1</t>
  </si>
  <si>
    <t>degC,1 | s,-1</t>
  </si>
  <si>
    <t>degF,1</t>
  </si>
  <si>
    <t>degF,1 | ft,2 | h,1 | Btu,-1</t>
  </si>
  <si>
    <t>degF,1 | ft,-1</t>
  </si>
  <si>
    <t>degF,1 | h,-1</t>
  </si>
  <si>
    <t>degF,1 | m,-1</t>
  </si>
  <si>
    <t>degF,1 | min,-1</t>
  </si>
  <si>
    <t>degF,1 | s,-1</t>
  </si>
  <si>
    <t>degR,1</t>
  </si>
  <si>
    <t>dm,1</t>
  </si>
  <si>
    <t>dm,1 | s,-1</t>
  </si>
  <si>
    <t>dm,3</t>
  </si>
  <si>
    <t>dm,3 | kg,-1</t>
  </si>
  <si>
    <t>dm,3 | kW,-1 | h,-1</t>
  </si>
  <si>
    <t>dm,3 | m,-1</t>
  </si>
  <si>
    <t>dm,3 | m,-3</t>
  </si>
  <si>
    <t>dm,3 | MJ,-1</t>
  </si>
  <si>
    <t>dm,3 | kmol,-1</t>
  </si>
  <si>
    <t>dm,3 | s,-1</t>
  </si>
  <si>
    <t>dm,3 | s,-2</t>
  </si>
  <si>
    <t>dm,3 | t,-1</t>
  </si>
  <si>
    <t>dN,1 | m,1</t>
  </si>
  <si>
    <t>dyne,1</t>
  </si>
  <si>
    <t>dyne,1 | cm,2</t>
  </si>
  <si>
    <t>dyne,1 | s,1 | cm,-2</t>
  </si>
  <si>
    <t>dyne,1 | cm,-1</t>
  </si>
  <si>
    <t>dyne,1 | cm,-2</t>
  </si>
  <si>
    <t>ehp,1</t>
  </si>
  <si>
    <t>EJ,1</t>
  </si>
  <si>
    <t>EJ,1 | a,-1</t>
  </si>
  <si>
    <t>eq,1 | L,-1</t>
  </si>
  <si>
    <t>erg,1</t>
  </si>
  <si>
    <t>erg,1 | a,-1</t>
  </si>
  <si>
    <t>erg,1 | cm,-2</t>
  </si>
  <si>
    <t>erg,1 | cm,-3</t>
  </si>
  <si>
    <t>erg,1 | g,-1</t>
  </si>
  <si>
    <t>erg,1 | kg,-1</t>
  </si>
  <si>
    <t>erg,1 | m,-3</t>
  </si>
  <si>
    <t>eV,1</t>
  </si>
  <si>
    <t>fathom,1</t>
  </si>
  <si>
    <t>depth | length</t>
  </si>
  <si>
    <t>fC,1</t>
  </si>
  <si>
    <t>flops,1</t>
  </si>
  <si>
    <t>flozUK,1</t>
  </si>
  <si>
    <t>flozUS,1</t>
  </si>
  <si>
    <t>fm,1</t>
  </si>
  <si>
    <t>footcandle,1</t>
  </si>
  <si>
    <t>footcandle,1 | s,1</t>
  </si>
  <si>
    <t>ft,1</t>
  </si>
  <si>
    <t>ft,1 | lbf,1</t>
  </si>
  <si>
    <t>ft,1 | lbf,1 | bbl,-1</t>
  </si>
  <si>
    <t>ft,1 | lbf,1 | galUS,-1</t>
  </si>
  <si>
    <t>ft,1 | lbf,1 | lbm,-1</t>
  </si>
  <si>
    <t>ft,1 | lbf,1 | min,-1</t>
  </si>
  <si>
    <t>ft,1 | lbf,1 | s,-1</t>
  </si>
  <si>
    <t>ft,1 | lbm,1</t>
  </si>
  <si>
    <t>linear strain | relative elongation | scale | linear concentration | length per length</t>
  </si>
  <si>
    <t>ft,1 | bbl,-1</t>
  </si>
  <si>
    <t>ft,1 | d,-1</t>
  </si>
  <si>
    <t>ft,1 | degF,-1</t>
  </si>
  <si>
    <t>ft,1 | ft,-1</t>
  </si>
  <si>
    <t>ft,1 | ft,-3</t>
  </si>
  <si>
    <t>ft,1 | galUS,-1</t>
  </si>
  <si>
    <t>ft,1 | h,-1</t>
  </si>
  <si>
    <t>ft,1 | in,-1</t>
  </si>
  <si>
    <t>scale | length per length</t>
  </si>
  <si>
    <t>ft,1 | m,-1</t>
  </si>
  <si>
    <t>ft,1 | mi,-1</t>
  </si>
  <si>
    <t>ft,1 | min,-1</t>
  </si>
  <si>
    <t>ft,1 | ms,-1</t>
  </si>
  <si>
    <t>ft,1 | s,-1</t>
  </si>
  <si>
    <t>ft,1 | s,-2</t>
  </si>
  <si>
    <t>ft,1 | us,-1</t>
  </si>
  <si>
    <t>ft,2</t>
  </si>
  <si>
    <t>ft,2 | h,-1</t>
  </si>
  <si>
    <t>ft,2 | in,-3</t>
  </si>
  <si>
    <t>ft,2 | s,-1</t>
  </si>
  <si>
    <t>ft,3</t>
  </si>
  <si>
    <t>ft,3 | bbl,-1</t>
  </si>
  <si>
    <t>ft,3 | d,-1</t>
  </si>
  <si>
    <t>ft,3 | d,-1 | ft,-1 | psi,-1</t>
  </si>
  <si>
    <t>ft,3 | d,-2</t>
  </si>
  <si>
    <t>ft,3 | ft,-1</t>
  </si>
  <si>
    <t>ft,3 | ft,-3</t>
  </si>
  <si>
    <t>ft,3 | h,-1</t>
  </si>
  <si>
    <t>ft,3 | h,-2</t>
  </si>
  <si>
    <t>ft,3 | kg,-1</t>
  </si>
  <si>
    <t>ft,3 | lbm,-1</t>
  </si>
  <si>
    <t>ft,3 | min,-1</t>
  </si>
  <si>
    <t>ft,3 | min,-1 | ft,-2</t>
  </si>
  <si>
    <t>ft,3 | min,-2</t>
  </si>
  <si>
    <t>ft,3 | lbmole,-1</t>
  </si>
  <si>
    <t>ft,3 | s,-1</t>
  </si>
  <si>
    <t>ft,3 | s,-1 | ft,-2</t>
  </si>
  <si>
    <t>ft,3 | s,-2</t>
  </si>
  <si>
    <t>ftBnA,1</t>
  </si>
  <si>
    <t>length | depth | Cartesian coordinates | distance</t>
  </si>
  <si>
    <t>ftBnB,1</t>
  </si>
  <si>
    <t>ftCla,1</t>
  </si>
  <si>
    <t>ftGC,1</t>
  </si>
  <si>
    <t>ftInd,1</t>
  </si>
  <si>
    <t>ftMA,1</t>
  </si>
  <si>
    <t>ftSe,1</t>
  </si>
  <si>
    <t>ftUS,1</t>
  </si>
  <si>
    <t>g,1</t>
  </si>
  <si>
    <t>g,1 | ft,1 | cm,-3 | s,-1</t>
  </si>
  <si>
    <t>g,1 | cm,-3</t>
  </si>
  <si>
    <t>g,1 | cm,-4</t>
  </si>
  <si>
    <t>g,1 | dm,-3</t>
  </si>
  <si>
    <t>g,1 | galUK,-1</t>
  </si>
  <si>
    <t>g,1 | galUS,-1</t>
  </si>
  <si>
    <t>g,1 | kg,-1</t>
  </si>
  <si>
    <t>g,1 | L,-1</t>
  </si>
  <si>
    <t>g,1 | m,-3</t>
  </si>
  <si>
    <t>g,1 | s,-1</t>
  </si>
  <si>
    <t>Ga,1</t>
  </si>
  <si>
    <t>Gal,1</t>
  </si>
  <si>
    <t>gal,1 | sack,-1</t>
  </si>
  <si>
    <t>galUK,1</t>
  </si>
  <si>
    <t>galUK,1 | d,-1</t>
  </si>
  <si>
    <t>galUK,1 | ft,-3</t>
  </si>
  <si>
    <t>galUK,1 | hr,-1</t>
  </si>
  <si>
    <t>galUK,1 | hr,-1 | ft,-1</t>
  </si>
  <si>
    <t>galUK,1 | hr,-1 | ft,-2</t>
  </si>
  <si>
    <t>galUK,1 | hr,-1 | in,-1</t>
  </si>
  <si>
    <t>galUK,1 | hr,-1 | in,-2</t>
  </si>
  <si>
    <t>galUK,1 | hr,-2</t>
  </si>
  <si>
    <t>galUK,1 | kgalUK,-1</t>
  </si>
  <si>
    <t>galUK,1 | lbm,-1</t>
  </si>
  <si>
    <t>galUK,1 | Mbbl,-1</t>
  </si>
  <si>
    <t>galUK,1 | mi,-1</t>
  </si>
  <si>
    <t>galUK,1 | min,-1</t>
  </si>
  <si>
    <t>galUK,1 | min,-1 | ft,-1</t>
  </si>
  <si>
    <t>galUK,1 | min,-1 | ft,-2</t>
  </si>
  <si>
    <t>galUK,1 | min,-2</t>
  </si>
  <si>
    <t>galUS,1</t>
  </si>
  <si>
    <t>galUS,1 | bbl,-1</t>
  </si>
  <si>
    <t>galUS,1 | d,-1</t>
  </si>
  <si>
    <t>galUS,1 | ft,-1</t>
  </si>
  <si>
    <t>galUS,1 | ft,-3</t>
  </si>
  <si>
    <t>galUS,1 | hr,-1</t>
  </si>
  <si>
    <t>galUS,1 | hr,-1 | ft,-1</t>
  </si>
  <si>
    <t>galUS,1 | hr,-1 | ft,-2</t>
  </si>
  <si>
    <t>galUS,1 | hr,-1 | in,-1</t>
  </si>
  <si>
    <t>galUS,1 | hr,-1 | in,-2</t>
  </si>
  <si>
    <t>galUS,1 | hr,-2</t>
  </si>
  <si>
    <t>galUS,1 | kgalUS,-1</t>
  </si>
  <si>
    <t>galUS,1 | lbm,-1</t>
  </si>
  <si>
    <t>galUS,1 | Mbbl,-1</t>
  </si>
  <si>
    <t>galUS,1 | mi,-1</t>
  </si>
  <si>
    <t>galUS,1 | min,-1</t>
  </si>
  <si>
    <t>galUS,1 | min,-1 | ft,-1</t>
  </si>
  <si>
    <t>galUS,1 | min,-1 | ft,-2</t>
  </si>
  <si>
    <t>galUS,1 | min,-2</t>
  </si>
  <si>
    <t>galUS,1 | tonUK,-1</t>
  </si>
  <si>
    <t>galUS,1 | tonUS,-1</t>
  </si>
  <si>
    <t>gamma,1</t>
  </si>
  <si>
    <t>gauss,1</t>
  </si>
  <si>
    <t>magnetic induction | magnetic flux density</t>
  </si>
  <si>
    <t>GBq,1</t>
  </si>
  <si>
    <t>GeV,1</t>
  </si>
  <si>
    <t>gf,1</t>
  </si>
  <si>
    <t>GHz,1</t>
  </si>
  <si>
    <t>GJ,1</t>
  </si>
  <si>
    <t>gn,1</t>
  </si>
  <si>
    <t>Gohm,1</t>
  </si>
  <si>
    <t>resistance | impedance</t>
  </si>
  <si>
    <t>gon,1</t>
  </si>
  <si>
    <t>GPa,1</t>
  </si>
  <si>
    <t>GPa,1 | cm,-1</t>
  </si>
  <si>
    <t>GPa,2</t>
  </si>
  <si>
    <t>gr,1</t>
  </si>
  <si>
    <t>Grad,1</t>
  </si>
  <si>
    <t>grain,1</t>
  </si>
  <si>
    <t>grain,1 | ft,-3</t>
  </si>
  <si>
    <t>grain,1 | galUS,-1</t>
  </si>
  <si>
    <t>GS,1</t>
  </si>
  <si>
    <t>electric conductance | admittance | susceptance</t>
  </si>
  <si>
    <t>Gsm,3</t>
  </si>
  <si>
    <t>GW,1</t>
  </si>
  <si>
    <t>power | heat flow rate</t>
  </si>
  <si>
    <t>GW,1 | h,1</t>
  </si>
  <si>
    <t>h,1</t>
  </si>
  <si>
    <t>h,1 | ft,-3</t>
  </si>
  <si>
    <t>h,1 | kft,-1</t>
  </si>
  <si>
    <t>h,1 | km,-1</t>
  </si>
  <si>
    <t>h,1 | m,-3</t>
  </si>
  <si>
    <t>ha,1</t>
  </si>
  <si>
    <t>ha,1 | m,1</t>
  </si>
  <si>
    <t>hbar,1</t>
  </si>
  <si>
    <t>hhp,1</t>
  </si>
  <si>
    <t>hhp,1 | in,-2</t>
  </si>
  <si>
    <t>hL,1</t>
  </si>
  <si>
    <t>hp,1</t>
  </si>
  <si>
    <t>hp,1 | hr,1</t>
  </si>
  <si>
    <t>hp,1 | hr,1 | bbl,-1</t>
  </si>
  <si>
    <t>hp,1 | hr,1 | lbm,-1</t>
  </si>
  <si>
    <t>hp,1 | ft,-3</t>
  </si>
  <si>
    <t>hp,1 | in,-2</t>
  </si>
  <si>
    <t>hs,1</t>
  </si>
  <si>
    <t>in,1</t>
  </si>
  <si>
    <t>length | breadth | height | thickness | radius | radius of curvature | Cartesian coordinates | diameter</t>
  </si>
  <si>
    <t>in,1 | a,-1</t>
  </si>
  <si>
    <t>in,1 | in,-1 | degF,-1</t>
  </si>
  <si>
    <t>in,1 | min,-1</t>
  </si>
  <si>
    <t>in,1 | s,-1</t>
  </si>
  <si>
    <t>in,2</t>
  </si>
  <si>
    <t>in,2 | ft,-2</t>
  </si>
  <si>
    <t>area per area | shear strain</t>
  </si>
  <si>
    <t>in,2 | in,-2</t>
  </si>
  <si>
    <t>in,2 | s,-1</t>
  </si>
  <si>
    <t>in,3</t>
  </si>
  <si>
    <t>in,3 | ft,-1</t>
  </si>
  <si>
    <t>in,4</t>
  </si>
  <si>
    <t>inUS,1</t>
  </si>
  <si>
    <t>J,1 | cm,-2</t>
  </si>
  <si>
    <t>J,1 | dm,-3</t>
  </si>
  <si>
    <t>J,1 | g,-1</t>
  </si>
  <si>
    <t>J,1 | g,-1 | K,-1</t>
  </si>
  <si>
    <t>J,1 | m,-1</t>
  </si>
  <si>
    <t>J,1 | m,-2</t>
  </si>
  <si>
    <t>J,1 | s,-1 | m,-2 | degC,-1</t>
  </si>
  <si>
    <t>K,1 | m,2 | kW,-1</t>
  </si>
  <si>
    <t>kA,1</t>
  </si>
  <si>
    <t>electric current | magnetic potential difference | magnetomotive force</t>
  </si>
  <si>
    <t>kbbl,1 | d,-1</t>
  </si>
  <si>
    <t>kbyte,1</t>
  </si>
  <si>
    <t>kC,1</t>
  </si>
  <si>
    <t>kcal,1</t>
  </si>
  <si>
    <t>kcal,1 | m,1 | cm,-2</t>
  </si>
  <si>
    <t>kcal,1 | cm,-3</t>
  </si>
  <si>
    <t>kcal,1 | g,-1</t>
  </si>
  <si>
    <t>kcal,1 | h,-1</t>
  </si>
  <si>
    <t>kcal,1 | h,-1 | m,-1 | degC,-1</t>
  </si>
  <si>
    <t>kcal,1 | h,-1 | m,-2 | degC,-1</t>
  </si>
  <si>
    <t>kcal,1 | kg,-1</t>
  </si>
  <si>
    <t>kcal,1 | kg,-1 | degC,-1</t>
  </si>
  <si>
    <t>kcal,1 | m,-3</t>
  </si>
  <si>
    <t>kcal,1 | mol,-1</t>
  </si>
  <si>
    <t>kcd,1</t>
  </si>
  <si>
    <t>kdyne,1</t>
  </si>
  <si>
    <t>kEuc,1 | s,-1</t>
  </si>
  <si>
    <t>keV,1</t>
  </si>
  <si>
    <t>kft,1 | lbf,1</t>
  </si>
  <si>
    <t>kft,1 | h,-1</t>
  </si>
  <si>
    <t>kft,1 | s,-1</t>
  </si>
  <si>
    <t>kg,1 | m,1 | cm,-2</t>
  </si>
  <si>
    <t>kg,1 | d,-1</t>
  </si>
  <si>
    <t>kg,1 | dm,-3</t>
  </si>
  <si>
    <t>kg,1 | dm,-4</t>
  </si>
  <si>
    <t>kg,1 | h,-1</t>
  </si>
  <si>
    <t>kg,1 | kg,-1</t>
  </si>
  <si>
    <t>kg,1 | kW,-1 | h,-1</t>
  </si>
  <si>
    <t>kg,1 | L,-1</t>
  </si>
  <si>
    <t>kg,1 | m,-1 | s,-1</t>
  </si>
  <si>
    <t>kg,1 | min,-1</t>
  </si>
  <si>
    <t>kg,1 | MJ,-1</t>
  </si>
  <si>
    <t>kgf,1</t>
  </si>
  <si>
    <t>kgf,1 | m,1</t>
  </si>
  <si>
    <t>kgf,1 | m,1 | cm,-2</t>
  </si>
  <si>
    <t>kgf,1 | m,1 | m,-1</t>
  </si>
  <si>
    <t>kgf,1 | m,2</t>
  </si>
  <si>
    <t>kgf,1 | s,1 | m,-2</t>
  </si>
  <si>
    <t>kgf,1 | cm,-1</t>
  </si>
  <si>
    <t>kgf,1 | cm,-2</t>
  </si>
  <si>
    <t>kgf,1 | kgf,-1</t>
  </si>
  <si>
    <t>kgf,1 | mm,-2</t>
  </si>
  <si>
    <t>kHz,1</t>
  </si>
  <si>
    <t>kJ,1</t>
  </si>
  <si>
    <t>kJ,1 | m,1 | h,-1 | m,-2 | K,-1</t>
  </si>
  <si>
    <t>kJ,1 | dm,-3</t>
  </si>
  <si>
    <t>kJ,1 | h,-1 | m,-2 | K,-1</t>
  </si>
  <si>
    <t>kJ,1 | kg,-1</t>
  </si>
  <si>
    <t>kJ,1 | kg,-1 | K,-1</t>
  </si>
  <si>
    <t>kJ,1 | m,-3</t>
  </si>
  <si>
    <t>kJ,1 | kmol,-1</t>
  </si>
  <si>
    <t>kJ,1 | kmol,-1 | K,-1</t>
  </si>
  <si>
    <t>klbf,1</t>
  </si>
  <si>
    <t>klbm,1</t>
  </si>
  <si>
    <t>klbm,1 | in,-1</t>
  </si>
  <si>
    <t>mass per length | linear density</t>
  </si>
  <si>
    <t>klx,1</t>
  </si>
  <si>
    <t>km,1</t>
  </si>
  <si>
    <t>km,1 | cm,-1</t>
  </si>
  <si>
    <t>km,1 | dm,-3</t>
  </si>
  <si>
    <t>km,1 | h,-1</t>
  </si>
  <si>
    <t>km,1 | L,-1</t>
  </si>
  <si>
    <t>km,1 | s,-1</t>
  </si>
  <si>
    <t>km,2</t>
  </si>
  <si>
    <t>km,3</t>
  </si>
  <si>
    <t>kmol,1</t>
  </si>
  <si>
    <t>kN,1</t>
  </si>
  <si>
    <t>kN,1 | m,1</t>
  </si>
  <si>
    <t>kN,1 | m,2</t>
  </si>
  <si>
    <t>kN,1 | m,-1</t>
  </si>
  <si>
    <t>kN,1 | m,-2</t>
  </si>
  <si>
    <t>knot,1</t>
  </si>
  <si>
    <t>kohm,1</t>
  </si>
  <si>
    <t>kohm,1 | m,1</t>
  </si>
  <si>
    <t>kPa,1</t>
  </si>
  <si>
    <t>kPa,1 | s,1 | m,-1</t>
  </si>
  <si>
    <t>kPa,1 | h,-1</t>
  </si>
  <si>
    <t>kPa,1 | m,-1</t>
  </si>
  <si>
    <t>kPa,1 | min,-1</t>
  </si>
  <si>
    <t>kPa,2</t>
  </si>
  <si>
    <t>kPa,2 | cP,-1</t>
  </si>
  <si>
    <t>kPa,2 | kcP,-1</t>
  </si>
  <si>
    <t>kpsi,1</t>
  </si>
  <si>
    <t>kpsi,2</t>
  </si>
  <si>
    <t>krad,1</t>
  </si>
  <si>
    <t>kS,1</t>
  </si>
  <si>
    <t>ksm,3</t>
  </si>
  <si>
    <t>ksm,3 | d,-1</t>
  </si>
  <si>
    <t>ksm,3 | sm,-3</t>
  </si>
  <si>
    <t>kV,1</t>
  </si>
  <si>
    <t>kW,1</t>
  </si>
  <si>
    <t>kW,1 | h,1</t>
  </si>
  <si>
    <t>kW,1 | h,1 | dm,-3</t>
  </si>
  <si>
    <t>kW,1 | h,1 | kg,-1</t>
  </si>
  <si>
    <t>kW,1 | h,1 | kg,-1 | degC,-1</t>
  </si>
  <si>
    <t>kW,1 | h,1 | m,-3</t>
  </si>
  <si>
    <t>kW,1 | cm,-2</t>
  </si>
  <si>
    <t>kW,1 | m,-2</t>
  </si>
  <si>
    <t>kW,1 | m,-2 | K,-1</t>
  </si>
  <si>
    <t>kW,1 | m,-3</t>
  </si>
  <si>
    <t>kW,1 | m,-3 | K,-1</t>
  </si>
  <si>
    <t>L,1</t>
  </si>
  <si>
    <t>L,1 | bar,-1 | min,-1</t>
  </si>
  <si>
    <t>L,1 | h,-1</t>
  </si>
  <si>
    <t>L,1 | kg,-1</t>
  </si>
  <si>
    <t>L,1 | m,-1</t>
  </si>
  <si>
    <t>L,1 | m,-3</t>
  </si>
  <si>
    <t>L,1 | min,-1</t>
  </si>
  <si>
    <t>L,1 | mol,-1</t>
  </si>
  <si>
    <t>L,1 | kmol,-1</t>
  </si>
  <si>
    <t>L,1 | s,-1</t>
  </si>
  <si>
    <t>L,1 | s,-2</t>
  </si>
  <si>
    <t>L,1 | t,-1</t>
  </si>
  <si>
    <t>L,1 | tonUK,-1</t>
  </si>
  <si>
    <t>lbf,1</t>
  </si>
  <si>
    <t>lbf,1 | ft,1</t>
  </si>
  <si>
    <t>lbf,1 | ft,1 | bbl,-1</t>
  </si>
  <si>
    <t>lbf,1 | ft,1 | in,-1</t>
  </si>
  <si>
    <t>lbf,1 | ft,1 | in,-2</t>
  </si>
  <si>
    <t>lbf,1 | ft,1 | lbm,-1</t>
  </si>
  <si>
    <t>lbf,1 | in,1</t>
  </si>
  <si>
    <t>lbf,1 | in,1 | in,-1</t>
  </si>
  <si>
    <t>lbf,1 | in,2</t>
  </si>
  <si>
    <t>lbf,1 | s,1 | ft,-2</t>
  </si>
  <si>
    <t>lbf,1 | s,1 | in,-2</t>
  </si>
  <si>
    <t>lbf,1 | ft,-1</t>
  </si>
  <si>
    <t>lbf,1 | ft,-2</t>
  </si>
  <si>
    <t>lbf,1 | ft,-3</t>
  </si>
  <si>
    <t>lbf,1 | galUS,-1</t>
  </si>
  <si>
    <t>lbf,1 | in,-1</t>
  </si>
  <si>
    <t>lbf,1 | in,-2</t>
  </si>
  <si>
    <t>lbf,1 | lbf,-1</t>
  </si>
  <si>
    <t>lbm,1</t>
  </si>
  <si>
    <t>lbm,1 | ft,1 | s,-1</t>
  </si>
  <si>
    <t>momentum | impulse</t>
  </si>
  <si>
    <t>lbm,1 | ft,2</t>
  </si>
  <si>
    <t>lbm,1 | ft,2 | s,-2</t>
  </si>
  <si>
    <t>surface density | areic mass</t>
  </si>
  <si>
    <t>lbm,1 | bbl,-1</t>
  </si>
  <si>
    <t>lbm,1 | d,-1</t>
  </si>
  <si>
    <t>lbm,1 | ft,-1</t>
  </si>
  <si>
    <t>lbm,1 | ft,-1 | h,-1</t>
  </si>
  <si>
    <t>lbm,1 | ft,-1 | s,-1</t>
  </si>
  <si>
    <t>lbm,1 | ft,-2</t>
  </si>
  <si>
    <t>lbm,1 | ft,-3</t>
  </si>
  <si>
    <t>lbm,1 | ft,-4</t>
  </si>
  <si>
    <t>lbm,1 | galUK,-1</t>
  </si>
  <si>
    <t>lbm,1 | galUK,-1 | ft,-1</t>
  </si>
  <si>
    <t>lbm,1 | galUS,-1</t>
  </si>
  <si>
    <t>lbm,1 | galUS,-1 | ft,-1</t>
  </si>
  <si>
    <t>lbm,1 | h,-1</t>
  </si>
  <si>
    <t>lbm,1 | h,-1 | ft,-1</t>
  </si>
  <si>
    <t>lbm,1 | h,-1 | ft,-2</t>
  </si>
  <si>
    <t>lbm,1 | hp,-1 | h,-1</t>
  </si>
  <si>
    <t>lbm,1 | in,-3</t>
  </si>
  <si>
    <t>lbm,1 | Mbbl,-1</t>
  </si>
  <si>
    <t>lbm,1 | min,-1</t>
  </si>
  <si>
    <t>lbm,1 | s,-1</t>
  </si>
  <si>
    <t>lbm,1 | s,-1 | ft,-1</t>
  </si>
  <si>
    <t>lbm,1 | s,-1 | ft,-2</t>
  </si>
  <si>
    <t>lkBnA,1</t>
  </si>
  <si>
    <t>lkBnB,1</t>
  </si>
  <si>
    <t>lkCla,1</t>
  </si>
  <si>
    <t>lkSe,1</t>
  </si>
  <si>
    <t>lkUS,1</t>
  </si>
  <si>
    <t>lm,1 | m,-2</t>
  </si>
  <si>
    <t>m,1 | cm,-1</t>
  </si>
  <si>
    <t>m,1 | d,-1</t>
  </si>
  <si>
    <t>m,1 | h,-1</t>
  </si>
  <si>
    <t>m,1 | km,-1</t>
  </si>
  <si>
    <t>m,1 | m,-1</t>
  </si>
  <si>
    <t>m,1 | m,-1 | K,-1</t>
  </si>
  <si>
    <t>m,1 | m,-3</t>
  </si>
  <si>
    <t>m,1 | min,-1</t>
  </si>
  <si>
    <t>m,1 | ms,-1</t>
  </si>
  <si>
    <t>m,2 | cm,-3</t>
  </si>
  <si>
    <t>m,2 | d,-1 | kPa,-1</t>
  </si>
  <si>
    <t>m,2 | g,-1</t>
  </si>
  <si>
    <t>m,2 | h,-1</t>
  </si>
  <si>
    <t>m,2 | m,-2</t>
  </si>
  <si>
    <t>m,2 | m,-3</t>
  </si>
  <si>
    <t>m,3 | bar,-1 | d,-1</t>
  </si>
  <si>
    <t>m,3 | bar,-1 | h,-1</t>
  </si>
  <si>
    <t>m,3 | bar,-1 | min,-1</t>
  </si>
  <si>
    <t>m,3 | cP,-1 | d,-1 | kPa,-1</t>
  </si>
  <si>
    <t>m,3 | cP,-1 | Pa,-1 | s,-1</t>
  </si>
  <si>
    <t>m,3 | d,-1</t>
  </si>
  <si>
    <t>m,3 | d,-1 | kPa,-1</t>
  </si>
  <si>
    <t>m,3 | d,-1 | m,-1</t>
  </si>
  <si>
    <t>m,3 | d,-2</t>
  </si>
  <si>
    <t>m,3 | g,-1</t>
  </si>
  <si>
    <t>m,3 | h,-1</t>
  </si>
  <si>
    <t>m,3 | h,-1 | m,-1</t>
  </si>
  <si>
    <t>m,3 | ha,-1 | m,-1</t>
  </si>
  <si>
    <t>m,3 | km,-1</t>
  </si>
  <si>
    <t>m,3 | kPa,-1 | d,-1</t>
  </si>
  <si>
    <t>m,3 | kPa,-1 | h,-1</t>
  </si>
  <si>
    <t>m,3 | kW,-1 | h,-1</t>
  </si>
  <si>
    <t>m,3 | m,-1</t>
  </si>
  <si>
    <t>m,3 | m,-2</t>
  </si>
  <si>
    <t>m,3 | m,-3</t>
  </si>
  <si>
    <t>m,3 | min,-1</t>
  </si>
  <si>
    <t>m,3 | kmol,-1</t>
  </si>
  <si>
    <t>m,3 | psi,-1 | d,-1</t>
  </si>
  <si>
    <t>m,3 | s,-1 | ft,-1</t>
  </si>
  <si>
    <t>m,3 | s,-1 | m,-1</t>
  </si>
  <si>
    <t>m,3 | s,-1 | m,-2</t>
  </si>
  <si>
    <t>m,3 | t,-1</t>
  </si>
  <si>
    <t>m,3 | tonUK,-1</t>
  </si>
  <si>
    <t>m,3 | tonUS,-1</t>
  </si>
  <si>
    <t>mA,1</t>
  </si>
  <si>
    <t>Ma,1</t>
  </si>
  <si>
    <t>MA,1</t>
  </si>
  <si>
    <t>mA,1 | cm,-2</t>
  </si>
  <si>
    <t>mA,1 | ft,-2</t>
  </si>
  <si>
    <t>mbar,1</t>
  </si>
  <si>
    <t>Mbbl,1</t>
  </si>
  <si>
    <t>Mbbl,1 | ft,1 | d,-1</t>
  </si>
  <si>
    <t>Mbbl,1 | d,-1</t>
  </si>
  <si>
    <t>MBq,1</t>
  </si>
  <si>
    <t>MBtu,1 | hr,-1</t>
  </si>
  <si>
    <t>Mbyte,1</t>
  </si>
  <si>
    <t>mC,1</t>
  </si>
  <si>
    <t>mC,1 | m,-2</t>
  </si>
  <si>
    <t>Mcf,1</t>
  </si>
  <si>
    <t>mcurie,1</t>
  </si>
  <si>
    <t>mD,1</t>
  </si>
  <si>
    <t>mD,1 | ft,1</t>
  </si>
  <si>
    <t>mD,1 | ft,2 | lbf,-1 | s,-1</t>
  </si>
  <si>
    <t>mD,1 | in,2 | lbf,-1 | s,-1</t>
  </si>
  <si>
    <t>mD,1 | m,1</t>
  </si>
  <si>
    <t>mD,1 | cP,-1</t>
  </si>
  <si>
    <t>mD,1 | Pa,-1 | s,-1</t>
  </si>
  <si>
    <t>meq,1</t>
  </si>
  <si>
    <t>meq,1 | cm,-3</t>
  </si>
  <si>
    <t>meq,1 | g,-1</t>
  </si>
  <si>
    <t>mEuc,1</t>
  </si>
  <si>
    <t>MeV,1</t>
  </si>
  <si>
    <t>Mflops,1</t>
  </si>
  <si>
    <t>Mg,1</t>
  </si>
  <si>
    <t>mg,1</t>
  </si>
  <si>
    <t>Mg,1 | a,-1</t>
  </si>
  <si>
    <t>Mg,1 | d,-1</t>
  </si>
  <si>
    <t>mg,1 | dm,-3</t>
  </si>
  <si>
    <t>mg,1 | galUS,-1</t>
  </si>
  <si>
    <t>Mg,1 | h,-1</t>
  </si>
  <si>
    <t>Mg,1 | in,-1</t>
  </si>
  <si>
    <t>mg,1 | J,-1</t>
  </si>
  <si>
    <t>mg,1 | kg,-1</t>
  </si>
  <si>
    <t>mg,1 | L,-1</t>
  </si>
  <si>
    <t>Mg,1 | m,-2</t>
  </si>
  <si>
    <t>mg,1 | m,-3</t>
  </si>
  <si>
    <t>Mg,1 | m,-3</t>
  </si>
  <si>
    <t>mGal,1</t>
  </si>
  <si>
    <t>mgauss,1</t>
  </si>
  <si>
    <t>mGer,1</t>
  </si>
  <si>
    <t>Mgf,1</t>
  </si>
  <si>
    <t>mgn,1</t>
  </si>
  <si>
    <t>mGy,1</t>
  </si>
  <si>
    <t>mH,1</t>
  </si>
  <si>
    <t>self inductance | permeance</t>
  </si>
  <si>
    <t>mho,1</t>
  </si>
  <si>
    <t>mho,1 | m,-1</t>
  </si>
  <si>
    <t>MHz,1</t>
  </si>
  <si>
    <t>mHz,1</t>
  </si>
  <si>
    <t>mi,1</t>
  </si>
  <si>
    <t>length | breadth | height | thickness | radius | radius of curvature | Cartesian coordinates | diameter | length of path | distance | wavelength</t>
  </si>
  <si>
    <t>mi,1 | galUK,-1</t>
  </si>
  <si>
    <t>mi,1 | galUS,-1</t>
  </si>
  <si>
    <t>mi,1 | h,-1</t>
  </si>
  <si>
    <t>mi,1 | in,-1</t>
  </si>
  <si>
    <t>mi,2</t>
  </si>
  <si>
    <t>mi,3</t>
  </si>
  <si>
    <t>mil,1</t>
  </si>
  <si>
    <t>length | breadth | height | thickness | radius | radius of curvature | diameter | length of path | distance | wavelength | mean free path</t>
  </si>
  <si>
    <t>mil,1 | yr,-1</t>
  </si>
  <si>
    <t>mila,1</t>
  </si>
  <si>
    <t>min,1</t>
  </si>
  <si>
    <t>min,1 | ft,-1</t>
  </si>
  <si>
    <t>min,1 | m,-1</t>
  </si>
  <si>
    <t>mina,1</t>
  </si>
  <si>
    <t>miUS,1</t>
  </si>
  <si>
    <t>miUS,2</t>
  </si>
  <si>
    <t>MJ,1</t>
  </si>
  <si>
    <t>mJ,1</t>
  </si>
  <si>
    <t>MJ,1 | a,-1</t>
  </si>
  <si>
    <t>mJ,1 | cm,-2</t>
  </si>
  <si>
    <t>MJ,1 | kg,-1</t>
  </si>
  <si>
    <t>MJ,1 | m,-1</t>
  </si>
  <si>
    <t>mJ,1 | m,-2</t>
  </si>
  <si>
    <t>MJ,1 | m,-3</t>
  </si>
  <si>
    <t>MJ,1 | kmol,-1</t>
  </si>
  <si>
    <t>mK,1 | m,-1</t>
  </si>
  <si>
    <t>mL,1</t>
  </si>
  <si>
    <t>mL,1 | galUK,-1</t>
  </si>
  <si>
    <t>mL,1 | galUS,-1</t>
  </si>
  <si>
    <t>mL,1 | mL,-1</t>
  </si>
  <si>
    <t>Mlbm,1 | yr,-1</t>
  </si>
  <si>
    <t>mm,1</t>
  </si>
  <si>
    <t>Mm,1</t>
  </si>
  <si>
    <t>mm,1 | a,-1</t>
  </si>
  <si>
    <t>mm,1 | mm,-1 | K,-1</t>
  </si>
  <si>
    <t>mm,1 | s,-1</t>
  </si>
  <si>
    <t>mm,2</t>
  </si>
  <si>
    <t>mm,2 | mm,-2</t>
  </si>
  <si>
    <t>mm,2 | s,-1</t>
  </si>
  <si>
    <t>mm,3</t>
  </si>
  <si>
    <t>mm,3 | J,-1</t>
  </si>
  <si>
    <t>MMbbl,1</t>
  </si>
  <si>
    <t>MMbbl,1 | acre,-1 | ft,-1</t>
  </si>
  <si>
    <t>MMcf,1</t>
  </si>
  <si>
    <t>mmho,1 | m,-1</t>
  </si>
  <si>
    <t>mmol,1</t>
  </si>
  <si>
    <t>MMstb,1 | acre,-1</t>
  </si>
  <si>
    <t>MMstb,1 | acre,-1 | ft,-1</t>
  </si>
  <si>
    <t>MN,1</t>
  </si>
  <si>
    <t>mN,1</t>
  </si>
  <si>
    <t>mN,1 | m,2</t>
  </si>
  <si>
    <t>mN,1 | km,-1</t>
  </si>
  <si>
    <t>mN,1 | m,-1</t>
  </si>
  <si>
    <t>Mohm,1</t>
  </si>
  <si>
    <t>mohm,1</t>
  </si>
  <si>
    <t>kmol,1 | h,-1</t>
  </si>
  <si>
    <t>kmol,1 | m,-3</t>
  </si>
  <si>
    <t>concentration of B | amount of a substance</t>
  </si>
  <si>
    <t>kmol,1 | s,-1</t>
  </si>
  <si>
    <t>lbmole,1</t>
  </si>
  <si>
    <t>lbmole,1 | ft,-3</t>
  </si>
  <si>
    <t>lbmole,1 | galUK,-1</t>
  </si>
  <si>
    <t>lbmole,1 | galUS,-1</t>
  </si>
  <si>
    <t>lbmole,1 | h,-1</t>
  </si>
  <si>
    <t>lbmole,1 | h,-1 | ft,-2</t>
  </si>
  <si>
    <t>lbmole,1 | s,-1</t>
  </si>
  <si>
    <t>lbmole,1 | s,-1 | ft,-2</t>
  </si>
  <si>
    <t>mPa,1</t>
  </si>
  <si>
    <t>MPa,1</t>
  </si>
  <si>
    <t>mPa,1 | s,1</t>
  </si>
  <si>
    <t>MPa,1 | s,1 | m,-1</t>
  </si>
  <si>
    <t>MPa,1 | h,-1</t>
  </si>
  <si>
    <t>MPa,1 | m,-1</t>
  </si>
  <si>
    <t>Mpsi,1</t>
  </si>
  <si>
    <t>mrad,1</t>
  </si>
  <si>
    <t>Mrad,1</t>
  </si>
  <si>
    <t>mrem,1</t>
  </si>
  <si>
    <t>mrem,1 | h,-1</t>
  </si>
  <si>
    <t>mS,1</t>
  </si>
  <si>
    <t>ms,1</t>
  </si>
  <si>
    <t>ms,1 | cm,-1</t>
  </si>
  <si>
    <t>time per length | slowness</t>
  </si>
  <si>
    <t>ms,1 | ft,-1</t>
  </si>
  <si>
    <t>ms,1 | in,-1</t>
  </si>
  <si>
    <t>mS,1 | m,-1</t>
  </si>
  <si>
    <t>ms,1 | m,-1</t>
  </si>
  <si>
    <t>ms,1 | s,-1</t>
  </si>
  <si>
    <t>mseca,1</t>
  </si>
  <si>
    <t>Msm,3</t>
  </si>
  <si>
    <t>mSv,1</t>
  </si>
  <si>
    <t>mSv,1 | h,-1</t>
  </si>
  <si>
    <t>mT,1</t>
  </si>
  <si>
    <t>MV,1</t>
  </si>
  <si>
    <t>mV,1</t>
  </si>
  <si>
    <t>mV,1 | ft,-1</t>
  </si>
  <si>
    <t>mV,1 | m,-1</t>
  </si>
  <si>
    <t>MW,1</t>
  </si>
  <si>
    <t>mW,1</t>
  </si>
  <si>
    <t>MW,1 | h,1</t>
  </si>
  <si>
    <t>MW,1 | h,1 | kg,-1</t>
  </si>
  <si>
    <t>MW,1 | h,1 | m,-3</t>
  </si>
  <si>
    <t>mW,1 | m,-2</t>
  </si>
  <si>
    <t>mWb,1</t>
  </si>
  <si>
    <t>MY,1</t>
  </si>
  <si>
    <t>N,1 | m,1</t>
  </si>
  <si>
    <t>N,1 | m,1 | m,-1</t>
  </si>
  <si>
    <t>N,1 | s,1 | m,-2</t>
  </si>
  <si>
    <t>N,1 | m,-2</t>
  </si>
  <si>
    <t>N,1 | mm,-2</t>
  </si>
  <si>
    <t>nA,1</t>
  </si>
  <si>
    <t>nautmi,1</t>
  </si>
  <si>
    <t>nC,1</t>
  </si>
  <si>
    <t>ncurie,1</t>
  </si>
  <si>
    <t>nEuc,1</t>
  </si>
  <si>
    <t>nH,1</t>
  </si>
  <si>
    <t>nJ,1</t>
  </si>
  <si>
    <t>nm,1</t>
  </si>
  <si>
    <t>length | breadth | height | thickness | radius | radius of curvature | diameter | length of path | wavelength | mean free path</t>
  </si>
  <si>
    <t>nm,1 | s,-1</t>
  </si>
  <si>
    <t>nohm,1</t>
  </si>
  <si>
    <t>ns,1</t>
  </si>
  <si>
    <t>ns,1 | ft,-1</t>
  </si>
  <si>
    <t>ns,1 | m,-1</t>
  </si>
  <si>
    <t>nT,1</t>
  </si>
  <si>
    <t>nW,1</t>
  </si>
  <si>
    <t>Oe,1</t>
  </si>
  <si>
    <t>ohm,1 | cm,1</t>
  </si>
  <si>
    <t>ozf,1</t>
  </si>
  <si>
    <t>ozm,1</t>
  </si>
  <si>
    <t>P,1</t>
  </si>
  <si>
    <t>pA,1</t>
  </si>
  <si>
    <t>Pa,1 | s,2 | m,-3</t>
  </si>
  <si>
    <t>Pa,1 | h,-1</t>
  </si>
  <si>
    <t>pC,1</t>
  </si>
  <si>
    <t>pCi,1 | g,-1</t>
  </si>
  <si>
    <t>pcurie,1</t>
  </si>
  <si>
    <t>pdl,1</t>
  </si>
  <si>
    <t>pdl,1 | cm,2</t>
  </si>
  <si>
    <t>pdl,1 | ft,1</t>
  </si>
  <si>
    <t>pdl,1 | cm,-1</t>
  </si>
  <si>
    <t>permil,1</t>
  </si>
  <si>
    <t>volumic concentration | mass concentration</t>
  </si>
  <si>
    <t>pF,1</t>
  </si>
  <si>
    <t>pm,1</t>
  </si>
  <si>
    <t>pPa,1</t>
  </si>
  <si>
    <t>ppdk,1</t>
  </si>
  <si>
    <t>ppk,1</t>
  </si>
  <si>
    <t>ppm,1</t>
  </si>
  <si>
    <t>ppm,1 | degC,-1</t>
  </si>
  <si>
    <t>ppm,1 | degF,-1</t>
  </si>
  <si>
    <t>ps,1</t>
  </si>
  <si>
    <t>pS,1</t>
  </si>
  <si>
    <t>psf,1</t>
  </si>
  <si>
    <t>psi,1</t>
  </si>
  <si>
    <t>psi,1 | d,1 | bbl,-1</t>
  </si>
  <si>
    <t>psi,1 | s,1</t>
  </si>
  <si>
    <t>psi,1 | ft,-1</t>
  </si>
  <si>
    <t>psi,1 | h,-1</t>
  </si>
  <si>
    <t>psi,1 | kft,-1</t>
  </si>
  <si>
    <t>psi,1 | m,-1</t>
  </si>
  <si>
    <t>psi,1 | min,-1</t>
  </si>
  <si>
    <t>psi,2</t>
  </si>
  <si>
    <t>psi,2 | d,1 | cP,-1 | ft,-3</t>
  </si>
  <si>
    <t>psi,2 | d,1 | cp,-1 | ft,-3</t>
  </si>
  <si>
    <t>psi,2 | d,2 | cP,-1 | ft,-6</t>
  </si>
  <si>
    <t>psi,2 | d,2 | cp,-1 | ft,-6</t>
  </si>
  <si>
    <t>psi,2 | cP,-1</t>
  </si>
  <si>
    <t>psia,1</t>
  </si>
  <si>
    <t>psig,1</t>
  </si>
  <si>
    <t>ptUK,1</t>
  </si>
  <si>
    <t>ptUK,1 | hp,-1 | hr,-1</t>
  </si>
  <si>
    <t>ptUK,1 | Mbbl,-1</t>
  </si>
  <si>
    <t>ptUS,1</t>
  </si>
  <si>
    <t>qtUK,1</t>
  </si>
  <si>
    <t>qtUS,1</t>
  </si>
  <si>
    <t>quad,1</t>
  </si>
  <si>
    <t>quad,1 | yr,-1</t>
  </si>
  <si>
    <t>rad,1 | ft,-1</t>
  </si>
  <si>
    <t>rad,1 | ft,-3</t>
  </si>
  <si>
    <t>rd,1</t>
  </si>
  <si>
    <t>rem,1</t>
  </si>
  <si>
    <t>rem,1 | h,-1</t>
  </si>
  <si>
    <t>rev,1 | min,-1</t>
  </si>
  <si>
    <t>rev,1 | s,-1</t>
  </si>
  <si>
    <t>rpm,1</t>
  </si>
  <si>
    <t>rpm,1 | s,-1</t>
  </si>
  <si>
    <t>s,1 | cm,-1</t>
  </si>
  <si>
    <t>s,1 | ft,-1</t>
  </si>
  <si>
    <t>s,1 | ft,-3</t>
  </si>
  <si>
    <t>s,1 | in,-1</t>
  </si>
  <si>
    <t>s,1 | L,-1</t>
  </si>
  <si>
    <t>s,1 | qtUK,-1</t>
  </si>
  <si>
    <t>s,1 | qtUS,-1</t>
  </si>
  <si>
    <t>scm(15C),1 | d,-1</t>
  </si>
  <si>
    <t>seca,1</t>
  </si>
  <si>
    <t>sigma,1</t>
  </si>
  <si>
    <t>sm,3 | ksm,-3</t>
  </si>
  <si>
    <t>sm,3 | sm,-3</t>
  </si>
  <si>
    <t>Sv,1 | h,-1</t>
  </si>
  <si>
    <t>t,1</t>
  </si>
  <si>
    <t>t,1 | a,-1</t>
  </si>
  <si>
    <t>t,1 | d,-1</t>
  </si>
  <si>
    <t>t,1 | h,-1</t>
  </si>
  <si>
    <t>t,1 | min,-1</t>
  </si>
  <si>
    <t>talbot,1</t>
  </si>
  <si>
    <t>TBq,1</t>
  </si>
  <si>
    <t>tcf,1</t>
  </si>
  <si>
    <t>TeV,1</t>
  </si>
  <si>
    <t>therm,1</t>
  </si>
  <si>
    <t>therm,1 | ft,-3</t>
  </si>
  <si>
    <t>therm,1 | galUK,-1</t>
  </si>
  <si>
    <t>therm,1 | lbm,-1</t>
  </si>
  <si>
    <t>TJ,1</t>
  </si>
  <si>
    <t>TJ,1 | a,-1</t>
  </si>
  <si>
    <t>Tohm,1</t>
  </si>
  <si>
    <t>tonfUK,1</t>
  </si>
  <si>
    <t>tonfUK,1 | ft,2</t>
  </si>
  <si>
    <t>tonfUK,1 | ft,-1</t>
  </si>
  <si>
    <t>tonfUK,1 | ft,-2</t>
  </si>
  <si>
    <t>tonfUS,1</t>
  </si>
  <si>
    <t>tonfUS,1 | ft,1</t>
  </si>
  <si>
    <t>tonfUS,1 | ft,2</t>
  </si>
  <si>
    <t>tonfUS,1 | mi,1</t>
  </si>
  <si>
    <t>tonfUS,1 | mi,1 | bbl,-1</t>
  </si>
  <si>
    <t>tonfUS,1 | mi,1 | ft,-1</t>
  </si>
  <si>
    <t>tonfUS,1 | ft,-1</t>
  </si>
  <si>
    <t>tonfUS,1 | ft,-2</t>
  </si>
  <si>
    <t>tonfUS,1 | in,-2</t>
  </si>
  <si>
    <t>tonUK,1</t>
  </si>
  <si>
    <t>tonUK,1 | a,-1</t>
  </si>
  <si>
    <t>tonUK,1 | d,-1</t>
  </si>
  <si>
    <t>tonUK,1 | h,-1</t>
  </si>
  <si>
    <t>tonUK,1 | min,-1</t>
  </si>
  <si>
    <t>tonUS,1</t>
  </si>
  <si>
    <t>tonUS,1 | a,-1</t>
  </si>
  <si>
    <t>tonUS,1 | d,-1</t>
  </si>
  <si>
    <t>tonUS,1 | ft,-2</t>
  </si>
  <si>
    <t>tonUS,1 | h,-1</t>
  </si>
  <si>
    <t>tonUS,1 | min,-1</t>
  </si>
  <si>
    <t>torr,1</t>
  </si>
  <si>
    <t>TW,1</t>
  </si>
  <si>
    <t>TW,1 | h,1</t>
  </si>
  <si>
    <t>uA,1</t>
  </si>
  <si>
    <t>uA,1 | cm,-2</t>
  </si>
  <si>
    <t>uA,1 | in,-2</t>
  </si>
  <si>
    <t>ubar,1</t>
  </si>
  <si>
    <t>uC,1</t>
  </si>
  <si>
    <t>ucal,1 | s,-1 | cm,-2</t>
  </si>
  <si>
    <t>ucurie,1</t>
  </si>
  <si>
    <t>uEuc,1</t>
  </si>
  <si>
    <t>uF,1</t>
  </si>
  <si>
    <t>uF,1 | m,-1</t>
  </si>
  <si>
    <t>ug,1</t>
  </si>
  <si>
    <t>ug,1 | cm,-3</t>
  </si>
  <si>
    <t>uH,1</t>
  </si>
  <si>
    <t>uH,1 | m,-1</t>
  </si>
  <si>
    <t>uHz,1</t>
  </si>
  <si>
    <t>uJ,1</t>
  </si>
  <si>
    <t>um,1</t>
  </si>
  <si>
    <t>um,1 | s,-1</t>
  </si>
  <si>
    <t>um,2</t>
  </si>
  <si>
    <t>um,2 | m,1</t>
  </si>
  <si>
    <t>umol,1</t>
  </si>
  <si>
    <t>uN,1</t>
  </si>
  <si>
    <t>unitless,1</t>
  </si>
  <si>
    <t>uohm,1</t>
  </si>
  <si>
    <t>uohm,1 | ft,-1</t>
  </si>
  <si>
    <t>uohm,1 | m,-1</t>
  </si>
  <si>
    <t>uPa,1</t>
  </si>
  <si>
    <t>upsi,1</t>
  </si>
  <si>
    <t>urad,1</t>
  </si>
  <si>
    <t>uS,1</t>
  </si>
  <si>
    <t>us,1</t>
  </si>
  <si>
    <t>us,1 | ft,-1</t>
  </si>
  <si>
    <t>us,1 | m,-1</t>
  </si>
  <si>
    <t>uT,1</t>
  </si>
  <si>
    <t>uV,1</t>
  </si>
  <si>
    <t>uV,1 | ft,-1</t>
  </si>
  <si>
    <t>uV,1 | m,-1</t>
  </si>
  <si>
    <t>uW,1</t>
  </si>
  <si>
    <t>uW,1 | m,-3</t>
  </si>
  <si>
    <t>uWb,1</t>
  </si>
  <si>
    <t>V,1 | dB,-1</t>
  </si>
  <si>
    <t>volpercent,1</t>
  </si>
  <si>
    <t>volppm,1</t>
  </si>
  <si>
    <t>W,1 | cm,-2</t>
  </si>
  <si>
    <t>W,1 | kW,-1</t>
  </si>
  <si>
    <t>W,1 | mm,-2</t>
  </si>
  <si>
    <t>W,1 | W,-1</t>
  </si>
  <si>
    <t>Wb,1 | mm,-1</t>
  </si>
  <si>
    <t>wk,1</t>
  </si>
  <si>
    <t>wtpercent,1</t>
  </si>
  <si>
    <t>wtppm,1</t>
  </si>
  <si>
    <t>yd,1</t>
  </si>
  <si>
    <t>length | breadth | height | thickness | radius | radius of curvature | Cartesian coordinates | diameter | length of path | distance</t>
  </si>
  <si>
    <t>yd,2</t>
  </si>
  <si>
    <t>yd,3</t>
  </si>
  <si>
    <t>ydBnA,1</t>
  </si>
  <si>
    <t>ydBnB,1</t>
  </si>
  <si>
    <t>ydCla,1</t>
  </si>
  <si>
    <t>ydIm,1</t>
  </si>
  <si>
    <t>ydInd,1</t>
  </si>
  <si>
    <t>ydSe,1</t>
  </si>
  <si>
    <t>%,1</t>
  </si>
  <si>
    <t>1000ft3,1</t>
  </si>
  <si>
    <t>1000ft3,1 | bbl,-1</t>
  </si>
  <si>
    <t>1000ft3,1 | d,-1</t>
  </si>
  <si>
    <t>1000ft3,1 | d,-1 | ft,-1</t>
  </si>
  <si>
    <t>1000ft3,1 | psi,-1 | d,-1</t>
  </si>
  <si>
    <t>1000m3,1 | d,-1</t>
  </si>
  <si>
    <t>1000m3,1 | d,-1 | m,-1</t>
  </si>
  <si>
    <t>1000m3,1 | h,-1</t>
  </si>
  <si>
    <t>1000m3,1 | h,-1 | m,-1</t>
  </si>
  <si>
    <t>1000m4,1 | d,-1</t>
  </si>
  <si>
    <t>100ka,1</t>
  </si>
  <si>
    <t>10Mg,1 | m,-3</t>
  </si>
  <si>
    <t>bbl,1 | 100bbl,-1</t>
  </si>
  <si>
    <t>bbl,1 | k(ft3),-1</t>
  </si>
  <si>
    <t>bbl,1 | M(ft3),-1</t>
  </si>
  <si>
    <t>bbl,1 | MMscf(60F),-1</t>
  </si>
  <si>
    <t>bbl,1 | stb(60F),-1</t>
  </si>
  <si>
    <t>Btu(million),1 | hr,-1</t>
  </si>
  <si>
    <t>Btu,1 | mol(lbm),-1</t>
  </si>
  <si>
    <t>Btu,1 | mol(lbm),-1 | F,-1</t>
  </si>
  <si>
    <t>cal,1 | mol(g),-1 | degC,-1</t>
  </si>
  <si>
    <t>cm,3 | 30min,-1</t>
  </si>
  <si>
    <t>cmH2O(4degC),1</t>
  </si>
  <si>
    <t>cu ft,1</t>
  </si>
  <si>
    <t>cu in,1</t>
  </si>
  <si>
    <t>cu yd,1</t>
  </si>
  <si>
    <t>d,1 | k(ft3),-1</t>
  </si>
  <si>
    <t>dega,1 | 100ft,-1</t>
  </si>
  <si>
    <t>dega,1 | 30ft,-1</t>
  </si>
  <si>
    <t>dega,1 | 30m,-1</t>
  </si>
  <si>
    <t>dega,1 | ft(100),-1</t>
  </si>
  <si>
    <t>dega,1 | m(30),-1</t>
  </si>
  <si>
    <t>degC,1 | 100m,-1</t>
  </si>
  <si>
    <t>degF,1 | 100ft,-1</t>
  </si>
  <si>
    <t>degF,1 | ft(100),-1</t>
  </si>
  <si>
    <t>dm,3 | 100km,-1</t>
  </si>
  <si>
    <t>dm,3 | km(100),-1</t>
  </si>
  <si>
    <t>dm,3 | mol(kg),-1</t>
  </si>
  <si>
    <t>fl ozUK,1</t>
  </si>
  <si>
    <t>fl ozUS,1</t>
  </si>
  <si>
    <t>ft,1 | 100ft,-1</t>
  </si>
  <si>
    <t>ft3(std,60F),1</t>
  </si>
  <si>
    <t>ft,3 | mol(lbm),-1</t>
  </si>
  <si>
    <t>ft,3 | scf(60F),-1</t>
  </si>
  <si>
    <t>ftBr(65),1</t>
  </si>
  <si>
    <t>ftInd(37),1</t>
  </si>
  <si>
    <t>ftInd(62),1</t>
  </si>
  <si>
    <t>ftInd(75),1</t>
  </si>
  <si>
    <t>galUS,1 | 10bbl,-1</t>
  </si>
  <si>
    <t>galUS,1 | Mscf(60F),-1</t>
  </si>
  <si>
    <t>grain,1 | 100ft3,-1</t>
  </si>
  <si>
    <t>grain,1 | ft3(100),-1</t>
  </si>
  <si>
    <t>inH2O(60F),1</t>
  </si>
  <si>
    <t>inHg(32F),1</t>
  </si>
  <si>
    <t>inHg(60F),1</t>
  </si>
  <si>
    <t>kcal,1 | mol(g),-1</t>
  </si>
  <si>
    <t>kJ,1 | mol(kg),-1</t>
  </si>
  <si>
    <t>kJ,1 | mol(kg),-1 | K,-1</t>
  </si>
  <si>
    <t>kPa,1 | 100m,-1</t>
  </si>
  <si>
    <t>L,1 | 100kg,-1</t>
  </si>
  <si>
    <t>L,1 | 100km,-1</t>
  </si>
  <si>
    <t>L,1 | 10bbl,-1</t>
  </si>
  <si>
    <t>L,1 | km(100),-1</t>
  </si>
  <si>
    <t>L,1 | mol(g),-1</t>
  </si>
  <si>
    <t>L,1 | mol(kg),-1</t>
  </si>
  <si>
    <t>lbf,1 | 100ft,-1</t>
  </si>
  <si>
    <t>lbf,1 | 100ft2,-1</t>
  </si>
  <si>
    <t>lbf,1 | 30m,-1</t>
  </si>
  <si>
    <t>lbf,1 | ft2(100),-1</t>
  </si>
  <si>
    <t>lbm(million),1 | yr,-1</t>
  </si>
  <si>
    <t>lbm,1 | 100ft2,-1</t>
  </si>
  <si>
    <t>lbm,1 | 10bbl,-1</t>
  </si>
  <si>
    <t>lbm,1 | galUK(1000),-1</t>
  </si>
  <si>
    <t>lbm,1 | galUS(1000),-1</t>
  </si>
  <si>
    <t>M(ft3),1</t>
  </si>
  <si>
    <t>M(ft3),1 | acre,-1 | ft,-1</t>
  </si>
  <si>
    <t>M(ft3),1 | d,-1</t>
  </si>
  <si>
    <t>M(m3),1</t>
  </si>
  <si>
    <t>M(m3),1 | d,-1</t>
  </si>
  <si>
    <t>m,1 | 30m,-1</t>
  </si>
  <si>
    <t>m3(std,0C),1</t>
  </si>
  <si>
    <t>m3(std,15C),1</t>
  </si>
  <si>
    <t>m,3 | mol(kg),-1</t>
  </si>
  <si>
    <t>meq,1 | 100g,-1</t>
  </si>
  <si>
    <t>MJ,1 | mol(kg),-1</t>
  </si>
  <si>
    <t>mmHg(0C),1</t>
  </si>
  <si>
    <t>MMscf(60F),1</t>
  </si>
  <si>
    <t>MMscf(60F),1 | d,-1</t>
  </si>
  <si>
    <t>MMscf60,1 | stb60,-1</t>
  </si>
  <si>
    <t>MMscm(15C),1</t>
  </si>
  <si>
    <t>MMscm(15C),1 | d,-1</t>
  </si>
  <si>
    <t>MMstb(60F),1</t>
  </si>
  <si>
    <t>MMstb(60F),1 | d,-1</t>
  </si>
  <si>
    <t>mol(g),1</t>
  </si>
  <si>
    <t>mol(kg),1</t>
  </si>
  <si>
    <t>mol(kg),1 | h,-1</t>
  </si>
  <si>
    <t>mol(kg),1 | m,-3</t>
  </si>
  <si>
    <t>mol(kg),1 | s,-1</t>
  </si>
  <si>
    <t>mol(lbm),1</t>
  </si>
  <si>
    <t>mol(lbm),1 | ft,-3</t>
  </si>
  <si>
    <t>mol(lbm),1 | galUK,-1</t>
  </si>
  <si>
    <t>mol(lbm),1 | galUS,-1</t>
  </si>
  <si>
    <t>mol(lbm),1 | h,-1</t>
  </si>
  <si>
    <t>mol(lbm),1 | h,-1 | ft,-2</t>
  </si>
  <si>
    <t>mol(lbm),1 | s,-1</t>
  </si>
  <si>
    <t>mol(lbm),1 | s,-1 | ft,-2</t>
  </si>
  <si>
    <t>Mscf(60F),1</t>
  </si>
  <si>
    <t>Mscf(60F),1 | d,-1</t>
  </si>
  <si>
    <t>Mscf60,1 | stb60,-1</t>
  </si>
  <si>
    <t>Mscm(15C),1 | d,-1</t>
  </si>
  <si>
    <t>Mstb(60F),1</t>
  </si>
  <si>
    <t>Mstb(60F),1 | d,-1</t>
  </si>
  <si>
    <t>N,1 | 30m,-1</t>
  </si>
  <si>
    <t>oz(av),1</t>
  </si>
  <si>
    <t>oz(troy),1</t>
  </si>
  <si>
    <t>Pa(g),1</t>
  </si>
  <si>
    <t>psi,1 | 100ft,-1</t>
  </si>
  <si>
    <t>psi,1 | ft(100),-1</t>
  </si>
  <si>
    <t>ptUS,1 | 10bbl,-1</t>
  </si>
  <si>
    <t>scf(60F),1</t>
  </si>
  <si>
    <t>scf(60F),1 | bbl,-1</t>
  </si>
  <si>
    <t>scf(60F),1 | d,-1</t>
  </si>
  <si>
    <t>scf(60F),1 | ft,-2</t>
  </si>
  <si>
    <t>scf(60F),1 | ft,-3</t>
  </si>
  <si>
    <t>sq ft,1</t>
  </si>
  <si>
    <t>sq in,1</t>
  </si>
  <si>
    <t>sq mi,1</t>
  </si>
  <si>
    <t>sq yd,1</t>
  </si>
  <si>
    <t>stb(60F),1</t>
  </si>
  <si>
    <t>stb(60F),1 | acre,-1</t>
  </si>
  <si>
    <t>stb(60F),1 | bbl,-1</t>
  </si>
  <si>
    <t>stb(60F),1 | d,-1</t>
  </si>
  <si>
    <t>stb60,1 | MMscf60,-1</t>
  </si>
  <si>
    <t>stb60,1 | Mscf60,-1</t>
  </si>
  <si>
    <t>ton of refrig,1</t>
  </si>
  <si>
    <t>umHg(0C),1</t>
  </si>
  <si>
    <t>ydInd(37),1</t>
  </si>
  <si>
    <t>ydInd(62),1</t>
  </si>
  <si>
    <t>ydInd(75),1</t>
  </si>
  <si>
    <t>yr(100k),1</t>
  </si>
  <si>
    <t>(dyne/cm)4,1 | gcm,-3</t>
  </si>
  <si>
    <t>(N/m)4,1 | kg,-1 | m,-3</t>
  </si>
  <si>
    <t>inH2O(39.2F),1</t>
  </si>
  <si>
    <t>ft,3 | sack94,-1</t>
  </si>
  <si>
    <t>galUS,1 | sack94,-1</t>
  </si>
  <si>
    <t>kg,1 | sack94,-1</t>
  </si>
  <si>
    <t>sack94,1</t>
  </si>
  <si>
    <t>scm15,1 | stb60,-1</t>
  </si>
  <si>
    <t>stb60,1 | MMscm15,-1</t>
  </si>
  <si>
    <t>stb60,1 | Mscm15,-1</t>
  </si>
  <si>
    <t>stb60,1 | scm15,-1</t>
  </si>
  <si>
    <t>in/16,1</t>
  </si>
  <si>
    <t>in/32,1</t>
  </si>
  <si>
    <t>in/64,1</t>
  </si>
  <si>
    <t>ms/2,1</t>
  </si>
  <si>
    <t>m,3 | scm(15C),-1</t>
  </si>
  <si>
    <t>scm(15C),1</t>
  </si>
  <si>
    <t>scm(15C),1 | m,-2</t>
  </si>
  <si>
    <t>scm(15C),1 | m,-3</t>
  </si>
  <si>
    <t>scm(15C),1 | s,-1</t>
  </si>
  <si>
    <t>Grp: length per length</t>
  </si>
  <si>
    <t>Grp: volume per volume</t>
  </si>
  <si>
    <t>Grp: volume per time per length</t>
  </si>
  <si>
    <t>Grp: volume per standard volume</t>
  </si>
  <si>
    <t>Grp: area per volume</t>
  </si>
  <si>
    <t>Grp: pressure squared per (dynamic viscosity)</t>
  </si>
  <si>
    <t>Grp: volume per area</t>
  </si>
  <si>
    <t>Grp: volume per time per volume</t>
  </si>
  <si>
    <t>Grp: volume per length</t>
  </si>
  <si>
    <t>Grp: relative power</t>
  </si>
  <si>
    <t>Grp: permeability rock</t>
  </si>
  <si>
    <t>Grp: permeability length</t>
  </si>
  <si>
    <t>Grp: relative elongation</t>
  </si>
  <si>
    <t>Grp: scale</t>
  </si>
  <si>
    <t>Grp: linear concentration</t>
  </si>
  <si>
    <t>Grp: length per volume</t>
  </si>
  <si>
    <t>Grp: standard volume</t>
  </si>
  <si>
    <t>Grp: volume per time per area</t>
  </si>
  <si>
    <t>Grp: area per area</t>
  </si>
  <si>
    <t>Grp: energy per length</t>
  </si>
  <si>
    <t>Grp: energy length per area</t>
  </si>
  <si>
    <t>Grp: force length per length</t>
  </si>
  <si>
    <t>Grp: force per force</t>
  </si>
  <si>
    <t>Grp: standard volume per time</t>
  </si>
  <si>
    <t>Grp: luminous exitance</t>
  </si>
  <si>
    <t>Grp: standard volume per area</t>
  </si>
  <si>
    <t>Grp: standard volume per volume</t>
  </si>
  <si>
    <t>Grp: relative time</t>
  </si>
  <si>
    <t>angular velocity | rotational frequency | circular frequency | angle per time | rotational velocity</t>
  </si>
  <si>
    <t>mCi,1</t>
  </si>
  <si>
    <t>nCi,1</t>
  </si>
  <si>
    <t>pCi,1</t>
  </si>
  <si>
    <t>uCi,1</t>
  </si>
  <si>
    <t>Hour</t>
  </si>
  <si>
    <t>Newton</t>
  </si>
  <si>
    <t>Joule</t>
  </si>
  <si>
    <t>Pascal</t>
  </si>
  <si>
    <t>Volt</t>
  </si>
  <si>
    <t>Ampere</t>
  </si>
  <si>
    <t>Kelvin</t>
  </si>
  <si>
    <t>US dollar</t>
  </si>
  <si>
    <t>Bel</t>
  </si>
  <si>
    <t>Bequerel</t>
  </si>
  <si>
    <t>Euclid</t>
  </si>
  <si>
    <t>Dimensionless</t>
  </si>
  <si>
    <t>Watt</t>
  </si>
  <si>
    <t>Octave</t>
  </si>
  <si>
    <t>Pressure , N.m-2, Pa, pascal. [Force]/[Area] </t>
  </si>
  <si>
    <r>
      <t>kg.m</t>
    </r>
    <r>
      <rPr>
        <vertAlign val="superscript"/>
        <sz val="10"/>
        <color theme="1"/>
        <rFont val="Arial"/>
        <family val="2"/>
      </rPr>
      <t>-1</t>
    </r>
    <r>
      <rPr>
        <sz val="10"/>
        <color theme="1"/>
        <rFont val="Arial"/>
        <family val="2"/>
      </rPr>
      <t>.s</t>
    </r>
    <r>
      <rPr>
        <vertAlign val="superscript"/>
        <sz val="10"/>
        <color theme="1"/>
        <rFont val="Arial"/>
        <family val="2"/>
      </rPr>
      <t>-2</t>
    </r>
  </si>
  <si>
    <t>Charge, electric, coulomb. [Current]*[Time] </t>
  </si>
  <si>
    <r>
      <t>s.A</t>
    </r>
    <r>
      <rPr>
        <vertAlign val="superscript"/>
        <sz val="10"/>
        <color theme="1"/>
        <rFont val="Arial"/>
        <family val="2"/>
      </rPr>
      <t> </t>
    </r>
  </si>
  <si>
    <t>Capacitance , farad. [Charge]/[ΔPotential] , C.V-1, F </t>
  </si>
  <si>
    <r>
      <t>kg</t>
    </r>
    <r>
      <rPr>
        <vertAlign val="superscript"/>
        <sz val="10"/>
        <color theme="1"/>
        <rFont val="Arial"/>
        <family val="2"/>
      </rPr>
      <t>-1</t>
    </r>
    <r>
      <rPr>
        <sz val="10"/>
        <color theme="1"/>
        <rFont val="Arial"/>
        <family val="2"/>
      </rPr>
      <t>.m</t>
    </r>
    <r>
      <rPr>
        <vertAlign val="superscript"/>
        <sz val="10"/>
        <color theme="1"/>
        <rFont val="Arial"/>
        <family val="2"/>
      </rPr>
      <t>-2</t>
    </r>
    <r>
      <rPr>
        <sz val="10"/>
        <color theme="1"/>
        <rFont val="Arial"/>
        <family val="2"/>
      </rPr>
      <t>.s</t>
    </r>
    <r>
      <rPr>
        <vertAlign val="superscript"/>
        <sz val="10"/>
        <color theme="1"/>
        <rFont val="Arial"/>
        <family val="2"/>
      </rPr>
      <t>4</t>
    </r>
    <r>
      <rPr>
        <sz val="10"/>
        <color theme="1"/>
        <rFont val="Arial"/>
        <family val="2"/>
      </rPr>
      <t>.A</t>
    </r>
    <r>
      <rPr>
        <vertAlign val="superscript"/>
        <sz val="10"/>
        <color theme="1"/>
        <rFont val="Arial"/>
        <family val="2"/>
      </rPr>
      <t>2</t>
    </r>
  </si>
  <si>
    <t>Absorbed dose equivalent , sievert. [const].[Energy]/[Mass] , J.kg-1, Sv </t>
  </si>
  <si>
    <r>
      <t>m</t>
    </r>
    <r>
      <rPr>
        <vertAlign val="superscript"/>
        <sz val="10"/>
        <color theme="1"/>
        <rFont val="Arial"/>
        <family val="2"/>
      </rPr>
      <t>2</t>
    </r>
    <r>
      <rPr>
        <sz val="10"/>
        <color theme="1"/>
        <rFont val="Arial"/>
        <family val="2"/>
      </rPr>
      <t>.s</t>
    </r>
    <r>
      <rPr>
        <vertAlign val="superscript"/>
        <sz val="10"/>
        <color theme="1"/>
        <rFont val="Arial"/>
        <family val="2"/>
      </rPr>
      <t>-2</t>
    </r>
  </si>
  <si>
    <t>Magnetic flux density | Magnetic induction, tesla. [Mag.flux]/[Area] , Wb.m-2, T  </t>
  </si>
  <si>
    <r>
      <t>kg.s</t>
    </r>
    <r>
      <rPr>
        <vertAlign val="superscript"/>
        <sz val="10"/>
        <color theme="1"/>
        <rFont val="Arial"/>
        <family val="2"/>
      </rPr>
      <t>-2</t>
    </r>
    <r>
      <rPr>
        <sz val="10"/>
        <color theme="1"/>
        <rFont val="Arial"/>
        <family val="2"/>
      </rPr>
      <t>.A</t>
    </r>
    <r>
      <rPr>
        <vertAlign val="superscript"/>
        <sz val="10"/>
        <color theme="1"/>
        <rFont val="Arial"/>
        <family val="2"/>
      </rPr>
      <t>-1</t>
    </r>
  </si>
  <si>
    <t>dimless?</t>
  </si>
  <si>
    <t>?</t>
  </si>
  <si>
    <t>Frequency of waves </t>
  </si>
  <si>
    <t>Hertz</t>
  </si>
  <si>
    <r>
      <t>s</t>
    </r>
    <r>
      <rPr>
        <vertAlign val="superscript"/>
        <sz val="10"/>
        <color theme="1"/>
        <rFont val="Arial"/>
        <family val="2"/>
      </rPr>
      <t>-1</t>
    </r>
  </si>
  <si>
    <t>Status</t>
  </si>
  <si>
    <t>m,3 | scm(0C),-1</t>
  </si>
  <si>
    <t>scm(0C),1</t>
  </si>
  <si>
    <t>scm(0C),1 | m,-2</t>
  </si>
  <si>
    <t>scm(0C),1 | m,-3</t>
  </si>
  <si>
    <t>DimensionString</t>
  </si>
  <si>
    <t>Admittance, inductive, S (siemens) , 1/[Inductive impedance] </t>
  </si>
  <si>
    <r>
      <t>kg</t>
    </r>
    <r>
      <rPr>
        <vertAlign val="superscript"/>
        <sz val="10"/>
        <color theme="1"/>
        <rFont val="Arial"/>
        <family val="2"/>
      </rPr>
      <t>-1</t>
    </r>
    <r>
      <rPr>
        <sz val="10"/>
        <color theme="1"/>
        <rFont val="Arial"/>
        <family val="2"/>
      </rPr>
      <t>.m</t>
    </r>
    <r>
      <rPr>
        <vertAlign val="superscript"/>
        <sz val="10"/>
        <color theme="1"/>
        <rFont val="Arial"/>
        <family val="2"/>
      </rPr>
      <t>-2</t>
    </r>
    <r>
      <rPr>
        <sz val="10"/>
        <color theme="1"/>
        <rFont val="Arial"/>
        <family val="2"/>
      </rPr>
      <t>.s</t>
    </r>
    <r>
      <rPr>
        <vertAlign val="superscript"/>
        <sz val="10"/>
        <color theme="1"/>
        <rFont val="Arial"/>
        <family val="2"/>
      </rPr>
      <t>3</t>
    </r>
    <r>
      <rPr>
        <sz val="10"/>
        <color theme="1"/>
        <rFont val="Arial"/>
        <family val="2"/>
      </rPr>
      <t>.A</t>
    </r>
    <r>
      <rPr>
        <vertAlign val="superscript"/>
        <sz val="10"/>
        <color theme="1"/>
        <rFont val="Arial"/>
        <family val="2"/>
      </rPr>
      <t>2</t>
    </r>
  </si>
  <si>
    <t>lbm,1 | 1000galUK,-1</t>
  </si>
  <si>
    <t>lbm,1 | 1000galUS,-1</t>
  </si>
  <si>
    <t>in/10,1</t>
  </si>
  <si>
    <t>ParamType</t>
  </si>
  <si>
    <t>Popularity</t>
  </si>
  <si>
    <t>Key</t>
  </si>
  <si>
    <t>Value</t>
  </si>
  <si>
    <t>DbFormatNumber</t>
  </si>
  <si>
    <t>1.0.0.0</t>
  </si>
  <si>
    <t>PackageName</t>
  </si>
  <si>
    <t>LibraryName</t>
  </si>
  <si>
    <t>LibraryDescription</t>
  </si>
  <si>
    <t>EasEquation.Core</t>
  </si>
  <si>
    <t>Core ParamTypes distributed with EasEquation.</t>
  </si>
  <si>
    <t>ParamTypeRow</t>
  </si>
  <si>
    <t>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</si>
</sst>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rial"/>
      <family val="2"/>
    </font>
    <font>
      <b/>
      <sz val="11"/>
      <color theme="1"/>
      <name val="Arial"/>
      <family val="2"/>
    </font>
    <font>
      <sz val="14"/>
      <color theme="1"/>
      <name val="Arial"/>
      <family val="2"/>
    </font>
    <font>
      <u/>
      <sz val="11"/>
      <color theme="10"/>
      <name val="Arial"/>
      <family val="2"/>
    </font>
    <font>
      <sz val="10"/>
      <color theme="1"/>
      <name val="Arial"/>
      <family val="2"/>
    </font>
    <font>
      <sz val="9"/>
      <color indexed="81"/>
      <name val="Tahoma"/>
      <family val="2"/>
    </font>
    <font>
      <b/>
      <sz val="9"/>
      <color indexed="81"/>
      <name val="Tahoma"/>
      <family val="2"/>
    </font>
    <font>
      <sz val="10"/>
      <color rgb="FF000000"/>
      <name val="Arial"/>
      <family val="2"/>
    </font>
    <font>
      <vertAlign val="superscript"/>
      <sz val="10"/>
      <color rgb="FF000000"/>
      <name val="Arial"/>
      <family val="2"/>
    </font>
    <font>
      <sz val="9"/>
      <color indexed="81"/>
      <name val="Tahoma"/>
      <charset val="1"/>
    </font>
    <font>
      <b/>
      <sz val="9"/>
      <color indexed="81"/>
      <name val="Tahoma"/>
      <charset val="1"/>
    </font>
    <font>
      <vertAlign val="superscript"/>
      <sz val="10"/>
      <color theme="1"/>
      <name val="Arial"/>
      <family val="2"/>
    </font>
  </fonts>
  <fills count="8">
    <fill>
      <patternFill patternType="none"/>
    </fill>
    <fill>
      <patternFill patternType="gray125"/>
    </fill>
    <fill>
      <patternFill patternType="solid">
        <fgColor theme="2" tint="-0.249977111117893"/>
        <bgColor indexed="64"/>
      </patternFill>
    </fill>
    <fill>
      <patternFill patternType="solid">
        <fgColor theme="9" tint="0.39997558519241921"/>
        <bgColor indexed="64"/>
      </patternFill>
    </fill>
    <fill>
      <patternFill patternType="solid">
        <fgColor rgb="FFFFFF00"/>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7" tint="0.59999389629810485"/>
        <bgColor indexed="64"/>
      </patternFill>
    </fill>
  </fills>
  <borders count="21">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hair">
        <color auto="1"/>
      </right>
      <top/>
      <bottom style="hair">
        <color auto="1"/>
      </bottom>
      <diagonal/>
    </border>
    <border>
      <left style="hair">
        <color auto="1"/>
      </left>
      <right style="hair">
        <color auto="1"/>
      </right>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hair">
        <color auto="1"/>
      </right>
      <top style="thin">
        <color indexed="64"/>
      </top>
      <bottom style="hair">
        <color auto="1"/>
      </bottom>
      <diagonal/>
    </border>
    <border>
      <left style="hair">
        <color auto="1"/>
      </left>
      <right style="thin">
        <color indexed="64"/>
      </right>
      <top style="thin">
        <color indexed="64"/>
      </top>
      <bottom style="hair">
        <color auto="1"/>
      </bottom>
      <diagonal/>
    </border>
    <border>
      <left style="thin">
        <color indexed="64"/>
      </left>
      <right style="hair">
        <color auto="1"/>
      </right>
      <top style="hair">
        <color auto="1"/>
      </top>
      <bottom style="hair">
        <color auto="1"/>
      </bottom>
      <diagonal/>
    </border>
    <border>
      <left style="hair">
        <color auto="1"/>
      </left>
      <right style="thin">
        <color indexed="64"/>
      </right>
      <top style="hair">
        <color auto="1"/>
      </top>
      <bottom style="hair">
        <color auto="1"/>
      </bottom>
      <diagonal/>
    </border>
    <border>
      <left style="thin">
        <color indexed="64"/>
      </left>
      <right style="hair">
        <color auto="1"/>
      </right>
      <top style="hair">
        <color auto="1"/>
      </top>
      <bottom style="thin">
        <color indexed="64"/>
      </bottom>
      <diagonal/>
    </border>
    <border>
      <left style="hair">
        <color auto="1"/>
      </left>
      <right style="thin">
        <color indexed="64"/>
      </right>
      <top style="hair">
        <color auto="1"/>
      </top>
      <bottom style="thin">
        <color indexed="64"/>
      </bottom>
      <diagonal/>
    </border>
  </borders>
  <cellStyleXfs count="2">
    <xf numFmtId="0" fontId="0" fillId="0" borderId="0"/>
    <xf numFmtId="0" fontId="3" fillId="0" borderId="0" applyNumberFormat="0" applyFill="0" applyBorder="0" applyAlignment="0" applyProtection="0">
      <alignment vertical="top"/>
      <protection locked="0"/>
    </xf>
  </cellStyleXfs>
  <cellXfs count="64">
    <xf numFmtId="0" fontId="0" fillId="0" borderId="0" xfId="0"/>
    <xf numFmtId="0" fontId="0" fillId="0" borderId="1" xfId="0" applyBorder="1" applyAlignment="1">
      <alignment horizontal="center" wrapText="1"/>
    </xf>
    <xf numFmtId="0" fontId="1" fillId="0" borderId="1" xfId="0" applyFont="1" applyBorder="1" applyAlignment="1">
      <alignment horizontal="center" wrapText="1"/>
    </xf>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0" fillId="0" borderId="4" xfId="0" applyBorder="1" applyAlignment="1">
      <alignment wrapText="1"/>
    </xf>
    <xf numFmtId="0" fontId="0" fillId="0" borderId="5" xfId="0" applyBorder="1"/>
    <xf numFmtId="0" fontId="0" fillId="0" borderId="2" xfId="0" applyBorder="1" applyAlignment="1">
      <alignment horizontal="center" wrapText="1"/>
    </xf>
    <xf numFmtId="0" fontId="0" fillId="0" borderId="4" xfId="0" applyBorder="1" applyAlignment="1">
      <alignment horizontal="center" wrapText="1"/>
    </xf>
    <xf numFmtId="0" fontId="0" fillId="0" borderId="3" xfId="0" applyBorder="1" applyAlignment="1">
      <alignment horizontal="center" wrapText="1"/>
    </xf>
    <xf numFmtId="11" fontId="0" fillId="0" borderId="1" xfId="0" applyNumberFormat="1" applyBorder="1" applyAlignment="1">
      <alignment horizontal="center" wrapText="1"/>
    </xf>
    <xf numFmtId="0" fontId="2" fillId="0" borderId="0" xfId="0" applyFont="1"/>
    <xf numFmtId="0" fontId="3" fillId="0" borderId="0" xfId="1" applyAlignment="1" applyProtection="1"/>
    <xf numFmtId="0" fontId="0" fillId="0" borderId="0" xfId="0" applyAlignment="1">
      <alignment wrapText="1"/>
    </xf>
    <xf numFmtId="0" fontId="0" fillId="2" borderId="0" xfId="0" applyFill="1"/>
    <xf numFmtId="0" fontId="0" fillId="3" borderId="0" xfId="0" applyFill="1"/>
    <xf numFmtId="0" fontId="0" fillId="5" borderId="0" xfId="0" applyFill="1"/>
    <xf numFmtId="0" fontId="0" fillId="4" borderId="1" xfId="0" applyFill="1" applyBorder="1" applyAlignment="1">
      <alignment wrapText="1"/>
    </xf>
    <xf numFmtId="0" fontId="0" fillId="4" borderId="1" xfId="0" applyFill="1" applyBorder="1" applyAlignment="1">
      <alignment horizontal="center" wrapText="1"/>
    </xf>
    <xf numFmtId="0" fontId="0" fillId="6" borderId="11" xfId="0" applyFill="1" applyBorder="1" applyAlignment="1">
      <alignment wrapText="1"/>
    </xf>
    <xf numFmtId="0" fontId="0" fillId="6" borderId="12" xfId="0" applyFill="1" applyBorder="1" applyAlignment="1">
      <alignment wrapText="1"/>
    </xf>
    <xf numFmtId="0" fontId="0" fillId="0" borderId="12" xfId="0" applyBorder="1" applyAlignment="1">
      <alignment wrapText="1"/>
    </xf>
    <xf numFmtId="0" fontId="0" fillId="6" borderId="13" xfId="0" applyFill="1" applyBorder="1" applyAlignment="1">
      <alignment wrapText="1"/>
    </xf>
    <xf numFmtId="0" fontId="3" fillId="6" borderId="14" xfId="1" applyFill="1" applyBorder="1" applyAlignment="1" applyProtection="1">
      <alignment wrapText="1"/>
    </xf>
    <xf numFmtId="0" fontId="0" fillId="6" borderId="14" xfId="0" applyFill="1" applyBorder="1" applyAlignment="1">
      <alignment wrapText="1"/>
    </xf>
    <xf numFmtId="0" fontId="0" fillId="0" borderId="14" xfId="0" applyBorder="1" applyAlignment="1">
      <alignment wrapText="1"/>
    </xf>
    <xf numFmtId="0" fontId="0" fillId="6" borderId="13" xfId="0" applyFill="1" applyBorder="1" applyAlignment="1">
      <alignment horizontal="center" vertical="center" wrapText="1"/>
    </xf>
    <xf numFmtId="0" fontId="0" fillId="6" borderId="14" xfId="0" applyFill="1" applyBorder="1" applyAlignment="1">
      <alignment horizontal="center" vertical="center" wrapText="1"/>
    </xf>
    <xf numFmtId="0" fontId="4" fillId="6" borderId="14" xfId="0" applyFont="1" applyFill="1" applyBorder="1" applyAlignment="1">
      <alignment horizontal="center" vertical="center" wrapText="1"/>
    </xf>
    <xf numFmtId="0" fontId="7" fillId="6" borderId="14" xfId="0" applyFont="1" applyFill="1" applyBorder="1" applyAlignment="1">
      <alignment horizontal="center" vertical="center" wrapText="1"/>
    </xf>
    <xf numFmtId="0" fontId="0" fillId="0" borderId="13" xfId="0" applyBorder="1" applyAlignment="1">
      <alignment wrapText="1"/>
    </xf>
    <xf numFmtId="0" fontId="0" fillId="6" borderId="12" xfId="0" applyFill="1" applyBorder="1" applyAlignment="1">
      <alignment vertical="center" wrapText="1"/>
    </xf>
    <xf numFmtId="0" fontId="0" fillId="6" borderId="14" xfId="0" applyFill="1" applyBorder="1" applyAlignment="1">
      <alignment vertical="center" wrapText="1"/>
    </xf>
    <xf numFmtId="0" fontId="0" fillId="0" borderId="14" xfId="0" applyBorder="1" applyAlignment="1">
      <alignment vertical="center" wrapText="1"/>
    </xf>
    <xf numFmtId="0" fontId="4" fillId="6" borderId="0" xfId="0" applyFont="1" applyFill="1" applyAlignment="1">
      <alignment horizontal="center" vertical="center" wrapText="1"/>
    </xf>
    <xf numFmtId="0" fontId="0" fillId="0" borderId="0" xfId="0" applyAlignment="1">
      <alignment horizontal="center"/>
    </xf>
    <xf numFmtId="0" fontId="0" fillId="3" borderId="0" xfId="0" applyFill="1" applyAlignment="1">
      <alignment horizontal="center"/>
    </xf>
    <xf numFmtId="0" fontId="0" fillId="2" borderId="0" xfId="0" applyFill="1" applyAlignment="1">
      <alignment horizontal="center"/>
    </xf>
    <xf numFmtId="0" fontId="0" fillId="7" borderId="15" xfId="0" applyFill="1" applyBorder="1"/>
    <xf numFmtId="0" fontId="0" fillId="7" borderId="16" xfId="0" applyFill="1" applyBorder="1"/>
    <xf numFmtId="0" fontId="0" fillId="7" borderId="17" xfId="0" applyFill="1" applyBorder="1"/>
    <xf numFmtId="0" fontId="0" fillId="7" borderId="18" xfId="0" applyFill="1" applyBorder="1"/>
    <xf numFmtId="0" fontId="0" fillId="7" borderId="19" xfId="0" applyFill="1" applyBorder="1"/>
    <xf numFmtId="0" fontId="0" fillId="7" borderId="20" xfId="0" applyFill="1" applyBorder="1"/>
    <xf numFmtId="0" fontId="0" fillId="0" borderId="16" xfId="0" applyFill="1" applyBorder="1"/>
    <xf numFmtId="0" fontId="0" fillId="0" borderId="2" xfId="0" applyBorder="1" applyAlignment="1">
      <alignment wrapText="1"/>
    </xf>
    <xf numFmtId="0" fontId="0" fillId="0" borderId="3" xfId="0" applyBorder="1" applyAlignment="1">
      <alignment wrapText="1"/>
    </xf>
    <xf numFmtId="0" fontId="0" fillId="0" borderId="4" xfId="0" applyBorder="1" applyAlignment="1">
      <alignment wrapText="1"/>
    </xf>
    <xf numFmtId="9" fontId="0" fillId="0" borderId="2" xfId="0" applyNumberFormat="1" applyBorder="1" applyAlignment="1">
      <alignment wrapText="1"/>
    </xf>
    <xf numFmtId="9" fontId="0" fillId="0" borderId="4" xfId="0" applyNumberFormat="1" applyBorder="1" applyAlignment="1">
      <alignment wrapText="1"/>
    </xf>
    <xf numFmtId="9" fontId="0" fillId="0" borderId="3" xfId="0" applyNumberFormat="1" applyBorder="1" applyAlignment="1">
      <alignment wrapText="1"/>
    </xf>
    <xf numFmtId="0" fontId="0" fillId="0" borderId="6" xfId="0" applyBorder="1" applyAlignment="1">
      <alignment horizontal="center" wrapText="1"/>
    </xf>
    <xf numFmtId="0" fontId="0" fillId="0" borderId="7" xfId="0" applyBorder="1" applyAlignment="1">
      <alignment horizontal="center" wrapText="1"/>
    </xf>
    <xf numFmtId="0" fontId="0" fillId="0" borderId="8" xfId="0" applyBorder="1" applyAlignment="1">
      <alignment horizontal="center" wrapText="1"/>
    </xf>
    <xf numFmtId="0" fontId="0" fillId="0" borderId="9" xfId="0" applyBorder="1" applyAlignment="1">
      <alignment horizontal="center" wrapText="1"/>
    </xf>
    <xf numFmtId="0" fontId="0" fillId="0" borderId="10" xfId="0" applyBorder="1" applyAlignment="1">
      <alignment horizontal="center" wrapText="1"/>
    </xf>
    <xf numFmtId="0" fontId="0" fillId="0" borderId="5" xfId="0" applyBorder="1" applyAlignment="1">
      <alignment horizontal="center" wrapText="1"/>
    </xf>
    <xf numFmtId="0" fontId="0" fillId="0" borderId="2" xfId="0" applyBorder="1" applyAlignment="1">
      <alignment horizontal="center" wrapText="1"/>
    </xf>
    <xf numFmtId="0" fontId="0" fillId="0" borderId="3" xfId="0" applyBorder="1" applyAlignment="1">
      <alignment horizontal="center" wrapText="1"/>
    </xf>
    <xf numFmtId="0" fontId="0" fillId="0" borderId="4" xfId="0" applyBorder="1" applyAlignment="1">
      <alignment horizontal="center" wrapText="1"/>
    </xf>
    <xf numFmtId="11" fontId="0" fillId="0" borderId="2" xfId="0" applyNumberFormat="1" applyBorder="1" applyAlignment="1">
      <alignment horizontal="center" wrapText="1"/>
    </xf>
    <xf numFmtId="11" fontId="0" fillId="0" borderId="3" xfId="0" applyNumberFormat="1" applyBorder="1" applyAlignment="1">
      <alignment horizontal="center" wrapText="1"/>
    </xf>
    <xf numFmtId="11" fontId="0" fillId="0" borderId="4" xfId="0" applyNumberFormat="1" applyBorder="1" applyAlignment="1">
      <alignment horizont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76200</xdr:rowOff>
        </xdr:from>
        <xdr:to>
          <xdr:col>4</xdr:col>
          <xdr:colOff>142875</xdr:colOff>
          <xdr:row>5</xdr:row>
          <xdr:rowOff>47625</xdr:rowOff>
        </xdr:to>
        <xdr:sp macro="" textlink="">
          <xdr:nvSpPr>
            <xdr:cNvPr id="14337" name="cmdExtractParamTypes"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657225</xdr:colOff>
          <xdr:row>6</xdr:row>
          <xdr:rowOff>57150</xdr:rowOff>
        </xdr:from>
        <xdr:to>
          <xdr:col>4</xdr:col>
          <xdr:colOff>323850</xdr:colOff>
          <xdr:row>8</xdr:row>
          <xdr:rowOff>28575</xdr:rowOff>
        </xdr:to>
        <xdr:sp macro="" textlink="">
          <xdr:nvSpPr>
            <xdr:cNvPr id="14338" name="btnExtractCustomaryUnits"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hyperlink" Target="http://w3.energistics.org/uom/poscUnits22.xml" TargetMode="Externa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bin"/><Relationship Id="rId1" Type="http://schemas.openxmlformats.org/officeDocument/2006/relationships/hyperlink" Target="http://www.ebyte.it/library/educards/sidimensions/SiDimensionsByCategory.html" TargetMode="Externa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267"/>
  <sheetViews>
    <sheetView workbookViewId="0">
      <pane ySplit="1" topLeftCell="A255" activePane="bottomLeft" state="frozen"/>
      <selection pane="bottomLeft" sqref="A1:F267"/>
    </sheetView>
  </sheetViews>
  <sheetFormatPr defaultRowHeight="14.25" x14ac:dyDescent="0.2"/>
  <cols>
    <col min="2" max="2" width="35.5" customWidth="1"/>
    <col min="6" max="6" width="80.625" customWidth="1"/>
    <col min="7" max="7" width="4.625" customWidth="1"/>
  </cols>
  <sheetData>
    <row r="1" spans="1:6" ht="29.25" x14ac:dyDescent="0.25">
      <c r="A1" s="2" t="s">
        <v>0</v>
      </c>
      <c r="B1" s="3" t="s">
        <v>1</v>
      </c>
      <c r="C1" s="3" t="s">
        <v>2</v>
      </c>
      <c r="D1" s="3" t="s">
        <v>3</v>
      </c>
      <c r="E1" s="1" t="s">
        <v>4</v>
      </c>
      <c r="F1" s="3" t="s">
        <v>5</v>
      </c>
    </row>
    <row r="2" spans="1:6" ht="28.5" x14ac:dyDescent="0.2">
      <c r="A2" s="3" t="s">
        <v>6</v>
      </c>
      <c r="B2" s="3" t="s">
        <v>7</v>
      </c>
      <c r="C2" s="3" t="s">
        <v>8</v>
      </c>
      <c r="D2" s="3" t="s">
        <v>9</v>
      </c>
      <c r="E2" s="3" t="s">
        <v>9</v>
      </c>
      <c r="F2" s="3"/>
    </row>
    <row r="3" spans="1:6" x14ac:dyDescent="0.2">
      <c r="A3" s="46" t="s">
        <v>10</v>
      </c>
      <c r="B3" s="4" t="s">
        <v>11</v>
      </c>
      <c r="C3" s="46" t="s">
        <v>8</v>
      </c>
      <c r="D3" s="46" t="s">
        <v>13</v>
      </c>
      <c r="E3" s="46" t="s">
        <v>13</v>
      </c>
      <c r="F3" s="46"/>
    </row>
    <row r="4" spans="1:6" x14ac:dyDescent="0.2">
      <c r="A4" s="47"/>
      <c r="B4" s="5" t="s">
        <v>12</v>
      </c>
      <c r="C4" s="47"/>
      <c r="D4" s="47"/>
      <c r="E4" s="47"/>
      <c r="F4" s="47"/>
    </row>
    <row r="5" spans="1:6" ht="28.5" x14ac:dyDescent="0.2">
      <c r="A5" s="3" t="s">
        <v>14</v>
      </c>
      <c r="B5" s="3" t="s">
        <v>15</v>
      </c>
      <c r="C5" s="3" t="s">
        <v>8</v>
      </c>
      <c r="D5" s="3" t="s">
        <v>16</v>
      </c>
      <c r="E5" s="3" t="s">
        <v>16</v>
      </c>
      <c r="F5" s="3"/>
    </row>
    <row r="6" spans="1:6" x14ac:dyDescent="0.2">
      <c r="A6" s="46" t="s">
        <v>17</v>
      </c>
      <c r="B6" s="4" t="s">
        <v>18</v>
      </c>
      <c r="C6" s="46" t="s">
        <v>8</v>
      </c>
      <c r="D6" s="46" t="s">
        <v>20</v>
      </c>
      <c r="E6" s="46" t="s">
        <v>20</v>
      </c>
      <c r="F6" s="46"/>
    </row>
    <row r="7" spans="1:6" x14ac:dyDescent="0.2">
      <c r="A7" s="47"/>
      <c r="B7" s="5" t="s">
        <v>19</v>
      </c>
      <c r="C7" s="47"/>
      <c r="D7" s="47"/>
      <c r="E7" s="47"/>
      <c r="F7" s="47"/>
    </row>
    <row r="8" spans="1:6" ht="42.75" x14ac:dyDescent="0.2">
      <c r="A8" s="3" t="s">
        <v>21</v>
      </c>
      <c r="B8" s="3" t="s">
        <v>22</v>
      </c>
      <c r="C8" s="3" t="s">
        <v>8</v>
      </c>
      <c r="D8" s="3" t="s">
        <v>23</v>
      </c>
      <c r="E8" s="3" t="s">
        <v>23</v>
      </c>
      <c r="F8" s="3"/>
    </row>
    <row r="9" spans="1:6" ht="28.5" x14ac:dyDescent="0.2">
      <c r="A9" s="3" t="s">
        <v>24</v>
      </c>
      <c r="B9" s="3" t="s">
        <v>25</v>
      </c>
      <c r="C9" s="3" t="s">
        <v>8</v>
      </c>
      <c r="D9" s="3" t="s">
        <v>26</v>
      </c>
      <c r="E9" s="3" t="s">
        <v>26</v>
      </c>
      <c r="F9" s="3"/>
    </row>
    <row r="10" spans="1:6" ht="28.5" x14ac:dyDescent="0.2">
      <c r="A10" s="3" t="s">
        <v>27</v>
      </c>
      <c r="B10" s="3" t="s">
        <v>28</v>
      </c>
      <c r="C10" s="3" t="s">
        <v>8</v>
      </c>
      <c r="D10" s="3" t="s">
        <v>29</v>
      </c>
      <c r="E10" s="3" t="s">
        <v>29</v>
      </c>
      <c r="F10" s="3"/>
    </row>
    <row r="11" spans="1:6" x14ac:dyDescent="0.2">
      <c r="A11" s="46" t="s">
        <v>30</v>
      </c>
      <c r="B11" s="4" t="s">
        <v>31</v>
      </c>
      <c r="C11" s="46" t="s">
        <v>8</v>
      </c>
      <c r="D11" s="46" t="s">
        <v>33</v>
      </c>
      <c r="E11" s="46" t="s">
        <v>33</v>
      </c>
      <c r="F11" s="46"/>
    </row>
    <row r="12" spans="1:6" x14ac:dyDescent="0.2">
      <c r="A12" s="47"/>
      <c r="B12" s="5" t="s">
        <v>32</v>
      </c>
      <c r="C12" s="47"/>
      <c r="D12" s="47"/>
      <c r="E12" s="47"/>
      <c r="F12" s="47"/>
    </row>
    <row r="13" spans="1:6" x14ac:dyDescent="0.2">
      <c r="A13" s="46" t="s">
        <v>34</v>
      </c>
      <c r="B13" s="4" t="s">
        <v>35</v>
      </c>
      <c r="C13" s="46" t="s">
        <v>8</v>
      </c>
      <c r="D13" s="46" t="s">
        <v>38</v>
      </c>
      <c r="E13" s="46" t="s">
        <v>38</v>
      </c>
      <c r="F13" s="46"/>
    </row>
    <row r="14" spans="1:6" x14ac:dyDescent="0.2">
      <c r="A14" s="48"/>
      <c r="B14" s="6" t="s">
        <v>36</v>
      </c>
      <c r="C14" s="48"/>
      <c r="D14" s="48"/>
      <c r="E14" s="48"/>
      <c r="F14" s="48"/>
    </row>
    <row r="15" spans="1:6" x14ac:dyDescent="0.2">
      <c r="A15" s="47"/>
      <c r="B15" s="5"/>
      <c r="C15" s="47"/>
      <c r="D15" s="47"/>
      <c r="E15" s="47"/>
      <c r="F15" s="47"/>
    </row>
    <row r="16" spans="1:6" x14ac:dyDescent="0.2">
      <c r="A16" s="3" t="s">
        <v>39</v>
      </c>
      <c r="B16" s="3" t="s">
        <v>40</v>
      </c>
      <c r="C16" s="3" t="s">
        <v>8</v>
      </c>
      <c r="D16" s="3" t="s">
        <v>41</v>
      </c>
      <c r="E16" s="3" t="s">
        <v>41</v>
      </c>
      <c r="F16" s="3"/>
    </row>
    <row r="17" spans="1:6" x14ac:dyDescent="0.2">
      <c r="A17" s="46" t="s">
        <v>42</v>
      </c>
      <c r="B17" s="4" t="s">
        <v>43</v>
      </c>
      <c r="C17" s="46" t="s">
        <v>8</v>
      </c>
      <c r="D17" s="46" t="s">
        <v>46</v>
      </c>
      <c r="E17" s="46" t="s">
        <v>46</v>
      </c>
      <c r="F17" s="46" t="s">
        <v>47</v>
      </c>
    </row>
    <row r="18" spans="1:6" x14ac:dyDescent="0.2">
      <c r="A18" s="48"/>
      <c r="B18" s="6" t="s">
        <v>44</v>
      </c>
      <c r="C18" s="48"/>
      <c r="D18" s="48"/>
      <c r="E18" s="48"/>
      <c r="F18" s="48"/>
    </row>
    <row r="19" spans="1:6" x14ac:dyDescent="0.2">
      <c r="A19" s="47"/>
      <c r="B19" s="5" t="s">
        <v>45</v>
      </c>
      <c r="C19" s="47"/>
      <c r="D19" s="47"/>
      <c r="E19" s="47"/>
      <c r="F19" s="47"/>
    </row>
    <row r="20" spans="1:6" ht="42.75" x14ac:dyDescent="0.2">
      <c r="A20" s="3" t="s">
        <v>48</v>
      </c>
      <c r="B20" s="3" t="s">
        <v>49</v>
      </c>
      <c r="C20" s="3" t="s">
        <v>8</v>
      </c>
      <c r="D20" s="3" t="s">
        <v>50</v>
      </c>
      <c r="E20" s="3" t="s">
        <v>50</v>
      </c>
      <c r="F20" s="3"/>
    </row>
    <row r="21" spans="1:6" x14ac:dyDescent="0.2">
      <c r="A21" s="46" t="s">
        <v>51</v>
      </c>
      <c r="B21" s="4" t="s">
        <v>52</v>
      </c>
      <c r="C21" s="46" t="s">
        <v>8</v>
      </c>
      <c r="D21" s="46" t="s">
        <v>55</v>
      </c>
      <c r="E21" s="46" t="s">
        <v>55</v>
      </c>
      <c r="F21" s="46"/>
    </row>
    <row r="22" spans="1:6" x14ac:dyDescent="0.2">
      <c r="A22" s="48"/>
      <c r="B22" s="6" t="s">
        <v>53</v>
      </c>
      <c r="C22" s="48"/>
      <c r="D22" s="48"/>
      <c r="E22" s="48"/>
      <c r="F22" s="48"/>
    </row>
    <row r="23" spans="1:6" x14ac:dyDescent="0.2">
      <c r="A23" s="47"/>
      <c r="B23" s="5" t="s">
        <v>54</v>
      </c>
      <c r="C23" s="47"/>
      <c r="D23" s="47"/>
      <c r="E23" s="47"/>
      <c r="F23" s="47"/>
    </row>
    <row r="24" spans="1:6" ht="42.75" x14ac:dyDescent="0.2">
      <c r="A24" s="3" t="s">
        <v>56</v>
      </c>
      <c r="B24" s="3" t="s">
        <v>57</v>
      </c>
      <c r="C24" s="3" t="s">
        <v>8</v>
      </c>
      <c r="D24" s="3" t="s">
        <v>58</v>
      </c>
      <c r="E24" s="3" t="s">
        <v>58</v>
      </c>
      <c r="F24" s="3"/>
    </row>
    <row r="25" spans="1:6" ht="28.5" x14ac:dyDescent="0.2">
      <c r="A25" s="3" t="s">
        <v>59</v>
      </c>
      <c r="B25" s="3" t="s">
        <v>60</v>
      </c>
      <c r="C25" s="3" t="s">
        <v>8</v>
      </c>
      <c r="D25" s="3" t="s">
        <v>61</v>
      </c>
      <c r="E25" s="3" t="s">
        <v>62</v>
      </c>
      <c r="F25" s="3" t="s">
        <v>63</v>
      </c>
    </row>
    <row r="26" spans="1:6" ht="28.5" x14ac:dyDescent="0.2">
      <c r="A26" s="3" t="s">
        <v>64</v>
      </c>
      <c r="B26" s="3" t="s">
        <v>65</v>
      </c>
      <c r="C26" s="3" t="s">
        <v>8</v>
      </c>
      <c r="D26" s="3" t="s">
        <v>66</v>
      </c>
      <c r="E26" s="3" t="s">
        <v>67</v>
      </c>
      <c r="F26" s="3"/>
    </row>
    <row r="27" spans="1:6" ht="28.5" x14ac:dyDescent="0.2">
      <c r="A27" s="3" t="s">
        <v>68</v>
      </c>
      <c r="B27" s="3" t="s">
        <v>69</v>
      </c>
      <c r="C27" s="3" t="s">
        <v>8</v>
      </c>
      <c r="D27" s="3" t="s">
        <v>70</v>
      </c>
      <c r="E27" s="3"/>
      <c r="F27" s="3" t="s">
        <v>71</v>
      </c>
    </row>
    <row r="28" spans="1:6" ht="28.5" x14ac:dyDescent="0.2">
      <c r="A28" s="3" t="s">
        <v>72</v>
      </c>
      <c r="B28" s="3"/>
      <c r="C28" s="3" t="s">
        <v>8</v>
      </c>
      <c r="D28" s="3" t="s">
        <v>74</v>
      </c>
      <c r="E28" s="3" t="s">
        <v>38</v>
      </c>
      <c r="F28" s="3" t="s">
        <v>75</v>
      </c>
    </row>
    <row r="29" spans="1:6" ht="28.5" x14ac:dyDescent="0.2">
      <c r="A29" s="3" t="s">
        <v>76</v>
      </c>
      <c r="B29" s="3" t="s">
        <v>73</v>
      </c>
      <c r="C29" s="3" t="s">
        <v>8</v>
      </c>
      <c r="D29" s="3" t="s">
        <v>77</v>
      </c>
      <c r="E29" s="3"/>
      <c r="F29" s="3" t="s">
        <v>78</v>
      </c>
    </row>
    <row r="30" spans="1:6" ht="28.5" x14ac:dyDescent="0.2">
      <c r="A30" s="3" t="s">
        <v>79</v>
      </c>
      <c r="B30" s="3" t="s">
        <v>80</v>
      </c>
      <c r="C30" s="3" t="s">
        <v>8</v>
      </c>
      <c r="D30" s="3" t="s">
        <v>81</v>
      </c>
      <c r="E30" s="3" t="s">
        <v>81</v>
      </c>
      <c r="F30" s="3" t="s">
        <v>82</v>
      </c>
    </row>
    <row r="31" spans="1:6" ht="42.75" x14ac:dyDescent="0.2">
      <c r="A31" s="3" t="s">
        <v>83</v>
      </c>
      <c r="B31" s="3" t="s">
        <v>84</v>
      </c>
      <c r="C31" s="3" t="s">
        <v>8</v>
      </c>
      <c r="D31" s="3" t="s">
        <v>85</v>
      </c>
      <c r="E31" s="3" t="s">
        <v>85</v>
      </c>
      <c r="F31" s="3"/>
    </row>
    <row r="32" spans="1:6" ht="28.5" x14ac:dyDescent="0.2">
      <c r="A32" s="3" t="s">
        <v>86</v>
      </c>
      <c r="B32" s="3" t="s">
        <v>87</v>
      </c>
      <c r="C32" s="3" t="s">
        <v>8</v>
      </c>
      <c r="D32" s="3" t="s">
        <v>86</v>
      </c>
      <c r="E32" s="3"/>
      <c r="F32" s="3" t="s">
        <v>88</v>
      </c>
    </row>
    <row r="33" spans="1:6" x14ac:dyDescent="0.2">
      <c r="A33" s="46" t="s">
        <v>89</v>
      </c>
      <c r="B33" s="4" t="s">
        <v>90</v>
      </c>
      <c r="C33" s="46" t="s">
        <v>8</v>
      </c>
      <c r="D33" s="46" t="s">
        <v>93</v>
      </c>
      <c r="E33" s="46" t="s">
        <v>93</v>
      </c>
      <c r="F33" s="46" t="s">
        <v>94</v>
      </c>
    </row>
    <row r="34" spans="1:6" x14ac:dyDescent="0.2">
      <c r="A34" s="48"/>
      <c r="B34" s="6" t="s">
        <v>91</v>
      </c>
      <c r="C34" s="48"/>
      <c r="D34" s="48"/>
      <c r="E34" s="48"/>
      <c r="F34" s="48"/>
    </row>
    <row r="35" spans="1:6" x14ac:dyDescent="0.2">
      <c r="A35" s="47"/>
      <c r="B35" s="5" t="s">
        <v>92</v>
      </c>
      <c r="C35" s="47"/>
      <c r="D35" s="47"/>
      <c r="E35" s="47"/>
      <c r="F35" s="47"/>
    </row>
    <row r="36" spans="1:6" ht="28.5" x14ac:dyDescent="0.2">
      <c r="A36" s="3" t="s">
        <v>95</v>
      </c>
      <c r="B36" s="3" t="s">
        <v>96</v>
      </c>
      <c r="C36" s="3" t="s">
        <v>8</v>
      </c>
      <c r="D36" s="3" t="s">
        <v>97</v>
      </c>
      <c r="E36" s="3" t="s">
        <v>97</v>
      </c>
      <c r="F36" s="3"/>
    </row>
    <row r="37" spans="1:6" ht="42.75" x14ac:dyDescent="0.2">
      <c r="A37" s="3" t="s">
        <v>98</v>
      </c>
      <c r="B37" s="3" t="s">
        <v>99</v>
      </c>
      <c r="C37" s="3" t="s">
        <v>8</v>
      </c>
      <c r="D37" s="3" t="s">
        <v>100</v>
      </c>
      <c r="E37" s="3" t="s">
        <v>100</v>
      </c>
      <c r="F37" s="3"/>
    </row>
    <row r="38" spans="1:6" ht="42.75" x14ac:dyDescent="0.2">
      <c r="A38" s="3" t="s">
        <v>101</v>
      </c>
      <c r="B38" s="3" t="s">
        <v>102</v>
      </c>
      <c r="C38" s="3" t="s">
        <v>8</v>
      </c>
      <c r="D38" s="3" t="s">
        <v>103</v>
      </c>
      <c r="E38" s="3" t="s">
        <v>103</v>
      </c>
      <c r="F38" s="3"/>
    </row>
    <row r="39" spans="1:6" ht="42.75" x14ac:dyDescent="0.2">
      <c r="A39" s="3" t="s">
        <v>104</v>
      </c>
      <c r="B39" s="3" t="s">
        <v>105</v>
      </c>
      <c r="C39" s="3" t="s">
        <v>8</v>
      </c>
      <c r="D39" s="3" t="s">
        <v>106</v>
      </c>
      <c r="E39" s="3" t="s">
        <v>106</v>
      </c>
      <c r="F39" s="3"/>
    </row>
    <row r="40" spans="1:6" ht="42.75" x14ac:dyDescent="0.2">
      <c r="A40" s="3" t="s">
        <v>107</v>
      </c>
      <c r="B40" s="3" t="s">
        <v>108</v>
      </c>
      <c r="C40" s="3" t="s">
        <v>8</v>
      </c>
      <c r="D40" s="3" t="s">
        <v>109</v>
      </c>
      <c r="E40" s="3" t="s">
        <v>109</v>
      </c>
      <c r="F40" s="3" t="s">
        <v>110</v>
      </c>
    </row>
    <row r="41" spans="1:6" ht="42.75" x14ac:dyDescent="0.2">
      <c r="A41" s="3" t="s">
        <v>111</v>
      </c>
      <c r="B41" s="3" t="s">
        <v>112</v>
      </c>
      <c r="C41" s="3" t="s">
        <v>8</v>
      </c>
      <c r="D41" s="3" t="s">
        <v>113</v>
      </c>
      <c r="E41" s="3" t="s">
        <v>113</v>
      </c>
      <c r="F41" s="3"/>
    </row>
    <row r="42" spans="1:6" x14ac:dyDescent="0.2">
      <c r="A42" s="3" t="s">
        <v>114</v>
      </c>
      <c r="B42" s="3" t="s">
        <v>115</v>
      </c>
      <c r="C42" s="3" t="s">
        <v>8</v>
      </c>
      <c r="D42" s="3" t="s">
        <v>116</v>
      </c>
      <c r="E42" s="3" t="s">
        <v>116</v>
      </c>
      <c r="F42" s="3" t="s">
        <v>117</v>
      </c>
    </row>
    <row r="43" spans="1:6" ht="42.75" x14ac:dyDescent="0.2">
      <c r="A43" s="3" t="s">
        <v>118</v>
      </c>
      <c r="B43" s="3" t="s">
        <v>119</v>
      </c>
      <c r="C43" s="3" t="s">
        <v>8</v>
      </c>
      <c r="D43" s="3" t="s">
        <v>120</v>
      </c>
      <c r="E43" s="3" t="s">
        <v>120</v>
      </c>
      <c r="F43" s="3"/>
    </row>
    <row r="44" spans="1:6" ht="57" x14ac:dyDescent="0.2">
      <c r="A44" s="3" t="s">
        <v>121</v>
      </c>
      <c r="B44" s="3" t="s">
        <v>122</v>
      </c>
      <c r="C44" s="3" t="s">
        <v>8</v>
      </c>
      <c r="D44" s="3" t="s">
        <v>123</v>
      </c>
      <c r="E44" s="3" t="s">
        <v>123</v>
      </c>
      <c r="F44" s="3"/>
    </row>
    <row r="45" spans="1:6" x14ac:dyDescent="0.2">
      <c r="A45" s="46" t="s">
        <v>124</v>
      </c>
      <c r="B45" s="4" t="s">
        <v>125</v>
      </c>
      <c r="C45" s="46" t="s">
        <v>8</v>
      </c>
      <c r="D45" s="46" t="s">
        <v>131</v>
      </c>
      <c r="E45" s="49">
        <v>1</v>
      </c>
      <c r="F45" s="46" t="s">
        <v>132</v>
      </c>
    </row>
    <row r="46" spans="1:6" x14ac:dyDescent="0.2">
      <c r="A46" s="48"/>
      <c r="B46" s="6" t="s">
        <v>126</v>
      </c>
      <c r="C46" s="48"/>
      <c r="D46" s="48"/>
      <c r="E46" s="50"/>
      <c r="F46" s="48"/>
    </row>
    <row r="47" spans="1:6" x14ac:dyDescent="0.2">
      <c r="A47" s="48"/>
      <c r="B47" s="6" t="s">
        <v>127</v>
      </c>
      <c r="C47" s="48"/>
      <c r="D47" s="48"/>
      <c r="E47" s="50"/>
      <c r="F47" s="48"/>
    </row>
    <row r="48" spans="1:6" x14ac:dyDescent="0.2">
      <c r="A48" s="48"/>
      <c r="B48" s="6" t="s">
        <v>128</v>
      </c>
      <c r="C48" s="48"/>
      <c r="D48" s="48"/>
      <c r="E48" s="50"/>
      <c r="F48" s="48"/>
    </row>
    <row r="49" spans="1:6" x14ac:dyDescent="0.2">
      <c r="A49" s="48"/>
      <c r="B49" s="6" t="s">
        <v>129</v>
      </c>
      <c r="C49" s="48"/>
      <c r="D49" s="48"/>
      <c r="E49" s="50"/>
      <c r="F49" s="48"/>
    </row>
    <row r="50" spans="1:6" x14ac:dyDescent="0.2">
      <c r="A50" s="48"/>
      <c r="B50" s="6"/>
      <c r="C50" s="48"/>
      <c r="D50" s="48"/>
      <c r="E50" s="50"/>
      <c r="F50" s="48"/>
    </row>
    <row r="51" spans="1:6" x14ac:dyDescent="0.2">
      <c r="A51" s="47"/>
      <c r="B51" s="5" t="s">
        <v>130</v>
      </c>
      <c r="C51" s="47"/>
      <c r="D51" s="47"/>
      <c r="E51" s="51"/>
      <c r="F51" s="47"/>
    </row>
    <row r="52" spans="1:6" ht="28.5" x14ac:dyDescent="0.2">
      <c r="A52" s="3" t="s">
        <v>133</v>
      </c>
      <c r="B52" s="3" t="s">
        <v>134</v>
      </c>
      <c r="C52" s="3" t="s">
        <v>8</v>
      </c>
      <c r="D52" s="3" t="s">
        <v>135</v>
      </c>
      <c r="E52" s="3" t="s">
        <v>135</v>
      </c>
      <c r="F52" s="3" t="s">
        <v>136</v>
      </c>
    </row>
    <row r="53" spans="1:6" ht="28.5" x14ac:dyDescent="0.2">
      <c r="A53" s="3" t="s">
        <v>137</v>
      </c>
      <c r="B53" s="3" t="s">
        <v>138</v>
      </c>
      <c r="C53" s="3" t="s">
        <v>8</v>
      </c>
      <c r="D53" s="3" t="s">
        <v>139</v>
      </c>
      <c r="E53" s="3" t="s">
        <v>139</v>
      </c>
      <c r="F53" s="3"/>
    </row>
    <row r="54" spans="1:6" x14ac:dyDescent="0.2">
      <c r="A54" s="3" t="s">
        <v>140</v>
      </c>
      <c r="B54" s="3"/>
      <c r="C54" s="3" t="s">
        <v>8</v>
      </c>
      <c r="D54" s="3" t="s">
        <v>141</v>
      </c>
      <c r="E54" s="3"/>
      <c r="F54" s="3" t="s">
        <v>142</v>
      </c>
    </row>
    <row r="55" spans="1:6" ht="42.75" x14ac:dyDescent="0.2">
      <c r="A55" s="3" t="s">
        <v>143</v>
      </c>
      <c r="B55" s="3" t="s">
        <v>144</v>
      </c>
      <c r="C55" s="3" t="s">
        <v>8</v>
      </c>
      <c r="D55" s="3" t="s">
        <v>145</v>
      </c>
      <c r="E55" s="3" t="s">
        <v>145</v>
      </c>
      <c r="F55" s="3" t="s">
        <v>146</v>
      </c>
    </row>
    <row r="56" spans="1:6" ht="28.5" x14ac:dyDescent="0.2">
      <c r="A56" s="3" t="s">
        <v>147</v>
      </c>
      <c r="B56" s="3" t="s">
        <v>148</v>
      </c>
      <c r="C56" s="3" t="s">
        <v>8</v>
      </c>
      <c r="D56" s="3" t="s">
        <v>149</v>
      </c>
      <c r="E56" s="3" t="s">
        <v>149</v>
      </c>
      <c r="F56" s="3" t="s">
        <v>150</v>
      </c>
    </row>
    <row r="57" spans="1:6" x14ac:dyDescent="0.2">
      <c r="A57" s="46" t="s">
        <v>151</v>
      </c>
      <c r="B57" s="4" t="s">
        <v>152</v>
      </c>
      <c r="C57" s="46" t="s">
        <v>8</v>
      </c>
      <c r="D57" s="46" t="s">
        <v>154</v>
      </c>
      <c r="E57" s="46" t="s">
        <v>154</v>
      </c>
      <c r="F57" s="46" t="s">
        <v>155</v>
      </c>
    </row>
    <row r="58" spans="1:6" x14ac:dyDescent="0.2">
      <c r="A58" s="47"/>
      <c r="B58" s="5" t="s">
        <v>153</v>
      </c>
      <c r="C58" s="47"/>
      <c r="D58" s="47"/>
      <c r="E58" s="47"/>
      <c r="F58" s="47"/>
    </row>
    <row r="59" spans="1:6" ht="28.5" x14ac:dyDescent="0.2">
      <c r="A59" s="3" t="s">
        <v>156</v>
      </c>
      <c r="B59" s="3" t="s">
        <v>157</v>
      </c>
      <c r="C59" s="3" t="s">
        <v>8</v>
      </c>
      <c r="D59" s="3" t="s">
        <v>158</v>
      </c>
      <c r="E59" s="3" t="s">
        <v>158</v>
      </c>
      <c r="F59" s="3"/>
    </row>
    <row r="60" spans="1:6" x14ac:dyDescent="0.2">
      <c r="A60" s="3" t="s">
        <v>159</v>
      </c>
      <c r="B60" s="3" t="s">
        <v>37</v>
      </c>
      <c r="C60" s="3" t="s">
        <v>8</v>
      </c>
      <c r="D60" s="3" t="s">
        <v>160</v>
      </c>
      <c r="E60" s="3" t="s">
        <v>160</v>
      </c>
      <c r="F60" s="3" t="s">
        <v>161</v>
      </c>
    </row>
    <row r="61" spans="1:6" x14ac:dyDescent="0.2">
      <c r="A61" s="46" t="s">
        <v>162</v>
      </c>
      <c r="B61" s="4" t="s">
        <v>163</v>
      </c>
      <c r="C61" s="46" t="s">
        <v>8</v>
      </c>
      <c r="D61" s="46" t="s">
        <v>168</v>
      </c>
      <c r="E61" s="46" t="s">
        <v>168</v>
      </c>
      <c r="F61" s="46" t="s">
        <v>169</v>
      </c>
    </row>
    <row r="62" spans="1:6" x14ac:dyDescent="0.2">
      <c r="A62" s="48"/>
      <c r="B62" s="6" t="s">
        <v>164</v>
      </c>
      <c r="C62" s="48"/>
      <c r="D62" s="48"/>
      <c r="E62" s="48"/>
      <c r="F62" s="48"/>
    </row>
    <row r="63" spans="1:6" x14ac:dyDescent="0.2">
      <c r="A63" s="48"/>
      <c r="B63" s="6" t="s">
        <v>165</v>
      </c>
      <c r="C63" s="48"/>
      <c r="D63" s="48"/>
      <c r="E63" s="48"/>
      <c r="F63" s="48"/>
    </row>
    <row r="64" spans="1:6" x14ac:dyDescent="0.2">
      <c r="A64" s="48"/>
      <c r="B64" s="6" t="s">
        <v>166</v>
      </c>
      <c r="C64" s="48"/>
      <c r="D64" s="48"/>
      <c r="E64" s="48"/>
      <c r="F64" s="48"/>
    </row>
    <row r="65" spans="1:6" x14ac:dyDescent="0.2">
      <c r="A65" s="47"/>
      <c r="B65" s="5" t="s">
        <v>167</v>
      </c>
      <c r="C65" s="47"/>
      <c r="D65" s="47"/>
      <c r="E65" s="47"/>
      <c r="F65" s="47"/>
    </row>
    <row r="66" spans="1:6" ht="42.75" x14ac:dyDescent="0.2">
      <c r="A66" s="3" t="s">
        <v>170</v>
      </c>
      <c r="B66" s="3" t="s">
        <v>171</v>
      </c>
      <c r="C66" s="3" t="s">
        <v>8</v>
      </c>
      <c r="D66" s="3" t="s">
        <v>172</v>
      </c>
      <c r="E66" s="3" t="s">
        <v>172</v>
      </c>
      <c r="F66" s="3"/>
    </row>
    <row r="67" spans="1:6" ht="28.5" x14ac:dyDescent="0.2">
      <c r="A67" s="3" t="s">
        <v>173</v>
      </c>
      <c r="B67" s="3" t="s">
        <v>174</v>
      </c>
      <c r="C67" s="3" t="s">
        <v>8</v>
      </c>
      <c r="D67" s="3" t="s">
        <v>175</v>
      </c>
      <c r="E67" s="3" t="s">
        <v>175</v>
      </c>
      <c r="F67" s="3"/>
    </row>
    <row r="68" spans="1:6" x14ac:dyDescent="0.2">
      <c r="A68" s="46" t="s">
        <v>176</v>
      </c>
      <c r="B68" s="4" t="s">
        <v>177</v>
      </c>
      <c r="C68" s="46" t="s">
        <v>8</v>
      </c>
      <c r="D68" s="46" t="s">
        <v>179</v>
      </c>
      <c r="E68" s="46" t="s">
        <v>179</v>
      </c>
      <c r="F68" s="46"/>
    </row>
    <row r="69" spans="1:6" x14ac:dyDescent="0.2">
      <c r="A69" s="47"/>
      <c r="B69" s="5" t="s">
        <v>178</v>
      </c>
      <c r="C69" s="47"/>
      <c r="D69" s="47"/>
      <c r="E69" s="47"/>
      <c r="F69" s="47"/>
    </row>
    <row r="70" spans="1:6" x14ac:dyDescent="0.2">
      <c r="A70" s="46" t="s">
        <v>180</v>
      </c>
      <c r="B70" s="4" t="s">
        <v>181</v>
      </c>
      <c r="C70" s="46" t="s">
        <v>8</v>
      </c>
      <c r="D70" s="46" t="s">
        <v>190</v>
      </c>
      <c r="E70" s="46" t="s">
        <v>190</v>
      </c>
      <c r="F70" s="46"/>
    </row>
    <row r="71" spans="1:6" x14ac:dyDescent="0.2">
      <c r="A71" s="48"/>
      <c r="B71" s="6" t="s">
        <v>182</v>
      </c>
      <c r="C71" s="48"/>
      <c r="D71" s="48"/>
      <c r="E71" s="48"/>
      <c r="F71" s="48"/>
    </row>
    <row r="72" spans="1:6" x14ac:dyDescent="0.2">
      <c r="A72" s="48"/>
      <c r="B72" s="6" t="s">
        <v>183</v>
      </c>
      <c r="C72" s="48"/>
      <c r="D72" s="48"/>
      <c r="E72" s="48"/>
      <c r="F72" s="48"/>
    </row>
    <row r="73" spans="1:6" x14ac:dyDescent="0.2">
      <c r="A73" s="48"/>
      <c r="B73" s="6" t="s">
        <v>184</v>
      </c>
      <c r="C73" s="48"/>
      <c r="D73" s="48"/>
      <c r="E73" s="48"/>
      <c r="F73" s="48"/>
    </row>
    <row r="74" spans="1:6" x14ac:dyDescent="0.2">
      <c r="A74" s="48"/>
      <c r="B74" s="6" t="s">
        <v>185</v>
      </c>
      <c r="C74" s="48"/>
      <c r="D74" s="48"/>
      <c r="E74" s="48"/>
      <c r="F74" s="48"/>
    </row>
    <row r="75" spans="1:6" x14ac:dyDescent="0.2">
      <c r="A75" s="48"/>
      <c r="B75" s="6" t="s">
        <v>186</v>
      </c>
      <c r="C75" s="48"/>
      <c r="D75" s="48"/>
      <c r="E75" s="48"/>
      <c r="F75" s="48"/>
    </row>
    <row r="76" spans="1:6" x14ac:dyDescent="0.2">
      <c r="A76" s="48"/>
      <c r="B76" s="6" t="s">
        <v>187</v>
      </c>
      <c r="C76" s="48"/>
      <c r="D76" s="48"/>
      <c r="E76" s="48"/>
      <c r="F76" s="48"/>
    </row>
    <row r="77" spans="1:6" x14ac:dyDescent="0.2">
      <c r="A77" s="48"/>
      <c r="B77" s="6" t="s">
        <v>188</v>
      </c>
      <c r="C77" s="48"/>
      <c r="D77" s="48"/>
      <c r="E77" s="48"/>
      <c r="F77" s="48"/>
    </row>
    <row r="78" spans="1:6" x14ac:dyDescent="0.2">
      <c r="A78" s="47"/>
      <c r="B78" s="5" t="s">
        <v>189</v>
      </c>
      <c r="C78" s="47"/>
      <c r="D78" s="47"/>
      <c r="E78" s="47"/>
      <c r="F78" s="47"/>
    </row>
    <row r="79" spans="1:6" x14ac:dyDescent="0.2">
      <c r="A79" s="46" t="s">
        <v>191</v>
      </c>
      <c r="B79" s="4" t="s">
        <v>192</v>
      </c>
      <c r="C79" s="46" t="s">
        <v>8</v>
      </c>
      <c r="D79" s="46" t="s">
        <v>195</v>
      </c>
      <c r="E79" s="46" t="s">
        <v>195</v>
      </c>
      <c r="F79" s="46"/>
    </row>
    <row r="80" spans="1:6" x14ac:dyDescent="0.2">
      <c r="A80" s="48"/>
      <c r="B80" s="6" t="s">
        <v>193</v>
      </c>
      <c r="C80" s="48"/>
      <c r="D80" s="48"/>
      <c r="E80" s="48"/>
      <c r="F80" s="48"/>
    </row>
    <row r="81" spans="1:6" x14ac:dyDescent="0.2">
      <c r="A81" s="47"/>
      <c r="B81" s="5" t="s">
        <v>194</v>
      </c>
      <c r="C81" s="47"/>
      <c r="D81" s="47"/>
      <c r="E81" s="47"/>
      <c r="F81" s="47"/>
    </row>
    <row r="82" spans="1:6" x14ac:dyDescent="0.2">
      <c r="A82" s="46" t="s">
        <v>196</v>
      </c>
      <c r="B82" s="4" t="s">
        <v>197</v>
      </c>
      <c r="C82" s="46" t="s">
        <v>8</v>
      </c>
      <c r="D82" s="46" t="s">
        <v>200</v>
      </c>
      <c r="E82" s="46" t="s">
        <v>200</v>
      </c>
      <c r="F82" s="46"/>
    </row>
    <row r="83" spans="1:6" x14ac:dyDescent="0.2">
      <c r="A83" s="48"/>
      <c r="B83" s="6" t="s">
        <v>198</v>
      </c>
      <c r="C83" s="48"/>
      <c r="D83" s="48"/>
      <c r="E83" s="48"/>
      <c r="F83" s="48"/>
    </row>
    <row r="84" spans="1:6" x14ac:dyDescent="0.2">
      <c r="A84" s="47"/>
      <c r="B84" s="5" t="s">
        <v>199</v>
      </c>
      <c r="C84" s="47"/>
      <c r="D84" s="47"/>
      <c r="E84" s="47"/>
      <c r="F84" s="47"/>
    </row>
    <row r="85" spans="1:6" x14ac:dyDescent="0.2">
      <c r="A85" s="46" t="s">
        <v>201</v>
      </c>
      <c r="B85" s="4" t="s">
        <v>202</v>
      </c>
      <c r="C85" s="46" t="s">
        <v>8</v>
      </c>
      <c r="D85" s="46" t="s">
        <v>204</v>
      </c>
      <c r="E85" s="46" t="s">
        <v>204</v>
      </c>
      <c r="F85" s="46" t="s">
        <v>205</v>
      </c>
    </row>
    <row r="86" spans="1:6" x14ac:dyDescent="0.2">
      <c r="A86" s="47"/>
      <c r="B86" s="5" t="s">
        <v>203</v>
      </c>
      <c r="C86" s="47"/>
      <c r="D86" s="47"/>
      <c r="E86" s="47"/>
      <c r="F86" s="47"/>
    </row>
    <row r="87" spans="1:6" x14ac:dyDescent="0.2">
      <c r="A87" s="46" t="s">
        <v>206</v>
      </c>
      <c r="B87" s="4" t="s">
        <v>207</v>
      </c>
      <c r="C87" s="46" t="s">
        <v>8</v>
      </c>
      <c r="D87" s="46" t="s">
        <v>209</v>
      </c>
      <c r="E87" s="46" t="s">
        <v>209</v>
      </c>
      <c r="F87" s="46"/>
    </row>
    <row r="88" spans="1:6" x14ac:dyDescent="0.2">
      <c r="A88" s="47"/>
      <c r="B88" s="5" t="s">
        <v>208</v>
      </c>
      <c r="C88" s="47"/>
      <c r="D88" s="47"/>
      <c r="E88" s="47"/>
      <c r="F88" s="47"/>
    </row>
    <row r="89" spans="1:6" ht="42.75" x14ac:dyDescent="0.2">
      <c r="A89" s="3" t="s">
        <v>210</v>
      </c>
      <c r="B89" s="3" t="s">
        <v>211</v>
      </c>
      <c r="C89" s="3" t="s">
        <v>8</v>
      </c>
      <c r="D89" s="3" t="s">
        <v>212</v>
      </c>
      <c r="E89" s="3" t="s">
        <v>212</v>
      </c>
      <c r="F89" s="3"/>
    </row>
    <row r="90" spans="1:6" ht="28.5" x14ac:dyDescent="0.2">
      <c r="A90" s="3" t="s">
        <v>213</v>
      </c>
      <c r="B90" s="3" t="s">
        <v>214</v>
      </c>
      <c r="C90" s="3" t="s">
        <v>8</v>
      </c>
      <c r="D90" s="3" t="s">
        <v>215</v>
      </c>
      <c r="E90" s="3" t="s">
        <v>215</v>
      </c>
      <c r="F90" s="3"/>
    </row>
    <row r="91" spans="1:6" ht="42.75" x14ac:dyDescent="0.2">
      <c r="A91" s="3" t="s">
        <v>216</v>
      </c>
      <c r="B91" s="3" t="s">
        <v>217</v>
      </c>
      <c r="C91" s="3" t="s">
        <v>8</v>
      </c>
      <c r="D91" s="3" t="s">
        <v>218</v>
      </c>
      <c r="E91" s="3" t="s">
        <v>218</v>
      </c>
      <c r="F91" s="3"/>
    </row>
    <row r="92" spans="1:6" ht="28.5" x14ac:dyDescent="0.2">
      <c r="A92" s="3" t="s">
        <v>219</v>
      </c>
      <c r="B92" s="3" t="s">
        <v>220</v>
      </c>
      <c r="C92" s="3" t="s">
        <v>8</v>
      </c>
      <c r="D92" s="3" t="s">
        <v>221</v>
      </c>
      <c r="E92" s="3" t="s">
        <v>221</v>
      </c>
      <c r="F92" s="3" t="s">
        <v>222</v>
      </c>
    </row>
    <row r="93" spans="1:6" ht="28.5" x14ac:dyDescent="0.2">
      <c r="A93" s="3" t="s">
        <v>223</v>
      </c>
      <c r="B93" s="3" t="s">
        <v>224</v>
      </c>
      <c r="C93" s="3" t="s">
        <v>8</v>
      </c>
      <c r="D93" s="3" t="s">
        <v>225</v>
      </c>
      <c r="E93" s="3" t="s">
        <v>225</v>
      </c>
      <c r="F93" s="3"/>
    </row>
    <row r="94" spans="1:6" x14ac:dyDescent="0.2">
      <c r="A94" s="46" t="s">
        <v>226</v>
      </c>
      <c r="B94" s="4" t="s">
        <v>227</v>
      </c>
      <c r="C94" s="46" t="s">
        <v>8</v>
      </c>
      <c r="D94" s="46" t="s">
        <v>229</v>
      </c>
      <c r="E94" s="46" t="s">
        <v>229</v>
      </c>
      <c r="F94" s="46"/>
    </row>
    <row r="95" spans="1:6" x14ac:dyDescent="0.2">
      <c r="A95" s="47"/>
      <c r="B95" s="5" t="s">
        <v>228</v>
      </c>
      <c r="C95" s="47"/>
      <c r="D95" s="47"/>
      <c r="E95" s="47"/>
      <c r="F95" s="47"/>
    </row>
    <row r="96" spans="1:6" ht="42.75" x14ac:dyDescent="0.2">
      <c r="A96" s="3" t="s">
        <v>230</v>
      </c>
      <c r="B96" s="3" t="s">
        <v>231</v>
      </c>
      <c r="C96" s="3" t="s">
        <v>8</v>
      </c>
      <c r="D96" s="3" t="s">
        <v>232</v>
      </c>
      <c r="E96" s="3" t="s">
        <v>232</v>
      </c>
      <c r="F96" s="3"/>
    </row>
    <row r="97" spans="1:6" ht="28.5" x14ac:dyDescent="0.2">
      <c r="A97" s="3" t="s">
        <v>233</v>
      </c>
      <c r="B97" s="3" t="s">
        <v>234</v>
      </c>
      <c r="C97" s="3" t="s">
        <v>8</v>
      </c>
      <c r="D97" s="3" t="s">
        <v>235</v>
      </c>
      <c r="E97" s="3" t="s">
        <v>235</v>
      </c>
      <c r="F97" s="3"/>
    </row>
    <row r="98" spans="1:6" x14ac:dyDescent="0.2">
      <c r="A98" s="46" t="s">
        <v>236</v>
      </c>
      <c r="B98" s="4" t="s">
        <v>237</v>
      </c>
      <c r="C98" s="46" t="s">
        <v>8</v>
      </c>
      <c r="D98" s="46" t="s">
        <v>240</v>
      </c>
      <c r="E98" s="46" t="s">
        <v>240</v>
      </c>
      <c r="F98" s="46"/>
    </row>
    <row r="99" spans="1:6" x14ac:dyDescent="0.2">
      <c r="A99" s="48"/>
      <c r="B99" s="6" t="s">
        <v>238</v>
      </c>
      <c r="C99" s="48"/>
      <c r="D99" s="48"/>
      <c r="E99" s="48"/>
      <c r="F99" s="48"/>
    </row>
    <row r="100" spans="1:6" x14ac:dyDescent="0.2">
      <c r="A100" s="47"/>
      <c r="B100" s="5" t="s">
        <v>239</v>
      </c>
      <c r="C100" s="47"/>
      <c r="D100" s="47"/>
      <c r="E100" s="47"/>
      <c r="F100" s="47"/>
    </row>
    <row r="101" spans="1:6" x14ac:dyDescent="0.2">
      <c r="A101" s="46" t="s">
        <v>241</v>
      </c>
      <c r="B101" s="4" t="s">
        <v>242</v>
      </c>
      <c r="C101" s="46" t="s">
        <v>8</v>
      </c>
      <c r="D101" s="46" t="s">
        <v>244</v>
      </c>
      <c r="E101" s="46" t="s">
        <v>244</v>
      </c>
      <c r="F101" s="46"/>
    </row>
    <row r="102" spans="1:6" x14ac:dyDescent="0.2">
      <c r="A102" s="47"/>
      <c r="B102" s="5" t="s">
        <v>243</v>
      </c>
      <c r="C102" s="47"/>
      <c r="D102" s="47"/>
      <c r="E102" s="47"/>
      <c r="F102" s="47"/>
    </row>
    <row r="103" spans="1:6" ht="57" x14ac:dyDescent="0.2">
      <c r="A103" s="3" t="s">
        <v>245</v>
      </c>
      <c r="B103" s="3" t="s">
        <v>246</v>
      </c>
      <c r="C103" s="3" t="s">
        <v>8</v>
      </c>
      <c r="D103" s="3" t="s">
        <v>247</v>
      </c>
      <c r="E103" s="3" t="s">
        <v>247</v>
      </c>
      <c r="F103" s="3"/>
    </row>
    <row r="104" spans="1:6" x14ac:dyDescent="0.2">
      <c r="A104" s="46" t="s">
        <v>248</v>
      </c>
      <c r="B104" s="4" t="s">
        <v>249</v>
      </c>
      <c r="C104" s="46" t="s">
        <v>8</v>
      </c>
      <c r="D104" s="46" t="s">
        <v>252</v>
      </c>
      <c r="E104" s="46" t="s">
        <v>252</v>
      </c>
      <c r="F104" s="46"/>
    </row>
    <row r="105" spans="1:6" x14ac:dyDescent="0.2">
      <c r="A105" s="48"/>
      <c r="B105" s="6" t="s">
        <v>250</v>
      </c>
      <c r="C105" s="48"/>
      <c r="D105" s="48"/>
      <c r="E105" s="48"/>
      <c r="F105" s="48"/>
    </row>
    <row r="106" spans="1:6" x14ac:dyDescent="0.2">
      <c r="A106" s="47"/>
      <c r="B106" s="5" t="s">
        <v>251</v>
      </c>
      <c r="C106" s="47"/>
      <c r="D106" s="47"/>
      <c r="E106" s="47"/>
      <c r="F106" s="47"/>
    </row>
    <row r="107" spans="1:6" ht="42.75" x14ac:dyDescent="0.2">
      <c r="A107" s="3" t="s">
        <v>253</v>
      </c>
      <c r="B107" s="3" t="s">
        <v>254</v>
      </c>
      <c r="C107" s="3" t="s">
        <v>8</v>
      </c>
      <c r="D107" s="3" t="s">
        <v>255</v>
      </c>
      <c r="E107" s="3" t="s">
        <v>255</v>
      </c>
      <c r="F107" s="3"/>
    </row>
    <row r="108" spans="1:6" ht="28.5" x14ac:dyDescent="0.2">
      <c r="A108" s="3" t="s">
        <v>256</v>
      </c>
      <c r="B108" s="3" t="s">
        <v>257</v>
      </c>
      <c r="C108" s="3" t="s">
        <v>8</v>
      </c>
      <c r="D108" s="3" t="s">
        <v>258</v>
      </c>
      <c r="E108" s="3" t="s">
        <v>258</v>
      </c>
      <c r="F108" s="3"/>
    </row>
    <row r="109" spans="1:6" ht="28.5" x14ac:dyDescent="0.2">
      <c r="A109" s="3" t="s">
        <v>259</v>
      </c>
      <c r="B109" s="3" t="s">
        <v>260</v>
      </c>
      <c r="C109" s="3" t="s">
        <v>8</v>
      </c>
      <c r="D109" s="3" t="s">
        <v>261</v>
      </c>
      <c r="E109" s="3" t="s">
        <v>261</v>
      </c>
      <c r="F109" s="3" t="s">
        <v>262</v>
      </c>
    </row>
    <row r="110" spans="1:6" ht="28.5" x14ac:dyDescent="0.2">
      <c r="A110" s="3" t="s">
        <v>263</v>
      </c>
      <c r="B110" s="3" t="s">
        <v>264</v>
      </c>
      <c r="C110" s="3" t="s">
        <v>8</v>
      </c>
      <c r="D110" s="3" t="s">
        <v>265</v>
      </c>
      <c r="E110" s="3" t="s">
        <v>265</v>
      </c>
      <c r="F110" s="3"/>
    </row>
    <row r="111" spans="1:6" ht="28.5" x14ac:dyDescent="0.2">
      <c r="A111" s="3" t="s">
        <v>266</v>
      </c>
      <c r="B111" s="3" t="s">
        <v>267</v>
      </c>
      <c r="C111" s="3" t="s">
        <v>8</v>
      </c>
      <c r="D111" s="3" t="s">
        <v>268</v>
      </c>
      <c r="E111" s="3" t="s">
        <v>268</v>
      </c>
      <c r="F111" s="3"/>
    </row>
    <row r="112" spans="1:6" ht="28.5" x14ac:dyDescent="0.2">
      <c r="A112" s="3" t="s">
        <v>269</v>
      </c>
      <c r="B112" s="3" t="s">
        <v>270</v>
      </c>
      <c r="C112" s="3" t="s">
        <v>8</v>
      </c>
      <c r="D112" s="3" t="s">
        <v>271</v>
      </c>
      <c r="E112" s="3" t="s">
        <v>271</v>
      </c>
      <c r="F112" s="3" t="s">
        <v>272</v>
      </c>
    </row>
    <row r="113" spans="1:6" ht="28.5" x14ac:dyDescent="0.2">
      <c r="A113" s="3" t="s">
        <v>273</v>
      </c>
      <c r="B113" s="3" t="s">
        <v>274</v>
      </c>
      <c r="C113" s="3" t="s">
        <v>8</v>
      </c>
      <c r="D113" s="3" t="s">
        <v>275</v>
      </c>
      <c r="E113" s="3" t="s">
        <v>275</v>
      </c>
      <c r="F113" s="3"/>
    </row>
    <row r="114" spans="1:6" x14ac:dyDescent="0.2">
      <c r="A114" s="46" t="s">
        <v>276</v>
      </c>
      <c r="B114" s="4" t="s">
        <v>277</v>
      </c>
      <c r="C114" s="46" t="s">
        <v>8</v>
      </c>
      <c r="D114" s="46" t="s">
        <v>290</v>
      </c>
      <c r="E114" s="46" t="s">
        <v>290</v>
      </c>
      <c r="F114" s="46" t="s">
        <v>291</v>
      </c>
    </row>
    <row r="115" spans="1:6" x14ac:dyDescent="0.2">
      <c r="A115" s="48"/>
      <c r="B115" s="6" t="s">
        <v>278</v>
      </c>
      <c r="C115" s="48"/>
      <c r="D115" s="48"/>
      <c r="E115" s="48"/>
      <c r="F115" s="48"/>
    </row>
    <row r="116" spans="1:6" x14ac:dyDescent="0.2">
      <c r="A116" s="48"/>
      <c r="B116" s="6" t="s">
        <v>279</v>
      </c>
      <c r="C116" s="48"/>
      <c r="D116" s="48"/>
      <c r="E116" s="48"/>
      <c r="F116" s="48"/>
    </row>
    <row r="117" spans="1:6" x14ac:dyDescent="0.2">
      <c r="A117" s="48"/>
      <c r="B117" s="6" t="s">
        <v>280</v>
      </c>
      <c r="C117" s="48"/>
      <c r="D117" s="48"/>
      <c r="E117" s="48"/>
      <c r="F117" s="48"/>
    </row>
    <row r="118" spans="1:6" x14ac:dyDescent="0.2">
      <c r="A118" s="48"/>
      <c r="B118" s="6" t="s">
        <v>281</v>
      </c>
      <c r="C118" s="48"/>
      <c r="D118" s="48"/>
      <c r="E118" s="48"/>
      <c r="F118" s="48"/>
    </row>
    <row r="119" spans="1:6" x14ac:dyDescent="0.2">
      <c r="A119" s="48"/>
      <c r="B119" s="6" t="s">
        <v>282</v>
      </c>
      <c r="C119" s="48"/>
      <c r="D119" s="48"/>
      <c r="E119" s="48"/>
      <c r="F119" s="48"/>
    </row>
    <row r="120" spans="1:6" x14ac:dyDescent="0.2">
      <c r="A120" s="48"/>
      <c r="B120" s="6" t="s">
        <v>283</v>
      </c>
      <c r="C120" s="48"/>
      <c r="D120" s="48"/>
      <c r="E120" s="48"/>
      <c r="F120" s="48"/>
    </row>
    <row r="121" spans="1:6" x14ac:dyDescent="0.2">
      <c r="A121" s="48"/>
      <c r="B121" s="6" t="s">
        <v>284</v>
      </c>
      <c r="C121" s="48"/>
      <c r="D121" s="48"/>
      <c r="E121" s="48"/>
      <c r="F121" s="48"/>
    </row>
    <row r="122" spans="1:6" x14ac:dyDescent="0.2">
      <c r="A122" s="48"/>
      <c r="B122" s="6" t="s">
        <v>285</v>
      </c>
      <c r="C122" s="48"/>
      <c r="D122" s="48"/>
      <c r="E122" s="48"/>
      <c r="F122" s="48"/>
    </row>
    <row r="123" spans="1:6" x14ac:dyDescent="0.2">
      <c r="A123" s="48"/>
      <c r="B123" s="6" t="s">
        <v>286</v>
      </c>
      <c r="C123" s="48"/>
      <c r="D123" s="48"/>
      <c r="E123" s="48"/>
      <c r="F123" s="48"/>
    </row>
    <row r="124" spans="1:6" x14ac:dyDescent="0.2">
      <c r="A124" s="48"/>
      <c r="B124" s="6" t="s">
        <v>287</v>
      </c>
      <c r="C124" s="48"/>
      <c r="D124" s="48"/>
      <c r="E124" s="48"/>
      <c r="F124" s="48"/>
    </row>
    <row r="125" spans="1:6" x14ac:dyDescent="0.2">
      <c r="A125" s="48"/>
      <c r="B125" s="6" t="s">
        <v>288</v>
      </c>
      <c r="C125" s="48"/>
      <c r="D125" s="48"/>
      <c r="E125" s="48"/>
      <c r="F125" s="48"/>
    </row>
    <row r="126" spans="1:6" x14ac:dyDescent="0.2">
      <c r="A126" s="47"/>
      <c r="B126" s="5" t="s">
        <v>289</v>
      </c>
      <c r="C126" s="47"/>
      <c r="D126" s="47"/>
      <c r="E126" s="47"/>
      <c r="F126" s="47"/>
    </row>
    <row r="127" spans="1:6" ht="42.75" x14ac:dyDescent="0.2">
      <c r="A127" s="3" t="s">
        <v>292</v>
      </c>
      <c r="B127" s="3" t="s">
        <v>293</v>
      </c>
      <c r="C127" s="3" t="s">
        <v>8</v>
      </c>
      <c r="D127" s="3" t="s">
        <v>294</v>
      </c>
      <c r="E127" s="3" t="s">
        <v>294</v>
      </c>
      <c r="F127" s="3"/>
    </row>
    <row r="128" spans="1:6" ht="28.5" x14ac:dyDescent="0.2">
      <c r="A128" s="3" t="s">
        <v>295</v>
      </c>
      <c r="B128" s="3" t="s">
        <v>296</v>
      </c>
      <c r="C128" s="3" t="s">
        <v>8</v>
      </c>
      <c r="D128" s="3" t="s">
        <v>297</v>
      </c>
      <c r="E128" s="3" t="s">
        <v>297</v>
      </c>
      <c r="F128" s="3"/>
    </row>
    <row r="129" spans="1:6" ht="42.75" x14ac:dyDescent="0.2">
      <c r="A129" s="3" t="s">
        <v>298</v>
      </c>
      <c r="B129" s="3" t="s">
        <v>299</v>
      </c>
      <c r="C129" s="3" t="s">
        <v>8</v>
      </c>
      <c r="D129" s="3" t="s">
        <v>300</v>
      </c>
      <c r="E129" s="3" t="s">
        <v>300</v>
      </c>
      <c r="F129" s="3"/>
    </row>
    <row r="130" spans="1:6" ht="28.5" x14ac:dyDescent="0.2">
      <c r="A130" s="3" t="s">
        <v>301</v>
      </c>
      <c r="B130" s="3" t="s">
        <v>302</v>
      </c>
      <c r="C130" s="3" t="s">
        <v>8</v>
      </c>
      <c r="D130" s="3" t="s">
        <v>303</v>
      </c>
      <c r="E130" s="3" t="s">
        <v>303</v>
      </c>
      <c r="F130" s="3"/>
    </row>
    <row r="131" spans="1:6" ht="42.75" x14ac:dyDescent="0.2">
      <c r="A131" s="3" t="s">
        <v>304</v>
      </c>
      <c r="B131" s="3" t="s">
        <v>305</v>
      </c>
      <c r="C131" s="3" t="s">
        <v>8</v>
      </c>
      <c r="D131" s="3" t="s">
        <v>306</v>
      </c>
      <c r="E131" s="3" t="s">
        <v>306</v>
      </c>
      <c r="F131" s="3"/>
    </row>
    <row r="132" spans="1:6" ht="42.75" x14ac:dyDescent="0.2">
      <c r="A132" s="3" t="s">
        <v>307</v>
      </c>
      <c r="B132" s="3" t="s">
        <v>308</v>
      </c>
      <c r="C132" s="3" t="s">
        <v>8</v>
      </c>
      <c r="D132" s="3" t="s">
        <v>309</v>
      </c>
      <c r="E132" s="3" t="s">
        <v>309</v>
      </c>
      <c r="F132" s="3"/>
    </row>
    <row r="133" spans="1:6" x14ac:dyDescent="0.2">
      <c r="A133" s="46" t="s">
        <v>310</v>
      </c>
      <c r="B133" s="4" t="s">
        <v>311</v>
      </c>
      <c r="C133" s="46" t="s">
        <v>8</v>
      </c>
      <c r="D133" s="46" t="s">
        <v>313</v>
      </c>
      <c r="E133" s="46" t="s">
        <v>313</v>
      </c>
      <c r="F133" s="46"/>
    </row>
    <row r="134" spans="1:6" x14ac:dyDescent="0.2">
      <c r="A134" s="47"/>
      <c r="B134" s="5" t="s">
        <v>312</v>
      </c>
      <c r="C134" s="47"/>
      <c r="D134" s="47"/>
      <c r="E134" s="47"/>
      <c r="F134" s="47"/>
    </row>
    <row r="135" spans="1:6" x14ac:dyDescent="0.2">
      <c r="A135" s="46" t="s">
        <v>314</v>
      </c>
      <c r="B135" s="4" t="s">
        <v>315</v>
      </c>
      <c r="C135" s="46" t="s">
        <v>8</v>
      </c>
      <c r="D135" s="46" t="s">
        <v>319</v>
      </c>
      <c r="E135" s="46" t="s">
        <v>319</v>
      </c>
      <c r="F135" s="46"/>
    </row>
    <row r="136" spans="1:6" x14ac:dyDescent="0.2">
      <c r="A136" s="48"/>
      <c r="B136" s="6" t="s">
        <v>316</v>
      </c>
      <c r="C136" s="48"/>
      <c r="D136" s="48"/>
      <c r="E136" s="48"/>
      <c r="F136" s="48"/>
    </row>
    <row r="137" spans="1:6" x14ac:dyDescent="0.2">
      <c r="A137" s="48"/>
      <c r="B137" s="6" t="s">
        <v>317</v>
      </c>
      <c r="C137" s="48"/>
      <c r="D137" s="48"/>
      <c r="E137" s="48"/>
      <c r="F137" s="48"/>
    </row>
    <row r="138" spans="1:6" x14ac:dyDescent="0.2">
      <c r="A138" s="47"/>
      <c r="B138" s="5" t="s">
        <v>318</v>
      </c>
      <c r="C138" s="47"/>
      <c r="D138" s="47"/>
      <c r="E138" s="47"/>
      <c r="F138" s="47"/>
    </row>
    <row r="139" spans="1:6" ht="28.5" x14ac:dyDescent="0.2">
      <c r="A139" s="3" t="s">
        <v>320</v>
      </c>
      <c r="B139" s="3" t="s">
        <v>321</v>
      </c>
      <c r="C139" s="3" t="s">
        <v>8</v>
      </c>
      <c r="D139" s="3" t="s">
        <v>322</v>
      </c>
      <c r="E139" s="3" t="s">
        <v>322</v>
      </c>
      <c r="F139" s="3"/>
    </row>
    <row r="140" spans="1:6" ht="42.75" x14ac:dyDescent="0.2">
      <c r="A140" s="3" t="s">
        <v>323</v>
      </c>
      <c r="B140" s="3" t="s">
        <v>324</v>
      </c>
      <c r="C140" s="3" t="s">
        <v>8</v>
      </c>
      <c r="D140" s="3" t="s">
        <v>325</v>
      </c>
      <c r="E140" s="3" t="s">
        <v>325</v>
      </c>
      <c r="F140" s="3"/>
    </row>
    <row r="141" spans="1:6" x14ac:dyDescent="0.2">
      <c r="A141" s="46" t="s">
        <v>326</v>
      </c>
      <c r="B141" s="4" t="s">
        <v>327</v>
      </c>
      <c r="C141" s="46" t="s">
        <v>8</v>
      </c>
      <c r="D141" s="46" t="s">
        <v>329</v>
      </c>
      <c r="E141" s="46" t="s">
        <v>329</v>
      </c>
      <c r="F141" s="46"/>
    </row>
    <row r="142" spans="1:6" x14ac:dyDescent="0.2">
      <c r="A142" s="47"/>
      <c r="B142" s="5" t="s">
        <v>328</v>
      </c>
      <c r="C142" s="47"/>
      <c r="D142" s="47"/>
      <c r="E142" s="47"/>
      <c r="F142" s="47"/>
    </row>
    <row r="143" spans="1:6" ht="42.75" x14ac:dyDescent="0.2">
      <c r="A143" s="3" t="s">
        <v>330</v>
      </c>
      <c r="B143" s="3" t="s">
        <v>331</v>
      </c>
      <c r="C143" s="3" t="s">
        <v>8</v>
      </c>
      <c r="D143" s="3" t="s">
        <v>332</v>
      </c>
      <c r="E143" s="3" t="s">
        <v>332</v>
      </c>
      <c r="F143" s="3"/>
    </row>
    <row r="144" spans="1:6" ht="57" x14ac:dyDescent="0.2">
      <c r="A144" s="3" t="s">
        <v>333</v>
      </c>
      <c r="B144" s="3" t="s">
        <v>334</v>
      </c>
      <c r="C144" s="3" t="s">
        <v>8</v>
      </c>
      <c r="D144" s="3" t="s">
        <v>335</v>
      </c>
      <c r="E144" s="3" t="s">
        <v>335</v>
      </c>
      <c r="F144" s="3"/>
    </row>
    <row r="145" spans="1:6" ht="71.25" x14ac:dyDescent="0.2">
      <c r="A145" s="3" t="s">
        <v>336</v>
      </c>
      <c r="B145" s="3"/>
      <c r="C145" s="3" t="s">
        <v>337</v>
      </c>
      <c r="D145" s="3" t="s">
        <v>338</v>
      </c>
      <c r="E145" s="3" t="s">
        <v>338</v>
      </c>
      <c r="F145" s="3"/>
    </row>
    <row r="146" spans="1:6" ht="71.25" x14ac:dyDescent="0.2">
      <c r="A146" s="3" t="s">
        <v>339</v>
      </c>
      <c r="B146" s="3" t="s">
        <v>340</v>
      </c>
      <c r="C146" s="3" t="s">
        <v>8</v>
      </c>
      <c r="D146" s="3" t="s">
        <v>341</v>
      </c>
      <c r="E146" s="3" t="s">
        <v>341</v>
      </c>
      <c r="F146" s="3"/>
    </row>
    <row r="147" spans="1:6" ht="42.75" x14ac:dyDescent="0.2">
      <c r="A147" s="3" t="s">
        <v>342</v>
      </c>
      <c r="B147" s="3" t="s">
        <v>343</v>
      </c>
      <c r="C147" s="3" t="s">
        <v>8</v>
      </c>
      <c r="D147" s="3" t="s">
        <v>344</v>
      </c>
      <c r="E147" s="3" t="s">
        <v>344</v>
      </c>
      <c r="F147" s="3"/>
    </row>
    <row r="148" spans="1:6" ht="57" x14ac:dyDescent="0.2">
      <c r="A148" s="3" t="s">
        <v>345</v>
      </c>
      <c r="B148" s="3" t="s">
        <v>346</v>
      </c>
      <c r="C148" s="3" t="s">
        <v>8</v>
      </c>
      <c r="D148" s="3" t="s">
        <v>347</v>
      </c>
      <c r="E148" s="3" t="s">
        <v>347</v>
      </c>
      <c r="F148" s="3"/>
    </row>
    <row r="149" spans="1:6" ht="71.25" x14ac:dyDescent="0.2">
      <c r="A149" s="3" t="s">
        <v>348</v>
      </c>
      <c r="B149" s="3" t="s">
        <v>3203</v>
      </c>
      <c r="C149" s="3" t="s">
        <v>8</v>
      </c>
      <c r="D149" s="3" t="s">
        <v>350</v>
      </c>
      <c r="E149" s="3"/>
      <c r="F149" s="3"/>
    </row>
    <row r="150" spans="1:6" ht="71.25" x14ac:dyDescent="0.2">
      <c r="A150" s="3" t="s">
        <v>351</v>
      </c>
      <c r="B150" s="3" t="s">
        <v>3204</v>
      </c>
      <c r="C150" s="3" t="s">
        <v>8</v>
      </c>
      <c r="D150" s="3" t="s">
        <v>352</v>
      </c>
      <c r="E150" s="3"/>
      <c r="F150" s="3"/>
    </row>
    <row r="151" spans="1:6" x14ac:dyDescent="0.2">
      <c r="A151" s="46" t="s">
        <v>353</v>
      </c>
      <c r="B151" s="4" t="s">
        <v>354</v>
      </c>
      <c r="C151" s="46" t="s">
        <v>8</v>
      </c>
      <c r="D151" s="46" t="s">
        <v>356</v>
      </c>
      <c r="E151" s="46" t="s">
        <v>356</v>
      </c>
      <c r="F151" s="46"/>
    </row>
    <row r="152" spans="1:6" x14ac:dyDescent="0.2">
      <c r="A152" s="47"/>
      <c r="B152" s="5" t="s">
        <v>355</v>
      </c>
      <c r="C152" s="47"/>
      <c r="D152" s="47"/>
      <c r="E152" s="47"/>
      <c r="F152" s="47"/>
    </row>
    <row r="153" spans="1:6" ht="42.75" x14ac:dyDescent="0.2">
      <c r="A153" s="3" t="s">
        <v>357</v>
      </c>
      <c r="B153" s="3" t="s">
        <v>358</v>
      </c>
      <c r="C153" s="3" t="s">
        <v>8</v>
      </c>
      <c r="D153" s="3" t="s">
        <v>359</v>
      </c>
      <c r="E153" s="3" t="s">
        <v>359</v>
      </c>
      <c r="F153" s="3"/>
    </row>
    <row r="154" spans="1:6" ht="57" x14ac:dyDescent="0.2">
      <c r="A154" s="3" t="s">
        <v>360</v>
      </c>
      <c r="B154" s="3" t="s">
        <v>361</v>
      </c>
      <c r="C154" s="3" t="s">
        <v>8</v>
      </c>
      <c r="D154" s="3" t="s">
        <v>362</v>
      </c>
      <c r="E154" s="3" t="s">
        <v>362</v>
      </c>
      <c r="F154" s="3" t="s">
        <v>363</v>
      </c>
    </row>
    <row r="155" spans="1:6" ht="42.75" x14ac:dyDescent="0.2">
      <c r="A155" s="3" t="s">
        <v>364</v>
      </c>
      <c r="B155" s="3" t="s">
        <v>365</v>
      </c>
      <c r="C155" s="3" t="s">
        <v>8</v>
      </c>
      <c r="D155" s="3" t="s">
        <v>366</v>
      </c>
      <c r="E155" s="3" t="s">
        <v>366</v>
      </c>
      <c r="F155" s="3"/>
    </row>
    <row r="156" spans="1:6" ht="57" x14ac:dyDescent="0.2">
      <c r="A156" s="3" t="s">
        <v>367</v>
      </c>
      <c r="B156" s="3" t="s">
        <v>368</v>
      </c>
      <c r="C156" s="3" t="s">
        <v>8</v>
      </c>
      <c r="D156" s="3" t="s">
        <v>369</v>
      </c>
      <c r="E156" s="3" t="s">
        <v>369</v>
      </c>
      <c r="F156" s="3"/>
    </row>
    <row r="157" spans="1:6" x14ac:dyDescent="0.2">
      <c r="A157" s="46" t="s">
        <v>370</v>
      </c>
      <c r="B157" s="4" t="s">
        <v>371</v>
      </c>
      <c r="C157" s="46" t="s">
        <v>8</v>
      </c>
      <c r="D157" s="46" t="s">
        <v>373</v>
      </c>
      <c r="E157" s="46" t="s">
        <v>373</v>
      </c>
      <c r="F157" s="46"/>
    </row>
    <row r="158" spans="1:6" x14ac:dyDescent="0.2">
      <c r="A158" s="47"/>
      <c r="B158" s="5" t="s">
        <v>372</v>
      </c>
      <c r="C158" s="47"/>
      <c r="D158" s="47"/>
      <c r="E158" s="47"/>
      <c r="F158" s="47"/>
    </row>
    <row r="159" spans="1:6" ht="28.5" x14ac:dyDescent="0.2">
      <c r="A159" s="3" t="s">
        <v>374</v>
      </c>
      <c r="B159" s="3" t="s">
        <v>375</v>
      </c>
      <c r="C159" s="3" t="s">
        <v>8</v>
      </c>
      <c r="D159" s="3" t="s">
        <v>376</v>
      </c>
      <c r="E159" s="3" t="s">
        <v>376</v>
      </c>
      <c r="F159" s="3"/>
    </row>
    <row r="160" spans="1:6" ht="28.5" x14ac:dyDescent="0.2">
      <c r="A160" s="3" t="s">
        <v>377</v>
      </c>
      <c r="B160" s="3" t="s">
        <v>378</v>
      </c>
      <c r="C160" s="3" t="s">
        <v>8</v>
      </c>
      <c r="D160" s="3" t="s">
        <v>379</v>
      </c>
      <c r="E160" s="3" t="s">
        <v>379</v>
      </c>
      <c r="F160" s="3" t="s">
        <v>380</v>
      </c>
    </row>
    <row r="161" spans="1:6" ht="42.75" x14ac:dyDescent="0.2">
      <c r="A161" s="3" t="s">
        <v>381</v>
      </c>
      <c r="B161" s="3" t="s">
        <v>382</v>
      </c>
      <c r="C161" s="3" t="s">
        <v>8</v>
      </c>
      <c r="D161" s="3" t="s">
        <v>383</v>
      </c>
      <c r="E161" s="3" t="s">
        <v>383</v>
      </c>
      <c r="F161" s="3"/>
    </row>
    <row r="162" spans="1:6" x14ac:dyDescent="0.2">
      <c r="A162" s="46" t="s">
        <v>384</v>
      </c>
      <c r="B162" s="4" t="s">
        <v>385</v>
      </c>
      <c r="C162" s="46" t="s">
        <v>8</v>
      </c>
      <c r="D162" s="46" t="s">
        <v>387</v>
      </c>
      <c r="E162" s="46" t="s">
        <v>387</v>
      </c>
      <c r="F162" s="46"/>
    </row>
    <row r="163" spans="1:6" x14ac:dyDescent="0.2">
      <c r="A163" s="47"/>
      <c r="B163" s="5" t="s">
        <v>386</v>
      </c>
      <c r="C163" s="47"/>
      <c r="D163" s="47"/>
      <c r="E163" s="47"/>
      <c r="F163" s="47"/>
    </row>
    <row r="164" spans="1:6" x14ac:dyDescent="0.2">
      <c r="A164" s="46" t="s">
        <v>388</v>
      </c>
      <c r="B164" s="4" t="s">
        <v>389</v>
      </c>
      <c r="C164" s="46" t="s">
        <v>8</v>
      </c>
      <c r="D164" s="46" t="s">
        <v>391</v>
      </c>
      <c r="E164" s="46" t="s">
        <v>391</v>
      </c>
      <c r="F164" s="46"/>
    </row>
    <row r="165" spans="1:6" x14ac:dyDescent="0.2">
      <c r="A165" s="47"/>
      <c r="B165" s="5" t="s">
        <v>390</v>
      </c>
      <c r="C165" s="47"/>
      <c r="D165" s="47"/>
      <c r="E165" s="47"/>
      <c r="F165" s="47"/>
    </row>
    <row r="166" spans="1:6" ht="57" x14ac:dyDescent="0.2">
      <c r="A166" s="3" t="s">
        <v>392</v>
      </c>
      <c r="B166" s="3" t="s">
        <v>393</v>
      </c>
      <c r="C166" s="3" t="s">
        <v>8</v>
      </c>
      <c r="D166" s="3" t="s">
        <v>394</v>
      </c>
      <c r="E166" s="3" t="s">
        <v>394</v>
      </c>
      <c r="F166" s="3"/>
    </row>
    <row r="167" spans="1:6" ht="42.75" x14ac:dyDescent="0.2">
      <c r="A167" s="3" t="s">
        <v>395</v>
      </c>
      <c r="B167" s="3" t="s">
        <v>396</v>
      </c>
      <c r="C167" s="3" t="s">
        <v>8</v>
      </c>
      <c r="D167" s="3" t="s">
        <v>397</v>
      </c>
      <c r="E167" s="3" t="s">
        <v>397</v>
      </c>
      <c r="F167" s="3" t="s">
        <v>398</v>
      </c>
    </row>
    <row r="168" spans="1:6" x14ac:dyDescent="0.2">
      <c r="A168" s="3" t="s">
        <v>399</v>
      </c>
      <c r="B168" s="3" t="s">
        <v>400</v>
      </c>
      <c r="C168" s="3" t="s">
        <v>8</v>
      </c>
      <c r="D168" s="3" t="s">
        <v>401</v>
      </c>
      <c r="E168" s="3" t="s">
        <v>401</v>
      </c>
      <c r="F168" s="3" t="s">
        <v>402</v>
      </c>
    </row>
    <row r="169" spans="1:6" x14ac:dyDescent="0.2">
      <c r="A169" s="46" t="s">
        <v>403</v>
      </c>
      <c r="B169" s="4" t="s">
        <v>404</v>
      </c>
      <c r="C169" s="46" t="s">
        <v>8</v>
      </c>
      <c r="D169" s="46" t="s">
        <v>403</v>
      </c>
      <c r="E169" s="46" t="s">
        <v>403</v>
      </c>
      <c r="F169" s="46" t="s">
        <v>406</v>
      </c>
    </row>
    <row r="170" spans="1:6" x14ac:dyDescent="0.2">
      <c r="A170" s="47"/>
      <c r="B170" s="5" t="s">
        <v>405</v>
      </c>
      <c r="C170" s="47"/>
      <c r="D170" s="47"/>
      <c r="E170" s="47"/>
      <c r="F170" s="47"/>
    </row>
    <row r="171" spans="1:6" ht="28.5" x14ac:dyDescent="0.2">
      <c r="A171" s="3" t="s">
        <v>407</v>
      </c>
      <c r="B171" s="3" t="s">
        <v>408</v>
      </c>
      <c r="C171" s="3" t="s">
        <v>8</v>
      </c>
      <c r="D171" s="3" t="s">
        <v>409</v>
      </c>
      <c r="E171" s="3" t="s">
        <v>409</v>
      </c>
      <c r="F171" s="3"/>
    </row>
    <row r="172" spans="1:6" ht="28.5" x14ac:dyDescent="0.2">
      <c r="A172" s="3" t="s">
        <v>410</v>
      </c>
      <c r="B172" s="3" t="s">
        <v>411</v>
      </c>
      <c r="C172" s="3" t="s">
        <v>8</v>
      </c>
      <c r="D172" s="3" t="s">
        <v>412</v>
      </c>
      <c r="E172" s="3" t="s">
        <v>412</v>
      </c>
      <c r="F172" s="3"/>
    </row>
    <row r="173" spans="1:6" x14ac:dyDescent="0.2">
      <c r="A173" s="46" t="s">
        <v>413</v>
      </c>
      <c r="B173" s="4" t="s">
        <v>414</v>
      </c>
      <c r="C173" s="46" t="s">
        <v>8</v>
      </c>
      <c r="D173" s="46" t="s">
        <v>416</v>
      </c>
      <c r="E173" s="46" t="s">
        <v>416</v>
      </c>
      <c r="F173" s="46" t="s">
        <v>417</v>
      </c>
    </row>
    <row r="174" spans="1:6" x14ac:dyDescent="0.2">
      <c r="A174" s="47"/>
      <c r="B174" s="5" t="s">
        <v>415</v>
      </c>
      <c r="C174" s="47"/>
      <c r="D174" s="47"/>
      <c r="E174" s="47"/>
      <c r="F174" s="47"/>
    </row>
    <row r="175" spans="1:6" x14ac:dyDescent="0.2">
      <c r="A175" s="46" t="s">
        <v>418</v>
      </c>
      <c r="B175" s="4" t="s">
        <v>419</v>
      </c>
      <c r="C175" s="46" t="s">
        <v>8</v>
      </c>
      <c r="D175" s="46" t="s">
        <v>421</v>
      </c>
      <c r="E175" s="46" t="s">
        <v>421</v>
      </c>
      <c r="F175" s="46"/>
    </row>
    <row r="176" spans="1:6" x14ac:dyDescent="0.2">
      <c r="A176" s="47"/>
      <c r="B176" s="5" t="s">
        <v>420</v>
      </c>
      <c r="C176" s="47"/>
      <c r="D176" s="47"/>
      <c r="E176" s="47"/>
      <c r="F176" s="47"/>
    </row>
    <row r="177" spans="1:6" x14ac:dyDescent="0.2">
      <c r="A177" s="46" t="s">
        <v>422</v>
      </c>
      <c r="B177" s="4" t="s">
        <v>423</v>
      </c>
      <c r="C177" s="46" t="s">
        <v>8</v>
      </c>
      <c r="D177" s="46" t="s">
        <v>425</v>
      </c>
      <c r="E177" s="46" t="s">
        <v>425</v>
      </c>
      <c r="F177" s="46"/>
    </row>
    <row r="178" spans="1:6" x14ac:dyDescent="0.2">
      <c r="A178" s="47"/>
      <c r="B178" s="5" t="s">
        <v>424</v>
      </c>
      <c r="C178" s="47"/>
      <c r="D178" s="47"/>
      <c r="E178" s="47"/>
      <c r="F178" s="47"/>
    </row>
    <row r="179" spans="1:6" ht="71.25" x14ac:dyDescent="0.2">
      <c r="A179" s="3" t="s">
        <v>426</v>
      </c>
      <c r="B179" s="3" t="s">
        <v>427</v>
      </c>
      <c r="C179" s="3" t="s">
        <v>8</v>
      </c>
      <c r="D179" s="3" t="s">
        <v>428</v>
      </c>
      <c r="E179" s="3" t="s">
        <v>428</v>
      </c>
      <c r="F179" s="3"/>
    </row>
    <row r="180" spans="1:6" x14ac:dyDescent="0.2">
      <c r="A180" s="46" t="s">
        <v>429</v>
      </c>
      <c r="B180" s="4"/>
      <c r="C180" s="46" t="s">
        <v>8</v>
      </c>
      <c r="D180" s="46" t="s">
        <v>430</v>
      </c>
      <c r="E180" s="46" t="s">
        <v>430</v>
      </c>
      <c r="F180" s="46"/>
    </row>
    <row r="181" spans="1:6" x14ac:dyDescent="0.2">
      <c r="A181" s="47"/>
      <c r="B181" s="5"/>
      <c r="C181" s="47"/>
      <c r="D181" s="47"/>
      <c r="E181" s="47"/>
      <c r="F181" s="47"/>
    </row>
    <row r="182" spans="1:6" ht="42.75" x14ac:dyDescent="0.2">
      <c r="A182" s="3" t="s">
        <v>431</v>
      </c>
      <c r="B182" s="3" t="s">
        <v>432</v>
      </c>
      <c r="C182" s="3" t="s">
        <v>8</v>
      </c>
      <c r="D182" s="3" t="s">
        <v>433</v>
      </c>
      <c r="E182" s="3" t="s">
        <v>433</v>
      </c>
      <c r="F182" s="3"/>
    </row>
    <row r="183" spans="1:6" ht="28.5" x14ac:dyDescent="0.2">
      <c r="A183" s="3" t="s">
        <v>434</v>
      </c>
      <c r="B183" s="3" t="s">
        <v>435</v>
      </c>
      <c r="C183" s="3" t="s">
        <v>8</v>
      </c>
      <c r="D183" s="3" t="s">
        <v>436</v>
      </c>
      <c r="E183" s="3" t="s">
        <v>436</v>
      </c>
      <c r="F183" s="3"/>
    </row>
    <row r="184" spans="1:6" ht="28.5" x14ac:dyDescent="0.2">
      <c r="A184" s="3" t="s">
        <v>437</v>
      </c>
      <c r="B184" s="3" t="s">
        <v>438</v>
      </c>
      <c r="C184" s="3" t="s">
        <v>8</v>
      </c>
      <c r="D184" s="3" t="s">
        <v>439</v>
      </c>
      <c r="E184" s="3" t="s">
        <v>439</v>
      </c>
      <c r="F184" s="3"/>
    </row>
    <row r="185" spans="1:6" x14ac:dyDescent="0.2">
      <c r="A185" s="3" t="s">
        <v>440</v>
      </c>
      <c r="B185" s="3" t="s">
        <v>440</v>
      </c>
      <c r="C185" s="3" t="s">
        <v>8</v>
      </c>
      <c r="D185" s="3" t="s">
        <v>440</v>
      </c>
      <c r="E185" s="3"/>
      <c r="F185" s="3" t="s">
        <v>441</v>
      </c>
    </row>
    <row r="186" spans="1:6" ht="28.5" x14ac:dyDescent="0.2">
      <c r="A186" s="3" t="s">
        <v>442</v>
      </c>
      <c r="B186" s="3" t="s">
        <v>443</v>
      </c>
      <c r="C186" s="3" t="s">
        <v>8</v>
      </c>
      <c r="D186" s="3" t="s">
        <v>444</v>
      </c>
      <c r="E186" s="3" t="s">
        <v>444</v>
      </c>
      <c r="F186" s="3" t="s">
        <v>445</v>
      </c>
    </row>
    <row r="187" spans="1:6" ht="28.5" x14ac:dyDescent="0.2">
      <c r="A187" s="3" t="s">
        <v>446</v>
      </c>
      <c r="B187" s="3" t="s">
        <v>447</v>
      </c>
      <c r="C187" s="3" t="s">
        <v>8</v>
      </c>
      <c r="D187" s="3" t="s">
        <v>448</v>
      </c>
      <c r="E187" s="3" t="s">
        <v>448</v>
      </c>
      <c r="F187" s="3"/>
    </row>
    <row r="188" spans="1:6" ht="42.75" x14ac:dyDescent="0.2">
      <c r="A188" s="3" t="s">
        <v>449</v>
      </c>
      <c r="B188" s="3" t="s">
        <v>450</v>
      </c>
      <c r="C188" s="3" t="s">
        <v>8</v>
      </c>
      <c r="D188" s="3" t="s">
        <v>451</v>
      </c>
      <c r="E188" s="3" t="s">
        <v>451</v>
      </c>
      <c r="F188" s="3"/>
    </row>
    <row r="189" spans="1:6" x14ac:dyDescent="0.2">
      <c r="A189" s="46" t="s">
        <v>452</v>
      </c>
      <c r="B189" s="4" t="s">
        <v>453</v>
      </c>
      <c r="C189" s="46" t="s">
        <v>8</v>
      </c>
      <c r="D189" s="46" t="s">
        <v>458</v>
      </c>
      <c r="E189" s="46" t="s">
        <v>458</v>
      </c>
      <c r="F189" s="46"/>
    </row>
    <row r="190" spans="1:6" x14ac:dyDescent="0.2">
      <c r="A190" s="48"/>
      <c r="B190" s="6" t="s">
        <v>454</v>
      </c>
      <c r="C190" s="48"/>
      <c r="D190" s="48"/>
      <c r="E190" s="48"/>
      <c r="F190" s="48"/>
    </row>
    <row r="191" spans="1:6" x14ac:dyDescent="0.2">
      <c r="A191" s="48"/>
      <c r="B191" s="6" t="s">
        <v>455</v>
      </c>
      <c r="C191" s="48"/>
      <c r="D191" s="48"/>
      <c r="E191" s="48"/>
      <c r="F191" s="48"/>
    </row>
    <row r="192" spans="1:6" x14ac:dyDescent="0.2">
      <c r="A192" s="48"/>
      <c r="B192" s="6" t="s">
        <v>456</v>
      </c>
      <c r="C192" s="48"/>
      <c r="D192" s="48"/>
      <c r="E192" s="48"/>
      <c r="F192" s="48"/>
    </row>
    <row r="193" spans="1:6" x14ac:dyDescent="0.2">
      <c r="A193" s="47"/>
      <c r="B193" s="5" t="s">
        <v>457</v>
      </c>
      <c r="C193" s="47"/>
      <c r="D193" s="47"/>
      <c r="E193" s="47"/>
      <c r="F193" s="47"/>
    </row>
    <row r="194" spans="1:6" ht="42.75" x14ac:dyDescent="0.2">
      <c r="A194" s="3" t="s">
        <v>459</v>
      </c>
      <c r="B194" s="3" t="s">
        <v>460</v>
      </c>
      <c r="C194" s="3" t="s">
        <v>8</v>
      </c>
      <c r="D194" s="3" t="s">
        <v>461</v>
      </c>
      <c r="E194" s="3" t="s">
        <v>461</v>
      </c>
      <c r="F194" s="3"/>
    </row>
    <row r="195" spans="1:6" x14ac:dyDescent="0.2">
      <c r="A195" s="46" t="s">
        <v>462</v>
      </c>
      <c r="B195" s="4" t="s">
        <v>463</v>
      </c>
      <c r="C195" s="46" t="s">
        <v>8</v>
      </c>
      <c r="D195" s="46" t="s">
        <v>466</v>
      </c>
      <c r="E195" s="46" t="s">
        <v>466</v>
      </c>
      <c r="F195" s="46" t="s">
        <v>467</v>
      </c>
    </row>
    <row r="196" spans="1:6" x14ac:dyDescent="0.2">
      <c r="A196" s="48"/>
      <c r="B196" s="6" t="s">
        <v>464</v>
      </c>
      <c r="C196" s="48"/>
      <c r="D196" s="48"/>
      <c r="E196" s="48"/>
      <c r="F196" s="48"/>
    </row>
    <row r="197" spans="1:6" x14ac:dyDescent="0.2">
      <c r="A197" s="47"/>
      <c r="B197" s="5" t="s">
        <v>465</v>
      </c>
      <c r="C197" s="47"/>
      <c r="D197" s="47"/>
      <c r="E197" s="47"/>
      <c r="F197" s="47"/>
    </row>
    <row r="198" spans="1:6" ht="28.5" x14ac:dyDescent="0.2">
      <c r="A198" s="3" t="s">
        <v>468</v>
      </c>
      <c r="B198" s="3" t="s">
        <v>469</v>
      </c>
      <c r="C198" s="3" t="s">
        <v>8</v>
      </c>
      <c r="D198" s="3" t="s">
        <v>470</v>
      </c>
      <c r="E198" s="3" t="s">
        <v>470</v>
      </c>
      <c r="F198" s="3" t="s">
        <v>471</v>
      </c>
    </row>
    <row r="199" spans="1:6" ht="28.5" x14ac:dyDescent="0.2">
      <c r="A199" s="3" t="s">
        <v>472</v>
      </c>
      <c r="B199" s="3" t="s">
        <v>473</v>
      </c>
      <c r="C199" s="3" t="s">
        <v>8</v>
      </c>
      <c r="D199" s="3" t="s">
        <v>474</v>
      </c>
      <c r="E199" s="3" t="s">
        <v>474</v>
      </c>
      <c r="F199" s="3"/>
    </row>
    <row r="200" spans="1:6" x14ac:dyDescent="0.2">
      <c r="A200" s="46" t="s">
        <v>475</v>
      </c>
      <c r="B200" s="4" t="s">
        <v>476</v>
      </c>
      <c r="C200" s="46" t="s">
        <v>8</v>
      </c>
      <c r="D200" s="46" t="s">
        <v>479</v>
      </c>
      <c r="E200" s="46" t="s">
        <v>479</v>
      </c>
      <c r="F200" s="46"/>
    </row>
    <row r="201" spans="1:6" x14ac:dyDescent="0.2">
      <c r="A201" s="48"/>
      <c r="B201" s="6" t="s">
        <v>477</v>
      </c>
      <c r="C201" s="48"/>
      <c r="D201" s="48"/>
      <c r="E201" s="48"/>
      <c r="F201" s="48"/>
    </row>
    <row r="202" spans="1:6" x14ac:dyDescent="0.2">
      <c r="A202" s="47"/>
      <c r="B202" s="5" t="s">
        <v>478</v>
      </c>
      <c r="C202" s="47"/>
      <c r="D202" s="47"/>
      <c r="E202" s="47"/>
      <c r="F202" s="47"/>
    </row>
    <row r="203" spans="1:6" ht="42.75" x14ac:dyDescent="0.2">
      <c r="A203" s="3" t="s">
        <v>480</v>
      </c>
      <c r="B203" s="3" t="s">
        <v>481</v>
      </c>
      <c r="C203" s="3" t="s">
        <v>8</v>
      </c>
      <c r="D203" s="3" t="s">
        <v>482</v>
      </c>
      <c r="E203" s="3" t="s">
        <v>482</v>
      </c>
      <c r="F203" s="3"/>
    </row>
    <row r="204" spans="1:6" ht="71.25" x14ac:dyDescent="0.2">
      <c r="A204" s="3" t="s">
        <v>483</v>
      </c>
      <c r="B204" s="3" t="s">
        <v>3196</v>
      </c>
      <c r="C204" s="3" t="s">
        <v>8</v>
      </c>
      <c r="D204" s="3" t="s">
        <v>485</v>
      </c>
      <c r="E204" s="3"/>
      <c r="F204" s="3" t="s">
        <v>486</v>
      </c>
    </row>
    <row r="205" spans="1:6" ht="71.25" x14ac:dyDescent="0.2">
      <c r="A205" s="3" t="s">
        <v>487</v>
      </c>
      <c r="B205" s="3" t="s">
        <v>3197</v>
      </c>
      <c r="C205" s="3" t="s">
        <v>8</v>
      </c>
      <c r="D205" s="3" t="s">
        <v>489</v>
      </c>
      <c r="E205" s="3"/>
      <c r="F205" s="3"/>
    </row>
    <row r="206" spans="1:6" ht="71.25" x14ac:dyDescent="0.2">
      <c r="A206" s="3" t="s">
        <v>490</v>
      </c>
      <c r="B206" s="3" t="s">
        <v>3198</v>
      </c>
      <c r="C206" s="3" t="s">
        <v>8</v>
      </c>
      <c r="D206" s="3" t="s">
        <v>492</v>
      </c>
      <c r="E206" s="3"/>
      <c r="F206" s="3"/>
    </row>
    <row r="207" spans="1:6" ht="71.25" x14ac:dyDescent="0.2">
      <c r="A207" s="3" t="s">
        <v>493</v>
      </c>
      <c r="B207" s="3" t="s">
        <v>3199</v>
      </c>
      <c r="C207" s="3" t="s">
        <v>8</v>
      </c>
      <c r="D207" s="3" t="s">
        <v>494</v>
      </c>
      <c r="E207" s="3"/>
      <c r="F207" s="3" t="s">
        <v>495</v>
      </c>
    </row>
    <row r="208" spans="1:6" ht="71.25" x14ac:dyDescent="0.2">
      <c r="A208" s="3" t="s">
        <v>496</v>
      </c>
      <c r="B208" s="3" t="s">
        <v>3200</v>
      </c>
      <c r="C208" s="3" t="s">
        <v>8</v>
      </c>
      <c r="D208" s="3" t="s">
        <v>497</v>
      </c>
      <c r="E208" s="3"/>
      <c r="F208" s="3"/>
    </row>
    <row r="209" spans="1:6" ht="71.25" x14ac:dyDescent="0.2">
      <c r="A209" s="3" t="s">
        <v>498</v>
      </c>
      <c r="B209" s="3" t="s">
        <v>3201</v>
      </c>
      <c r="C209" s="3" t="s">
        <v>8</v>
      </c>
      <c r="D209" s="3" t="s">
        <v>499</v>
      </c>
      <c r="E209" s="3"/>
      <c r="F209" s="3"/>
    </row>
    <row r="210" spans="1:6" ht="57" x14ac:dyDescent="0.2">
      <c r="A210" s="3" t="s">
        <v>500</v>
      </c>
      <c r="B210" s="3" t="s">
        <v>3202</v>
      </c>
      <c r="C210" s="3" t="s">
        <v>8</v>
      </c>
      <c r="D210" s="3" t="s">
        <v>502</v>
      </c>
      <c r="E210" s="3"/>
      <c r="F210" s="3"/>
    </row>
    <row r="211" spans="1:6" ht="42.75" x14ac:dyDescent="0.2">
      <c r="A211" s="3" t="s">
        <v>503</v>
      </c>
      <c r="B211" s="3" t="s">
        <v>504</v>
      </c>
      <c r="C211" s="3" t="s">
        <v>8</v>
      </c>
      <c r="D211" s="3" t="s">
        <v>505</v>
      </c>
      <c r="E211" s="3" t="s">
        <v>505</v>
      </c>
      <c r="F211" s="3" t="s">
        <v>506</v>
      </c>
    </row>
    <row r="212" spans="1:6" ht="42.75" x14ac:dyDescent="0.2">
      <c r="A212" s="3" t="s">
        <v>507</v>
      </c>
      <c r="B212" s="3" t="s">
        <v>508</v>
      </c>
      <c r="C212" s="3" t="s">
        <v>8</v>
      </c>
      <c r="D212" s="3" t="s">
        <v>509</v>
      </c>
      <c r="E212" s="3" t="s">
        <v>509</v>
      </c>
      <c r="F212" s="3" t="s">
        <v>510</v>
      </c>
    </row>
    <row r="213" spans="1:6" ht="42.75" x14ac:dyDescent="0.2">
      <c r="A213" s="3" t="s">
        <v>511</v>
      </c>
      <c r="B213" s="3" t="s">
        <v>512</v>
      </c>
      <c r="C213" s="3" t="s">
        <v>8</v>
      </c>
      <c r="D213" s="3" t="s">
        <v>513</v>
      </c>
      <c r="E213" s="3"/>
      <c r="F213" s="3" t="s">
        <v>514</v>
      </c>
    </row>
    <row r="214" spans="1:6" x14ac:dyDescent="0.2">
      <c r="A214" s="46" t="s">
        <v>515</v>
      </c>
      <c r="B214" s="4" t="s">
        <v>516</v>
      </c>
      <c r="C214" s="46" t="s">
        <v>8</v>
      </c>
      <c r="D214" s="46" t="s">
        <v>518</v>
      </c>
      <c r="E214" s="46" t="s">
        <v>518</v>
      </c>
      <c r="F214" s="46" t="s">
        <v>519</v>
      </c>
    </row>
    <row r="215" spans="1:6" x14ac:dyDescent="0.2">
      <c r="A215" s="47"/>
      <c r="B215" s="5" t="s">
        <v>517</v>
      </c>
      <c r="C215" s="47"/>
      <c r="D215" s="47"/>
      <c r="E215" s="47"/>
      <c r="F215" s="47"/>
    </row>
    <row r="216" spans="1:6" ht="28.5" x14ac:dyDescent="0.2">
      <c r="A216" s="3" t="s">
        <v>520</v>
      </c>
      <c r="B216" s="3" t="s">
        <v>521</v>
      </c>
      <c r="C216" s="3" t="s">
        <v>8</v>
      </c>
      <c r="D216" s="3" t="s">
        <v>522</v>
      </c>
      <c r="E216" s="3" t="s">
        <v>522</v>
      </c>
      <c r="F216" s="3" t="s">
        <v>523</v>
      </c>
    </row>
    <row r="217" spans="1:6" x14ac:dyDescent="0.2">
      <c r="A217" s="3" t="s">
        <v>524</v>
      </c>
      <c r="B217" s="3" t="s">
        <v>525</v>
      </c>
      <c r="C217" s="3" t="s">
        <v>8</v>
      </c>
      <c r="D217" s="3" t="s">
        <v>526</v>
      </c>
      <c r="E217" s="3" t="s">
        <v>526</v>
      </c>
      <c r="F217" s="3"/>
    </row>
    <row r="218" spans="1:6" ht="28.5" x14ac:dyDescent="0.2">
      <c r="A218" s="3" t="s">
        <v>527</v>
      </c>
      <c r="B218" s="3" t="s">
        <v>528</v>
      </c>
      <c r="C218" s="3" t="s">
        <v>8</v>
      </c>
      <c r="D218" s="3" t="s">
        <v>529</v>
      </c>
      <c r="E218" s="3" t="s">
        <v>529</v>
      </c>
      <c r="F218" s="3"/>
    </row>
    <row r="219" spans="1:6" x14ac:dyDescent="0.2">
      <c r="A219" s="46" t="s">
        <v>530</v>
      </c>
      <c r="B219" s="4" t="s">
        <v>531</v>
      </c>
      <c r="C219" s="46" t="s">
        <v>8</v>
      </c>
      <c r="D219" s="46" t="s">
        <v>533</v>
      </c>
      <c r="E219" s="46" t="s">
        <v>533</v>
      </c>
      <c r="F219" s="46" t="s">
        <v>534</v>
      </c>
    </row>
    <row r="220" spans="1:6" x14ac:dyDescent="0.2">
      <c r="A220" s="47"/>
      <c r="B220" s="5" t="s">
        <v>532</v>
      </c>
      <c r="C220" s="47"/>
      <c r="D220" s="47"/>
      <c r="E220" s="47"/>
      <c r="F220" s="47"/>
    </row>
    <row r="221" spans="1:6" ht="42.75" x14ac:dyDescent="0.2">
      <c r="A221" s="3" t="s">
        <v>535</v>
      </c>
      <c r="B221" s="3" t="s">
        <v>536</v>
      </c>
      <c r="C221" s="3" t="s">
        <v>8</v>
      </c>
      <c r="D221" s="3" t="s">
        <v>537</v>
      </c>
      <c r="E221" s="3" t="s">
        <v>537</v>
      </c>
      <c r="F221" s="3"/>
    </row>
    <row r="222" spans="1:6" x14ac:dyDescent="0.2">
      <c r="A222" s="46" t="s">
        <v>538</v>
      </c>
      <c r="B222" s="4" t="s">
        <v>539</v>
      </c>
      <c r="C222" s="46" t="s">
        <v>8</v>
      </c>
      <c r="D222" s="46" t="s">
        <v>541</v>
      </c>
      <c r="E222" s="46" t="s">
        <v>541</v>
      </c>
      <c r="F222" s="46"/>
    </row>
    <row r="223" spans="1:6" x14ac:dyDescent="0.2">
      <c r="A223" s="47"/>
      <c r="B223" s="5" t="s">
        <v>540</v>
      </c>
      <c r="C223" s="47"/>
      <c r="D223" s="47"/>
      <c r="E223" s="47"/>
      <c r="F223" s="47"/>
    </row>
    <row r="224" spans="1:6" x14ac:dyDescent="0.2">
      <c r="A224" s="46" t="s">
        <v>542</v>
      </c>
      <c r="B224" s="4" t="s">
        <v>543</v>
      </c>
      <c r="C224" s="46" t="s">
        <v>8</v>
      </c>
      <c r="D224" s="46" t="s">
        <v>551</v>
      </c>
      <c r="E224" s="46" t="s">
        <v>551</v>
      </c>
      <c r="F224" s="46"/>
    </row>
    <row r="225" spans="1:8" x14ac:dyDescent="0.2">
      <c r="A225" s="48"/>
      <c r="B225" s="6" t="s">
        <v>544</v>
      </c>
      <c r="C225" s="48"/>
      <c r="D225" s="48"/>
      <c r="E225" s="48"/>
      <c r="F225" s="48"/>
    </row>
    <row r="226" spans="1:8" x14ac:dyDescent="0.2">
      <c r="A226" s="48"/>
      <c r="B226" s="6" t="s">
        <v>545</v>
      </c>
      <c r="C226" s="48"/>
      <c r="D226" s="48"/>
      <c r="E226" s="48"/>
      <c r="F226" s="48"/>
    </row>
    <row r="227" spans="1:8" x14ac:dyDescent="0.2">
      <c r="A227" s="48"/>
      <c r="B227" s="6" t="s">
        <v>546</v>
      </c>
      <c r="C227" s="48"/>
      <c r="D227" s="48"/>
      <c r="E227" s="48"/>
      <c r="F227" s="48"/>
    </row>
    <row r="228" spans="1:8" x14ac:dyDescent="0.2">
      <c r="A228" s="48"/>
      <c r="B228" s="6" t="s">
        <v>547</v>
      </c>
      <c r="C228" s="48"/>
      <c r="D228" s="48"/>
      <c r="E228" s="48"/>
      <c r="F228" s="48"/>
    </row>
    <row r="229" spans="1:8" x14ac:dyDescent="0.2">
      <c r="A229" s="48"/>
      <c r="B229" s="6" t="s">
        <v>548</v>
      </c>
      <c r="C229" s="48"/>
      <c r="D229" s="48"/>
      <c r="E229" s="48"/>
      <c r="F229" s="48"/>
    </row>
    <row r="230" spans="1:8" x14ac:dyDescent="0.2">
      <c r="A230" s="48"/>
      <c r="B230" s="6" t="s">
        <v>549</v>
      </c>
      <c r="C230" s="48"/>
      <c r="D230" s="48"/>
      <c r="E230" s="48"/>
      <c r="F230" s="48"/>
    </row>
    <row r="231" spans="1:8" x14ac:dyDescent="0.2">
      <c r="A231" s="47"/>
      <c r="B231" s="5" t="s">
        <v>550</v>
      </c>
      <c r="C231" s="47"/>
      <c r="D231" s="47"/>
      <c r="E231" s="47"/>
      <c r="F231" s="47"/>
    </row>
    <row r="232" spans="1:8" ht="42.75" x14ac:dyDescent="0.2">
      <c r="A232" s="3" t="s">
        <v>552</v>
      </c>
      <c r="B232" s="3" t="s">
        <v>553</v>
      </c>
      <c r="C232" s="3" t="s">
        <v>8</v>
      </c>
      <c r="D232" s="3" t="s">
        <v>554</v>
      </c>
      <c r="E232" s="3" t="s">
        <v>554</v>
      </c>
      <c r="F232" s="3"/>
    </row>
    <row r="233" spans="1:8" ht="42.75" x14ac:dyDescent="0.2">
      <c r="A233" s="3" t="s">
        <v>555</v>
      </c>
      <c r="B233" s="3" t="s">
        <v>556</v>
      </c>
      <c r="C233" s="3" t="s">
        <v>8</v>
      </c>
      <c r="D233" s="3" t="s">
        <v>557</v>
      </c>
      <c r="E233" s="3" t="s">
        <v>557</v>
      </c>
      <c r="F233" s="3"/>
    </row>
    <row r="234" spans="1:8" ht="28.5" x14ac:dyDescent="0.2">
      <c r="A234" s="3" t="s">
        <v>558</v>
      </c>
      <c r="B234" s="3" t="s">
        <v>559</v>
      </c>
      <c r="C234" s="3" t="s">
        <v>8</v>
      </c>
      <c r="D234" s="3" t="s">
        <v>560</v>
      </c>
      <c r="E234" s="3" t="s">
        <v>560</v>
      </c>
      <c r="F234" s="3"/>
    </row>
    <row r="235" spans="1:8" ht="42.75" x14ac:dyDescent="0.2">
      <c r="A235" s="3" t="s">
        <v>561</v>
      </c>
      <c r="B235" s="3" t="s">
        <v>562</v>
      </c>
      <c r="C235" s="3" t="s">
        <v>8</v>
      </c>
      <c r="D235" s="3" t="s">
        <v>563</v>
      </c>
      <c r="E235" s="3" t="s">
        <v>563</v>
      </c>
      <c r="F235" s="3"/>
    </row>
    <row r="236" spans="1:8" ht="28.5" x14ac:dyDescent="0.2">
      <c r="A236" s="3" t="s">
        <v>564</v>
      </c>
      <c r="B236" s="3" t="s">
        <v>565</v>
      </c>
      <c r="C236" s="3" t="s">
        <v>8</v>
      </c>
      <c r="D236" s="3" t="s">
        <v>566</v>
      </c>
      <c r="E236" s="3" t="s">
        <v>566</v>
      </c>
      <c r="F236" s="3"/>
    </row>
    <row r="237" spans="1:8" ht="28.5" x14ac:dyDescent="0.2">
      <c r="A237" s="3" t="s">
        <v>567</v>
      </c>
      <c r="B237" s="3" t="s">
        <v>568</v>
      </c>
      <c r="C237" s="3" t="s">
        <v>8</v>
      </c>
      <c r="D237" s="3" t="s">
        <v>569</v>
      </c>
      <c r="E237" s="3" t="s">
        <v>569</v>
      </c>
      <c r="F237" s="3" t="s">
        <v>570</v>
      </c>
    </row>
    <row r="238" spans="1:8" ht="28.5" x14ac:dyDescent="0.2">
      <c r="A238" s="3" t="s">
        <v>571</v>
      </c>
      <c r="B238" s="3" t="s">
        <v>572</v>
      </c>
      <c r="C238" s="3" t="s">
        <v>8</v>
      </c>
      <c r="D238" s="3" t="s">
        <v>573</v>
      </c>
      <c r="E238" s="3" t="s">
        <v>573</v>
      </c>
      <c r="F238" s="3"/>
    </row>
    <row r="239" spans="1:8" ht="28.5" x14ac:dyDescent="0.2">
      <c r="A239" s="3" t="s">
        <v>574</v>
      </c>
      <c r="B239" s="3" t="s">
        <v>575</v>
      </c>
      <c r="C239" s="3" t="s">
        <v>8</v>
      </c>
      <c r="D239" s="3" t="s">
        <v>576</v>
      </c>
      <c r="E239" s="3" t="s">
        <v>576</v>
      </c>
      <c r="F239" s="7"/>
    </row>
    <row r="240" spans="1:8" ht="28.5" x14ac:dyDescent="0.2">
      <c r="A240" s="14" t="str">
        <f>B240</f>
        <v>length per length</v>
      </c>
      <c r="B240" s="17" t="s">
        <v>587</v>
      </c>
      <c r="D240" t="str">
        <f t="shared" ref="D240:D267" si="0">INDEX(rngCustomaryUnits,H240,6)</f>
        <v>Euc</v>
      </c>
      <c r="G240">
        <f>MATCH(B240,'Table of Customary Units'!$B$1:$B$2184,0)</f>
        <v>12</v>
      </c>
      <c r="H240">
        <v>4</v>
      </c>
    </row>
    <row r="241" spans="1:8" ht="42.75" x14ac:dyDescent="0.2">
      <c r="A241" s="14" t="str">
        <f t="shared" ref="A241:A267" si="1">B241</f>
        <v>volume per volume</v>
      </c>
      <c r="B241" s="17" t="s">
        <v>659</v>
      </c>
      <c r="D241" t="str">
        <f t="shared" si="0"/>
        <v>Euc</v>
      </c>
      <c r="G241">
        <f>MATCH(B241,'Table of Customary Units'!$B$1:$B$2184,0)</f>
        <v>56</v>
      </c>
      <c r="H241">
        <v>56</v>
      </c>
    </row>
    <row r="242" spans="1:8" ht="42.75" x14ac:dyDescent="0.2">
      <c r="A242" s="14" t="str">
        <f t="shared" si="1"/>
        <v>volume per time per length</v>
      </c>
      <c r="B242" s="17" t="s">
        <v>664</v>
      </c>
      <c r="D242" t="str">
        <f t="shared" si="0"/>
        <v>m2/s</v>
      </c>
      <c r="G242">
        <f>MATCH(B242,'Table of Customary Units'!$B$1:$B$2184,0)</f>
        <v>58</v>
      </c>
      <c r="H242">
        <v>58</v>
      </c>
    </row>
    <row r="243" spans="1:8" ht="57" x14ac:dyDescent="0.2">
      <c r="A243" s="14" t="str">
        <f t="shared" si="1"/>
        <v>volume per standard volume</v>
      </c>
      <c r="B243" s="17" t="s">
        <v>349</v>
      </c>
      <c r="D243" t="str">
        <f t="shared" si="0"/>
        <v>m3/scm(15C)</v>
      </c>
      <c r="G243">
        <f>MATCH(B243,'Table of Customary Units'!$B$1:$B$2184,0)</f>
        <v>81</v>
      </c>
      <c r="H243">
        <f>G243</f>
        <v>81</v>
      </c>
    </row>
    <row r="244" spans="1:8" ht="28.5" x14ac:dyDescent="0.2">
      <c r="A244" s="14" t="str">
        <f t="shared" si="1"/>
        <v>area per volume</v>
      </c>
      <c r="B244" s="17" t="s">
        <v>722</v>
      </c>
      <c r="D244" t="str">
        <f t="shared" si="0"/>
        <v>1/m</v>
      </c>
      <c r="G244">
        <f>MATCH(B244,'Table of Customary Units'!$B$1:$B$2184,0)</f>
        <v>98</v>
      </c>
      <c r="H244">
        <f t="shared" ref="H244:H267" si="2">G244</f>
        <v>98</v>
      </c>
    </row>
    <row r="245" spans="1:8" ht="71.25" x14ac:dyDescent="0.2">
      <c r="A245" s="14" t="str">
        <f t="shared" si="1"/>
        <v>pressure squared per (dynamic viscosity)</v>
      </c>
      <c r="B245" s="17" t="s">
        <v>736</v>
      </c>
      <c r="D245" t="str">
        <f t="shared" si="0"/>
        <v>Pa/s</v>
      </c>
      <c r="G245">
        <f>MATCH(B245,'Table of Customary Units'!$B$1:$B$2184,0)</f>
        <v>108</v>
      </c>
      <c r="H245">
        <f t="shared" si="2"/>
        <v>108</v>
      </c>
    </row>
    <row r="246" spans="1:8" ht="28.5" x14ac:dyDescent="0.2">
      <c r="A246" s="14" t="str">
        <f t="shared" si="1"/>
        <v>volume per area</v>
      </c>
      <c r="B246" s="17" t="s">
        <v>743</v>
      </c>
      <c r="D246" t="str">
        <f t="shared" si="0"/>
        <v>m</v>
      </c>
      <c r="G246">
        <f>MATCH(B246,'Table of Customary Units'!$B$1:$B$2184,0)</f>
        <v>111</v>
      </c>
      <c r="H246">
        <f t="shared" si="2"/>
        <v>111</v>
      </c>
    </row>
    <row r="247" spans="1:8" ht="57" x14ac:dyDescent="0.2">
      <c r="A247" s="14" t="str">
        <f t="shared" si="1"/>
        <v>volume per time per volume</v>
      </c>
      <c r="B247" s="17" t="s">
        <v>754</v>
      </c>
      <c r="D247" t="str">
        <f t="shared" si="0"/>
        <v>1/s</v>
      </c>
      <c r="G247">
        <f>MATCH(B247,'Table of Customary Units'!$B$1:$B$2184,0)</f>
        <v>116</v>
      </c>
      <c r="H247">
        <f t="shared" si="2"/>
        <v>116</v>
      </c>
    </row>
    <row r="248" spans="1:8" ht="28.5" x14ac:dyDescent="0.2">
      <c r="A248" s="14" t="str">
        <f t="shared" si="1"/>
        <v>volume per length</v>
      </c>
      <c r="B248" s="17" t="s">
        <v>767</v>
      </c>
      <c r="D248" t="str">
        <f t="shared" si="0"/>
        <v>m2</v>
      </c>
      <c r="G248">
        <f>MATCH(B248,'Table of Customary Units'!$B$1:$B$2184,0)</f>
        <v>123</v>
      </c>
      <c r="H248">
        <f t="shared" si="2"/>
        <v>123</v>
      </c>
    </row>
    <row r="249" spans="1:8" ht="28.5" x14ac:dyDescent="0.2">
      <c r="A249" s="14" t="str">
        <f t="shared" si="1"/>
        <v>relative power</v>
      </c>
      <c r="B249" s="17" t="s">
        <v>586</v>
      </c>
      <c r="D249" t="str">
        <f t="shared" si="0"/>
        <v>Euc</v>
      </c>
      <c r="G249">
        <f>MATCH(B249,'Table of Customary Units'!$B$1:$B$2184,0)</f>
        <v>11</v>
      </c>
      <c r="H249">
        <v>4</v>
      </c>
    </row>
    <row r="250" spans="1:8" ht="28.5" x14ac:dyDescent="0.2">
      <c r="A250" s="14" t="str">
        <f t="shared" si="1"/>
        <v>permeability rock</v>
      </c>
      <c r="B250" s="17" t="s">
        <v>1001</v>
      </c>
      <c r="D250" t="str">
        <f t="shared" si="0"/>
        <v>m2</v>
      </c>
      <c r="G250">
        <f>MATCH(B250,'Table of Customary Units'!$B$1:$B$2184,0)</f>
        <v>400</v>
      </c>
      <c r="H250">
        <f t="shared" si="2"/>
        <v>400</v>
      </c>
    </row>
    <row r="251" spans="1:8" ht="28.5" x14ac:dyDescent="0.2">
      <c r="A251" s="14" t="str">
        <f t="shared" si="1"/>
        <v>permeability length</v>
      </c>
      <c r="B251" s="17" t="s">
        <v>1005</v>
      </c>
      <c r="D251" t="str">
        <f t="shared" si="0"/>
        <v>m3</v>
      </c>
      <c r="G251">
        <f>MATCH(B251,'Table of Customary Units'!$B$1:$B$2184,0)</f>
        <v>402</v>
      </c>
      <c r="H251">
        <f t="shared" si="2"/>
        <v>402</v>
      </c>
    </row>
    <row r="252" spans="1:8" ht="42.75" x14ac:dyDescent="0.2">
      <c r="A252" s="14" t="str">
        <f t="shared" si="1"/>
        <v>relative elongation</v>
      </c>
      <c r="B252" s="17" t="s">
        <v>585</v>
      </c>
      <c r="D252" t="str">
        <f t="shared" si="0"/>
        <v>Euc</v>
      </c>
      <c r="G252">
        <f>MATCH(B252,'Table of Customary Units'!$B$1:$B$2184,0)</f>
        <v>10</v>
      </c>
      <c r="H252">
        <v>4</v>
      </c>
    </row>
    <row r="253" spans="1:8" x14ac:dyDescent="0.2">
      <c r="A253" s="14" t="str">
        <f t="shared" si="1"/>
        <v>scale</v>
      </c>
      <c r="B253" s="17" t="s">
        <v>1204</v>
      </c>
      <c r="D253" t="str">
        <f t="shared" si="0"/>
        <v>Euc</v>
      </c>
      <c r="G253">
        <f>MATCH(B253,'Table of Customary Units'!$B$1:$B$2184,0)</f>
        <v>605</v>
      </c>
      <c r="H253">
        <v>603</v>
      </c>
    </row>
    <row r="254" spans="1:8" ht="42.75" x14ac:dyDescent="0.2">
      <c r="A254" s="14" t="str">
        <f t="shared" si="1"/>
        <v>linear concentration</v>
      </c>
      <c r="B254" s="17" t="s">
        <v>1205</v>
      </c>
      <c r="D254" t="str">
        <f t="shared" si="0"/>
        <v>Euc</v>
      </c>
      <c r="G254">
        <f>MATCH(B254,'Table of Customary Units'!$B$1:$B$2184,0)</f>
        <v>606</v>
      </c>
      <c r="H254">
        <v>603</v>
      </c>
    </row>
    <row r="255" spans="1:8" ht="28.5" x14ac:dyDescent="0.2">
      <c r="A255" s="14" t="str">
        <f t="shared" si="1"/>
        <v>length per volume</v>
      </c>
      <c r="B255" s="17" t="s">
        <v>1208</v>
      </c>
      <c r="D255" t="str">
        <f t="shared" si="0"/>
        <v>1/m2</v>
      </c>
      <c r="G255">
        <f>MATCH(B255,'Table of Customary Units'!$B$1:$B$2184,0)</f>
        <v>608</v>
      </c>
      <c r="H255">
        <f t="shared" si="2"/>
        <v>608</v>
      </c>
    </row>
    <row r="256" spans="1:8" ht="28.5" x14ac:dyDescent="0.2">
      <c r="A256" s="14" t="str">
        <f t="shared" si="1"/>
        <v>standard volume</v>
      </c>
      <c r="B256" s="17" t="s">
        <v>484</v>
      </c>
      <c r="D256" t="str">
        <f t="shared" si="0"/>
        <v>scm(15C)</v>
      </c>
      <c r="G256">
        <f>MATCH(B256,'Table of Customary Units'!$B$1:$B$2184,0)</f>
        <v>645</v>
      </c>
      <c r="H256">
        <f t="shared" si="2"/>
        <v>645</v>
      </c>
    </row>
    <row r="257" spans="1:8" ht="42.75" x14ac:dyDescent="0.2">
      <c r="A257" s="14" t="str">
        <f t="shared" si="1"/>
        <v>volume per time per area</v>
      </c>
      <c r="B257" s="17" t="s">
        <v>1271</v>
      </c>
      <c r="D257" t="str">
        <f t="shared" si="0"/>
        <v>m/s</v>
      </c>
      <c r="G257">
        <f>MATCH(B257,'Table of Customary Units'!$B$1:$B$2184,0)</f>
        <v>660</v>
      </c>
      <c r="H257">
        <f t="shared" si="2"/>
        <v>660</v>
      </c>
    </row>
    <row r="258" spans="1:8" ht="28.5" x14ac:dyDescent="0.2">
      <c r="A258" s="14" t="str">
        <f t="shared" si="1"/>
        <v>area per area</v>
      </c>
      <c r="B258" s="17" t="s">
        <v>583</v>
      </c>
      <c r="D258" t="str">
        <f t="shared" si="0"/>
        <v>Euc</v>
      </c>
      <c r="G258">
        <f>MATCH(B258,'Table of Customary Units'!$B$1:$B$2184,0)</f>
        <v>5</v>
      </c>
      <c r="H258">
        <v>4</v>
      </c>
    </row>
    <row r="259" spans="1:8" ht="28.5" x14ac:dyDescent="0.2">
      <c r="A259" s="14" t="str">
        <f t="shared" si="1"/>
        <v>energy per length</v>
      </c>
      <c r="B259" s="17" t="s">
        <v>1572</v>
      </c>
      <c r="D259" t="str">
        <f t="shared" si="0"/>
        <v>N</v>
      </c>
      <c r="G259">
        <f>MATCH(B259,'Table of Customary Units'!$B$1:$B$2184,0)</f>
        <v>963</v>
      </c>
      <c r="H259">
        <f t="shared" si="2"/>
        <v>963</v>
      </c>
    </row>
    <row r="260" spans="1:8" ht="42.75" x14ac:dyDescent="0.2">
      <c r="A260" s="14" t="str">
        <f t="shared" si="1"/>
        <v>energy length per area</v>
      </c>
      <c r="B260" s="17" t="s">
        <v>1591</v>
      </c>
      <c r="D260" t="str">
        <f t="shared" si="0"/>
        <v>N</v>
      </c>
      <c r="G260">
        <f>MATCH(B260,'Table of Customary Units'!$B$1:$B$2184,0)</f>
        <v>978</v>
      </c>
      <c r="H260">
        <f t="shared" si="2"/>
        <v>978</v>
      </c>
    </row>
    <row r="261" spans="1:8" ht="42.75" x14ac:dyDescent="0.2">
      <c r="A261" s="14" t="str">
        <f t="shared" si="1"/>
        <v>force length per length</v>
      </c>
      <c r="B261" s="17" t="s">
        <v>1657</v>
      </c>
      <c r="D261" t="str">
        <f t="shared" si="0"/>
        <v>N</v>
      </c>
      <c r="G261">
        <f>MATCH(B261,'Table of Customary Units'!$B$1:$B$2184,0)</f>
        <v>1041</v>
      </c>
      <c r="H261">
        <f t="shared" si="2"/>
        <v>1041</v>
      </c>
    </row>
    <row r="262" spans="1:8" ht="28.5" x14ac:dyDescent="0.2">
      <c r="A262" s="14" t="str">
        <f t="shared" si="1"/>
        <v>force per force</v>
      </c>
      <c r="B262" s="17" t="s">
        <v>584</v>
      </c>
      <c r="D262" t="str">
        <f t="shared" si="0"/>
        <v>Euc</v>
      </c>
      <c r="G262">
        <f>MATCH(B262,'Table of Customary Units'!$B$1:$B$2184,0)</f>
        <v>8</v>
      </c>
      <c r="H262">
        <v>4</v>
      </c>
    </row>
    <row r="263" spans="1:8" ht="42.75" x14ac:dyDescent="0.2">
      <c r="A263" s="14" t="str">
        <f t="shared" si="1"/>
        <v>standard volume per time</v>
      </c>
      <c r="B263" s="17" t="s">
        <v>501</v>
      </c>
      <c r="D263" t="str">
        <f t="shared" si="0"/>
        <v>scm(15C)/s</v>
      </c>
      <c r="G263">
        <f>MATCH(B263,'Table of Customary Units'!$B$1:$B$2184,0)</f>
        <v>1146</v>
      </c>
      <c r="H263">
        <f t="shared" si="2"/>
        <v>1146</v>
      </c>
    </row>
    <row r="264" spans="1:8" ht="28.5" x14ac:dyDescent="0.2">
      <c r="A264" s="14" t="str">
        <f t="shared" si="1"/>
        <v>luminous exitance</v>
      </c>
      <c r="B264" s="17" t="s">
        <v>1944</v>
      </c>
      <c r="D264" t="str">
        <f t="shared" si="0"/>
        <v>lx</v>
      </c>
      <c r="G264">
        <f>MATCH(B264,'Table of Customary Units'!$B$1:$B$2184,0)</f>
        <v>1344</v>
      </c>
      <c r="H264">
        <f t="shared" si="2"/>
        <v>1344</v>
      </c>
    </row>
    <row r="265" spans="1:8" ht="42.75" x14ac:dyDescent="0.2">
      <c r="A265" s="14" t="str">
        <f t="shared" si="1"/>
        <v>standard volume per area</v>
      </c>
      <c r="B265" s="17" t="s">
        <v>488</v>
      </c>
      <c r="D265" t="str">
        <f t="shared" si="0"/>
        <v>scm(15C)/m2</v>
      </c>
      <c r="G265">
        <f>MATCH(B265,'Table of Customary Units'!$B$1:$B$2184,0)</f>
        <v>1621</v>
      </c>
      <c r="H265">
        <f t="shared" si="2"/>
        <v>1621</v>
      </c>
    </row>
    <row r="266" spans="1:8" ht="57" x14ac:dyDescent="0.2">
      <c r="A266" s="14" t="str">
        <f t="shared" si="1"/>
        <v>standard volume per volume</v>
      </c>
      <c r="B266" s="17" t="s">
        <v>491</v>
      </c>
      <c r="D266" t="str">
        <f t="shared" si="0"/>
        <v>scm(15C)/m3</v>
      </c>
      <c r="G266">
        <f>MATCH(B266,'Table of Customary Units'!$B$1:$B$2184,0)</f>
        <v>1622</v>
      </c>
      <c r="H266">
        <f t="shared" si="2"/>
        <v>1622</v>
      </c>
    </row>
    <row r="267" spans="1:8" ht="28.5" x14ac:dyDescent="0.2">
      <c r="A267" s="14" t="str">
        <f t="shared" si="1"/>
        <v>relative time</v>
      </c>
      <c r="B267" s="17" t="s">
        <v>2372</v>
      </c>
      <c r="D267" t="str">
        <f t="shared" si="0"/>
        <v>Euc</v>
      </c>
      <c r="G267">
        <f>MATCH(B267,'Table of Customary Units'!$B$1:$B$2184,0)</f>
        <v>1702</v>
      </c>
      <c r="H267">
        <f t="shared" si="2"/>
        <v>1702</v>
      </c>
    </row>
  </sheetData>
  <mergeCells count="200">
    <mergeCell ref="A222:A223"/>
    <mergeCell ref="C222:C223"/>
    <mergeCell ref="D222:D223"/>
    <mergeCell ref="E222:E223"/>
    <mergeCell ref="F222:F223"/>
    <mergeCell ref="A224:A231"/>
    <mergeCell ref="C224:C231"/>
    <mergeCell ref="D224:D231"/>
    <mergeCell ref="E224:E231"/>
    <mergeCell ref="F224:F231"/>
    <mergeCell ref="A214:A215"/>
    <mergeCell ref="C214:C215"/>
    <mergeCell ref="D214:D215"/>
    <mergeCell ref="E214:E215"/>
    <mergeCell ref="F214:F215"/>
    <mergeCell ref="A219:A220"/>
    <mergeCell ref="C219:C220"/>
    <mergeCell ref="D219:D220"/>
    <mergeCell ref="E219:E220"/>
    <mergeCell ref="F219:F220"/>
    <mergeCell ref="A195:A197"/>
    <mergeCell ref="C195:C197"/>
    <mergeCell ref="D195:D197"/>
    <mergeCell ref="E195:E197"/>
    <mergeCell ref="F195:F197"/>
    <mergeCell ref="A200:A202"/>
    <mergeCell ref="C200:C202"/>
    <mergeCell ref="D200:D202"/>
    <mergeCell ref="E200:E202"/>
    <mergeCell ref="F200:F202"/>
    <mergeCell ref="A180:A181"/>
    <mergeCell ref="C180:C181"/>
    <mergeCell ref="D180:D181"/>
    <mergeCell ref="E180:E181"/>
    <mergeCell ref="F180:F181"/>
    <mergeCell ref="A189:A193"/>
    <mergeCell ref="C189:C193"/>
    <mergeCell ref="D189:D193"/>
    <mergeCell ref="E189:E193"/>
    <mergeCell ref="F189:F193"/>
    <mergeCell ref="A175:A176"/>
    <mergeCell ref="C175:C176"/>
    <mergeCell ref="D175:D176"/>
    <mergeCell ref="E175:E176"/>
    <mergeCell ref="F175:F176"/>
    <mergeCell ref="A177:A178"/>
    <mergeCell ref="C177:C178"/>
    <mergeCell ref="D177:D178"/>
    <mergeCell ref="E177:E178"/>
    <mergeCell ref="F177:F178"/>
    <mergeCell ref="A169:A170"/>
    <mergeCell ref="C169:C170"/>
    <mergeCell ref="D169:D170"/>
    <mergeCell ref="E169:E170"/>
    <mergeCell ref="F169:F170"/>
    <mergeCell ref="A173:A174"/>
    <mergeCell ref="C173:C174"/>
    <mergeCell ref="D173:D174"/>
    <mergeCell ref="E173:E174"/>
    <mergeCell ref="F173:F174"/>
    <mergeCell ref="A162:A163"/>
    <mergeCell ref="C162:C163"/>
    <mergeCell ref="D162:D163"/>
    <mergeCell ref="E162:E163"/>
    <mergeCell ref="F162:F163"/>
    <mergeCell ref="A164:A165"/>
    <mergeCell ref="C164:C165"/>
    <mergeCell ref="D164:D165"/>
    <mergeCell ref="E164:E165"/>
    <mergeCell ref="F164:F165"/>
    <mergeCell ref="A151:A152"/>
    <mergeCell ref="C151:C152"/>
    <mergeCell ref="D151:D152"/>
    <mergeCell ref="E151:E152"/>
    <mergeCell ref="F151:F152"/>
    <mergeCell ref="A157:A158"/>
    <mergeCell ref="C157:C158"/>
    <mergeCell ref="D157:D158"/>
    <mergeCell ref="E157:E158"/>
    <mergeCell ref="F157:F158"/>
    <mergeCell ref="A135:A138"/>
    <mergeCell ref="C135:C138"/>
    <mergeCell ref="D135:D138"/>
    <mergeCell ref="E135:E138"/>
    <mergeCell ref="F135:F138"/>
    <mergeCell ref="A141:A142"/>
    <mergeCell ref="C141:C142"/>
    <mergeCell ref="D141:D142"/>
    <mergeCell ref="E141:E142"/>
    <mergeCell ref="F141:F142"/>
    <mergeCell ref="A114:A126"/>
    <mergeCell ref="C114:C126"/>
    <mergeCell ref="D114:D126"/>
    <mergeCell ref="E114:E126"/>
    <mergeCell ref="F114:F126"/>
    <mergeCell ref="A133:A134"/>
    <mergeCell ref="C133:C134"/>
    <mergeCell ref="D133:D134"/>
    <mergeCell ref="E133:E134"/>
    <mergeCell ref="F133:F134"/>
    <mergeCell ref="A101:A102"/>
    <mergeCell ref="C101:C102"/>
    <mergeCell ref="D101:D102"/>
    <mergeCell ref="E101:E102"/>
    <mergeCell ref="F101:F102"/>
    <mergeCell ref="A104:A106"/>
    <mergeCell ref="C104:C106"/>
    <mergeCell ref="D104:D106"/>
    <mergeCell ref="E104:E106"/>
    <mergeCell ref="F104:F106"/>
    <mergeCell ref="A94:A95"/>
    <mergeCell ref="C94:C95"/>
    <mergeCell ref="D94:D95"/>
    <mergeCell ref="E94:E95"/>
    <mergeCell ref="F94:F95"/>
    <mergeCell ref="A98:A100"/>
    <mergeCell ref="C98:C100"/>
    <mergeCell ref="D98:D100"/>
    <mergeCell ref="E98:E100"/>
    <mergeCell ref="F98:F100"/>
    <mergeCell ref="A85:A86"/>
    <mergeCell ref="C85:C86"/>
    <mergeCell ref="D85:D86"/>
    <mergeCell ref="E85:E86"/>
    <mergeCell ref="F85:F86"/>
    <mergeCell ref="A87:A88"/>
    <mergeCell ref="C87:C88"/>
    <mergeCell ref="D87:D88"/>
    <mergeCell ref="E87:E88"/>
    <mergeCell ref="F87:F88"/>
    <mergeCell ref="A79:A81"/>
    <mergeCell ref="C79:C81"/>
    <mergeCell ref="D79:D81"/>
    <mergeCell ref="E79:E81"/>
    <mergeCell ref="F79:F81"/>
    <mergeCell ref="A82:A84"/>
    <mergeCell ref="C82:C84"/>
    <mergeCell ref="D82:D84"/>
    <mergeCell ref="E82:E84"/>
    <mergeCell ref="F82:F84"/>
    <mergeCell ref="A68:A69"/>
    <mergeCell ref="C68:C69"/>
    <mergeCell ref="D68:D69"/>
    <mergeCell ref="E68:E69"/>
    <mergeCell ref="F68:F69"/>
    <mergeCell ref="A70:A78"/>
    <mergeCell ref="C70:C78"/>
    <mergeCell ref="D70:D78"/>
    <mergeCell ref="E70:E78"/>
    <mergeCell ref="F70:F78"/>
    <mergeCell ref="A57:A58"/>
    <mergeCell ref="C57:C58"/>
    <mergeCell ref="D57:D58"/>
    <mergeCell ref="E57:E58"/>
    <mergeCell ref="F57:F58"/>
    <mergeCell ref="A61:A65"/>
    <mergeCell ref="C61:C65"/>
    <mergeCell ref="D61:D65"/>
    <mergeCell ref="E61:E65"/>
    <mergeCell ref="F61:F65"/>
    <mergeCell ref="A33:A35"/>
    <mergeCell ref="C33:C35"/>
    <mergeCell ref="D33:D35"/>
    <mergeCell ref="E33:E35"/>
    <mergeCell ref="F33:F35"/>
    <mergeCell ref="A45:A51"/>
    <mergeCell ref="C45:C51"/>
    <mergeCell ref="D45:D51"/>
    <mergeCell ref="E45:E51"/>
    <mergeCell ref="F45:F51"/>
    <mergeCell ref="A17:A19"/>
    <mergeCell ref="C17:C19"/>
    <mergeCell ref="D17:D19"/>
    <mergeCell ref="E17:E19"/>
    <mergeCell ref="F17:F19"/>
    <mergeCell ref="A21:A23"/>
    <mergeCell ref="C21:C23"/>
    <mergeCell ref="D21:D23"/>
    <mergeCell ref="E21:E23"/>
    <mergeCell ref="F21:F23"/>
    <mergeCell ref="A11:A12"/>
    <mergeCell ref="C11:C12"/>
    <mergeCell ref="D11:D12"/>
    <mergeCell ref="E11:E12"/>
    <mergeCell ref="F11:F12"/>
    <mergeCell ref="A13:A15"/>
    <mergeCell ref="C13:C15"/>
    <mergeCell ref="D13:D15"/>
    <mergeCell ref="E13:E15"/>
    <mergeCell ref="F13:F15"/>
    <mergeCell ref="A3:A4"/>
    <mergeCell ref="C3:C4"/>
    <mergeCell ref="D3:D4"/>
    <mergeCell ref="E3:E4"/>
    <mergeCell ref="F3:F4"/>
    <mergeCell ref="A6:A7"/>
    <mergeCell ref="C6:C7"/>
    <mergeCell ref="D6:D7"/>
    <mergeCell ref="E6:E7"/>
    <mergeCell ref="F6:F7"/>
  </mergeCell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184"/>
  <sheetViews>
    <sheetView workbookViewId="0">
      <pane ySplit="3" topLeftCell="A4" activePane="bottomLeft" state="frozen"/>
      <selection pane="bottomLeft" activeCell="A4" sqref="A4:A12"/>
    </sheetView>
  </sheetViews>
  <sheetFormatPr defaultRowHeight="14.25" x14ac:dyDescent="0.2"/>
  <cols>
    <col min="2" max="2" width="35.75" customWidth="1"/>
    <col min="8" max="8" width="10.875" bestFit="1" customWidth="1"/>
  </cols>
  <sheetData>
    <row r="1" spans="1:10" x14ac:dyDescent="0.2">
      <c r="A1" s="46" t="s">
        <v>0</v>
      </c>
      <c r="B1" s="46" t="s">
        <v>1</v>
      </c>
      <c r="C1" s="46" t="s">
        <v>2</v>
      </c>
      <c r="D1" s="46" t="s">
        <v>3</v>
      </c>
      <c r="E1" s="46" t="s">
        <v>4</v>
      </c>
      <c r="F1" s="8" t="s">
        <v>577</v>
      </c>
      <c r="G1" s="52" t="s">
        <v>579</v>
      </c>
      <c r="H1" s="53"/>
      <c r="I1" s="53"/>
      <c r="J1" s="54"/>
    </row>
    <row r="2" spans="1:10" x14ac:dyDescent="0.2">
      <c r="A2" s="48"/>
      <c r="B2" s="48"/>
      <c r="C2" s="48"/>
      <c r="D2" s="48"/>
      <c r="E2" s="48"/>
      <c r="F2" s="9" t="s">
        <v>578</v>
      </c>
      <c r="G2" s="55" t="s">
        <v>580</v>
      </c>
      <c r="H2" s="56"/>
      <c r="I2" s="56"/>
      <c r="J2" s="57"/>
    </row>
    <row r="3" spans="1:10" x14ac:dyDescent="0.2">
      <c r="A3" s="47"/>
      <c r="B3" s="47"/>
      <c r="C3" s="47"/>
      <c r="D3" s="47"/>
      <c r="E3" s="47"/>
      <c r="F3" s="10"/>
      <c r="G3" s="1" t="s">
        <v>46</v>
      </c>
      <c r="H3" s="1" t="s">
        <v>61</v>
      </c>
      <c r="I3" s="1" t="s">
        <v>93</v>
      </c>
      <c r="J3" s="1" t="s">
        <v>581</v>
      </c>
    </row>
    <row r="4" spans="1:10" x14ac:dyDescent="0.2">
      <c r="A4" s="46" t="s">
        <v>582</v>
      </c>
      <c r="B4" s="4" t="s">
        <v>125</v>
      </c>
      <c r="C4" s="46" t="s">
        <v>8</v>
      </c>
      <c r="D4" s="46" t="s">
        <v>588</v>
      </c>
      <c r="E4" s="4" t="s">
        <v>588</v>
      </c>
      <c r="F4" s="58" t="s">
        <v>131</v>
      </c>
      <c r="G4" s="58">
        <v>0</v>
      </c>
      <c r="H4" s="58">
        <v>0.01</v>
      </c>
      <c r="I4" s="58">
        <v>1</v>
      </c>
      <c r="J4" s="58">
        <v>0</v>
      </c>
    </row>
    <row r="5" spans="1:10" x14ac:dyDescent="0.2">
      <c r="A5" s="48"/>
      <c r="B5" s="6" t="s">
        <v>583</v>
      </c>
      <c r="C5" s="48"/>
      <c r="D5" s="48"/>
      <c r="E5" s="6" t="s">
        <v>589</v>
      </c>
      <c r="F5" s="60"/>
      <c r="G5" s="60"/>
      <c r="H5" s="60"/>
      <c r="I5" s="60"/>
      <c r="J5" s="60"/>
    </row>
    <row r="6" spans="1:10" x14ac:dyDescent="0.2">
      <c r="A6" s="48"/>
      <c r="B6" s="6" t="s">
        <v>126</v>
      </c>
      <c r="C6" s="48"/>
      <c r="D6" s="48"/>
      <c r="E6" s="6"/>
      <c r="F6" s="60"/>
      <c r="G6" s="60"/>
      <c r="H6" s="60"/>
      <c r="I6" s="60"/>
      <c r="J6" s="60"/>
    </row>
    <row r="7" spans="1:10" x14ac:dyDescent="0.2">
      <c r="A7" s="48"/>
      <c r="B7" s="6" t="s">
        <v>127</v>
      </c>
      <c r="C7" s="48"/>
      <c r="D7" s="48"/>
      <c r="E7" s="6"/>
      <c r="F7" s="60"/>
      <c r="G7" s="60"/>
      <c r="H7" s="60"/>
      <c r="I7" s="60"/>
      <c r="J7" s="60"/>
    </row>
    <row r="8" spans="1:10" x14ac:dyDescent="0.2">
      <c r="A8" s="48"/>
      <c r="B8" s="6" t="s">
        <v>584</v>
      </c>
      <c r="C8" s="48"/>
      <c r="D8" s="48"/>
      <c r="E8" s="6"/>
      <c r="F8" s="60"/>
      <c r="G8" s="60"/>
      <c r="H8" s="60"/>
      <c r="I8" s="60"/>
      <c r="J8" s="60"/>
    </row>
    <row r="9" spans="1:10" x14ac:dyDescent="0.2">
      <c r="A9" s="48"/>
      <c r="B9" s="6" t="s">
        <v>128</v>
      </c>
      <c r="C9" s="48"/>
      <c r="D9" s="48"/>
      <c r="E9" s="6"/>
      <c r="F9" s="60"/>
      <c r="G9" s="60"/>
      <c r="H9" s="60"/>
      <c r="I9" s="60"/>
      <c r="J9" s="60"/>
    </row>
    <row r="10" spans="1:10" x14ac:dyDescent="0.2">
      <c r="A10" s="48"/>
      <c r="B10" s="6" t="s">
        <v>585</v>
      </c>
      <c r="C10" s="48"/>
      <c r="D10" s="48"/>
      <c r="E10" s="6"/>
      <c r="F10" s="60"/>
      <c r="G10" s="60"/>
      <c r="H10" s="60"/>
      <c r="I10" s="60"/>
      <c r="J10" s="60"/>
    </row>
    <row r="11" spans="1:10" x14ac:dyDescent="0.2">
      <c r="A11" s="48"/>
      <c r="B11" s="6" t="s">
        <v>586</v>
      </c>
      <c r="C11" s="48"/>
      <c r="D11" s="48"/>
      <c r="E11" s="6"/>
      <c r="F11" s="60"/>
      <c r="G11" s="60"/>
      <c r="H11" s="60"/>
      <c r="I11" s="60"/>
      <c r="J11" s="60"/>
    </row>
    <row r="12" spans="1:10" x14ac:dyDescent="0.2">
      <c r="A12" s="47"/>
      <c r="B12" s="5" t="s">
        <v>587</v>
      </c>
      <c r="C12" s="47"/>
      <c r="D12" s="47"/>
      <c r="E12" s="5"/>
      <c r="F12" s="59"/>
      <c r="G12" s="59"/>
      <c r="H12" s="59"/>
      <c r="I12" s="59"/>
      <c r="J12" s="59"/>
    </row>
    <row r="13" spans="1:10" ht="28.5" x14ac:dyDescent="0.2">
      <c r="A13" s="3" t="s">
        <v>590</v>
      </c>
      <c r="B13" s="3" t="s">
        <v>35</v>
      </c>
      <c r="C13" s="3" t="s">
        <v>8</v>
      </c>
      <c r="D13" s="3" t="s">
        <v>591</v>
      </c>
      <c r="E13" s="3" t="s">
        <v>591</v>
      </c>
      <c r="F13" s="1" t="s">
        <v>38</v>
      </c>
      <c r="G13" s="1">
        <v>0</v>
      </c>
      <c r="H13" s="1">
        <v>1</v>
      </c>
      <c r="I13" s="1">
        <v>31558150</v>
      </c>
      <c r="J13" s="1">
        <v>0</v>
      </c>
    </row>
    <row r="14" spans="1:10" x14ac:dyDescent="0.2">
      <c r="A14" s="46" t="s">
        <v>592</v>
      </c>
      <c r="B14" s="4" t="s">
        <v>18</v>
      </c>
      <c r="C14" s="46" t="s">
        <v>8</v>
      </c>
      <c r="D14" s="46" t="s">
        <v>593</v>
      </c>
      <c r="E14" s="46"/>
      <c r="F14" s="58" t="s">
        <v>20</v>
      </c>
      <c r="G14" s="58">
        <v>0</v>
      </c>
      <c r="H14" s="58">
        <v>10000000000</v>
      </c>
      <c r="I14" s="58">
        <v>1</v>
      </c>
      <c r="J14" s="58">
        <v>0</v>
      </c>
    </row>
    <row r="15" spans="1:10" x14ac:dyDescent="0.2">
      <c r="A15" s="47"/>
      <c r="B15" s="5" t="s">
        <v>19</v>
      </c>
      <c r="C15" s="47"/>
      <c r="D15" s="47"/>
      <c r="E15" s="47"/>
      <c r="F15" s="59"/>
      <c r="G15" s="59"/>
      <c r="H15" s="59"/>
      <c r="I15" s="59"/>
      <c r="J15" s="59"/>
    </row>
    <row r="16" spans="1:10" x14ac:dyDescent="0.2">
      <c r="A16" s="46" t="s">
        <v>594</v>
      </c>
      <c r="B16" s="4" t="s">
        <v>31</v>
      </c>
      <c r="C16" s="46" t="s">
        <v>8</v>
      </c>
      <c r="D16" s="46" t="s">
        <v>595</v>
      </c>
      <c r="E16" s="46" t="s">
        <v>595</v>
      </c>
      <c r="F16" s="58" t="s">
        <v>33</v>
      </c>
      <c r="G16" s="58">
        <v>0</v>
      </c>
      <c r="H16" s="58">
        <v>9.9999999999999995E-7</v>
      </c>
      <c r="I16" s="58">
        <v>1</v>
      </c>
      <c r="J16" s="58">
        <v>0</v>
      </c>
    </row>
    <row r="17" spans="1:10" x14ac:dyDescent="0.2">
      <c r="A17" s="47"/>
      <c r="B17" s="5" t="s">
        <v>32</v>
      </c>
      <c r="C17" s="47"/>
      <c r="D17" s="47"/>
      <c r="E17" s="47"/>
      <c r="F17" s="59"/>
      <c r="G17" s="59"/>
      <c r="H17" s="59"/>
      <c r="I17" s="59"/>
      <c r="J17" s="59"/>
    </row>
    <row r="18" spans="1:10" x14ac:dyDescent="0.2">
      <c r="A18" s="3" t="s">
        <v>596</v>
      </c>
      <c r="B18" s="3" t="s">
        <v>25</v>
      </c>
      <c r="C18" s="3" t="s">
        <v>8</v>
      </c>
      <c r="D18" s="3" t="s">
        <v>597</v>
      </c>
      <c r="E18" s="3" t="s">
        <v>597</v>
      </c>
      <c r="F18" s="1" t="s">
        <v>26</v>
      </c>
      <c r="G18" s="1">
        <v>0</v>
      </c>
      <c r="H18" s="1">
        <v>1</v>
      </c>
      <c r="I18" s="1">
        <v>0.1589873</v>
      </c>
      <c r="J18" s="1">
        <v>0</v>
      </c>
    </row>
    <row r="19" spans="1:10" x14ac:dyDescent="0.2">
      <c r="A19" s="46" t="s">
        <v>598</v>
      </c>
      <c r="B19" s="4" t="s">
        <v>18</v>
      </c>
      <c r="C19" s="46" t="s">
        <v>8</v>
      </c>
      <c r="D19" s="46" t="s">
        <v>599</v>
      </c>
      <c r="E19" s="46" t="s">
        <v>599</v>
      </c>
      <c r="F19" s="58" t="s">
        <v>20</v>
      </c>
      <c r="G19" s="58">
        <v>0</v>
      </c>
      <c r="H19" s="58">
        <v>100</v>
      </c>
      <c r="I19" s="58">
        <v>1</v>
      </c>
      <c r="J19" s="58">
        <v>0</v>
      </c>
    </row>
    <row r="20" spans="1:10" x14ac:dyDescent="0.2">
      <c r="A20" s="47"/>
      <c r="B20" s="5" t="s">
        <v>19</v>
      </c>
      <c r="C20" s="47"/>
      <c r="D20" s="47"/>
      <c r="E20" s="47"/>
      <c r="F20" s="59"/>
      <c r="G20" s="59"/>
      <c r="H20" s="59"/>
      <c r="I20" s="59"/>
      <c r="J20" s="59"/>
    </row>
    <row r="21" spans="1:10" x14ac:dyDescent="0.2">
      <c r="A21" s="3" t="s">
        <v>600</v>
      </c>
      <c r="B21" s="3" t="s">
        <v>35</v>
      </c>
      <c r="C21" s="3" t="s">
        <v>8</v>
      </c>
      <c r="D21" s="3" t="s">
        <v>601</v>
      </c>
      <c r="E21" s="3" t="s">
        <v>601</v>
      </c>
      <c r="F21" s="1" t="s">
        <v>38</v>
      </c>
      <c r="G21" s="1">
        <v>0</v>
      </c>
      <c r="H21" s="1">
        <v>1</v>
      </c>
      <c r="I21" s="1">
        <v>86400</v>
      </c>
      <c r="J21" s="1">
        <v>0</v>
      </c>
    </row>
    <row r="22" spans="1:10" ht="42.75" x14ac:dyDescent="0.2">
      <c r="A22" s="3" t="s">
        <v>602</v>
      </c>
      <c r="B22" s="3" t="s">
        <v>11</v>
      </c>
      <c r="C22" s="3" t="s">
        <v>8</v>
      </c>
      <c r="D22" s="3" t="s">
        <v>603</v>
      </c>
      <c r="E22" s="3" t="s">
        <v>603</v>
      </c>
      <c r="F22" s="1" t="s">
        <v>13</v>
      </c>
      <c r="G22" s="1">
        <v>0</v>
      </c>
      <c r="H22" s="1">
        <v>1</v>
      </c>
      <c r="I22" s="1">
        <v>1</v>
      </c>
      <c r="J22" s="1">
        <v>0</v>
      </c>
    </row>
    <row r="23" spans="1:10" ht="57" x14ac:dyDescent="0.2">
      <c r="A23" s="3" t="s">
        <v>604</v>
      </c>
      <c r="B23" s="3" t="s">
        <v>11</v>
      </c>
      <c r="C23" s="3" t="s">
        <v>8</v>
      </c>
      <c r="D23" s="3" t="s">
        <v>605</v>
      </c>
      <c r="E23" s="3" t="s">
        <v>605</v>
      </c>
      <c r="F23" s="1" t="s">
        <v>13</v>
      </c>
      <c r="G23" s="1">
        <v>0</v>
      </c>
      <c r="H23" s="1">
        <v>9</v>
      </c>
      <c r="I23" s="1">
        <v>5</v>
      </c>
      <c r="J23" s="1">
        <v>0</v>
      </c>
    </row>
    <row r="24" spans="1:10" ht="42.75" x14ac:dyDescent="0.2">
      <c r="A24" s="3" t="s">
        <v>606</v>
      </c>
      <c r="B24" s="3" t="s">
        <v>11</v>
      </c>
      <c r="C24" s="3" t="s">
        <v>8</v>
      </c>
      <c r="D24" s="3" t="s">
        <v>607</v>
      </c>
      <c r="E24" s="3" t="s">
        <v>607</v>
      </c>
      <c r="F24" s="1" t="s">
        <v>13</v>
      </c>
      <c r="G24" s="1">
        <v>0</v>
      </c>
      <c r="H24" s="1">
        <v>9</v>
      </c>
      <c r="I24" s="1">
        <v>5</v>
      </c>
      <c r="J24" s="1">
        <v>0</v>
      </c>
    </row>
    <row r="25" spans="1:10" x14ac:dyDescent="0.2">
      <c r="A25" s="3" t="s">
        <v>608</v>
      </c>
      <c r="B25" s="3" t="s">
        <v>18</v>
      </c>
      <c r="C25" s="3" t="s">
        <v>8</v>
      </c>
      <c r="D25" s="3" t="s">
        <v>609</v>
      </c>
      <c r="E25" s="3" t="s">
        <v>609</v>
      </c>
      <c r="F25" s="1" t="s">
        <v>20</v>
      </c>
      <c r="G25" s="1">
        <v>0</v>
      </c>
      <c r="H25" s="1">
        <v>1</v>
      </c>
      <c r="I25" s="1">
        <v>0.30480000000000002</v>
      </c>
      <c r="J25" s="1">
        <v>0</v>
      </c>
    </row>
    <row r="26" spans="1:10" ht="42.75" x14ac:dyDescent="0.2">
      <c r="A26" s="3" t="s">
        <v>610</v>
      </c>
      <c r="B26" s="3" t="s">
        <v>22</v>
      </c>
      <c r="C26" s="3" t="s">
        <v>8</v>
      </c>
      <c r="D26" s="3" t="s">
        <v>611</v>
      </c>
      <c r="E26" s="3" t="s">
        <v>611</v>
      </c>
      <c r="F26" s="1" t="s">
        <v>23</v>
      </c>
      <c r="G26" s="1">
        <v>0</v>
      </c>
      <c r="H26" s="1">
        <v>1</v>
      </c>
      <c r="I26" s="1">
        <v>9.2903040000000006E-2</v>
      </c>
      <c r="J26" s="1">
        <v>0</v>
      </c>
    </row>
    <row r="27" spans="1:10" ht="28.5" x14ac:dyDescent="0.2">
      <c r="A27" s="3" t="s">
        <v>612</v>
      </c>
      <c r="B27" s="3" t="s">
        <v>25</v>
      </c>
      <c r="C27" s="3" t="s">
        <v>8</v>
      </c>
      <c r="D27" s="3" t="s">
        <v>613</v>
      </c>
      <c r="E27" s="3" t="s">
        <v>613</v>
      </c>
      <c r="F27" s="1" t="s">
        <v>26</v>
      </c>
      <c r="G27" s="1">
        <v>0</v>
      </c>
      <c r="H27" s="1">
        <v>1</v>
      </c>
      <c r="I27" s="1">
        <v>2.8316850000000001E-2</v>
      </c>
      <c r="J27" s="1">
        <v>0</v>
      </c>
    </row>
    <row r="28" spans="1:10" x14ac:dyDescent="0.2">
      <c r="A28" s="3" t="s">
        <v>614</v>
      </c>
      <c r="B28" s="3" t="s">
        <v>15</v>
      </c>
      <c r="C28" s="3" t="s">
        <v>8</v>
      </c>
      <c r="D28" s="3" t="s">
        <v>615</v>
      </c>
      <c r="E28" s="3" t="s">
        <v>615</v>
      </c>
      <c r="F28" s="1" t="s">
        <v>16</v>
      </c>
      <c r="G28" s="1">
        <v>0</v>
      </c>
      <c r="H28" s="1">
        <v>1000</v>
      </c>
      <c r="I28" s="1">
        <v>1</v>
      </c>
      <c r="J28" s="1">
        <v>0</v>
      </c>
    </row>
    <row r="29" spans="1:10" ht="28.5" x14ac:dyDescent="0.2">
      <c r="A29" s="3" t="s">
        <v>616</v>
      </c>
      <c r="B29" s="3" t="s">
        <v>25</v>
      </c>
      <c r="C29" s="3" t="s">
        <v>8</v>
      </c>
      <c r="D29" s="3" t="s">
        <v>617</v>
      </c>
      <c r="E29" s="3" t="s">
        <v>617</v>
      </c>
      <c r="F29" s="1" t="s">
        <v>26</v>
      </c>
      <c r="G29" s="1">
        <v>0</v>
      </c>
      <c r="H29" s="1">
        <v>1</v>
      </c>
      <c r="I29" s="1">
        <v>4.5609200000000004E-3</v>
      </c>
      <c r="J29" s="1">
        <v>0</v>
      </c>
    </row>
    <row r="30" spans="1:10" ht="28.5" x14ac:dyDescent="0.2">
      <c r="A30" s="3" t="s">
        <v>618</v>
      </c>
      <c r="B30" s="3" t="s">
        <v>25</v>
      </c>
      <c r="C30" s="3" t="s">
        <v>8</v>
      </c>
      <c r="D30" s="3" t="s">
        <v>619</v>
      </c>
      <c r="E30" s="3" t="s">
        <v>619</v>
      </c>
      <c r="F30" s="1" t="s">
        <v>26</v>
      </c>
      <c r="G30" s="1">
        <v>0</v>
      </c>
      <c r="H30" s="1">
        <v>1</v>
      </c>
      <c r="I30" s="1">
        <v>3.7854120000000002E-3</v>
      </c>
      <c r="J30" s="1">
        <v>0</v>
      </c>
    </row>
    <row r="31" spans="1:10" x14ac:dyDescent="0.2">
      <c r="A31" s="3" t="s">
        <v>620</v>
      </c>
      <c r="B31" s="3" t="s">
        <v>35</v>
      </c>
      <c r="C31" s="3" t="s">
        <v>8</v>
      </c>
      <c r="D31" s="3" t="s">
        <v>621</v>
      </c>
      <c r="E31" s="3" t="s">
        <v>621</v>
      </c>
      <c r="F31" s="1" t="s">
        <v>38</v>
      </c>
      <c r="G31" s="1">
        <v>0</v>
      </c>
      <c r="H31" s="1">
        <v>1</v>
      </c>
      <c r="I31" s="1">
        <v>3600</v>
      </c>
      <c r="J31" s="1">
        <v>0</v>
      </c>
    </row>
    <row r="32" spans="1:10" x14ac:dyDescent="0.2">
      <c r="A32" s="3" t="s">
        <v>622</v>
      </c>
      <c r="B32" s="3" t="s">
        <v>18</v>
      </c>
      <c r="C32" s="3" t="s">
        <v>8</v>
      </c>
      <c r="D32" s="3" t="s">
        <v>623</v>
      </c>
      <c r="E32" s="3" t="s">
        <v>623</v>
      </c>
      <c r="F32" s="1" t="s">
        <v>20</v>
      </c>
      <c r="G32" s="1">
        <v>0</v>
      </c>
      <c r="H32" s="1">
        <v>1</v>
      </c>
      <c r="I32" s="1">
        <v>2.5399999999999999E-2</v>
      </c>
      <c r="J32" s="1">
        <v>0</v>
      </c>
    </row>
    <row r="33" spans="1:10" ht="42.75" x14ac:dyDescent="0.2">
      <c r="A33" s="3" t="s">
        <v>624</v>
      </c>
      <c r="B33" s="3" t="s">
        <v>22</v>
      </c>
      <c r="C33" s="3" t="s">
        <v>8</v>
      </c>
      <c r="D33" s="3" t="s">
        <v>625</v>
      </c>
      <c r="E33" s="3" t="s">
        <v>625</v>
      </c>
      <c r="F33" s="1" t="s">
        <v>23</v>
      </c>
      <c r="G33" s="1">
        <v>0</v>
      </c>
      <c r="H33" s="1">
        <v>1</v>
      </c>
      <c r="I33" s="1">
        <v>1000000</v>
      </c>
      <c r="J33" s="1">
        <v>0</v>
      </c>
    </row>
    <row r="34" spans="1:10" x14ac:dyDescent="0.2">
      <c r="A34" s="46" t="s">
        <v>626</v>
      </c>
      <c r="B34" s="4" t="s">
        <v>31</v>
      </c>
      <c r="C34" s="46" t="s">
        <v>8</v>
      </c>
      <c r="D34" s="46" t="s">
        <v>627</v>
      </c>
      <c r="E34" s="46" t="s">
        <v>627</v>
      </c>
      <c r="F34" s="58" t="s">
        <v>33</v>
      </c>
      <c r="G34" s="58">
        <v>0</v>
      </c>
      <c r="H34" s="58">
        <v>1E-3</v>
      </c>
      <c r="I34" s="58">
        <v>1</v>
      </c>
      <c r="J34" s="58">
        <v>0</v>
      </c>
    </row>
    <row r="35" spans="1:10" x14ac:dyDescent="0.2">
      <c r="A35" s="47"/>
      <c r="B35" s="5" t="s">
        <v>32</v>
      </c>
      <c r="C35" s="47"/>
      <c r="D35" s="47"/>
      <c r="E35" s="47"/>
      <c r="F35" s="59"/>
      <c r="G35" s="59"/>
      <c r="H35" s="59"/>
      <c r="I35" s="59"/>
      <c r="J35" s="59"/>
    </row>
    <row r="36" spans="1:10" x14ac:dyDescent="0.2">
      <c r="A36" s="3" t="s">
        <v>628</v>
      </c>
      <c r="B36" s="3" t="s">
        <v>25</v>
      </c>
      <c r="C36" s="3" t="s">
        <v>8</v>
      </c>
      <c r="D36" s="3" t="s">
        <v>629</v>
      </c>
      <c r="E36" s="3" t="s">
        <v>629</v>
      </c>
      <c r="F36" s="1" t="s">
        <v>26</v>
      </c>
      <c r="G36" s="1">
        <v>0</v>
      </c>
      <c r="H36" s="1">
        <v>1000</v>
      </c>
      <c r="I36" s="1">
        <v>1</v>
      </c>
      <c r="J36" s="1">
        <v>0</v>
      </c>
    </row>
    <row r="37" spans="1:10" ht="28.5" x14ac:dyDescent="0.2">
      <c r="A37" s="3" t="s">
        <v>630</v>
      </c>
      <c r="B37" s="3" t="s">
        <v>28</v>
      </c>
      <c r="C37" s="3" t="s">
        <v>8</v>
      </c>
      <c r="D37" s="3" t="s">
        <v>631</v>
      </c>
      <c r="E37" s="3" t="s">
        <v>631</v>
      </c>
      <c r="F37" s="1" t="s">
        <v>29</v>
      </c>
      <c r="G37" s="1">
        <v>0</v>
      </c>
      <c r="H37" s="1">
        <v>1</v>
      </c>
      <c r="I37" s="1">
        <v>4.4482220000000003</v>
      </c>
      <c r="J37" s="1">
        <v>0</v>
      </c>
    </row>
    <row r="38" spans="1:10" x14ac:dyDescent="0.2">
      <c r="A38" s="3" t="s">
        <v>632</v>
      </c>
      <c r="B38" s="3" t="s">
        <v>15</v>
      </c>
      <c r="C38" s="3" t="s">
        <v>8</v>
      </c>
      <c r="D38" s="3" t="s">
        <v>633</v>
      </c>
      <c r="E38" s="3" t="s">
        <v>633</v>
      </c>
      <c r="F38" s="1" t="s">
        <v>16</v>
      </c>
      <c r="G38" s="1">
        <v>0</v>
      </c>
      <c r="H38" s="1">
        <v>1</v>
      </c>
      <c r="I38" s="1">
        <v>0.45359240000000001</v>
      </c>
      <c r="J38" s="1">
        <v>0</v>
      </c>
    </row>
    <row r="39" spans="1:10" x14ac:dyDescent="0.2">
      <c r="A39" s="3" t="s">
        <v>634</v>
      </c>
      <c r="B39" s="3" t="s">
        <v>18</v>
      </c>
      <c r="C39" s="3" t="s">
        <v>8</v>
      </c>
      <c r="D39" s="3" t="s">
        <v>635</v>
      </c>
      <c r="E39" s="3" t="s">
        <v>635</v>
      </c>
      <c r="F39" s="1" t="s">
        <v>20</v>
      </c>
      <c r="G39" s="1">
        <v>0</v>
      </c>
      <c r="H39" s="1">
        <v>1</v>
      </c>
      <c r="I39" s="1">
        <v>1609.3440000000001</v>
      </c>
      <c r="J39" s="1">
        <v>0</v>
      </c>
    </row>
    <row r="40" spans="1:10" ht="42.75" x14ac:dyDescent="0.2">
      <c r="A40" s="3" t="s">
        <v>636</v>
      </c>
      <c r="B40" s="3" t="s">
        <v>22</v>
      </c>
      <c r="C40" s="3" t="s">
        <v>8</v>
      </c>
      <c r="D40" s="3" t="s">
        <v>637</v>
      </c>
      <c r="E40" s="3" t="s">
        <v>637</v>
      </c>
      <c r="F40" s="1" t="s">
        <v>23</v>
      </c>
      <c r="G40" s="1">
        <v>0</v>
      </c>
      <c r="H40" s="1">
        <v>1</v>
      </c>
      <c r="I40" s="1">
        <v>2589988.11</v>
      </c>
      <c r="J40" s="1">
        <v>0</v>
      </c>
    </row>
    <row r="41" spans="1:10" ht="28.5" x14ac:dyDescent="0.2">
      <c r="A41" s="3" t="s">
        <v>638</v>
      </c>
      <c r="B41" s="3" t="s">
        <v>35</v>
      </c>
      <c r="C41" s="3" t="s">
        <v>8</v>
      </c>
      <c r="D41" s="3" t="s">
        <v>639</v>
      </c>
      <c r="E41" s="3" t="s">
        <v>639</v>
      </c>
      <c r="F41" s="1" t="s">
        <v>38</v>
      </c>
      <c r="G41" s="1">
        <v>0</v>
      </c>
      <c r="H41" s="1">
        <v>1</v>
      </c>
      <c r="I41" s="1">
        <v>60</v>
      </c>
      <c r="J41" s="1">
        <v>0</v>
      </c>
    </row>
    <row r="42" spans="1:10" x14ac:dyDescent="0.2">
      <c r="A42" s="46" t="s">
        <v>640</v>
      </c>
      <c r="B42" s="4" t="s">
        <v>18</v>
      </c>
      <c r="C42" s="46" t="s">
        <v>8</v>
      </c>
      <c r="D42" s="46" t="s">
        <v>641</v>
      </c>
      <c r="E42" s="46" t="s">
        <v>641</v>
      </c>
      <c r="F42" s="58" t="s">
        <v>20</v>
      </c>
      <c r="G42" s="58">
        <v>0</v>
      </c>
      <c r="H42" s="58">
        <v>1000</v>
      </c>
      <c r="I42" s="58">
        <v>1</v>
      </c>
      <c r="J42" s="58">
        <v>0</v>
      </c>
    </row>
    <row r="43" spans="1:10" x14ac:dyDescent="0.2">
      <c r="A43" s="47"/>
      <c r="B43" s="5" t="s">
        <v>19</v>
      </c>
      <c r="C43" s="47"/>
      <c r="D43" s="47"/>
      <c r="E43" s="47"/>
      <c r="F43" s="59"/>
      <c r="G43" s="59"/>
      <c r="H43" s="59"/>
      <c r="I43" s="59"/>
      <c r="J43" s="59"/>
    </row>
    <row r="44" spans="1:10" x14ac:dyDescent="0.2">
      <c r="A44" s="46" t="s">
        <v>642</v>
      </c>
      <c r="B44" s="4" t="s">
        <v>18</v>
      </c>
      <c r="C44" s="46" t="s">
        <v>8</v>
      </c>
      <c r="D44" s="46" t="s">
        <v>643</v>
      </c>
      <c r="E44" s="46" t="s">
        <v>643</v>
      </c>
      <c r="F44" s="58" t="s">
        <v>20</v>
      </c>
      <c r="G44" s="58">
        <v>0</v>
      </c>
      <c r="H44" s="58">
        <v>1000000000</v>
      </c>
      <c r="I44" s="58">
        <v>1</v>
      </c>
      <c r="J44" s="58">
        <v>0</v>
      </c>
    </row>
    <row r="45" spans="1:10" x14ac:dyDescent="0.2">
      <c r="A45" s="47"/>
      <c r="B45" s="5" t="s">
        <v>19</v>
      </c>
      <c r="C45" s="47"/>
      <c r="D45" s="47"/>
      <c r="E45" s="47"/>
      <c r="F45" s="59"/>
      <c r="G45" s="59"/>
      <c r="H45" s="59"/>
      <c r="I45" s="59"/>
      <c r="J45" s="59"/>
    </row>
    <row r="46" spans="1:10" x14ac:dyDescent="0.2">
      <c r="A46" s="46" t="s">
        <v>644</v>
      </c>
      <c r="B46" s="4" t="s">
        <v>31</v>
      </c>
      <c r="C46" s="46" t="s">
        <v>8</v>
      </c>
      <c r="D46" s="46" t="s">
        <v>645</v>
      </c>
      <c r="E46" s="46" t="s">
        <v>645</v>
      </c>
      <c r="F46" s="58" t="s">
        <v>33</v>
      </c>
      <c r="G46" s="58">
        <v>0</v>
      </c>
      <c r="H46" s="58">
        <v>1000000000000</v>
      </c>
      <c r="I46" s="58">
        <v>1</v>
      </c>
      <c r="J46" s="58">
        <v>0</v>
      </c>
    </row>
    <row r="47" spans="1:10" x14ac:dyDescent="0.2">
      <c r="A47" s="47"/>
      <c r="B47" s="5" t="s">
        <v>32</v>
      </c>
      <c r="C47" s="47"/>
      <c r="D47" s="47"/>
      <c r="E47" s="47"/>
      <c r="F47" s="59"/>
      <c r="G47" s="59"/>
      <c r="H47" s="59"/>
      <c r="I47" s="59"/>
      <c r="J47" s="59"/>
    </row>
    <row r="48" spans="1:10" x14ac:dyDescent="0.2">
      <c r="A48" s="46" t="s">
        <v>646</v>
      </c>
      <c r="B48" s="4" t="s">
        <v>31</v>
      </c>
      <c r="C48" s="46" t="s">
        <v>8</v>
      </c>
      <c r="D48" s="46" t="s">
        <v>647</v>
      </c>
      <c r="E48" s="46" t="s">
        <v>647</v>
      </c>
      <c r="F48" s="58" t="s">
        <v>33</v>
      </c>
      <c r="G48" s="58">
        <v>0</v>
      </c>
      <c r="H48" s="58">
        <v>1</v>
      </c>
      <c r="I48" s="58">
        <v>6894.7569999999996</v>
      </c>
      <c r="J48" s="58">
        <v>0</v>
      </c>
    </row>
    <row r="49" spans="1:10" x14ac:dyDescent="0.2">
      <c r="A49" s="47"/>
      <c r="B49" s="5" t="s">
        <v>32</v>
      </c>
      <c r="C49" s="47"/>
      <c r="D49" s="47"/>
      <c r="E49" s="47"/>
      <c r="F49" s="59"/>
      <c r="G49" s="59"/>
      <c r="H49" s="59"/>
      <c r="I49" s="59"/>
      <c r="J49" s="59"/>
    </row>
    <row r="50" spans="1:10" x14ac:dyDescent="0.2">
      <c r="A50" s="46" t="s">
        <v>648</v>
      </c>
      <c r="B50" s="4" t="s">
        <v>31</v>
      </c>
      <c r="C50" s="46" t="s">
        <v>8</v>
      </c>
      <c r="D50" s="46" t="s">
        <v>649</v>
      </c>
      <c r="E50" s="46" t="s">
        <v>649</v>
      </c>
      <c r="F50" s="58" t="s">
        <v>33</v>
      </c>
      <c r="G50" s="58">
        <v>0</v>
      </c>
      <c r="H50" s="58">
        <v>1</v>
      </c>
      <c r="I50" s="58">
        <v>6.8947569999999996E-3</v>
      </c>
      <c r="J50" s="58">
        <v>0</v>
      </c>
    </row>
    <row r="51" spans="1:10" x14ac:dyDescent="0.2">
      <c r="A51" s="47"/>
      <c r="B51" s="5" t="s">
        <v>32</v>
      </c>
      <c r="C51" s="47"/>
      <c r="D51" s="47"/>
      <c r="E51" s="47"/>
      <c r="F51" s="59"/>
      <c r="G51" s="59"/>
      <c r="H51" s="59"/>
      <c r="I51" s="59"/>
      <c r="J51" s="59"/>
    </row>
    <row r="52" spans="1:10" ht="28.5" x14ac:dyDescent="0.2">
      <c r="A52" s="3" t="s">
        <v>650</v>
      </c>
      <c r="B52" s="3" t="s">
        <v>40</v>
      </c>
      <c r="C52" s="3" t="s">
        <v>8</v>
      </c>
      <c r="D52" s="3" t="s">
        <v>651</v>
      </c>
      <c r="E52" s="3" t="s">
        <v>651</v>
      </c>
      <c r="F52" s="1" t="s">
        <v>41</v>
      </c>
      <c r="G52" s="1">
        <v>0</v>
      </c>
      <c r="H52" s="1">
        <v>1000000</v>
      </c>
      <c r="I52" s="1">
        <v>1</v>
      </c>
      <c r="J52" s="1">
        <v>0</v>
      </c>
    </row>
    <row r="53" spans="1:10" x14ac:dyDescent="0.2">
      <c r="A53" s="3" t="s">
        <v>652</v>
      </c>
      <c r="B53" s="3" t="s">
        <v>35</v>
      </c>
      <c r="C53" s="3" t="s">
        <v>8</v>
      </c>
      <c r="D53" s="3" t="s">
        <v>653</v>
      </c>
      <c r="E53" s="3"/>
      <c r="F53" s="1" t="s">
        <v>38</v>
      </c>
      <c r="G53" s="1">
        <v>0</v>
      </c>
      <c r="H53" s="1">
        <v>1</v>
      </c>
      <c r="I53" s="1">
        <v>604800</v>
      </c>
      <c r="J53" s="1">
        <v>0</v>
      </c>
    </row>
    <row r="54" spans="1:10" x14ac:dyDescent="0.2">
      <c r="A54" s="3" t="s">
        <v>654</v>
      </c>
      <c r="B54" s="3" t="s">
        <v>18</v>
      </c>
      <c r="C54" s="3" t="s">
        <v>8</v>
      </c>
      <c r="D54" s="3" t="s">
        <v>655</v>
      </c>
      <c r="E54" s="3"/>
      <c r="F54" s="1" t="s">
        <v>20</v>
      </c>
      <c r="G54" s="1">
        <v>0</v>
      </c>
      <c r="H54" s="1">
        <v>1</v>
      </c>
      <c r="I54" s="1">
        <v>0.91439999999999999</v>
      </c>
      <c r="J54" s="1">
        <v>0</v>
      </c>
    </row>
    <row r="55" spans="1:10" ht="28.5" x14ac:dyDescent="0.2">
      <c r="A55" s="3" t="s">
        <v>656</v>
      </c>
      <c r="B55" s="3" t="s">
        <v>321</v>
      </c>
      <c r="C55" s="3" t="s">
        <v>8</v>
      </c>
      <c r="D55" s="3" t="s">
        <v>657</v>
      </c>
      <c r="E55" s="3"/>
      <c r="F55" s="1" t="s">
        <v>322</v>
      </c>
      <c r="G55" s="1">
        <v>0</v>
      </c>
      <c r="H55" s="1">
        <v>28.316846592000001</v>
      </c>
      <c r="I55" s="1">
        <v>1</v>
      </c>
      <c r="J55" s="1">
        <v>0</v>
      </c>
    </row>
    <row r="56" spans="1:10" ht="42.75" x14ac:dyDescent="0.2">
      <c r="A56" s="3" t="s">
        <v>658</v>
      </c>
      <c r="B56" s="3" t="s">
        <v>659</v>
      </c>
      <c r="C56" s="3" t="s">
        <v>8</v>
      </c>
      <c r="D56" s="3" t="s">
        <v>660</v>
      </c>
      <c r="E56" s="3"/>
      <c r="F56" s="1" t="s">
        <v>131</v>
      </c>
      <c r="G56" s="1">
        <v>0</v>
      </c>
      <c r="H56" s="1">
        <v>28.316846592000001</v>
      </c>
      <c r="I56" s="1">
        <v>0.1589873</v>
      </c>
      <c r="J56" s="1">
        <v>0</v>
      </c>
    </row>
    <row r="57" spans="1:10" ht="42.75" x14ac:dyDescent="0.2">
      <c r="A57" s="3" t="s">
        <v>661</v>
      </c>
      <c r="B57" s="3" t="s">
        <v>343</v>
      </c>
      <c r="C57" s="3" t="s">
        <v>8</v>
      </c>
      <c r="D57" s="3" t="s">
        <v>662</v>
      </c>
      <c r="E57" s="3"/>
      <c r="F57" s="1" t="s">
        <v>344</v>
      </c>
      <c r="G57" s="1">
        <v>0</v>
      </c>
      <c r="H57" s="1">
        <v>28.316849999999999</v>
      </c>
      <c r="I57" s="1">
        <v>86400</v>
      </c>
      <c r="J57" s="1">
        <v>0</v>
      </c>
    </row>
    <row r="58" spans="1:10" ht="57" x14ac:dyDescent="0.2">
      <c r="A58" s="3" t="s">
        <v>663</v>
      </c>
      <c r="B58" s="3" t="s">
        <v>664</v>
      </c>
      <c r="C58" s="3" t="s">
        <v>8</v>
      </c>
      <c r="D58" s="3" t="s">
        <v>665</v>
      </c>
      <c r="E58" s="3"/>
      <c r="F58" s="1" t="s">
        <v>319</v>
      </c>
      <c r="G58" s="1">
        <v>0</v>
      </c>
      <c r="H58" s="1">
        <v>92.903040000000004</v>
      </c>
      <c r="I58" s="1">
        <v>86400</v>
      </c>
      <c r="J58" s="1">
        <v>0</v>
      </c>
    </row>
    <row r="59" spans="1:10" ht="57" x14ac:dyDescent="0.2">
      <c r="A59" s="3" t="s">
        <v>666</v>
      </c>
      <c r="B59" s="3" t="s">
        <v>334</v>
      </c>
      <c r="C59" s="3" t="s">
        <v>8</v>
      </c>
      <c r="D59" s="3" t="s">
        <v>667</v>
      </c>
      <c r="E59" s="3"/>
      <c r="F59" s="1" t="s">
        <v>335</v>
      </c>
      <c r="G59" s="1">
        <v>0</v>
      </c>
      <c r="H59" s="1">
        <v>28.316849999999999</v>
      </c>
      <c r="I59" s="1">
        <v>595707004.79999995</v>
      </c>
      <c r="J59" s="1">
        <v>0</v>
      </c>
    </row>
    <row r="60" spans="1:10" ht="57" x14ac:dyDescent="0.2">
      <c r="A60" s="3" t="s">
        <v>668</v>
      </c>
      <c r="B60" s="3" t="s">
        <v>343</v>
      </c>
      <c r="C60" s="3" t="s">
        <v>8</v>
      </c>
      <c r="D60" s="3" t="s">
        <v>669</v>
      </c>
      <c r="E60" s="3"/>
      <c r="F60" s="1" t="s">
        <v>344</v>
      </c>
      <c r="G60" s="1">
        <v>0</v>
      </c>
      <c r="H60" s="1">
        <v>1000</v>
      </c>
      <c r="I60" s="1">
        <v>86400</v>
      </c>
      <c r="J60" s="1">
        <v>0</v>
      </c>
    </row>
    <row r="61" spans="1:10" ht="71.25" x14ac:dyDescent="0.2">
      <c r="A61" s="3" t="s">
        <v>670</v>
      </c>
      <c r="B61" s="3" t="s">
        <v>664</v>
      </c>
      <c r="C61" s="3" t="s">
        <v>8</v>
      </c>
      <c r="D61" s="3" t="s">
        <v>671</v>
      </c>
      <c r="E61" s="3" t="s">
        <v>672</v>
      </c>
      <c r="F61" s="1" t="s">
        <v>319</v>
      </c>
      <c r="G61" s="1">
        <v>0</v>
      </c>
      <c r="H61" s="1">
        <v>1000</v>
      </c>
      <c r="I61" s="1">
        <v>86400</v>
      </c>
      <c r="J61" s="1">
        <v>0</v>
      </c>
    </row>
    <row r="62" spans="1:10" ht="57" x14ac:dyDescent="0.2">
      <c r="A62" s="3" t="s">
        <v>673</v>
      </c>
      <c r="B62" s="3" t="s">
        <v>343</v>
      </c>
      <c r="C62" s="3" t="s">
        <v>8</v>
      </c>
      <c r="D62" s="3" t="s">
        <v>674</v>
      </c>
      <c r="E62" s="3"/>
      <c r="F62" s="1" t="s">
        <v>344</v>
      </c>
      <c r="G62" s="1">
        <v>0</v>
      </c>
      <c r="H62" s="1">
        <v>1000</v>
      </c>
      <c r="I62" s="1">
        <v>3600</v>
      </c>
      <c r="J62" s="1">
        <v>0</v>
      </c>
    </row>
    <row r="63" spans="1:10" ht="71.25" x14ac:dyDescent="0.2">
      <c r="A63" s="3" t="s">
        <v>675</v>
      </c>
      <c r="B63" s="3" t="s">
        <v>664</v>
      </c>
      <c r="C63" s="3" t="s">
        <v>8</v>
      </c>
      <c r="D63" s="3" t="s">
        <v>676</v>
      </c>
      <c r="E63" s="3" t="s">
        <v>677</v>
      </c>
      <c r="F63" s="1" t="s">
        <v>319</v>
      </c>
      <c r="G63" s="1">
        <v>0</v>
      </c>
      <c r="H63" s="1">
        <v>1000</v>
      </c>
      <c r="I63" s="1">
        <v>3600</v>
      </c>
      <c r="J63" s="1">
        <v>0</v>
      </c>
    </row>
    <row r="64" spans="1:10" ht="71.25" x14ac:dyDescent="0.2">
      <c r="A64" s="3" t="s">
        <v>678</v>
      </c>
      <c r="B64" s="3" t="s">
        <v>358</v>
      </c>
      <c r="C64" s="3" t="s">
        <v>8</v>
      </c>
      <c r="D64" s="3" t="s">
        <v>679</v>
      </c>
      <c r="E64" s="3"/>
      <c r="F64" s="1" t="s">
        <v>359</v>
      </c>
      <c r="G64" s="1">
        <v>0</v>
      </c>
      <c r="H64" s="1">
        <v>1000</v>
      </c>
      <c r="I64" s="1">
        <v>86400</v>
      </c>
      <c r="J64" s="1">
        <v>0</v>
      </c>
    </row>
    <row r="65" spans="1:10" ht="28.5" x14ac:dyDescent="0.2">
      <c r="A65" s="3" t="s">
        <v>680</v>
      </c>
      <c r="B65" s="3" t="s">
        <v>469</v>
      </c>
      <c r="C65" s="3" t="s">
        <v>8</v>
      </c>
      <c r="D65" s="3" t="s">
        <v>681</v>
      </c>
      <c r="E65" s="3"/>
      <c r="F65" s="1" t="s">
        <v>470</v>
      </c>
      <c r="G65" s="1">
        <v>0</v>
      </c>
      <c r="H65" s="1">
        <v>3155815000000</v>
      </c>
      <c r="I65" s="1">
        <v>1</v>
      </c>
      <c r="J65" s="1">
        <v>0</v>
      </c>
    </row>
    <row r="66" spans="1:10" x14ac:dyDescent="0.2">
      <c r="A66" s="46" t="s">
        <v>682</v>
      </c>
      <c r="B66" s="4" t="s">
        <v>249</v>
      </c>
      <c r="C66" s="46" t="s">
        <v>8</v>
      </c>
      <c r="D66" s="46" t="s">
        <v>683</v>
      </c>
      <c r="E66" s="46"/>
      <c r="F66" s="58" t="s">
        <v>252</v>
      </c>
      <c r="G66" s="58">
        <v>0</v>
      </c>
      <c r="H66" s="58">
        <v>10000</v>
      </c>
      <c r="I66" s="58">
        <v>1</v>
      </c>
      <c r="J66" s="58">
        <v>0</v>
      </c>
    </row>
    <row r="67" spans="1:10" x14ac:dyDescent="0.2">
      <c r="A67" s="48"/>
      <c r="B67" s="6" t="s">
        <v>250</v>
      </c>
      <c r="C67" s="48"/>
      <c r="D67" s="48"/>
      <c r="E67" s="48"/>
      <c r="F67" s="60"/>
      <c r="G67" s="60"/>
      <c r="H67" s="60"/>
      <c r="I67" s="60"/>
      <c r="J67" s="60"/>
    </row>
    <row r="68" spans="1:10" x14ac:dyDescent="0.2">
      <c r="A68" s="47"/>
      <c r="B68" s="5" t="s">
        <v>251</v>
      </c>
      <c r="C68" s="47"/>
      <c r="D68" s="47"/>
      <c r="E68" s="47"/>
      <c r="F68" s="59"/>
      <c r="G68" s="59"/>
      <c r="H68" s="59"/>
      <c r="I68" s="59"/>
      <c r="J68" s="59"/>
    </row>
    <row r="69" spans="1:10" x14ac:dyDescent="0.2">
      <c r="A69" s="3" t="s">
        <v>684</v>
      </c>
      <c r="B69" s="3" t="s">
        <v>469</v>
      </c>
      <c r="C69" s="3" t="s">
        <v>8</v>
      </c>
      <c r="D69" s="3" t="s">
        <v>685</v>
      </c>
      <c r="E69" s="3" t="s">
        <v>685</v>
      </c>
      <c r="F69" s="1" t="s">
        <v>470</v>
      </c>
      <c r="G69" s="1">
        <v>0</v>
      </c>
      <c r="H69" s="1">
        <v>31558150</v>
      </c>
      <c r="I69" s="1">
        <v>1</v>
      </c>
      <c r="J69" s="1">
        <v>0</v>
      </c>
    </row>
    <row r="70" spans="1:10" x14ac:dyDescent="0.2">
      <c r="A70" s="46" t="s">
        <v>686</v>
      </c>
      <c r="B70" s="4" t="s">
        <v>90</v>
      </c>
      <c r="C70" s="46" t="s">
        <v>8</v>
      </c>
      <c r="D70" s="46" t="s">
        <v>687</v>
      </c>
      <c r="E70" s="46" t="s">
        <v>687</v>
      </c>
      <c r="F70" s="58" t="s">
        <v>93</v>
      </c>
      <c r="G70" s="58">
        <v>0</v>
      </c>
      <c r="H70" s="58">
        <v>3600</v>
      </c>
      <c r="I70" s="58">
        <v>1</v>
      </c>
      <c r="J70" s="58">
        <v>0</v>
      </c>
    </row>
    <row r="71" spans="1:10" x14ac:dyDescent="0.2">
      <c r="A71" s="48"/>
      <c r="B71" s="6" t="s">
        <v>91</v>
      </c>
      <c r="C71" s="48"/>
      <c r="D71" s="48"/>
      <c r="E71" s="48"/>
      <c r="F71" s="60"/>
      <c r="G71" s="60"/>
      <c r="H71" s="60"/>
      <c r="I71" s="60"/>
      <c r="J71" s="60"/>
    </row>
    <row r="72" spans="1:10" x14ac:dyDescent="0.2">
      <c r="A72" s="47"/>
      <c r="B72" s="5" t="s">
        <v>92</v>
      </c>
      <c r="C72" s="47"/>
      <c r="D72" s="47"/>
      <c r="E72" s="47"/>
      <c r="F72" s="59"/>
      <c r="G72" s="59"/>
      <c r="H72" s="59"/>
      <c r="I72" s="59"/>
      <c r="J72" s="59"/>
    </row>
    <row r="73" spans="1:10" ht="71.25" x14ac:dyDescent="0.2">
      <c r="A73" s="3" t="s">
        <v>688</v>
      </c>
      <c r="B73" s="3" t="s">
        <v>57</v>
      </c>
      <c r="C73" s="3" t="s">
        <v>8</v>
      </c>
      <c r="D73" s="3" t="s">
        <v>689</v>
      </c>
      <c r="E73" s="3" t="s">
        <v>689</v>
      </c>
      <c r="F73" s="1" t="s">
        <v>58</v>
      </c>
      <c r="G73" s="1">
        <v>0</v>
      </c>
      <c r="H73" s="1">
        <v>10000</v>
      </c>
      <c r="I73" s="1">
        <v>1</v>
      </c>
      <c r="J73" s="1">
        <v>0</v>
      </c>
    </row>
    <row r="74" spans="1:10" ht="57" x14ac:dyDescent="0.2">
      <c r="A74" s="3" t="s">
        <v>690</v>
      </c>
      <c r="B74" s="3" t="s">
        <v>57</v>
      </c>
      <c r="C74" s="3" t="s">
        <v>8</v>
      </c>
      <c r="D74" s="3" t="s">
        <v>691</v>
      </c>
      <c r="E74" s="3" t="s">
        <v>691</v>
      </c>
      <c r="F74" s="1" t="s">
        <v>58</v>
      </c>
      <c r="G74" s="1">
        <v>0</v>
      </c>
      <c r="H74" s="1">
        <v>1</v>
      </c>
      <c r="I74" s="1">
        <v>9.2903040000000006E-2</v>
      </c>
      <c r="J74" s="1">
        <v>0</v>
      </c>
    </row>
    <row r="75" spans="1:10" x14ac:dyDescent="0.2">
      <c r="A75" s="46" t="s">
        <v>692</v>
      </c>
      <c r="B75" s="4" t="s">
        <v>52</v>
      </c>
      <c r="C75" s="46" t="s">
        <v>8</v>
      </c>
      <c r="D75" s="46" t="s">
        <v>693</v>
      </c>
      <c r="E75" s="46" t="s">
        <v>693</v>
      </c>
      <c r="F75" s="58" t="s">
        <v>55</v>
      </c>
      <c r="G75" s="58">
        <v>0</v>
      </c>
      <c r="H75" s="58">
        <v>1000</v>
      </c>
      <c r="I75" s="58">
        <v>1</v>
      </c>
      <c r="J75" s="58">
        <v>0</v>
      </c>
    </row>
    <row r="76" spans="1:10" x14ac:dyDescent="0.2">
      <c r="A76" s="48"/>
      <c r="B76" s="6" t="s">
        <v>53</v>
      </c>
      <c r="C76" s="48"/>
      <c r="D76" s="48"/>
      <c r="E76" s="48"/>
      <c r="F76" s="60"/>
      <c r="G76" s="60"/>
      <c r="H76" s="60"/>
      <c r="I76" s="60"/>
      <c r="J76" s="60"/>
    </row>
    <row r="77" spans="1:10" x14ac:dyDescent="0.2">
      <c r="A77" s="47"/>
      <c r="B77" s="5" t="s">
        <v>54</v>
      </c>
      <c r="C77" s="47"/>
      <c r="D77" s="47"/>
      <c r="E77" s="47"/>
      <c r="F77" s="59"/>
      <c r="G77" s="59"/>
      <c r="H77" s="59"/>
      <c r="I77" s="59"/>
      <c r="J77" s="59"/>
    </row>
    <row r="78" spans="1:10" ht="42.75" x14ac:dyDescent="0.2">
      <c r="A78" s="3" t="s">
        <v>694</v>
      </c>
      <c r="B78" s="3" t="s">
        <v>57</v>
      </c>
      <c r="C78" s="3" t="s">
        <v>8</v>
      </c>
      <c r="D78" s="3" t="s">
        <v>695</v>
      </c>
      <c r="E78" s="3" t="s">
        <v>695</v>
      </c>
      <c r="F78" s="1" t="s">
        <v>58</v>
      </c>
      <c r="G78" s="1">
        <v>0</v>
      </c>
      <c r="H78" s="1">
        <v>1000000</v>
      </c>
      <c r="I78" s="1">
        <v>1</v>
      </c>
      <c r="J78" s="1">
        <v>0</v>
      </c>
    </row>
    <row r="79" spans="1:10" x14ac:dyDescent="0.2">
      <c r="A79" s="3" t="s">
        <v>696</v>
      </c>
      <c r="B79" s="3" t="s">
        <v>302</v>
      </c>
      <c r="C79" s="3" t="s">
        <v>8</v>
      </c>
      <c r="D79" s="3" t="s">
        <v>696</v>
      </c>
      <c r="E79" s="3" t="s">
        <v>696</v>
      </c>
      <c r="F79" s="1" t="s">
        <v>303</v>
      </c>
      <c r="G79" s="1">
        <v>0</v>
      </c>
      <c r="H79" s="1">
        <v>4046.873</v>
      </c>
      <c r="I79" s="1">
        <v>1</v>
      </c>
      <c r="J79" s="1">
        <v>0</v>
      </c>
    </row>
    <row r="80" spans="1:10" x14ac:dyDescent="0.2">
      <c r="A80" s="3" t="s">
        <v>697</v>
      </c>
      <c r="B80" s="3" t="s">
        <v>321</v>
      </c>
      <c r="C80" s="3" t="s">
        <v>8</v>
      </c>
      <c r="D80" s="3" t="s">
        <v>698</v>
      </c>
      <c r="E80" s="3" t="s">
        <v>698</v>
      </c>
      <c r="F80" s="1" t="s">
        <v>322</v>
      </c>
      <c r="G80" s="1">
        <v>0</v>
      </c>
      <c r="H80" s="1">
        <v>1233.489</v>
      </c>
      <c r="I80" s="1">
        <v>1</v>
      </c>
      <c r="J80" s="1">
        <v>0</v>
      </c>
    </row>
    <row r="81" spans="1:10" ht="57" x14ac:dyDescent="0.2">
      <c r="A81" s="3" t="s">
        <v>699</v>
      </c>
      <c r="B81" s="3" t="s">
        <v>349</v>
      </c>
      <c r="C81" s="3" t="s">
        <v>8</v>
      </c>
      <c r="D81" s="3" t="s">
        <v>700</v>
      </c>
      <c r="E81" s="3"/>
      <c r="F81" s="1" t="s">
        <v>352</v>
      </c>
      <c r="G81" s="1">
        <v>0</v>
      </c>
      <c r="H81" s="1">
        <v>1233.489</v>
      </c>
      <c r="I81" s="1">
        <v>158987.29999999999</v>
      </c>
      <c r="J81" s="1">
        <v>0</v>
      </c>
    </row>
    <row r="82" spans="1:10" x14ac:dyDescent="0.2">
      <c r="A82" s="3" t="s">
        <v>701</v>
      </c>
      <c r="B82" s="3" t="s">
        <v>220</v>
      </c>
      <c r="C82" s="3" t="s">
        <v>8</v>
      </c>
      <c r="D82" s="3" t="s">
        <v>702</v>
      </c>
      <c r="E82" s="3" t="s">
        <v>702</v>
      </c>
      <c r="F82" s="1" t="s">
        <v>221</v>
      </c>
      <c r="G82" s="1">
        <v>0</v>
      </c>
      <c r="H82" s="11">
        <v>9.9999999999999991E-22</v>
      </c>
      <c r="I82" s="1">
        <v>1</v>
      </c>
      <c r="J82" s="1">
        <v>0</v>
      </c>
    </row>
    <row r="83" spans="1:10" x14ac:dyDescent="0.2">
      <c r="A83" s="46" t="s">
        <v>703</v>
      </c>
      <c r="B83" s="4" t="s">
        <v>166</v>
      </c>
      <c r="C83" s="46" t="s">
        <v>8</v>
      </c>
      <c r="D83" s="46" t="s">
        <v>704</v>
      </c>
      <c r="E83" s="46" t="s">
        <v>704</v>
      </c>
      <c r="F83" s="58" t="s">
        <v>168</v>
      </c>
      <c r="G83" s="58">
        <v>0</v>
      </c>
      <c r="H83" s="61">
        <v>1.0000000000000001E-18</v>
      </c>
      <c r="I83" s="58">
        <v>1</v>
      </c>
      <c r="J83" s="58">
        <v>0</v>
      </c>
    </row>
    <row r="84" spans="1:10" x14ac:dyDescent="0.2">
      <c r="A84" s="47"/>
      <c r="B84" s="5" t="s">
        <v>167</v>
      </c>
      <c r="C84" s="47"/>
      <c r="D84" s="47"/>
      <c r="E84" s="47"/>
      <c r="F84" s="59"/>
      <c r="G84" s="59"/>
      <c r="H84" s="62"/>
      <c r="I84" s="59"/>
      <c r="J84" s="59"/>
    </row>
    <row r="85" spans="1:10" x14ac:dyDescent="0.2">
      <c r="A85" s="3" t="s">
        <v>705</v>
      </c>
      <c r="B85" s="3" t="s">
        <v>277</v>
      </c>
      <c r="C85" s="3" t="s">
        <v>8</v>
      </c>
      <c r="D85" s="3" t="s">
        <v>706</v>
      </c>
      <c r="E85" s="3"/>
      <c r="F85" s="1" t="s">
        <v>290</v>
      </c>
      <c r="G85" s="1">
        <v>0</v>
      </c>
      <c r="H85" s="1">
        <v>1E-10</v>
      </c>
      <c r="I85" s="1">
        <v>1</v>
      </c>
      <c r="J85" s="1">
        <v>0</v>
      </c>
    </row>
    <row r="86" spans="1:10" x14ac:dyDescent="0.2">
      <c r="A86" s="46" t="s">
        <v>707</v>
      </c>
      <c r="B86" s="4" t="s">
        <v>414</v>
      </c>
      <c r="C86" s="46" t="s">
        <v>8</v>
      </c>
      <c r="D86" s="46" t="s">
        <v>708</v>
      </c>
      <c r="E86" s="46"/>
      <c r="F86" s="58" t="s">
        <v>416</v>
      </c>
      <c r="G86" s="58">
        <v>0</v>
      </c>
      <c r="H86" s="58">
        <v>98066.5</v>
      </c>
      <c r="I86" s="58">
        <v>1</v>
      </c>
      <c r="J86" s="58">
        <v>0</v>
      </c>
    </row>
    <row r="87" spans="1:10" x14ac:dyDescent="0.2">
      <c r="A87" s="47"/>
      <c r="B87" s="5" t="s">
        <v>415</v>
      </c>
      <c r="C87" s="47"/>
      <c r="D87" s="47"/>
      <c r="E87" s="47"/>
      <c r="F87" s="59"/>
      <c r="G87" s="59"/>
      <c r="H87" s="59"/>
      <c r="I87" s="59"/>
      <c r="J87" s="59"/>
    </row>
    <row r="88" spans="1:10" x14ac:dyDescent="0.2">
      <c r="A88" s="46" t="s">
        <v>709</v>
      </c>
      <c r="B88" s="4" t="s">
        <v>414</v>
      </c>
      <c r="C88" s="46" t="s">
        <v>8</v>
      </c>
      <c r="D88" s="46" t="s">
        <v>710</v>
      </c>
      <c r="E88" s="46" t="s">
        <v>710</v>
      </c>
      <c r="F88" s="58" t="s">
        <v>416</v>
      </c>
      <c r="G88" s="58">
        <v>0</v>
      </c>
      <c r="H88" s="58">
        <v>101325</v>
      </c>
      <c r="I88" s="58">
        <v>1</v>
      </c>
      <c r="J88" s="58">
        <v>0</v>
      </c>
    </row>
    <row r="89" spans="1:10" x14ac:dyDescent="0.2">
      <c r="A89" s="47"/>
      <c r="B89" s="5" t="s">
        <v>415</v>
      </c>
      <c r="C89" s="47"/>
      <c r="D89" s="47"/>
      <c r="E89" s="47"/>
      <c r="F89" s="59"/>
      <c r="G89" s="59"/>
      <c r="H89" s="59"/>
      <c r="I89" s="59"/>
      <c r="J89" s="59"/>
    </row>
    <row r="90" spans="1:10" x14ac:dyDescent="0.2">
      <c r="A90" s="46" t="s">
        <v>711</v>
      </c>
      <c r="B90" s="4" t="s">
        <v>389</v>
      </c>
      <c r="C90" s="46" t="s">
        <v>8</v>
      </c>
      <c r="D90" s="46" t="s">
        <v>712</v>
      </c>
      <c r="E90" s="46" t="s">
        <v>712</v>
      </c>
      <c r="F90" s="58" t="s">
        <v>391</v>
      </c>
      <c r="G90" s="58">
        <v>0</v>
      </c>
      <c r="H90" s="58">
        <v>101325</v>
      </c>
      <c r="I90" s="58">
        <v>0.30480000000000002</v>
      </c>
      <c r="J90" s="58">
        <v>0</v>
      </c>
    </row>
    <row r="91" spans="1:10" x14ac:dyDescent="0.2">
      <c r="A91" s="47"/>
      <c r="B91" s="5" t="s">
        <v>390</v>
      </c>
      <c r="C91" s="47"/>
      <c r="D91" s="47"/>
      <c r="E91" s="47"/>
      <c r="F91" s="59"/>
      <c r="G91" s="59"/>
      <c r="H91" s="59"/>
      <c r="I91" s="59"/>
      <c r="J91" s="59"/>
    </row>
    <row r="92" spans="1:10" ht="42.75" x14ac:dyDescent="0.2">
      <c r="A92" s="3" t="s">
        <v>713</v>
      </c>
      <c r="B92" s="3" t="s">
        <v>435</v>
      </c>
      <c r="C92" s="3" t="s">
        <v>8</v>
      </c>
      <c r="D92" s="3" t="s">
        <v>714</v>
      </c>
      <c r="E92" s="3" t="s">
        <v>714</v>
      </c>
      <c r="F92" s="1" t="s">
        <v>436</v>
      </c>
      <c r="G92" s="1">
        <v>0</v>
      </c>
      <c r="H92" s="1">
        <v>101325</v>
      </c>
      <c r="I92" s="1">
        <v>3600</v>
      </c>
      <c r="J92" s="1">
        <v>0</v>
      </c>
    </row>
    <row r="93" spans="1:10" x14ac:dyDescent="0.2">
      <c r="A93" s="46" t="s">
        <v>715</v>
      </c>
      <c r="B93" s="4" t="s">
        <v>389</v>
      </c>
      <c r="C93" s="46" t="s">
        <v>8</v>
      </c>
      <c r="D93" s="46" t="s">
        <v>716</v>
      </c>
      <c r="E93" s="46"/>
      <c r="F93" s="58" t="s">
        <v>391</v>
      </c>
      <c r="G93" s="58">
        <v>0</v>
      </c>
      <c r="H93" s="58">
        <v>101325</v>
      </c>
      <c r="I93" s="58">
        <v>100</v>
      </c>
      <c r="J93" s="58">
        <v>0</v>
      </c>
    </row>
    <row r="94" spans="1:10" x14ac:dyDescent="0.2">
      <c r="A94" s="47"/>
      <c r="B94" s="5" t="s">
        <v>390</v>
      </c>
      <c r="C94" s="47"/>
      <c r="D94" s="47"/>
      <c r="E94" s="47"/>
      <c r="F94" s="59"/>
      <c r="G94" s="59"/>
      <c r="H94" s="59"/>
      <c r="I94" s="59"/>
      <c r="J94" s="59"/>
    </row>
    <row r="95" spans="1:10" x14ac:dyDescent="0.2">
      <c r="A95" s="46" t="s">
        <v>717</v>
      </c>
      <c r="B95" s="4" t="s">
        <v>389</v>
      </c>
      <c r="C95" s="46" t="s">
        <v>8</v>
      </c>
      <c r="D95" s="46" t="s">
        <v>718</v>
      </c>
      <c r="E95" s="46" t="s">
        <v>718</v>
      </c>
      <c r="F95" s="58" t="s">
        <v>391</v>
      </c>
      <c r="G95" s="58">
        <v>0</v>
      </c>
      <c r="H95" s="58">
        <v>101325</v>
      </c>
      <c r="I95" s="58">
        <v>1</v>
      </c>
      <c r="J95" s="58">
        <v>0</v>
      </c>
    </row>
    <row r="96" spans="1:10" x14ac:dyDescent="0.2">
      <c r="A96" s="47"/>
      <c r="B96" s="5" t="s">
        <v>390</v>
      </c>
      <c r="C96" s="47"/>
      <c r="D96" s="47"/>
      <c r="E96" s="47"/>
      <c r="F96" s="59"/>
      <c r="G96" s="59"/>
      <c r="H96" s="59"/>
      <c r="I96" s="59"/>
      <c r="J96" s="59"/>
    </row>
    <row r="97" spans="1:10" x14ac:dyDescent="0.2">
      <c r="A97" s="3" t="s">
        <v>719</v>
      </c>
      <c r="B97" s="3" t="s">
        <v>302</v>
      </c>
      <c r="C97" s="3" t="s">
        <v>8</v>
      </c>
      <c r="D97" s="3" t="s">
        <v>720</v>
      </c>
      <c r="E97" s="3" t="s">
        <v>720</v>
      </c>
      <c r="F97" s="1" t="s">
        <v>303</v>
      </c>
      <c r="G97" s="1">
        <v>0</v>
      </c>
      <c r="H97" s="11">
        <v>9.9999999999999996E+27</v>
      </c>
      <c r="I97" s="1">
        <v>1</v>
      </c>
      <c r="J97" s="1">
        <v>0</v>
      </c>
    </row>
    <row r="98" spans="1:10" ht="57" x14ac:dyDescent="0.2">
      <c r="A98" s="3" t="s">
        <v>721</v>
      </c>
      <c r="B98" s="3" t="s">
        <v>722</v>
      </c>
      <c r="C98" s="3" t="s">
        <v>8</v>
      </c>
      <c r="D98" s="3" t="s">
        <v>723</v>
      </c>
      <c r="E98" s="3" t="s">
        <v>723</v>
      </c>
      <c r="F98" s="1" t="s">
        <v>20</v>
      </c>
      <c r="G98" s="1">
        <v>0</v>
      </c>
      <c r="H98" s="11">
        <v>9.9999999999999995E+33</v>
      </c>
      <c r="I98" s="1">
        <v>1</v>
      </c>
      <c r="J98" s="1">
        <v>0</v>
      </c>
    </row>
    <row r="99" spans="1:10" ht="28.5" x14ac:dyDescent="0.2">
      <c r="A99" s="3" t="s">
        <v>724</v>
      </c>
      <c r="B99" s="3" t="s">
        <v>308</v>
      </c>
      <c r="C99" s="3" t="s">
        <v>8</v>
      </c>
      <c r="D99" s="3" t="s">
        <v>725</v>
      </c>
      <c r="E99" s="3"/>
      <c r="F99" s="1" t="s">
        <v>309</v>
      </c>
      <c r="G99" s="1">
        <v>0</v>
      </c>
      <c r="H99" s="1">
        <v>6.0229999999999998E-5</v>
      </c>
      <c r="I99" s="1">
        <v>1</v>
      </c>
      <c r="J99" s="1">
        <v>0</v>
      </c>
    </row>
    <row r="100" spans="1:10" x14ac:dyDescent="0.2">
      <c r="A100" s="46" t="s">
        <v>726</v>
      </c>
      <c r="B100" s="4" t="s">
        <v>414</v>
      </c>
      <c r="C100" s="46" t="s">
        <v>8</v>
      </c>
      <c r="D100" s="46" t="s">
        <v>726</v>
      </c>
      <c r="E100" s="46" t="s">
        <v>726</v>
      </c>
      <c r="F100" s="58" t="s">
        <v>416</v>
      </c>
      <c r="G100" s="58">
        <v>0</v>
      </c>
      <c r="H100" s="58">
        <v>100000</v>
      </c>
      <c r="I100" s="58">
        <v>1</v>
      </c>
      <c r="J100" s="58">
        <v>0</v>
      </c>
    </row>
    <row r="101" spans="1:10" x14ac:dyDescent="0.2">
      <c r="A101" s="47"/>
      <c r="B101" s="5" t="s">
        <v>415</v>
      </c>
      <c r="C101" s="47"/>
      <c r="D101" s="47"/>
      <c r="E101" s="47"/>
      <c r="F101" s="59"/>
      <c r="G101" s="59"/>
      <c r="H101" s="59"/>
      <c r="I101" s="59"/>
      <c r="J101" s="59"/>
    </row>
    <row r="102" spans="1:10" ht="28.5" x14ac:dyDescent="0.2">
      <c r="A102" s="3" t="s">
        <v>727</v>
      </c>
      <c r="B102" s="3" t="s">
        <v>435</v>
      </c>
      <c r="C102" s="3" t="s">
        <v>8</v>
      </c>
      <c r="D102" s="3" t="s">
        <v>728</v>
      </c>
      <c r="E102" s="3" t="s">
        <v>728</v>
      </c>
      <c r="F102" s="1" t="s">
        <v>436</v>
      </c>
      <c r="G102" s="1">
        <v>0</v>
      </c>
      <c r="H102" s="1">
        <v>100000</v>
      </c>
      <c r="I102" s="1">
        <v>3600</v>
      </c>
      <c r="J102" s="1">
        <v>0</v>
      </c>
    </row>
    <row r="103" spans="1:10" x14ac:dyDescent="0.2">
      <c r="A103" s="46" t="s">
        <v>729</v>
      </c>
      <c r="B103" s="4" t="s">
        <v>389</v>
      </c>
      <c r="C103" s="46" t="s">
        <v>8</v>
      </c>
      <c r="D103" s="46" t="s">
        <v>730</v>
      </c>
      <c r="E103" s="46" t="s">
        <v>730</v>
      </c>
      <c r="F103" s="58" t="s">
        <v>391</v>
      </c>
      <c r="G103" s="58">
        <v>0</v>
      </c>
      <c r="H103" s="58">
        <v>100</v>
      </c>
      <c r="I103" s="58">
        <v>1</v>
      </c>
      <c r="J103" s="58">
        <v>0</v>
      </c>
    </row>
    <row r="104" spans="1:10" x14ac:dyDescent="0.2">
      <c r="A104" s="47"/>
      <c r="B104" s="5" t="s">
        <v>390</v>
      </c>
      <c r="C104" s="47"/>
      <c r="D104" s="47"/>
      <c r="E104" s="47"/>
      <c r="F104" s="59"/>
      <c r="G104" s="59"/>
      <c r="H104" s="59"/>
      <c r="I104" s="59"/>
      <c r="J104" s="59"/>
    </row>
    <row r="105" spans="1:10" x14ac:dyDescent="0.2">
      <c r="A105" s="46" t="s">
        <v>731</v>
      </c>
      <c r="B105" s="4" t="s">
        <v>389</v>
      </c>
      <c r="C105" s="46" t="s">
        <v>8</v>
      </c>
      <c r="D105" s="46" t="s">
        <v>732</v>
      </c>
      <c r="E105" s="46" t="s">
        <v>732</v>
      </c>
      <c r="F105" s="58" t="s">
        <v>391</v>
      </c>
      <c r="G105" s="58">
        <v>0</v>
      </c>
      <c r="H105" s="58">
        <v>100000</v>
      </c>
      <c r="I105" s="58">
        <v>1</v>
      </c>
      <c r="J105" s="58">
        <v>0</v>
      </c>
    </row>
    <row r="106" spans="1:10" x14ac:dyDescent="0.2">
      <c r="A106" s="47"/>
      <c r="B106" s="5" t="s">
        <v>390</v>
      </c>
      <c r="C106" s="47"/>
      <c r="D106" s="47"/>
      <c r="E106" s="47"/>
      <c r="F106" s="59"/>
      <c r="G106" s="59"/>
      <c r="H106" s="59"/>
      <c r="I106" s="59"/>
      <c r="J106" s="59"/>
    </row>
    <row r="107" spans="1:10" ht="28.5" x14ac:dyDescent="0.2">
      <c r="A107" s="3" t="s">
        <v>733</v>
      </c>
      <c r="B107" s="3" t="s">
        <v>438</v>
      </c>
      <c r="C107" s="3" t="s">
        <v>8</v>
      </c>
      <c r="D107" s="3" t="s">
        <v>734</v>
      </c>
      <c r="E107" s="3" t="s">
        <v>734</v>
      </c>
      <c r="F107" s="1" t="s">
        <v>439</v>
      </c>
      <c r="G107" s="1">
        <v>0</v>
      </c>
      <c r="H107" s="1">
        <v>10000000000</v>
      </c>
      <c r="I107" s="1">
        <v>1</v>
      </c>
      <c r="J107" s="1">
        <v>0</v>
      </c>
    </row>
    <row r="108" spans="1:10" ht="71.25" x14ac:dyDescent="0.2">
      <c r="A108" s="3" t="s">
        <v>735</v>
      </c>
      <c r="B108" s="3" t="s">
        <v>736</v>
      </c>
      <c r="C108" s="3" t="s">
        <v>8</v>
      </c>
      <c r="D108" s="3" t="s">
        <v>737</v>
      </c>
      <c r="E108" s="3" t="s">
        <v>737</v>
      </c>
      <c r="F108" s="1" t="s">
        <v>436</v>
      </c>
      <c r="G108" s="1">
        <v>0</v>
      </c>
      <c r="H108" s="11">
        <v>10000000000000</v>
      </c>
      <c r="I108" s="1">
        <v>1</v>
      </c>
      <c r="J108" s="1">
        <v>0</v>
      </c>
    </row>
    <row r="109" spans="1:10" x14ac:dyDescent="0.2">
      <c r="A109" s="3" t="s">
        <v>738</v>
      </c>
      <c r="B109" s="3" t="s">
        <v>321</v>
      </c>
      <c r="C109" s="3" t="s">
        <v>8</v>
      </c>
      <c r="D109" s="3" t="s">
        <v>739</v>
      </c>
      <c r="E109" s="3" t="s">
        <v>739</v>
      </c>
      <c r="F109" s="1" t="s">
        <v>322</v>
      </c>
      <c r="G109" s="1">
        <v>0</v>
      </c>
      <c r="H109" s="1">
        <v>0.1589873</v>
      </c>
      <c r="I109" s="1">
        <v>1</v>
      </c>
      <c r="J109" s="1">
        <v>0</v>
      </c>
    </row>
    <row r="110" spans="1:10" ht="42.75" x14ac:dyDescent="0.2">
      <c r="A110" s="3" t="s">
        <v>740</v>
      </c>
      <c r="B110" s="3" t="s">
        <v>659</v>
      </c>
      <c r="C110" s="3" t="s">
        <v>8</v>
      </c>
      <c r="D110" s="3" t="s">
        <v>741</v>
      </c>
      <c r="E110" s="3"/>
      <c r="F110" s="1" t="s">
        <v>131</v>
      </c>
      <c r="G110" s="1">
        <v>0</v>
      </c>
      <c r="H110" s="1">
        <v>0.01</v>
      </c>
      <c r="I110" s="1">
        <v>1</v>
      </c>
      <c r="J110" s="1">
        <v>0</v>
      </c>
    </row>
    <row r="111" spans="1:10" ht="28.5" x14ac:dyDescent="0.2">
      <c r="A111" s="3" t="s">
        <v>742</v>
      </c>
      <c r="B111" s="3" t="s">
        <v>743</v>
      </c>
      <c r="C111" s="3" t="s">
        <v>8</v>
      </c>
      <c r="D111" s="3" t="s">
        <v>744</v>
      </c>
      <c r="E111" s="3" t="s">
        <v>744</v>
      </c>
      <c r="F111" s="1" t="s">
        <v>290</v>
      </c>
      <c r="G111" s="1">
        <v>0</v>
      </c>
      <c r="H111" s="1">
        <v>0.1589873</v>
      </c>
      <c r="I111" s="1">
        <v>4046.8789999999999</v>
      </c>
      <c r="J111" s="1">
        <v>0</v>
      </c>
    </row>
    <row r="112" spans="1:10" ht="28.5" x14ac:dyDescent="0.2">
      <c r="A112" s="3" t="s">
        <v>745</v>
      </c>
      <c r="B112" s="3" t="s">
        <v>659</v>
      </c>
      <c r="C112" s="3" t="s">
        <v>8</v>
      </c>
      <c r="D112" s="3" t="s">
        <v>746</v>
      </c>
      <c r="E112" s="3" t="s">
        <v>746</v>
      </c>
      <c r="F112" s="1" t="s">
        <v>131</v>
      </c>
      <c r="G112" s="1">
        <v>0</v>
      </c>
      <c r="H112" s="1">
        <v>0.1589873</v>
      </c>
      <c r="I112" s="1">
        <v>1233.489</v>
      </c>
      <c r="J112" s="1">
        <v>0</v>
      </c>
    </row>
    <row r="113" spans="1:10" ht="28.5" x14ac:dyDescent="0.2">
      <c r="A113" s="3" t="s">
        <v>747</v>
      </c>
      <c r="B113" s="3" t="s">
        <v>659</v>
      </c>
      <c r="C113" s="3" t="s">
        <v>8</v>
      </c>
      <c r="D113" s="3" t="s">
        <v>748</v>
      </c>
      <c r="E113" s="3" t="s">
        <v>748</v>
      </c>
      <c r="F113" s="1" t="s">
        <v>131</v>
      </c>
      <c r="G113" s="1">
        <v>0</v>
      </c>
      <c r="H113" s="1">
        <v>1</v>
      </c>
      <c r="I113" s="1">
        <v>1</v>
      </c>
      <c r="J113" s="1">
        <v>0</v>
      </c>
    </row>
    <row r="114" spans="1:10" ht="42.75" x14ac:dyDescent="0.2">
      <c r="A114" s="3" t="s">
        <v>749</v>
      </c>
      <c r="B114" s="3" t="s">
        <v>340</v>
      </c>
      <c r="C114" s="3" t="s">
        <v>8</v>
      </c>
      <c r="D114" s="3" t="s">
        <v>750</v>
      </c>
      <c r="E114" s="3" t="s">
        <v>750</v>
      </c>
      <c r="F114" s="1" t="s">
        <v>341</v>
      </c>
      <c r="G114" s="1">
        <v>0</v>
      </c>
      <c r="H114" s="1">
        <v>0.1589873</v>
      </c>
      <c r="I114" s="1">
        <v>595707</v>
      </c>
      <c r="J114" s="1">
        <v>0</v>
      </c>
    </row>
    <row r="115" spans="1:10" x14ac:dyDescent="0.2">
      <c r="A115" s="3" t="s">
        <v>751</v>
      </c>
      <c r="B115" s="3" t="s">
        <v>343</v>
      </c>
      <c r="C115" s="3" t="s">
        <v>8</v>
      </c>
      <c r="D115" s="3" t="s">
        <v>752</v>
      </c>
      <c r="E115" s="3" t="s">
        <v>752</v>
      </c>
      <c r="F115" s="1" t="s">
        <v>344</v>
      </c>
      <c r="G115" s="1">
        <v>0</v>
      </c>
      <c r="H115" s="1">
        <v>0.1589873</v>
      </c>
      <c r="I115" s="1">
        <v>86400</v>
      </c>
      <c r="J115" s="1">
        <v>0</v>
      </c>
    </row>
    <row r="116" spans="1:10" ht="42.75" x14ac:dyDescent="0.2">
      <c r="A116" s="3" t="s">
        <v>753</v>
      </c>
      <c r="B116" s="3" t="s">
        <v>754</v>
      </c>
      <c r="C116" s="3" t="s">
        <v>8</v>
      </c>
      <c r="D116" s="3" t="s">
        <v>755</v>
      </c>
      <c r="E116" s="3" t="s">
        <v>755</v>
      </c>
      <c r="F116" s="1" t="s">
        <v>38</v>
      </c>
      <c r="G116" s="1">
        <v>0</v>
      </c>
      <c r="H116" s="1">
        <v>0.1589873</v>
      </c>
      <c r="I116" s="1">
        <v>106573450</v>
      </c>
      <c r="J116" s="1">
        <v>0</v>
      </c>
    </row>
    <row r="117" spans="1:10" x14ac:dyDescent="0.2">
      <c r="A117" s="46" t="s">
        <v>756</v>
      </c>
      <c r="B117" s="46" t="s">
        <v>664</v>
      </c>
      <c r="C117" s="46" t="s">
        <v>8</v>
      </c>
      <c r="D117" s="46" t="s">
        <v>757</v>
      </c>
      <c r="E117" s="4" t="s">
        <v>757</v>
      </c>
      <c r="F117" s="58" t="s">
        <v>319</v>
      </c>
      <c r="G117" s="58">
        <v>0</v>
      </c>
      <c r="H117" s="58">
        <v>0.1589873</v>
      </c>
      <c r="I117" s="58">
        <v>26334.720000000001</v>
      </c>
      <c r="J117" s="58">
        <v>0</v>
      </c>
    </row>
    <row r="118" spans="1:10" x14ac:dyDescent="0.2">
      <c r="A118" s="47"/>
      <c r="B118" s="47"/>
      <c r="C118" s="47"/>
      <c r="D118" s="47"/>
      <c r="E118" s="5" t="s">
        <v>758</v>
      </c>
      <c r="F118" s="59"/>
      <c r="G118" s="59"/>
      <c r="H118" s="59"/>
      <c r="I118" s="59"/>
      <c r="J118" s="59"/>
    </row>
    <row r="119" spans="1:10" ht="57" x14ac:dyDescent="0.2">
      <c r="A119" s="3" t="s">
        <v>759</v>
      </c>
      <c r="B119" s="3" t="s">
        <v>311</v>
      </c>
      <c r="C119" s="3" t="s">
        <v>8</v>
      </c>
      <c r="D119" s="3" t="s">
        <v>760</v>
      </c>
      <c r="E119" s="3" t="s">
        <v>760</v>
      </c>
      <c r="F119" s="1" t="s">
        <v>313</v>
      </c>
      <c r="G119" s="1">
        <v>0</v>
      </c>
      <c r="H119" s="1">
        <v>2.66888418E-10</v>
      </c>
      <c r="I119" s="1">
        <v>0.30480000000000002</v>
      </c>
      <c r="J119" s="1">
        <v>0</v>
      </c>
    </row>
    <row r="120" spans="1:10" x14ac:dyDescent="0.2">
      <c r="A120" s="46" t="s">
        <v>761</v>
      </c>
      <c r="B120" s="46" t="s">
        <v>334</v>
      </c>
      <c r="C120" s="46" t="s">
        <v>8</v>
      </c>
      <c r="D120" s="4" t="s">
        <v>762</v>
      </c>
      <c r="E120" s="46" t="s">
        <v>762</v>
      </c>
      <c r="F120" s="58" t="s">
        <v>335</v>
      </c>
      <c r="G120" s="58">
        <v>0</v>
      </c>
      <c r="H120" s="58">
        <v>2.66888418E-10</v>
      </c>
      <c r="I120" s="58">
        <v>1</v>
      </c>
      <c r="J120" s="58">
        <v>0</v>
      </c>
    </row>
    <row r="121" spans="1:10" ht="28.5" x14ac:dyDescent="0.2">
      <c r="A121" s="47"/>
      <c r="B121" s="47"/>
      <c r="C121" s="47"/>
      <c r="D121" s="5" t="s">
        <v>763</v>
      </c>
      <c r="E121" s="47"/>
      <c r="F121" s="59"/>
      <c r="G121" s="59"/>
      <c r="H121" s="59"/>
      <c r="I121" s="59"/>
      <c r="J121" s="59"/>
    </row>
    <row r="122" spans="1:10" ht="28.5" x14ac:dyDescent="0.2">
      <c r="A122" s="3" t="s">
        <v>764</v>
      </c>
      <c r="B122" s="3" t="s">
        <v>346</v>
      </c>
      <c r="C122" s="3" t="s">
        <v>8</v>
      </c>
      <c r="D122" s="3" t="s">
        <v>765</v>
      </c>
      <c r="E122" s="3" t="s">
        <v>765</v>
      </c>
      <c r="F122" s="1" t="s">
        <v>347</v>
      </c>
      <c r="G122" s="1">
        <v>0</v>
      </c>
      <c r="H122" s="1">
        <v>2.12978E-11</v>
      </c>
      <c r="I122" s="1">
        <v>1</v>
      </c>
      <c r="J122" s="1">
        <v>0</v>
      </c>
    </row>
    <row r="123" spans="1:10" x14ac:dyDescent="0.2">
      <c r="A123" s="3" t="s">
        <v>766</v>
      </c>
      <c r="B123" s="3" t="s">
        <v>767</v>
      </c>
      <c r="C123" s="3" t="s">
        <v>8</v>
      </c>
      <c r="D123" s="3" t="s">
        <v>768</v>
      </c>
      <c r="E123" s="3" t="s">
        <v>768</v>
      </c>
      <c r="F123" s="1" t="s">
        <v>303</v>
      </c>
      <c r="G123" s="1">
        <v>0</v>
      </c>
      <c r="H123" s="1">
        <v>0.1589873</v>
      </c>
      <c r="I123" s="1">
        <v>0.30480000000000002</v>
      </c>
      <c r="J123" s="1">
        <v>0</v>
      </c>
    </row>
    <row r="124" spans="1:10" ht="28.5" x14ac:dyDescent="0.2">
      <c r="A124" s="3" t="s">
        <v>769</v>
      </c>
      <c r="B124" s="3" t="s">
        <v>659</v>
      </c>
      <c r="C124" s="3" t="s">
        <v>8</v>
      </c>
      <c r="D124" s="3" t="s">
        <v>770</v>
      </c>
      <c r="E124" s="3" t="s">
        <v>770</v>
      </c>
      <c r="F124" s="1" t="s">
        <v>131</v>
      </c>
      <c r="G124" s="1">
        <v>0</v>
      </c>
      <c r="H124" s="1">
        <v>0.1589873</v>
      </c>
      <c r="I124" s="1">
        <v>2.8316850000000001E-2</v>
      </c>
      <c r="J124" s="1">
        <v>0</v>
      </c>
    </row>
    <row r="125" spans="1:10" ht="28.5" x14ac:dyDescent="0.2">
      <c r="A125" s="3" t="s">
        <v>771</v>
      </c>
      <c r="B125" s="3" t="s">
        <v>343</v>
      </c>
      <c r="C125" s="3" t="s">
        <v>8</v>
      </c>
      <c r="D125" s="3" t="s">
        <v>772</v>
      </c>
      <c r="E125" s="3" t="s">
        <v>772</v>
      </c>
      <c r="F125" s="1" t="s">
        <v>344</v>
      </c>
      <c r="G125" s="1">
        <v>0</v>
      </c>
      <c r="H125" s="1">
        <v>0.1589873</v>
      </c>
      <c r="I125" s="1">
        <v>3600</v>
      </c>
      <c r="J125" s="1">
        <v>0</v>
      </c>
    </row>
    <row r="126" spans="1:10" ht="28.5" x14ac:dyDescent="0.2">
      <c r="A126" s="3" t="s">
        <v>773</v>
      </c>
      <c r="B126" s="3" t="s">
        <v>346</v>
      </c>
      <c r="C126" s="3" t="s">
        <v>8</v>
      </c>
      <c r="D126" s="3" t="s">
        <v>774</v>
      </c>
      <c r="E126" s="3" t="s">
        <v>774</v>
      </c>
      <c r="F126" s="1" t="s">
        <v>347</v>
      </c>
      <c r="G126" s="1">
        <v>0</v>
      </c>
      <c r="H126" s="1">
        <v>0.1589873</v>
      </c>
      <c r="I126" s="1">
        <v>12960000</v>
      </c>
      <c r="J126" s="1">
        <v>0</v>
      </c>
    </row>
    <row r="127" spans="1:10" ht="28.5" x14ac:dyDescent="0.2">
      <c r="A127" s="3" t="s">
        <v>775</v>
      </c>
      <c r="B127" s="3" t="s">
        <v>767</v>
      </c>
      <c r="C127" s="3" t="s">
        <v>8</v>
      </c>
      <c r="D127" s="3" t="s">
        <v>776</v>
      </c>
      <c r="E127" s="3" t="s">
        <v>776</v>
      </c>
      <c r="F127" s="1" t="s">
        <v>303</v>
      </c>
      <c r="G127" s="1">
        <v>0</v>
      </c>
      <c r="H127" s="1">
        <v>0.1589873</v>
      </c>
      <c r="I127" s="1">
        <v>2.5399999999999999E-2</v>
      </c>
      <c r="J127" s="1">
        <v>0</v>
      </c>
    </row>
    <row r="128" spans="1:10" ht="42.75" x14ac:dyDescent="0.2">
      <c r="A128" s="3" t="s">
        <v>777</v>
      </c>
      <c r="B128" s="3" t="s">
        <v>659</v>
      </c>
      <c r="C128" s="3" t="s">
        <v>8</v>
      </c>
      <c r="D128" s="3" t="s">
        <v>778</v>
      </c>
      <c r="E128" s="3"/>
      <c r="F128" s="1" t="s">
        <v>131</v>
      </c>
      <c r="G128" s="1">
        <v>0</v>
      </c>
      <c r="H128" s="1">
        <v>0.1589873</v>
      </c>
      <c r="I128" s="1">
        <v>28.316849999999999</v>
      </c>
      <c r="J128" s="1">
        <v>0</v>
      </c>
    </row>
    <row r="129" spans="1:10" x14ac:dyDescent="0.2">
      <c r="A129" s="46" t="s">
        <v>779</v>
      </c>
      <c r="B129" s="46" t="s">
        <v>334</v>
      </c>
      <c r="C129" s="46" t="s">
        <v>8</v>
      </c>
      <c r="D129" s="46" t="s">
        <v>780</v>
      </c>
      <c r="E129" s="4" t="s">
        <v>780</v>
      </c>
      <c r="F129" s="58" t="s">
        <v>335</v>
      </c>
      <c r="G129" s="58">
        <v>0</v>
      </c>
      <c r="H129" s="58">
        <v>0.1589873</v>
      </c>
      <c r="I129" s="58">
        <v>86400000</v>
      </c>
      <c r="J129" s="58">
        <v>0</v>
      </c>
    </row>
    <row r="130" spans="1:10" ht="28.5" x14ac:dyDescent="0.2">
      <c r="A130" s="47"/>
      <c r="B130" s="47"/>
      <c r="C130" s="47"/>
      <c r="D130" s="47"/>
      <c r="E130" s="5" t="s">
        <v>781</v>
      </c>
      <c r="F130" s="59"/>
      <c r="G130" s="59"/>
      <c r="H130" s="59"/>
      <c r="I130" s="59"/>
      <c r="J130" s="59"/>
    </row>
    <row r="131" spans="1:10" ht="42.75" x14ac:dyDescent="0.2">
      <c r="A131" s="3" t="s">
        <v>782</v>
      </c>
      <c r="B131" s="3" t="s">
        <v>659</v>
      </c>
      <c r="C131" s="3" t="s">
        <v>8</v>
      </c>
      <c r="D131" s="3" t="s">
        <v>783</v>
      </c>
      <c r="E131" s="3"/>
      <c r="F131" s="1" t="s">
        <v>131</v>
      </c>
      <c r="G131" s="1">
        <v>0</v>
      </c>
      <c r="H131" s="1">
        <v>0.1589873</v>
      </c>
      <c r="I131" s="1">
        <v>28316.85</v>
      </c>
      <c r="J131" s="1">
        <v>0</v>
      </c>
    </row>
    <row r="132" spans="1:10" ht="28.5" x14ac:dyDescent="0.2">
      <c r="A132" s="3" t="s">
        <v>784</v>
      </c>
      <c r="B132" s="3" t="s">
        <v>767</v>
      </c>
      <c r="C132" s="3" t="s">
        <v>8</v>
      </c>
      <c r="D132" s="3" t="s">
        <v>785</v>
      </c>
      <c r="E132" s="3" t="s">
        <v>785</v>
      </c>
      <c r="F132" s="1" t="s">
        <v>303</v>
      </c>
      <c r="G132" s="1">
        <v>0</v>
      </c>
      <c r="H132" s="1">
        <v>0.1589873</v>
      </c>
      <c r="I132" s="1">
        <v>1609.3440000000001</v>
      </c>
      <c r="J132" s="1">
        <v>0</v>
      </c>
    </row>
    <row r="133" spans="1:10" ht="28.5" x14ac:dyDescent="0.2">
      <c r="A133" s="3" t="s">
        <v>786</v>
      </c>
      <c r="B133" s="3" t="s">
        <v>343</v>
      </c>
      <c r="C133" s="3" t="s">
        <v>8</v>
      </c>
      <c r="D133" s="3" t="s">
        <v>787</v>
      </c>
      <c r="E133" s="3" t="s">
        <v>787</v>
      </c>
      <c r="F133" s="1" t="s">
        <v>344</v>
      </c>
      <c r="G133" s="1">
        <v>0</v>
      </c>
      <c r="H133" s="1">
        <v>0.1589873</v>
      </c>
      <c r="I133" s="1">
        <v>60</v>
      </c>
      <c r="J133" s="1">
        <v>0</v>
      </c>
    </row>
    <row r="134" spans="1:10" ht="71.25" x14ac:dyDescent="0.2">
      <c r="A134" s="3" t="s">
        <v>788</v>
      </c>
      <c r="B134" s="3" t="s">
        <v>349</v>
      </c>
      <c r="C134" s="3" t="s">
        <v>8</v>
      </c>
      <c r="D134" s="3" t="s">
        <v>789</v>
      </c>
      <c r="E134" s="3"/>
      <c r="F134" s="1" t="s">
        <v>352</v>
      </c>
      <c r="G134" s="1">
        <v>0</v>
      </c>
      <c r="H134" s="1">
        <v>0.1589873</v>
      </c>
      <c r="I134" s="1">
        <v>28262.357</v>
      </c>
      <c r="J134" s="1">
        <v>0</v>
      </c>
    </row>
    <row r="135" spans="1:10" x14ac:dyDescent="0.2">
      <c r="A135" s="46" t="s">
        <v>790</v>
      </c>
      <c r="B135" s="46" t="s">
        <v>334</v>
      </c>
      <c r="C135" s="46" t="s">
        <v>8</v>
      </c>
      <c r="D135" s="46" t="s">
        <v>791</v>
      </c>
      <c r="E135" s="4" t="s">
        <v>791</v>
      </c>
      <c r="F135" s="58" t="s">
        <v>335</v>
      </c>
      <c r="G135" s="58">
        <v>0</v>
      </c>
      <c r="H135" s="58">
        <v>0.1589873</v>
      </c>
      <c r="I135" s="58">
        <v>595707004.79999995</v>
      </c>
      <c r="J135" s="58">
        <v>0</v>
      </c>
    </row>
    <row r="136" spans="1:10" x14ac:dyDescent="0.2">
      <c r="A136" s="47"/>
      <c r="B136" s="47"/>
      <c r="C136" s="47"/>
      <c r="D136" s="47"/>
      <c r="E136" s="5" t="s">
        <v>792</v>
      </c>
      <c r="F136" s="59"/>
      <c r="G136" s="59"/>
      <c r="H136" s="59"/>
      <c r="I136" s="59"/>
      <c r="J136" s="59"/>
    </row>
    <row r="137" spans="1:10" ht="57" x14ac:dyDescent="0.2">
      <c r="A137" s="3" t="s">
        <v>793</v>
      </c>
      <c r="B137" s="3" t="s">
        <v>349</v>
      </c>
      <c r="C137" s="3" t="s">
        <v>8</v>
      </c>
      <c r="D137" s="3" t="s">
        <v>794</v>
      </c>
      <c r="E137" s="3"/>
      <c r="F137" s="1" t="s">
        <v>352</v>
      </c>
      <c r="G137" s="1">
        <v>0</v>
      </c>
      <c r="H137" s="1">
        <v>1</v>
      </c>
      <c r="I137" s="1">
        <v>1</v>
      </c>
      <c r="J137" s="1">
        <v>0</v>
      </c>
    </row>
    <row r="138" spans="1:10" x14ac:dyDescent="0.2">
      <c r="A138" s="46" t="s">
        <v>795</v>
      </c>
      <c r="B138" s="4" t="s">
        <v>327</v>
      </c>
      <c r="C138" s="46" t="s">
        <v>8</v>
      </c>
      <c r="D138" s="46" t="s">
        <v>796</v>
      </c>
      <c r="E138" s="46" t="s">
        <v>796</v>
      </c>
      <c r="F138" s="58" t="s">
        <v>329</v>
      </c>
      <c r="G138" s="58">
        <v>0</v>
      </c>
      <c r="H138" s="58">
        <v>156.47630000000001</v>
      </c>
      <c r="I138" s="58">
        <v>1</v>
      </c>
      <c r="J138" s="58">
        <v>0</v>
      </c>
    </row>
    <row r="139" spans="1:10" x14ac:dyDescent="0.2">
      <c r="A139" s="47"/>
      <c r="B139" s="5" t="s">
        <v>328</v>
      </c>
      <c r="C139" s="47"/>
      <c r="D139" s="47"/>
      <c r="E139" s="47"/>
      <c r="F139" s="59"/>
      <c r="G139" s="59"/>
      <c r="H139" s="59"/>
      <c r="I139" s="59"/>
      <c r="J139" s="59"/>
    </row>
    <row r="140" spans="1:10" x14ac:dyDescent="0.2">
      <c r="A140" s="46" t="s">
        <v>797</v>
      </c>
      <c r="B140" s="4" t="s">
        <v>327</v>
      </c>
      <c r="C140" s="46" t="s">
        <v>8</v>
      </c>
      <c r="D140" s="46" t="s">
        <v>798</v>
      </c>
      <c r="E140" s="46" t="s">
        <v>798</v>
      </c>
      <c r="F140" s="58" t="s">
        <v>329</v>
      </c>
      <c r="G140" s="58">
        <v>0</v>
      </c>
      <c r="H140" s="58">
        <v>175.2535</v>
      </c>
      <c r="I140" s="58">
        <v>1</v>
      </c>
      <c r="J140" s="58">
        <v>0</v>
      </c>
    </row>
    <row r="141" spans="1:10" x14ac:dyDescent="0.2">
      <c r="A141" s="47"/>
      <c r="B141" s="5" t="s">
        <v>328</v>
      </c>
      <c r="C141" s="47"/>
      <c r="D141" s="47"/>
      <c r="E141" s="47"/>
      <c r="F141" s="59"/>
      <c r="G141" s="59"/>
      <c r="H141" s="59"/>
      <c r="I141" s="59"/>
      <c r="J141" s="59"/>
    </row>
    <row r="142" spans="1:10" ht="28.5" x14ac:dyDescent="0.2">
      <c r="A142" s="3" t="s">
        <v>799</v>
      </c>
      <c r="B142" s="3" t="s">
        <v>321</v>
      </c>
      <c r="C142" s="3" t="s">
        <v>8</v>
      </c>
      <c r="D142" s="3" t="s">
        <v>800</v>
      </c>
      <c r="E142" s="3"/>
      <c r="F142" s="1" t="s">
        <v>322</v>
      </c>
      <c r="G142" s="1">
        <v>0</v>
      </c>
      <c r="H142" s="1">
        <v>28316850</v>
      </c>
      <c r="I142" s="1">
        <v>1</v>
      </c>
      <c r="J142" s="1">
        <v>0</v>
      </c>
    </row>
    <row r="143" spans="1:10" x14ac:dyDescent="0.2">
      <c r="A143" s="3" t="s">
        <v>801</v>
      </c>
      <c r="B143" s="3" t="s">
        <v>87</v>
      </c>
      <c r="C143" s="3" t="s">
        <v>8</v>
      </c>
      <c r="D143" s="3" t="s">
        <v>801</v>
      </c>
      <c r="E143" s="3"/>
      <c r="F143" s="1" t="s">
        <v>86</v>
      </c>
      <c r="G143" s="1">
        <v>0</v>
      </c>
      <c r="H143" s="1">
        <v>1</v>
      </c>
      <c r="I143" s="1">
        <v>8</v>
      </c>
      <c r="J143" s="1">
        <v>0</v>
      </c>
    </row>
    <row r="144" spans="1:10" x14ac:dyDescent="0.2">
      <c r="A144" s="46" t="s">
        <v>802</v>
      </c>
      <c r="B144" s="4" t="s">
        <v>166</v>
      </c>
      <c r="C144" s="46" t="s">
        <v>8</v>
      </c>
      <c r="D144" s="46" t="s">
        <v>803</v>
      </c>
      <c r="E144" s="46" t="s">
        <v>803</v>
      </c>
      <c r="F144" s="58" t="s">
        <v>168</v>
      </c>
      <c r="G144" s="58">
        <v>0</v>
      </c>
      <c r="H144" s="58">
        <v>1055.056</v>
      </c>
      <c r="I144" s="58">
        <v>1</v>
      </c>
      <c r="J144" s="58">
        <v>0</v>
      </c>
    </row>
    <row r="145" spans="1:10" x14ac:dyDescent="0.2">
      <c r="A145" s="47"/>
      <c r="B145" s="5" t="s">
        <v>167</v>
      </c>
      <c r="C145" s="47"/>
      <c r="D145" s="47"/>
      <c r="E145" s="47"/>
      <c r="F145" s="59"/>
      <c r="G145" s="59"/>
      <c r="H145" s="59"/>
      <c r="I145" s="59"/>
      <c r="J145" s="59"/>
    </row>
    <row r="146" spans="1:10" ht="71.25" x14ac:dyDescent="0.2">
      <c r="A146" s="3" t="s">
        <v>804</v>
      </c>
      <c r="B146" s="3" t="s">
        <v>539</v>
      </c>
      <c r="C146" s="3" t="s">
        <v>8</v>
      </c>
      <c r="D146" s="3" t="s">
        <v>805</v>
      </c>
      <c r="E146" s="3" t="s">
        <v>806</v>
      </c>
      <c r="F146" s="1" t="s">
        <v>541</v>
      </c>
      <c r="G146" s="1">
        <v>0</v>
      </c>
      <c r="H146" s="1">
        <v>0.14422789999999999</v>
      </c>
      <c r="I146" s="1">
        <v>1</v>
      </c>
      <c r="J146" s="1">
        <v>0</v>
      </c>
    </row>
    <row r="147" spans="1:10" ht="28.5" x14ac:dyDescent="0.2">
      <c r="A147" s="46" t="s">
        <v>807</v>
      </c>
      <c r="B147" s="46" t="s">
        <v>532</v>
      </c>
      <c r="C147" s="46" t="s">
        <v>8</v>
      </c>
      <c r="D147" s="4" t="s">
        <v>808</v>
      </c>
      <c r="E147" s="46"/>
      <c r="F147" s="58" t="s">
        <v>533</v>
      </c>
      <c r="G147" s="58">
        <v>0</v>
      </c>
      <c r="H147" s="58">
        <v>293071.09999999998</v>
      </c>
      <c r="I147" s="58">
        <v>1</v>
      </c>
      <c r="J147" s="58">
        <v>0</v>
      </c>
    </row>
    <row r="148" spans="1:10" ht="28.5" x14ac:dyDescent="0.2">
      <c r="A148" s="47"/>
      <c r="B148" s="47"/>
      <c r="C148" s="47"/>
      <c r="D148" s="5" t="s">
        <v>763</v>
      </c>
      <c r="E148" s="47"/>
      <c r="F148" s="59"/>
      <c r="G148" s="59"/>
      <c r="H148" s="59"/>
      <c r="I148" s="59"/>
      <c r="J148" s="59"/>
    </row>
    <row r="149" spans="1:10" x14ac:dyDescent="0.2">
      <c r="A149" s="46" t="s">
        <v>809</v>
      </c>
      <c r="B149" s="4" t="s">
        <v>181</v>
      </c>
      <c r="C149" s="46" t="s">
        <v>8</v>
      </c>
      <c r="D149" s="46" t="s">
        <v>810</v>
      </c>
      <c r="E149" s="46" t="s">
        <v>810</v>
      </c>
      <c r="F149" s="58" t="s">
        <v>190</v>
      </c>
      <c r="G149" s="58">
        <v>0</v>
      </c>
      <c r="H149" s="58">
        <v>1055.056</v>
      </c>
      <c r="I149" s="58">
        <v>0.1589873</v>
      </c>
      <c r="J149" s="58">
        <v>0</v>
      </c>
    </row>
    <row r="150" spans="1:10" x14ac:dyDescent="0.2">
      <c r="A150" s="48"/>
      <c r="B150" s="6" t="s">
        <v>182</v>
      </c>
      <c r="C150" s="48"/>
      <c r="D150" s="48"/>
      <c r="E150" s="48"/>
      <c r="F150" s="60"/>
      <c r="G150" s="60"/>
      <c r="H150" s="60"/>
      <c r="I150" s="60"/>
      <c r="J150" s="60"/>
    </row>
    <row r="151" spans="1:10" x14ac:dyDescent="0.2">
      <c r="A151" s="48"/>
      <c r="B151" s="6" t="s">
        <v>183</v>
      </c>
      <c r="C151" s="48"/>
      <c r="D151" s="48"/>
      <c r="E151" s="48"/>
      <c r="F151" s="60"/>
      <c r="G151" s="60"/>
      <c r="H151" s="60"/>
      <c r="I151" s="60"/>
      <c r="J151" s="60"/>
    </row>
    <row r="152" spans="1:10" x14ac:dyDescent="0.2">
      <c r="A152" s="48"/>
      <c r="B152" s="6" t="s">
        <v>184</v>
      </c>
      <c r="C152" s="48"/>
      <c r="D152" s="48"/>
      <c r="E152" s="48"/>
      <c r="F152" s="60"/>
      <c r="G152" s="60"/>
      <c r="H152" s="60"/>
      <c r="I152" s="60"/>
      <c r="J152" s="60"/>
    </row>
    <row r="153" spans="1:10" x14ac:dyDescent="0.2">
      <c r="A153" s="48"/>
      <c r="B153" s="6" t="s">
        <v>185</v>
      </c>
      <c r="C153" s="48"/>
      <c r="D153" s="48"/>
      <c r="E153" s="48"/>
      <c r="F153" s="60"/>
      <c r="G153" s="60"/>
      <c r="H153" s="60"/>
      <c r="I153" s="60"/>
      <c r="J153" s="60"/>
    </row>
    <row r="154" spans="1:10" x14ac:dyDescent="0.2">
      <c r="A154" s="48"/>
      <c r="B154" s="6" t="s">
        <v>186</v>
      </c>
      <c r="C154" s="48"/>
      <c r="D154" s="48"/>
      <c r="E154" s="48"/>
      <c r="F154" s="60"/>
      <c r="G154" s="60"/>
      <c r="H154" s="60"/>
      <c r="I154" s="60"/>
      <c r="J154" s="60"/>
    </row>
    <row r="155" spans="1:10" x14ac:dyDescent="0.2">
      <c r="A155" s="48"/>
      <c r="B155" s="6" t="s">
        <v>187</v>
      </c>
      <c r="C155" s="48"/>
      <c r="D155" s="48"/>
      <c r="E155" s="48"/>
      <c r="F155" s="60"/>
      <c r="G155" s="60"/>
      <c r="H155" s="60"/>
      <c r="I155" s="60"/>
      <c r="J155" s="60"/>
    </row>
    <row r="156" spans="1:10" x14ac:dyDescent="0.2">
      <c r="A156" s="48"/>
      <c r="B156" s="6" t="s">
        <v>188</v>
      </c>
      <c r="C156" s="48"/>
      <c r="D156" s="48"/>
      <c r="E156" s="48"/>
      <c r="F156" s="60"/>
      <c r="G156" s="60"/>
      <c r="H156" s="60"/>
      <c r="I156" s="60"/>
      <c r="J156" s="60"/>
    </row>
    <row r="157" spans="1:10" x14ac:dyDescent="0.2">
      <c r="A157" s="47"/>
      <c r="B157" s="5" t="s">
        <v>189</v>
      </c>
      <c r="C157" s="47"/>
      <c r="D157" s="47"/>
      <c r="E157" s="47"/>
      <c r="F157" s="59"/>
      <c r="G157" s="59"/>
      <c r="H157" s="59"/>
      <c r="I157" s="59"/>
      <c r="J157" s="59"/>
    </row>
    <row r="158" spans="1:10" ht="57" x14ac:dyDescent="0.2">
      <c r="A158" s="3" t="s">
        <v>811</v>
      </c>
      <c r="B158" s="3" t="s">
        <v>586</v>
      </c>
      <c r="C158" s="3" t="s">
        <v>8</v>
      </c>
      <c r="D158" s="3" t="s">
        <v>812</v>
      </c>
      <c r="E158" s="3"/>
      <c r="F158" s="1" t="s">
        <v>131</v>
      </c>
      <c r="G158" s="1">
        <v>0</v>
      </c>
      <c r="H158" s="1">
        <v>3.9301480000000002E-4</v>
      </c>
      <c r="I158" s="1">
        <v>1</v>
      </c>
      <c r="J158" s="1">
        <v>0</v>
      </c>
    </row>
    <row r="159" spans="1:10" x14ac:dyDescent="0.2">
      <c r="A159" s="46" t="s">
        <v>813</v>
      </c>
      <c r="B159" s="4" t="s">
        <v>181</v>
      </c>
      <c r="C159" s="46" t="s">
        <v>8</v>
      </c>
      <c r="D159" s="46" t="s">
        <v>814</v>
      </c>
      <c r="E159" s="46" t="s">
        <v>814</v>
      </c>
      <c r="F159" s="58" t="s">
        <v>190</v>
      </c>
      <c r="G159" s="58">
        <v>0</v>
      </c>
      <c r="H159" s="58">
        <v>37258.949999999997</v>
      </c>
      <c r="I159" s="58">
        <v>1</v>
      </c>
      <c r="J159" s="58">
        <v>0</v>
      </c>
    </row>
    <row r="160" spans="1:10" x14ac:dyDescent="0.2">
      <c r="A160" s="48"/>
      <c r="B160" s="6" t="s">
        <v>182</v>
      </c>
      <c r="C160" s="48"/>
      <c r="D160" s="48"/>
      <c r="E160" s="48"/>
      <c r="F160" s="60"/>
      <c r="G160" s="60"/>
      <c r="H160" s="60"/>
      <c r="I160" s="60"/>
      <c r="J160" s="60"/>
    </row>
    <row r="161" spans="1:10" x14ac:dyDescent="0.2">
      <c r="A161" s="48"/>
      <c r="B161" s="6" t="s">
        <v>183</v>
      </c>
      <c r="C161" s="48"/>
      <c r="D161" s="48"/>
      <c r="E161" s="48"/>
      <c r="F161" s="60"/>
      <c r="G161" s="60"/>
      <c r="H161" s="60"/>
      <c r="I161" s="60"/>
      <c r="J161" s="60"/>
    </row>
    <row r="162" spans="1:10" x14ac:dyDescent="0.2">
      <c r="A162" s="48"/>
      <c r="B162" s="6" t="s">
        <v>184</v>
      </c>
      <c r="C162" s="48"/>
      <c r="D162" s="48"/>
      <c r="E162" s="48"/>
      <c r="F162" s="60"/>
      <c r="G162" s="60"/>
      <c r="H162" s="60"/>
      <c r="I162" s="60"/>
      <c r="J162" s="60"/>
    </row>
    <row r="163" spans="1:10" x14ac:dyDescent="0.2">
      <c r="A163" s="48"/>
      <c r="B163" s="6" t="s">
        <v>185</v>
      </c>
      <c r="C163" s="48"/>
      <c r="D163" s="48"/>
      <c r="E163" s="48"/>
      <c r="F163" s="60"/>
      <c r="G163" s="60"/>
      <c r="H163" s="60"/>
      <c r="I163" s="60"/>
      <c r="J163" s="60"/>
    </row>
    <row r="164" spans="1:10" x14ac:dyDescent="0.2">
      <c r="A164" s="48"/>
      <c r="B164" s="6" t="s">
        <v>186</v>
      </c>
      <c r="C164" s="48"/>
      <c r="D164" s="48"/>
      <c r="E164" s="48"/>
      <c r="F164" s="60"/>
      <c r="G164" s="60"/>
      <c r="H164" s="60"/>
      <c r="I164" s="60"/>
      <c r="J164" s="60"/>
    </row>
    <row r="165" spans="1:10" x14ac:dyDescent="0.2">
      <c r="A165" s="48"/>
      <c r="B165" s="6" t="s">
        <v>187</v>
      </c>
      <c r="C165" s="48"/>
      <c r="D165" s="48"/>
      <c r="E165" s="48"/>
      <c r="F165" s="60"/>
      <c r="G165" s="60"/>
      <c r="H165" s="60"/>
      <c r="I165" s="60"/>
      <c r="J165" s="60"/>
    </row>
    <row r="166" spans="1:10" x14ac:dyDescent="0.2">
      <c r="A166" s="48"/>
      <c r="B166" s="6" t="s">
        <v>188</v>
      </c>
      <c r="C166" s="48"/>
      <c r="D166" s="48"/>
      <c r="E166" s="48"/>
      <c r="F166" s="60"/>
      <c r="G166" s="60"/>
      <c r="H166" s="60"/>
      <c r="I166" s="60"/>
      <c r="J166" s="60"/>
    </row>
    <row r="167" spans="1:10" x14ac:dyDescent="0.2">
      <c r="A167" s="47"/>
      <c r="B167" s="5" t="s">
        <v>189</v>
      </c>
      <c r="C167" s="47"/>
      <c r="D167" s="47"/>
      <c r="E167" s="47"/>
      <c r="F167" s="59"/>
      <c r="G167" s="59"/>
      <c r="H167" s="59"/>
      <c r="I167" s="59"/>
      <c r="J167" s="59"/>
    </row>
    <row r="168" spans="1:10" x14ac:dyDescent="0.2">
      <c r="A168" s="46" t="s">
        <v>815</v>
      </c>
      <c r="B168" s="4" t="s">
        <v>181</v>
      </c>
      <c r="C168" s="46" t="s">
        <v>8</v>
      </c>
      <c r="D168" s="46" t="s">
        <v>816</v>
      </c>
      <c r="E168" s="46" t="s">
        <v>816</v>
      </c>
      <c r="F168" s="58" t="s">
        <v>190</v>
      </c>
      <c r="G168" s="58">
        <v>0</v>
      </c>
      <c r="H168" s="58">
        <v>232080</v>
      </c>
      <c r="I168" s="58">
        <v>1</v>
      </c>
      <c r="J168" s="58">
        <v>0</v>
      </c>
    </row>
    <row r="169" spans="1:10" x14ac:dyDescent="0.2">
      <c r="A169" s="48"/>
      <c r="B169" s="6" t="s">
        <v>182</v>
      </c>
      <c r="C169" s="48"/>
      <c r="D169" s="48"/>
      <c r="E169" s="48"/>
      <c r="F169" s="60"/>
      <c r="G169" s="60"/>
      <c r="H169" s="60"/>
      <c r="I169" s="60"/>
      <c r="J169" s="60"/>
    </row>
    <row r="170" spans="1:10" x14ac:dyDescent="0.2">
      <c r="A170" s="48"/>
      <c r="B170" s="6" t="s">
        <v>183</v>
      </c>
      <c r="C170" s="48"/>
      <c r="D170" s="48"/>
      <c r="E170" s="48"/>
      <c r="F170" s="60"/>
      <c r="G170" s="60"/>
      <c r="H170" s="60"/>
      <c r="I170" s="60"/>
      <c r="J170" s="60"/>
    </row>
    <row r="171" spans="1:10" x14ac:dyDescent="0.2">
      <c r="A171" s="48"/>
      <c r="B171" s="6" t="s">
        <v>184</v>
      </c>
      <c r="C171" s="48"/>
      <c r="D171" s="48"/>
      <c r="E171" s="48"/>
      <c r="F171" s="60"/>
      <c r="G171" s="60"/>
      <c r="H171" s="60"/>
      <c r="I171" s="60"/>
      <c r="J171" s="60"/>
    </row>
    <row r="172" spans="1:10" x14ac:dyDescent="0.2">
      <c r="A172" s="48"/>
      <c r="B172" s="6" t="s">
        <v>185</v>
      </c>
      <c r="C172" s="48"/>
      <c r="D172" s="48"/>
      <c r="E172" s="48"/>
      <c r="F172" s="60"/>
      <c r="G172" s="60"/>
      <c r="H172" s="60"/>
      <c r="I172" s="60"/>
      <c r="J172" s="60"/>
    </row>
    <row r="173" spans="1:10" x14ac:dyDescent="0.2">
      <c r="A173" s="48"/>
      <c r="B173" s="6" t="s">
        <v>186</v>
      </c>
      <c r="C173" s="48"/>
      <c r="D173" s="48"/>
      <c r="E173" s="48"/>
      <c r="F173" s="60"/>
      <c r="G173" s="60"/>
      <c r="H173" s="60"/>
      <c r="I173" s="60"/>
      <c r="J173" s="60"/>
    </row>
    <row r="174" spans="1:10" x14ac:dyDescent="0.2">
      <c r="A174" s="48"/>
      <c r="B174" s="6" t="s">
        <v>187</v>
      </c>
      <c r="C174" s="48"/>
      <c r="D174" s="48"/>
      <c r="E174" s="48"/>
      <c r="F174" s="60"/>
      <c r="G174" s="60"/>
      <c r="H174" s="60"/>
      <c r="I174" s="60"/>
      <c r="J174" s="60"/>
    </row>
    <row r="175" spans="1:10" x14ac:dyDescent="0.2">
      <c r="A175" s="48"/>
      <c r="B175" s="6" t="s">
        <v>188</v>
      </c>
      <c r="C175" s="48"/>
      <c r="D175" s="48"/>
      <c r="E175" s="48"/>
      <c r="F175" s="60"/>
      <c r="G175" s="60"/>
      <c r="H175" s="60"/>
      <c r="I175" s="60"/>
      <c r="J175" s="60"/>
    </row>
    <row r="176" spans="1:10" x14ac:dyDescent="0.2">
      <c r="A176" s="47"/>
      <c r="B176" s="5" t="s">
        <v>189</v>
      </c>
      <c r="C176" s="47"/>
      <c r="D176" s="47"/>
      <c r="E176" s="47"/>
      <c r="F176" s="59"/>
      <c r="G176" s="59"/>
      <c r="H176" s="59"/>
      <c r="I176" s="59"/>
      <c r="J176" s="59"/>
    </row>
    <row r="177" spans="1:10" x14ac:dyDescent="0.2">
      <c r="A177" s="46" t="s">
        <v>817</v>
      </c>
      <c r="B177" s="4" t="s">
        <v>181</v>
      </c>
      <c r="C177" s="46" t="s">
        <v>8</v>
      </c>
      <c r="D177" s="46" t="s">
        <v>818</v>
      </c>
      <c r="E177" s="46" t="s">
        <v>818</v>
      </c>
      <c r="F177" s="58" t="s">
        <v>190</v>
      </c>
      <c r="G177" s="58">
        <v>0</v>
      </c>
      <c r="H177" s="58">
        <v>278716.3</v>
      </c>
      <c r="I177" s="58">
        <v>1</v>
      </c>
      <c r="J177" s="58">
        <v>0</v>
      </c>
    </row>
    <row r="178" spans="1:10" x14ac:dyDescent="0.2">
      <c r="A178" s="48"/>
      <c r="B178" s="6" t="s">
        <v>182</v>
      </c>
      <c r="C178" s="48"/>
      <c r="D178" s="48"/>
      <c r="E178" s="48"/>
      <c r="F178" s="60"/>
      <c r="G178" s="60"/>
      <c r="H178" s="60"/>
      <c r="I178" s="60"/>
      <c r="J178" s="60"/>
    </row>
    <row r="179" spans="1:10" x14ac:dyDescent="0.2">
      <c r="A179" s="48"/>
      <c r="B179" s="6" t="s">
        <v>183</v>
      </c>
      <c r="C179" s="48"/>
      <c r="D179" s="48"/>
      <c r="E179" s="48"/>
      <c r="F179" s="60"/>
      <c r="G179" s="60"/>
      <c r="H179" s="60"/>
      <c r="I179" s="60"/>
      <c r="J179" s="60"/>
    </row>
    <row r="180" spans="1:10" x14ac:dyDescent="0.2">
      <c r="A180" s="48"/>
      <c r="B180" s="6" t="s">
        <v>184</v>
      </c>
      <c r="C180" s="48"/>
      <c r="D180" s="48"/>
      <c r="E180" s="48"/>
      <c r="F180" s="60"/>
      <c r="G180" s="60"/>
      <c r="H180" s="60"/>
      <c r="I180" s="60"/>
      <c r="J180" s="60"/>
    </row>
    <row r="181" spans="1:10" x14ac:dyDescent="0.2">
      <c r="A181" s="48"/>
      <c r="B181" s="6" t="s">
        <v>185</v>
      </c>
      <c r="C181" s="48"/>
      <c r="D181" s="48"/>
      <c r="E181" s="48"/>
      <c r="F181" s="60"/>
      <c r="G181" s="60"/>
      <c r="H181" s="60"/>
      <c r="I181" s="60"/>
      <c r="J181" s="60"/>
    </row>
    <row r="182" spans="1:10" x14ac:dyDescent="0.2">
      <c r="A182" s="48"/>
      <c r="B182" s="6" t="s">
        <v>186</v>
      </c>
      <c r="C182" s="48"/>
      <c r="D182" s="48"/>
      <c r="E182" s="48"/>
      <c r="F182" s="60"/>
      <c r="G182" s="60"/>
      <c r="H182" s="60"/>
      <c r="I182" s="60"/>
      <c r="J182" s="60"/>
    </row>
    <row r="183" spans="1:10" x14ac:dyDescent="0.2">
      <c r="A183" s="48"/>
      <c r="B183" s="6" t="s">
        <v>187</v>
      </c>
      <c r="C183" s="48"/>
      <c r="D183" s="48"/>
      <c r="E183" s="48"/>
      <c r="F183" s="60"/>
      <c r="G183" s="60"/>
      <c r="H183" s="60"/>
      <c r="I183" s="60"/>
      <c r="J183" s="60"/>
    </row>
    <row r="184" spans="1:10" x14ac:dyDescent="0.2">
      <c r="A184" s="48"/>
      <c r="B184" s="6" t="s">
        <v>188</v>
      </c>
      <c r="C184" s="48"/>
      <c r="D184" s="48"/>
      <c r="E184" s="48"/>
      <c r="F184" s="60"/>
      <c r="G184" s="60"/>
      <c r="H184" s="60"/>
      <c r="I184" s="60"/>
      <c r="J184" s="60"/>
    </row>
    <row r="185" spans="1:10" x14ac:dyDescent="0.2">
      <c r="A185" s="47"/>
      <c r="B185" s="5" t="s">
        <v>189</v>
      </c>
      <c r="C185" s="47"/>
      <c r="D185" s="47"/>
      <c r="E185" s="47"/>
      <c r="F185" s="59"/>
      <c r="G185" s="59"/>
      <c r="H185" s="59"/>
      <c r="I185" s="59"/>
      <c r="J185" s="59"/>
    </row>
    <row r="186" spans="1:10" ht="42.75" x14ac:dyDescent="0.2">
      <c r="A186" s="3" t="s">
        <v>819</v>
      </c>
      <c r="B186" s="3" t="s">
        <v>532</v>
      </c>
      <c r="C186" s="3" t="s">
        <v>8</v>
      </c>
      <c r="D186" s="3" t="s">
        <v>820</v>
      </c>
      <c r="E186" s="3" t="s">
        <v>821</v>
      </c>
      <c r="F186" s="1" t="s">
        <v>533</v>
      </c>
      <c r="G186" s="1">
        <v>0</v>
      </c>
      <c r="H186" s="1">
        <v>0.29307109999999997</v>
      </c>
      <c r="I186" s="1">
        <v>1</v>
      </c>
      <c r="J186" s="1">
        <v>0</v>
      </c>
    </row>
    <row r="187" spans="1:10" ht="57" x14ac:dyDescent="0.2">
      <c r="A187" s="3" t="s">
        <v>822</v>
      </c>
      <c r="B187" s="3" t="s">
        <v>540</v>
      </c>
      <c r="C187" s="3" t="s">
        <v>8</v>
      </c>
      <c r="D187" s="3" t="s">
        <v>823</v>
      </c>
      <c r="E187" s="3" t="s">
        <v>824</v>
      </c>
      <c r="F187" s="1" t="s">
        <v>541</v>
      </c>
      <c r="G187" s="1">
        <v>0</v>
      </c>
      <c r="H187" s="1">
        <v>1.7307349999999999</v>
      </c>
      <c r="I187" s="1">
        <v>1</v>
      </c>
      <c r="J187" s="1">
        <v>0</v>
      </c>
    </row>
    <row r="188" spans="1:10" x14ac:dyDescent="0.2">
      <c r="A188" s="46" t="s">
        <v>825</v>
      </c>
      <c r="B188" s="4" t="s">
        <v>543</v>
      </c>
      <c r="C188" s="46" t="s">
        <v>8</v>
      </c>
      <c r="D188" s="46" t="s">
        <v>826</v>
      </c>
      <c r="E188" s="46" t="s">
        <v>827</v>
      </c>
      <c r="F188" s="58" t="s">
        <v>551</v>
      </c>
      <c r="G188" s="58">
        <v>0</v>
      </c>
      <c r="H188" s="58">
        <v>3.1545909999999999</v>
      </c>
      <c r="I188" s="58">
        <v>1</v>
      </c>
      <c r="J188" s="58">
        <v>0</v>
      </c>
    </row>
    <row r="189" spans="1:10" x14ac:dyDescent="0.2">
      <c r="A189" s="48"/>
      <c r="B189" s="6" t="s">
        <v>544</v>
      </c>
      <c r="C189" s="48"/>
      <c r="D189" s="48"/>
      <c r="E189" s="48"/>
      <c r="F189" s="60"/>
      <c r="G189" s="60"/>
      <c r="H189" s="60"/>
      <c r="I189" s="60"/>
      <c r="J189" s="60"/>
    </row>
    <row r="190" spans="1:10" x14ac:dyDescent="0.2">
      <c r="A190" s="48"/>
      <c r="B190" s="6" t="s">
        <v>545</v>
      </c>
      <c r="C190" s="48"/>
      <c r="D190" s="48"/>
      <c r="E190" s="48"/>
      <c r="F190" s="60"/>
      <c r="G190" s="60"/>
      <c r="H190" s="60"/>
      <c r="I190" s="60"/>
      <c r="J190" s="60"/>
    </row>
    <row r="191" spans="1:10" x14ac:dyDescent="0.2">
      <c r="A191" s="48"/>
      <c r="B191" s="6" t="s">
        <v>546</v>
      </c>
      <c r="C191" s="48"/>
      <c r="D191" s="48"/>
      <c r="E191" s="48"/>
      <c r="F191" s="60"/>
      <c r="G191" s="60"/>
      <c r="H191" s="60"/>
      <c r="I191" s="60"/>
      <c r="J191" s="60"/>
    </row>
    <row r="192" spans="1:10" x14ac:dyDescent="0.2">
      <c r="A192" s="48"/>
      <c r="B192" s="6" t="s">
        <v>547</v>
      </c>
      <c r="C192" s="48"/>
      <c r="D192" s="48"/>
      <c r="E192" s="48"/>
      <c r="F192" s="60"/>
      <c r="G192" s="60"/>
      <c r="H192" s="60"/>
      <c r="I192" s="60"/>
      <c r="J192" s="60"/>
    </row>
    <row r="193" spans="1:10" x14ac:dyDescent="0.2">
      <c r="A193" s="48"/>
      <c r="B193" s="6" t="s">
        <v>548</v>
      </c>
      <c r="C193" s="48"/>
      <c r="D193" s="48"/>
      <c r="E193" s="48"/>
      <c r="F193" s="60"/>
      <c r="G193" s="60"/>
      <c r="H193" s="60"/>
      <c r="I193" s="60"/>
      <c r="J193" s="60"/>
    </row>
    <row r="194" spans="1:10" x14ac:dyDescent="0.2">
      <c r="A194" s="48"/>
      <c r="B194" s="6" t="s">
        <v>549</v>
      </c>
      <c r="C194" s="48"/>
      <c r="D194" s="48"/>
      <c r="E194" s="48"/>
      <c r="F194" s="60"/>
      <c r="G194" s="60"/>
      <c r="H194" s="60"/>
      <c r="I194" s="60"/>
      <c r="J194" s="60"/>
    </row>
    <row r="195" spans="1:10" x14ac:dyDescent="0.2">
      <c r="A195" s="47"/>
      <c r="B195" s="5" t="s">
        <v>550</v>
      </c>
      <c r="C195" s="47"/>
      <c r="D195" s="47"/>
      <c r="E195" s="47"/>
      <c r="F195" s="59"/>
      <c r="G195" s="59"/>
      <c r="H195" s="59"/>
      <c r="I195" s="59"/>
      <c r="J195" s="59"/>
    </row>
    <row r="196" spans="1:10" ht="57" x14ac:dyDescent="0.2">
      <c r="A196" s="3" t="s">
        <v>828</v>
      </c>
      <c r="B196" s="3" t="s">
        <v>553</v>
      </c>
      <c r="C196" s="3" t="s">
        <v>8</v>
      </c>
      <c r="D196" s="3" t="s">
        <v>829</v>
      </c>
      <c r="E196" s="3" t="s">
        <v>830</v>
      </c>
      <c r="F196" s="1" t="s">
        <v>554</v>
      </c>
      <c r="G196" s="1">
        <v>0</v>
      </c>
      <c r="H196" s="1">
        <v>5.6782630000000003</v>
      </c>
      <c r="I196" s="1">
        <v>1</v>
      </c>
      <c r="J196" s="1">
        <v>0</v>
      </c>
    </row>
    <row r="197" spans="1:10" ht="57" x14ac:dyDescent="0.2">
      <c r="A197" s="3" t="s">
        <v>831</v>
      </c>
      <c r="B197" s="3" t="s">
        <v>553</v>
      </c>
      <c r="C197" s="3" t="s">
        <v>8</v>
      </c>
      <c r="D197" s="3" t="s">
        <v>832</v>
      </c>
      <c r="E197" s="3" t="s">
        <v>832</v>
      </c>
      <c r="F197" s="1" t="s">
        <v>554</v>
      </c>
      <c r="G197" s="1">
        <v>0</v>
      </c>
      <c r="H197" s="1">
        <v>5.6782630000000003</v>
      </c>
      <c r="I197" s="1">
        <v>1</v>
      </c>
      <c r="J197" s="1">
        <v>0</v>
      </c>
    </row>
    <row r="198" spans="1:10" ht="57" x14ac:dyDescent="0.2">
      <c r="A198" s="3" t="s">
        <v>833</v>
      </c>
      <c r="B198" s="3" t="s">
        <v>559</v>
      </c>
      <c r="C198" s="3" t="s">
        <v>8</v>
      </c>
      <c r="D198" s="3" t="s">
        <v>834</v>
      </c>
      <c r="E198" s="3" t="s">
        <v>835</v>
      </c>
      <c r="F198" s="1" t="s">
        <v>560</v>
      </c>
      <c r="G198" s="1">
        <v>0</v>
      </c>
      <c r="H198" s="1">
        <v>10.34971</v>
      </c>
      <c r="I198" s="1">
        <v>1</v>
      </c>
      <c r="J198" s="1">
        <v>0</v>
      </c>
    </row>
    <row r="199" spans="1:10" ht="57" x14ac:dyDescent="0.2">
      <c r="A199" s="3" t="s">
        <v>836</v>
      </c>
      <c r="B199" s="3" t="s">
        <v>562</v>
      </c>
      <c r="C199" s="3" t="s">
        <v>8</v>
      </c>
      <c r="D199" s="3" t="s">
        <v>837</v>
      </c>
      <c r="E199" s="3" t="s">
        <v>838</v>
      </c>
      <c r="F199" s="1" t="s">
        <v>563</v>
      </c>
      <c r="G199" s="1">
        <v>0</v>
      </c>
      <c r="H199" s="1">
        <v>18.629470000000001</v>
      </c>
      <c r="I199" s="1">
        <v>1</v>
      </c>
      <c r="J199" s="1">
        <v>0</v>
      </c>
    </row>
    <row r="200" spans="1:10" ht="57" x14ac:dyDescent="0.2">
      <c r="A200" s="3" t="s">
        <v>839</v>
      </c>
      <c r="B200" s="3" t="s">
        <v>553</v>
      </c>
      <c r="C200" s="3" t="s">
        <v>8</v>
      </c>
      <c r="D200" s="3" t="s">
        <v>840</v>
      </c>
      <c r="E200" s="3" t="s">
        <v>841</v>
      </c>
      <c r="F200" s="1" t="s">
        <v>554</v>
      </c>
      <c r="G200" s="1">
        <v>0</v>
      </c>
      <c r="H200" s="1">
        <v>0.29307109999999997</v>
      </c>
      <c r="I200" s="1">
        <v>1</v>
      </c>
      <c r="J200" s="1">
        <v>0</v>
      </c>
    </row>
    <row r="201" spans="1:10" ht="57" x14ac:dyDescent="0.2">
      <c r="A201" s="3" t="s">
        <v>842</v>
      </c>
      <c r="B201" s="3" t="s">
        <v>174</v>
      </c>
      <c r="C201" s="3" t="s">
        <v>8</v>
      </c>
      <c r="D201" s="3" t="s">
        <v>843</v>
      </c>
      <c r="E201" s="3" t="s">
        <v>843</v>
      </c>
      <c r="F201" s="1" t="s">
        <v>175</v>
      </c>
      <c r="G201" s="1">
        <v>0</v>
      </c>
      <c r="H201" s="1">
        <v>2326</v>
      </c>
      <c r="I201" s="1">
        <v>1</v>
      </c>
      <c r="J201" s="1">
        <v>0</v>
      </c>
    </row>
    <row r="202" spans="1:10" x14ac:dyDescent="0.2">
      <c r="A202" s="46" t="s">
        <v>844</v>
      </c>
      <c r="B202" s="4" t="s">
        <v>177</v>
      </c>
      <c r="C202" s="46" t="s">
        <v>8</v>
      </c>
      <c r="D202" s="46" t="s">
        <v>845</v>
      </c>
      <c r="E202" s="46" t="s">
        <v>845</v>
      </c>
      <c r="F202" s="58" t="s">
        <v>179</v>
      </c>
      <c r="G202" s="58">
        <v>0</v>
      </c>
      <c r="H202" s="58">
        <v>4186.8</v>
      </c>
      <c r="I202" s="58">
        <v>1</v>
      </c>
      <c r="J202" s="58">
        <v>0</v>
      </c>
    </row>
    <row r="203" spans="1:10" x14ac:dyDescent="0.2">
      <c r="A203" s="47"/>
      <c r="B203" s="5" t="s">
        <v>178</v>
      </c>
      <c r="C203" s="47"/>
      <c r="D203" s="47"/>
      <c r="E203" s="47"/>
      <c r="F203" s="59"/>
      <c r="G203" s="59"/>
      <c r="H203" s="59"/>
      <c r="I203" s="59"/>
      <c r="J203" s="59"/>
    </row>
    <row r="204" spans="1:10" x14ac:dyDescent="0.2">
      <c r="A204" s="46" t="s">
        <v>846</v>
      </c>
      <c r="B204" s="4" t="s">
        <v>177</v>
      </c>
      <c r="C204" s="46" t="s">
        <v>8</v>
      </c>
      <c r="D204" s="46" t="s">
        <v>847</v>
      </c>
      <c r="E204" s="46" t="s">
        <v>847</v>
      </c>
      <c r="F204" s="58" t="s">
        <v>179</v>
      </c>
      <c r="G204" s="58">
        <v>0</v>
      </c>
      <c r="H204" s="58">
        <v>4186.8</v>
      </c>
      <c r="I204" s="58">
        <v>1</v>
      </c>
      <c r="J204" s="58">
        <v>0</v>
      </c>
    </row>
    <row r="205" spans="1:10" x14ac:dyDescent="0.2">
      <c r="A205" s="47"/>
      <c r="B205" s="5" t="s">
        <v>178</v>
      </c>
      <c r="C205" s="47"/>
      <c r="D205" s="47"/>
      <c r="E205" s="47"/>
      <c r="F205" s="59"/>
      <c r="G205" s="59"/>
      <c r="H205" s="59"/>
      <c r="I205" s="59"/>
      <c r="J205" s="59"/>
    </row>
    <row r="206" spans="1:10" ht="57" x14ac:dyDescent="0.2">
      <c r="A206" s="3" t="s">
        <v>848</v>
      </c>
      <c r="B206" s="3" t="s">
        <v>532</v>
      </c>
      <c r="C206" s="3" t="s">
        <v>8</v>
      </c>
      <c r="D206" s="3" t="s">
        <v>849</v>
      </c>
      <c r="E206" s="3" t="s">
        <v>849</v>
      </c>
      <c r="F206" s="1" t="s">
        <v>533</v>
      </c>
      <c r="G206" s="1">
        <v>0</v>
      </c>
      <c r="H206" s="1">
        <v>17.58427</v>
      </c>
      <c r="I206" s="1">
        <v>1</v>
      </c>
      <c r="J206" s="1">
        <v>0</v>
      </c>
    </row>
    <row r="207" spans="1:10" x14ac:dyDescent="0.2">
      <c r="A207" s="46" t="s">
        <v>850</v>
      </c>
      <c r="B207" s="4" t="s">
        <v>192</v>
      </c>
      <c r="C207" s="46" t="s">
        <v>8</v>
      </c>
      <c r="D207" s="46" t="s">
        <v>851</v>
      </c>
      <c r="E207" s="46"/>
      <c r="F207" s="58" t="s">
        <v>195</v>
      </c>
      <c r="G207" s="58">
        <v>0</v>
      </c>
      <c r="H207" s="58">
        <v>2.3260000000000001</v>
      </c>
      <c r="I207" s="58">
        <v>1</v>
      </c>
      <c r="J207" s="58">
        <v>0</v>
      </c>
    </row>
    <row r="208" spans="1:10" x14ac:dyDescent="0.2">
      <c r="A208" s="48"/>
      <c r="B208" s="6" t="s">
        <v>193</v>
      </c>
      <c r="C208" s="48"/>
      <c r="D208" s="48"/>
      <c r="E208" s="48"/>
      <c r="F208" s="60"/>
      <c r="G208" s="60"/>
      <c r="H208" s="60"/>
      <c r="I208" s="60"/>
      <c r="J208" s="60"/>
    </row>
    <row r="209" spans="1:10" x14ac:dyDescent="0.2">
      <c r="A209" s="47"/>
      <c r="B209" s="5" t="s">
        <v>194</v>
      </c>
      <c r="C209" s="47"/>
      <c r="D209" s="47"/>
      <c r="E209" s="47"/>
      <c r="F209" s="59"/>
      <c r="G209" s="59"/>
      <c r="H209" s="59"/>
      <c r="I209" s="59"/>
      <c r="J209" s="59"/>
    </row>
    <row r="210" spans="1:10" ht="28.5" x14ac:dyDescent="0.2">
      <c r="A210" s="46" t="s">
        <v>850</v>
      </c>
      <c r="B210" s="4" t="s">
        <v>192</v>
      </c>
      <c r="C210" s="46" t="s">
        <v>8</v>
      </c>
      <c r="D210" s="4" t="s">
        <v>852</v>
      </c>
      <c r="E210" s="46"/>
      <c r="F210" s="58" t="s">
        <v>195</v>
      </c>
      <c r="G210" s="58">
        <v>0</v>
      </c>
      <c r="H210" s="58">
        <v>2326</v>
      </c>
      <c r="I210" s="58">
        <v>1</v>
      </c>
      <c r="J210" s="58">
        <v>0</v>
      </c>
    </row>
    <row r="211" spans="1:10" ht="28.5" x14ac:dyDescent="0.2">
      <c r="A211" s="48"/>
      <c r="B211" s="6" t="s">
        <v>193</v>
      </c>
      <c r="C211" s="48"/>
      <c r="D211" s="6" t="s">
        <v>763</v>
      </c>
      <c r="E211" s="48"/>
      <c r="F211" s="60"/>
      <c r="G211" s="60"/>
      <c r="H211" s="60"/>
      <c r="I211" s="60"/>
      <c r="J211" s="60"/>
    </row>
    <row r="212" spans="1:10" x14ac:dyDescent="0.2">
      <c r="A212" s="47"/>
      <c r="B212" s="5" t="s">
        <v>194</v>
      </c>
      <c r="C212" s="47"/>
      <c r="D212" s="5"/>
      <c r="E212" s="47"/>
      <c r="F212" s="59"/>
      <c r="G212" s="59"/>
      <c r="H212" s="59"/>
      <c r="I212" s="59"/>
      <c r="J212" s="59"/>
    </row>
    <row r="213" spans="1:10" x14ac:dyDescent="0.2">
      <c r="A213" s="46" t="s">
        <v>853</v>
      </c>
      <c r="B213" s="4" t="s">
        <v>197</v>
      </c>
      <c r="C213" s="46" t="s">
        <v>8</v>
      </c>
      <c r="D213" s="46" t="s">
        <v>854</v>
      </c>
      <c r="E213" s="46"/>
      <c r="F213" s="58" t="s">
        <v>200</v>
      </c>
      <c r="G213" s="58">
        <v>0</v>
      </c>
      <c r="H213" s="58">
        <v>4.1867999999999999</v>
      </c>
      <c r="I213" s="58">
        <v>1</v>
      </c>
      <c r="J213" s="58">
        <v>0</v>
      </c>
    </row>
    <row r="214" spans="1:10" x14ac:dyDescent="0.2">
      <c r="A214" s="48"/>
      <c r="B214" s="6" t="s">
        <v>198</v>
      </c>
      <c r="C214" s="48"/>
      <c r="D214" s="48"/>
      <c r="E214" s="48"/>
      <c r="F214" s="60"/>
      <c r="G214" s="60"/>
      <c r="H214" s="60"/>
      <c r="I214" s="60"/>
      <c r="J214" s="60"/>
    </row>
    <row r="215" spans="1:10" x14ac:dyDescent="0.2">
      <c r="A215" s="47"/>
      <c r="B215" s="5" t="s">
        <v>199</v>
      </c>
      <c r="C215" s="47"/>
      <c r="D215" s="47"/>
      <c r="E215" s="47"/>
      <c r="F215" s="59"/>
      <c r="G215" s="59"/>
      <c r="H215" s="59"/>
      <c r="I215" s="59"/>
      <c r="J215" s="59"/>
    </row>
    <row r="216" spans="1:10" ht="28.5" x14ac:dyDescent="0.2">
      <c r="A216" s="46" t="s">
        <v>853</v>
      </c>
      <c r="B216" s="4" t="s">
        <v>197</v>
      </c>
      <c r="C216" s="46" t="s">
        <v>8</v>
      </c>
      <c r="D216" s="4" t="s">
        <v>855</v>
      </c>
      <c r="E216" s="46"/>
      <c r="F216" s="58" t="s">
        <v>200</v>
      </c>
      <c r="G216" s="58">
        <v>0</v>
      </c>
      <c r="H216" s="58">
        <v>4186.8</v>
      </c>
      <c r="I216" s="58">
        <v>1</v>
      </c>
      <c r="J216" s="58">
        <v>0</v>
      </c>
    </row>
    <row r="217" spans="1:10" ht="28.5" x14ac:dyDescent="0.2">
      <c r="A217" s="48"/>
      <c r="B217" s="6" t="s">
        <v>198</v>
      </c>
      <c r="C217" s="48"/>
      <c r="D217" s="6" t="s">
        <v>763</v>
      </c>
      <c r="E217" s="48"/>
      <c r="F217" s="60"/>
      <c r="G217" s="60"/>
      <c r="H217" s="60"/>
      <c r="I217" s="60"/>
      <c r="J217" s="60"/>
    </row>
    <row r="218" spans="1:10" x14ac:dyDescent="0.2">
      <c r="A218" s="47"/>
      <c r="B218" s="5" t="s">
        <v>199</v>
      </c>
      <c r="C218" s="47"/>
      <c r="D218" s="5"/>
      <c r="E218" s="47"/>
      <c r="F218" s="59"/>
      <c r="G218" s="59"/>
      <c r="H218" s="59"/>
      <c r="I218" s="59"/>
      <c r="J218" s="59"/>
    </row>
    <row r="219" spans="1:10" ht="57" x14ac:dyDescent="0.2">
      <c r="A219" s="3" t="s">
        <v>856</v>
      </c>
      <c r="B219" s="3" t="s">
        <v>532</v>
      </c>
      <c r="C219" s="3" t="s">
        <v>8</v>
      </c>
      <c r="D219" s="3" t="s">
        <v>857</v>
      </c>
      <c r="E219" s="3" t="s">
        <v>857</v>
      </c>
      <c r="F219" s="1" t="s">
        <v>533</v>
      </c>
      <c r="G219" s="1">
        <v>0</v>
      </c>
      <c r="H219" s="1">
        <v>1055.056</v>
      </c>
      <c r="I219" s="1">
        <v>1</v>
      </c>
      <c r="J219" s="1">
        <v>0</v>
      </c>
    </row>
    <row r="220" spans="1:10" x14ac:dyDescent="0.2">
      <c r="A220" s="46" t="s">
        <v>858</v>
      </c>
      <c r="B220" s="4" t="s">
        <v>543</v>
      </c>
      <c r="C220" s="46" t="s">
        <v>8</v>
      </c>
      <c r="D220" s="46" t="s">
        <v>859</v>
      </c>
      <c r="E220" s="46" t="s">
        <v>859</v>
      </c>
      <c r="F220" s="58" t="s">
        <v>551</v>
      </c>
      <c r="G220" s="58">
        <v>0</v>
      </c>
      <c r="H220" s="58">
        <v>11356.53</v>
      </c>
      <c r="I220" s="58">
        <v>1</v>
      </c>
      <c r="J220" s="58">
        <v>0</v>
      </c>
    </row>
    <row r="221" spans="1:10" x14ac:dyDescent="0.2">
      <c r="A221" s="48"/>
      <c r="B221" s="6" t="s">
        <v>544</v>
      </c>
      <c r="C221" s="48"/>
      <c r="D221" s="48"/>
      <c r="E221" s="48"/>
      <c r="F221" s="60"/>
      <c r="G221" s="60"/>
      <c r="H221" s="60"/>
      <c r="I221" s="60"/>
      <c r="J221" s="60"/>
    </row>
    <row r="222" spans="1:10" x14ac:dyDescent="0.2">
      <c r="A222" s="48"/>
      <c r="B222" s="6" t="s">
        <v>545</v>
      </c>
      <c r="C222" s="48"/>
      <c r="D222" s="48"/>
      <c r="E222" s="48"/>
      <c r="F222" s="60"/>
      <c r="G222" s="60"/>
      <c r="H222" s="60"/>
      <c r="I222" s="60"/>
      <c r="J222" s="60"/>
    </row>
    <row r="223" spans="1:10" x14ac:dyDescent="0.2">
      <c r="A223" s="48"/>
      <c r="B223" s="6" t="s">
        <v>546</v>
      </c>
      <c r="C223" s="48"/>
      <c r="D223" s="48"/>
      <c r="E223" s="48"/>
      <c r="F223" s="60"/>
      <c r="G223" s="60"/>
      <c r="H223" s="60"/>
      <c r="I223" s="60"/>
      <c r="J223" s="60"/>
    </row>
    <row r="224" spans="1:10" x14ac:dyDescent="0.2">
      <c r="A224" s="48"/>
      <c r="B224" s="6" t="s">
        <v>547</v>
      </c>
      <c r="C224" s="48"/>
      <c r="D224" s="48"/>
      <c r="E224" s="48"/>
      <c r="F224" s="60"/>
      <c r="G224" s="60"/>
      <c r="H224" s="60"/>
      <c r="I224" s="60"/>
      <c r="J224" s="60"/>
    </row>
    <row r="225" spans="1:10" x14ac:dyDescent="0.2">
      <c r="A225" s="48"/>
      <c r="B225" s="6" t="s">
        <v>548</v>
      </c>
      <c r="C225" s="48"/>
      <c r="D225" s="48"/>
      <c r="E225" s="48"/>
      <c r="F225" s="60"/>
      <c r="G225" s="60"/>
      <c r="H225" s="60"/>
      <c r="I225" s="60"/>
      <c r="J225" s="60"/>
    </row>
    <row r="226" spans="1:10" x14ac:dyDescent="0.2">
      <c r="A226" s="48"/>
      <c r="B226" s="6" t="s">
        <v>549</v>
      </c>
      <c r="C226" s="48"/>
      <c r="D226" s="48"/>
      <c r="E226" s="48"/>
      <c r="F226" s="60"/>
      <c r="G226" s="60"/>
      <c r="H226" s="60"/>
      <c r="I226" s="60"/>
      <c r="J226" s="60"/>
    </row>
    <row r="227" spans="1:10" x14ac:dyDescent="0.2">
      <c r="A227" s="47"/>
      <c r="B227" s="5" t="s">
        <v>550</v>
      </c>
      <c r="C227" s="47"/>
      <c r="D227" s="47"/>
      <c r="E227" s="47"/>
      <c r="F227" s="59"/>
      <c r="G227" s="59"/>
      <c r="H227" s="59"/>
      <c r="I227" s="59"/>
      <c r="J227" s="59"/>
    </row>
    <row r="228" spans="1:10" ht="57" x14ac:dyDescent="0.2">
      <c r="A228" s="3" t="s">
        <v>860</v>
      </c>
      <c r="B228" s="3" t="s">
        <v>553</v>
      </c>
      <c r="C228" s="3" t="s">
        <v>8</v>
      </c>
      <c r="D228" s="3" t="s">
        <v>861</v>
      </c>
      <c r="E228" s="3" t="s">
        <v>861</v>
      </c>
      <c r="F228" s="1" t="s">
        <v>554</v>
      </c>
      <c r="G228" s="1">
        <v>0</v>
      </c>
      <c r="H228" s="1">
        <v>20441.75</v>
      </c>
      <c r="I228" s="1">
        <v>1</v>
      </c>
      <c r="J228" s="1">
        <v>0</v>
      </c>
    </row>
    <row r="229" spans="1:10" ht="42.75" x14ac:dyDescent="0.2">
      <c r="A229" s="3" t="s">
        <v>862</v>
      </c>
      <c r="B229" s="3" t="s">
        <v>559</v>
      </c>
      <c r="C229" s="3" t="s">
        <v>8</v>
      </c>
      <c r="D229" s="3" t="s">
        <v>863</v>
      </c>
      <c r="E229" s="3" t="s">
        <v>863</v>
      </c>
      <c r="F229" s="1" t="s">
        <v>560</v>
      </c>
      <c r="G229" s="1">
        <v>0</v>
      </c>
      <c r="H229" s="1">
        <v>37258.949999999997</v>
      </c>
      <c r="I229" s="1">
        <v>1</v>
      </c>
      <c r="J229" s="1">
        <v>0</v>
      </c>
    </row>
    <row r="230" spans="1:10" ht="57" x14ac:dyDescent="0.2">
      <c r="A230" s="3" t="s">
        <v>864</v>
      </c>
      <c r="B230" s="3" t="s">
        <v>562</v>
      </c>
      <c r="C230" s="3" t="s">
        <v>8</v>
      </c>
      <c r="D230" s="3" t="s">
        <v>865</v>
      </c>
      <c r="E230" s="3" t="s">
        <v>865</v>
      </c>
      <c r="F230" s="1" t="s">
        <v>563</v>
      </c>
      <c r="G230" s="1">
        <v>0</v>
      </c>
      <c r="H230" s="1">
        <v>67066.11</v>
      </c>
      <c r="I230" s="1">
        <v>1</v>
      </c>
      <c r="J230" s="1">
        <v>0</v>
      </c>
    </row>
    <row r="231" spans="1:10" x14ac:dyDescent="0.2">
      <c r="A231" s="3" t="s">
        <v>866</v>
      </c>
      <c r="B231" s="3" t="s">
        <v>443</v>
      </c>
      <c r="C231" s="3" t="s">
        <v>8</v>
      </c>
      <c r="D231" s="3" t="s">
        <v>867</v>
      </c>
      <c r="E231" s="3" t="s">
        <v>867</v>
      </c>
      <c r="F231" s="1" t="s">
        <v>444</v>
      </c>
      <c r="G231" s="1">
        <v>0</v>
      </c>
      <c r="H231" s="1">
        <v>6.2831853070000001</v>
      </c>
      <c r="I231" s="1">
        <v>1</v>
      </c>
      <c r="J231" s="1">
        <v>0</v>
      </c>
    </row>
    <row r="232" spans="1:10" ht="57" x14ac:dyDescent="0.2">
      <c r="A232" s="3" t="s">
        <v>868</v>
      </c>
      <c r="B232" s="3" t="s">
        <v>102</v>
      </c>
      <c r="C232" s="3" t="s">
        <v>8</v>
      </c>
      <c r="D232" s="3" t="s">
        <v>869</v>
      </c>
      <c r="E232" s="3" t="s">
        <v>869</v>
      </c>
      <c r="F232" s="1" t="s">
        <v>103</v>
      </c>
      <c r="G232" s="1">
        <v>0</v>
      </c>
      <c r="H232" s="1">
        <v>1</v>
      </c>
      <c r="I232" s="1">
        <v>1E-4</v>
      </c>
      <c r="J232" s="1">
        <v>0</v>
      </c>
    </row>
    <row r="233" spans="1:10" ht="57" x14ac:dyDescent="0.2">
      <c r="A233" s="3" t="s">
        <v>870</v>
      </c>
      <c r="B233" s="3" t="s">
        <v>105</v>
      </c>
      <c r="C233" s="3" t="s">
        <v>8</v>
      </c>
      <c r="D233" s="3" t="s">
        <v>871</v>
      </c>
      <c r="E233" s="3" t="s">
        <v>871</v>
      </c>
      <c r="F233" s="1" t="s">
        <v>106</v>
      </c>
      <c r="G233" s="1">
        <v>0</v>
      </c>
      <c r="H233" s="1">
        <v>1</v>
      </c>
      <c r="I233" s="1">
        <v>9.9999999999999995E-7</v>
      </c>
      <c r="J233" s="1">
        <v>0</v>
      </c>
    </row>
    <row r="234" spans="1:10" ht="28.5" x14ac:dyDescent="0.2">
      <c r="A234" s="3" t="s">
        <v>872</v>
      </c>
      <c r="B234" s="3" t="s">
        <v>99</v>
      </c>
      <c r="C234" s="3" t="s">
        <v>8</v>
      </c>
      <c r="D234" s="3" t="s">
        <v>873</v>
      </c>
      <c r="E234" s="3" t="s">
        <v>873</v>
      </c>
      <c r="F234" s="1" t="s">
        <v>100</v>
      </c>
      <c r="G234" s="1">
        <v>0</v>
      </c>
      <c r="H234" s="1">
        <v>1000</v>
      </c>
      <c r="I234" s="1">
        <v>1</v>
      </c>
      <c r="J234" s="1">
        <v>0</v>
      </c>
    </row>
    <row r="235" spans="1:10" ht="42.75" x14ac:dyDescent="0.2">
      <c r="A235" s="3" t="s">
        <v>874</v>
      </c>
      <c r="B235" s="3" t="s">
        <v>102</v>
      </c>
      <c r="C235" s="3" t="s">
        <v>8</v>
      </c>
      <c r="D235" s="3" t="s">
        <v>875</v>
      </c>
      <c r="E235" s="3" t="s">
        <v>875</v>
      </c>
      <c r="F235" s="1" t="s">
        <v>103</v>
      </c>
      <c r="G235" s="1">
        <v>0</v>
      </c>
      <c r="H235" s="1">
        <v>1</v>
      </c>
      <c r="I235" s="1">
        <v>9.9999999999999995E-7</v>
      </c>
      <c r="J235" s="1">
        <v>0</v>
      </c>
    </row>
    <row r="236" spans="1:10" ht="42.75" x14ac:dyDescent="0.2">
      <c r="A236" s="3" t="s">
        <v>876</v>
      </c>
      <c r="B236" s="3" t="s">
        <v>105</v>
      </c>
      <c r="C236" s="3" t="s">
        <v>8</v>
      </c>
      <c r="D236" s="3" t="s">
        <v>877</v>
      </c>
      <c r="E236" s="3" t="s">
        <v>877</v>
      </c>
      <c r="F236" s="1" t="s">
        <v>106</v>
      </c>
      <c r="G236" s="1">
        <v>0</v>
      </c>
      <c r="H236" s="1">
        <v>1</v>
      </c>
      <c r="I236" s="1">
        <v>1.0000000000000001E-9</v>
      </c>
      <c r="J236" s="1">
        <v>0</v>
      </c>
    </row>
    <row r="237" spans="1:10" x14ac:dyDescent="0.2">
      <c r="A237" s="46" t="s">
        <v>878</v>
      </c>
      <c r="B237" s="4" t="s">
        <v>453</v>
      </c>
      <c r="C237" s="46" t="s">
        <v>8</v>
      </c>
      <c r="D237" s="46" t="s">
        <v>879</v>
      </c>
      <c r="E237" s="46" t="s">
        <v>879</v>
      </c>
      <c r="F237" s="58" t="s">
        <v>458</v>
      </c>
      <c r="G237" s="58">
        <v>0</v>
      </c>
      <c r="H237" s="58">
        <v>6.2831853070000001</v>
      </c>
      <c r="I237" s="58">
        <v>1</v>
      </c>
      <c r="J237" s="58">
        <v>0</v>
      </c>
    </row>
    <row r="238" spans="1:10" x14ac:dyDescent="0.2">
      <c r="A238" s="48"/>
      <c r="B238" s="6"/>
      <c r="C238" s="48"/>
      <c r="D238" s="48"/>
      <c r="E238" s="48"/>
      <c r="F238" s="60"/>
      <c r="G238" s="60"/>
      <c r="H238" s="60"/>
      <c r="I238" s="60"/>
      <c r="J238" s="60"/>
    </row>
    <row r="239" spans="1:10" x14ac:dyDescent="0.2">
      <c r="A239" s="48"/>
      <c r="B239" s="6" t="s">
        <v>454</v>
      </c>
      <c r="C239" s="48"/>
      <c r="D239" s="48"/>
      <c r="E239" s="48"/>
      <c r="F239" s="60"/>
      <c r="G239" s="60"/>
      <c r="H239" s="60"/>
      <c r="I239" s="60"/>
      <c r="J239" s="60"/>
    </row>
    <row r="240" spans="1:10" x14ac:dyDescent="0.2">
      <c r="A240" s="48"/>
      <c r="B240" s="6" t="s">
        <v>455</v>
      </c>
      <c r="C240" s="48"/>
      <c r="D240" s="48"/>
      <c r="E240" s="48"/>
      <c r="F240" s="60"/>
      <c r="G240" s="60"/>
      <c r="H240" s="60"/>
      <c r="I240" s="60"/>
      <c r="J240" s="60"/>
    </row>
    <row r="241" spans="1:10" x14ac:dyDescent="0.2">
      <c r="A241" s="48"/>
      <c r="B241" s="6" t="s">
        <v>456</v>
      </c>
      <c r="C241" s="48"/>
      <c r="D241" s="48"/>
      <c r="E241" s="48"/>
      <c r="F241" s="60"/>
      <c r="G241" s="60"/>
      <c r="H241" s="60"/>
      <c r="I241" s="60"/>
      <c r="J241" s="60"/>
    </row>
    <row r="242" spans="1:10" x14ac:dyDescent="0.2">
      <c r="A242" s="47"/>
      <c r="B242" s="5" t="s">
        <v>457</v>
      </c>
      <c r="C242" s="47"/>
      <c r="D242" s="47"/>
      <c r="E242" s="47"/>
      <c r="F242" s="59"/>
      <c r="G242" s="59"/>
      <c r="H242" s="59"/>
      <c r="I242" s="59"/>
      <c r="J242" s="59"/>
    </row>
    <row r="243" spans="1:10" x14ac:dyDescent="0.2">
      <c r="A243" s="46" t="s">
        <v>880</v>
      </c>
      <c r="B243" s="4" t="s">
        <v>166</v>
      </c>
      <c r="C243" s="46" t="s">
        <v>8</v>
      </c>
      <c r="D243" s="46" t="s">
        <v>881</v>
      </c>
      <c r="E243" s="46" t="s">
        <v>881</v>
      </c>
      <c r="F243" s="58" t="s">
        <v>168</v>
      </c>
      <c r="G243" s="58">
        <v>0</v>
      </c>
      <c r="H243" s="58">
        <v>4.1840000000000002</v>
      </c>
      <c r="I243" s="58">
        <v>1</v>
      </c>
      <c r="J243" s="58">
        <v>0</v>
      </c>
    </row>
    <row r="244" spans="1:10" x14ac:dyDescent="0.2">
      <c r="A244" s="47"/>
      <c r="B244" s="5" t="s">
        <v>167</v>
      </c>
      <c r="C244" s="47"/>
      <c r="D244" s="47"/>
      <c r="E244" s="47"/>
      <c r="F244" s="59"/>
      <c r="G244" s="59"/>
      <c r="H244" s="59"/>
      <c r="I244" s="59"/>
      <c r="J244" s="59"/>
    </row>
    <row r="245" spans="1:10" x14ac:dyDescent="0.2">
      <c r="A245" s="46" t="s">
        <v>882</v>
      </c>
      <c r="B245" s="4" t="s">
        <v>181</v>
      </c>
      <c r="C245" s="46" t="s">
        <v>8</v>
      </c>
      <c r="D245" s="46" t="s">
        <v>883</v>
      </c>
      <c r="E245" s="46" t="s">
        <v>883</v>
      </c>
      <c r="F245" s="58" t="s">
        <v>190</v>
      </c>
      <c r="G245" s="58">
        <v>0</v>
      </c>
      <c r="H245" s="58">
        <v>4.1840000000000002</v>
      </c>
      <c r="I245" s="58">
        <v>9.9999999999999995E-7</v>
      </c>
      <c r="J245" s="58">
        <v>0</v>
      </c>
    </row>
    <row r="246" spans="1:10" x14ac:dyDescent="0.2">
      <c r="A246" s="48"/>
      <c r="B246" s="6" t="s">
        <v>182</v>
      </c>
      <c r="C246" s="48"/>
      <c r="D246" s="48"/>
      <c r="E246" s="48"/>
      <c r="F246" s="60"/>
      <c r="G246" s="60"/>
      <c r="H246" s="60"/>
      <c r="I246" s="60"/>
      <c r="J246" s="60"/>
    </row>
    <row r="247" spans="1:10" x14ac:dyDescent="0.2">
      <c r="A247" s="48"/>
      <c r="B247" s="6" t="s">
        <v>183</v>
      </c>
      <c r="C247" s="48"/>
      <c r="D247" s="48"/>
      <c r="E247" s="48"/>
      <c r="F247" s="60"/>
      <c r="G247" s="60"/>
      <c r="H247" s="60"/>
      <c r="I247" s="60"/>
      <c r="J247" s="60"/>
    </row>
    <row r="248" spans="1:10" x14ac:dyDescent="0.2">
      <c r="A248" s="48"/>
      <c r="B248" s="6" t="s">
        <v>184</v>
      </c>
      <c r="C248" s="48"/>
      <c r="D248" s="48"/>
      <c r="E248" s="48"/>
      <c r="F248" s="60"/>
      <c r="G248" s="60"/>
      <c r="H248" s="60"/>
      <c r="I248" s="60"/>
      <c r="J248" s="60"/>
    </row>
    <row r="249" spans="1:10" x14ac:dyDescent="0.2">
      <c r="A249" s="48"/>
      <c r="B249" s="6" t="s">
        <v>185</v>
      </c>
      <c r="C249" s="48"/>
      <c r="D249" s="48"/>
      <c r="E249" s="48"/>
      <c r="F249" s="60"/>
      <c r="G249" s="60"/>
      <c r="H249" s="60"/>
      <c r="I249" s="60"/>
      <c r="J249" s="60"/>
    </row>
    <row r="250" spans="1:10" x14ac:dyDescent="0.2">
      <c r="A250" s="48"/>
      <c r="B250" s="6" t="s">
        <v>186</v>
      </c>
      <c r="C250" s="48"/>
      <c r="D250" s="48"/>
      <c r="E250" s="48"/>
      <c r="F250" s="60"/>
      <c r="G250" s="60"/>
      <c r="H250" s="60"/>
      <c r="I250" s="60"/>
      <c r="J250" s="60"/>
    </row>
    <row r="251" spans="1:10" x14ac:dyDescent="0.2">
      <c r="A251" s="48"/>
      <c r="B251" s="6" t="s">
        <v>187</v>
      </c>
      <c r="C251" s="48"/>
      <c r="D251" s="48"/>
      <c r="E251" s="48"/>
      <c r="F251" s="60"/>
      <c r="G251" s="60"/>
      <c r="H251" s="60"/>
      <c r="I251" s="60"/>
      <c r="J251" s="60"/>
    </row>
    <row r="252" spans="1:10" x14ac:dyDescent="0.2">
      <c r="A252" s="48"/>
      <c r="B252" s="6" t="s">
        <v>188</v>
      </c>
      <c r="C252" s="48"/>
      <c r="D252" s="48"/>
      <c r="E252" s="48"/>
      <c r="F252" s="60"/>
      <c r="G252" s="60"/>
      <c r="H252" s="60"/>
      <c r="I252" s="60"/>
      <c r="J252" s="60"/>
    </row>
    <row r="253" spans="1:10" x14ac:dyDescent="0.2">
      <c r="A253" s="47"/>
      <c r="B253" s="5" t="s">
        <v>189</v>
      </c>
      <c r="C253" s="47"/>
      <c r="D253" s="47"/>
      <c r="E253" s="47"/>
      <c r="F253" s="59"/>
      <c r="G253" s="59"/>
      <c r="H253" s="59"/>
      <c r="I253" s="59"/>
      <c r="J253" s="59"/>
    </row>
    <row r="254" spans="1:10" ht="28.5" x14ac:dyDescent="0.2">
      <c r="A254" s="3" t="s">
        <v>884</v>
      </c>
      <c r="B254" s="3" t="s">
        <v>174</v>
      </c>
      <c r="C254" s="3" t="s">
        <v>8</v>
      </c>
      <c r="D254" s="3" t="s">
        <v>885</v>
      </c>
      <c r="E254" s="3" t="s">
        <v>885</v>
      </c>
      <c r="F254" s="1" t="s">
        <v>175</v>
      </c>
      <c r="G254" s="1">
        <v>0</v>
      </c>
      <c r="H254" s="1">
        <v>4184</v>
      </c>
      <c r="I254" s="1">
        <v>1</v>
      </c>
      <c r="J254" s="1">
        <v>0</v>
      </c>
    </row>
    <row r="255" spans="1:10" x14ac:dyDescent="0.2">
      <c r="A255" s="46" t="s">
        <v>886</v>
      </c>
      <c r="B255" s="4" t="s">
        <v>177</v>
      </c>
      <c r="C255" s="46" t="s">
        <v>8</v>
      </c>
      <c r="D255" s="46" t="s">
        <v>887</v>
      </c>
      <c r="E255" s="46" t="s">
        <v>887</v>
      </c>
      <c r="F255" s="58" t="s">
        <v>179</v>
      </c>
      <c r="G255" s="58">
        <v>0</v>
      </c>
      <c r="H255" s="58">
        <v>4184</v>
      </c>
      <c r="I255" s="58">
        <v>1</v>
      </c>
      <c r="J255" s="58">
        <v>0</v>
      </c>
    </row>
    <row r="256" spans="1:10" x14ac:dyDescent="0.2">
      <c r="A256" s="47"/>
      <c r="B256" s="5" t="s">
        <v>178</v>
      </c>
      <c r="C256" s="47"/>
      <c r="D256" s="47"/>
      <c r="E256" s="47"/>
      <c r="F256" s="59"/>
      <c r="G256" s="59"/>
      <c r="H256" s="59"/>
      <c r="I256" s="59"/>
      <c r="J256" s="59"/>
    </row>
    <row r="257" spans="1:10" ht="71.25" x14ac:dyDescent="0.2">
      <c r="A257" s="3" t="s">
        <v>888</v>
      </c>
      <c r="B257" s="3" t="s">
        <v>540</v>
      </c>
      <c r="C257" s="3" t="s">
        <v>8</v>
      </c>
      <c r="D257" s="3" t="s">
        <v>889</v>
      </c>
      <c r="E257" s="3" t="s">
        <v>889</v>
      </c>
      <c r="F257" s="1" t="s">
        <v>541</v>
      </c>
      <c r="G257" s="1">
        <v>0</v>
      </c>
      <c r="H257" s="1">
        <v>0.1162222</v>
      </c>
      <c r="I257" s="1">
        <v>1</v>
      </c>
      <c r="J257" s="1">
        <v>0</v>
      </c>
    </row>
    <row r="258" spans="1:10" x14ac:dyDescent="0.2">
      <c r="A258" s="46" t="s">
        <v>890</v>
      </c>
      <c r="B258" s="4" t="s">
        <v>543</v>
      </c>
      <c r="C258" s="46" t="s">
        <v>8</v>
      </c>
      <c r="D258" s="46" t="s">
        <v>891</v>
      </c>
      <c r="E258" s="46" t="s">
        <v>891</v>
      </c>
      <c r="F258" s="58" t="s">
        <v>551</v>
      </c>
      <c r="G258" s="58">
        <v>0</v>
      </c>
      <c r="H258" s="58">
        <v>11.62222</v>
      </c>
      <c r="I258" s="58">
        <v>1</v>
      </c>
      <c r="J258" s="58">
        <v>0</v>
      </c>
    </row>
    <row r="259" spans="1:10" x14ac:dyDescent="0.2">
      <c r="A259" s="48"/>
      <c r="B259" s="6" t="s">
        <v>544</v>
      </c>
      <c r="C259" s="48"/>
      <c r="D259" s="48"/>
      <c r="E259" s="48"/>
      <c r="F259" s="60"/>
      <c r="G259" s="60"/>
      <c r="H259" s="60"/>
      <c r="I259" s="60"/>
      <c r="J259" s="60"/>
    </row>
    <row r="260" spans="1:10" x14ac:dyDescent="0.2">
      <c r="A260" s="48"/>
      <c r="B260" s="6" t="s">
        <v>545</v>
      </c>
      <c r="C260" s="48"/>
      <c r="D260" s="48"/>
      <c r="E260" s="48"/>
      <c r="F260" s="60"/>
      <c r="G260" s="60"/>
      <c r="H260" s="60"/>
      <c r="I260" s="60"/>
      <c r="J260" s="60"/>
    </row>
    <row r="261" spans="1:10" x14ac:dyDescent="0.2">
      <c r="A261" s="48"/>
      <c r="B261" s="6" t="s">
        <v>546</v>
      </c>
      <c r="C261" s="48"/>
      <c r="D261" s="48"/>
      <c r="E261" s="48"/>
      <c r="F261" s="60"/>
      <c r="G261" s="60"/>
      <c r="H261" s="60"/>
      <c r="I261" s="60"/>
      <c r="J261" s="60"/>
    </row>
    <row r="262" spans="1:10" x14ac:dyDescent="0.2">
      <c r="A262" s="48"/>
      <c r="B262" s="6" t="s">
        <v>547</v>
      </c>
      <c r="C262" s="48"/>
      <c r="D262" s="48"/>
      <c r="E262" s="48"/>
      <c r="F262" s="60"/>
      <c r="G262" s="60"/>
      <c r="H262" s="60"/>
      <c r="I262" s="60"/>
      <c r="J262" s="60"/>
    </row>
    <row r="263" spans="1:10" x14ac:dyDescent="0.2">
      <c r="A263" s="48"/>
      <c r="B263" s="6" t="s">
        <v>548</v>
      </c>
      <c r="C263" s="48"/>
      <c r="D263" s="48"/>
      <c r="E263" s="48"/>
      <c r="F263" s="60"/>
      <c r="G263" s="60"/>
      <c r="H263" s="60"/>
      <c r="I263" s="60"/>
      <c r="J263" s="60"/>
    </row>
    <row r="264" spans="1:10" x14ac:dyDescent="0.2">
      <c r="A264" s="48"/>
      <c r="B264" s="6" t="s">
        <v>549</v>
      </c>
      <c r="C264" s="48"/>
      <c r="D264" s="48"/>
      <c r="E264" s="48"/>
      <c r="F264" s="60"/>
      <c r="G264" s="60"/>
      <c r="H264" s="60"/>
      <c r="I264" s="60"/>
      <c r="J264" s="60"/>
    </row>
    <row r="265" spans="1:10" x14ac:dyDescent="0.2">
      <c r="A265" s="47"/>
      <c r="B265" s="5" t="s">
        <v>550</v>
      </c>
      <c r="C265" s="47"/>
      <c r="D265" s="47"/>
      <c r="E265" s="47"/>
      <c r="F265" s="59"/>
      <c r="G265" s="59"/>
      <c r="H265" s="59"/>
      <c r="I265" s="59"/>
      <c r="J265" s="59"/>
    </row>
    <row r="266" spans="1:10" ht="71.25" x14ac:dyDescent="0.2">
      <c r="A266" s="3" t="s">
        <v>892</v>
      </c>
      <c r="B266" s="3" t="s">
        <v>553</v>
      </c>
      <c r="C266" s="3" t="s">
        <v>8</v>
      </c>
      <c r="D266" s="3" t="s">
        <v>893</v>
      </c>
      <c r="E266" s="3" t="s">
        <v>893</v>
      </c>
      <c r="F266" s="1" t="s">
        <v>554</v>
      </c>
      <c r="G266" s="1">
        <v>0</v>
      </c>
      <c r="H266" s="1">
        <v>11.62222</v>
      </c>
      <c r="I266" s="1">
        <v>1</v>
      </c>
      <c r="J266" s="1">
        <v>0</v>
      </c>
    </row>
    <row r="267" spans="1:10" ht="57" x14ac:dyDescent="0.2">
      <c r="A267" s="3" t="s">
        <v>894</v>
      </c>
      <c r="B267" s="3" t="s">
        <v>559</v>
      </c>
      <c r="C267" s="3" t="s">
        <v>8</v>
      </c>
      <c r="D267" s="3" t="s">
        <v>895</v>
      </c>
      <c r="E267" s="3" t="s">
        <v>895</v>
      </c>
      <c r="F267" s="1" t="s">
        <v>560</v>
      </c>
      <c r="G267" s="1">
        <v>0</v>
      </c>
      <c r="H267" s="1">
        <v>1162.222</v>
      </c>
      <c r="I267" s="1">
        <v>1</v>
      </c>
      <c r="J267" s="1">
        <v>0</v>
      </c>
    </row>
    <row r="268" spans="1:10" ht="28.5" x14ac:dyDescent="0.2">
      <c r="A268" s="3" t="s">
        <v>896</v>
      </c>
      <c r="B268" s="3" t="s">
        <v>174</v>
      </c>
      <c r="C268" s="3" t="s">
        <v>8</v>
      </c>
      <c r="D268" s="3" t="s">
        <v>897</v>
      </c>
      <c r="E268" s="3" t="s">
        <v>897</v>
      </c>
      <c r="F268" s="1" t="s">
        <v>175</v>
      </c>
      <c r="G268" s="1">
        <v>0</v>
      </c>
      <c r="H268" s="1">
        <v>4.1840000000000002</v>
      </c>
      <c r="I268" s="1">
        <v>1</v>
      </c>
      <c r="J268" s="1">
        <v>0</v>
      </c>
    </row>
    <row r="269" spans="1:10" ht="42.75" x14ac:dyDescent="0.2">
      <c r="A269" s="3" t="s">
        <v>898</v>
      </c>
      <c r="B269" s="3" t="s">
        <v>174</v>
      </c>
      <c r="C269" s="3" t="s">
        <v>8</v>
      </c>
      <c r="D269" s="3" t="s">
        <v>899</v>
      </c>
      <c r="E269" s="3" t="s">
        <v>899</v>
      </c>
      <c r="F269" s="1" t="s">
        <v>175</v>
      </c>
      <c r="G269" s="1">
        <v>0</v>
      </c>
      <c r="H269" s="1">
        <v>9.2241409999999995</v>
      </c>
      <c r="I269" s="1">
        <v>1</v>
      </c>
      <c r="J269" s="1">
        <v>0</v>
      </c>
    </row>
    <row r="270" spans="1:10" x14ac:dyDescent="0.2">
      <c r="A270" s="46" t="s">
        <v>900</v>
      </c>
      <c r="B270" s="4" t="s">
        <v>181</v>
      </c>
      <c r="C270" s="46" t="s">
        <v>8</v>
      </c>
      <c r="D270" s="46" t="s">
        <v>901</v>
      </c>
      <c r="E270" s="46" t="s">
        <v>901</v>
      </c>
      <c r="F270" s="58" t="s">
        <v>190</v>
      </c>
      <c r="G270" s="58">
        <v>0</v>
      </c>
      <c r="H270" s="58">
        <v>4184000</v>
      </c>
      <c r="I270" s="58">
        <v>1</v>
      </c>
      <c r="J270" s="58">
        <v>0</v>
      </c>
    </row>
    <row r="271" spans="1:10" x14ac:dyDescent="0.2">
      <c r="A271" s="48"/>
      <c r="B271" s="6" t="s">
        <v>182</v>
      </c>
      <c r="C271" s="48"/>
      <c r="D271" s="48"/>
      <c r="E271" s="48"/>
      <c r="F271" s="60"/>
      <c r="G271" s="60"/>
      <c r="H271" s="60"/>
      <c r="I271" s="60"/>
      <c r="J271" s="60"/>
    </row>
    <row r="272" spans="1:10" x14ac:dyDescent="0.2">
      <c r="A272" s="48"/>
      <c r="B272" s="6" t="s">
        <v>183</v>
      </c>
      <c r="C272" s="48"/>
      <c r="D272" s="48"/>
      <c r="E272" s="48"/>
      <c r="F272" s="60"/>
      <c r="G272" s="60"/>
      <c r="H272" s="60"/>
      <c r="I272" s="60"/>
      <c r="J272" s="60"/>
    </row>
    <row r="273" spans="1:10" x14ac:dyDescent="0.2">
      <c r="A273" s="48"/>
      <c r="B273" s="6" t="s">
        <v>184</v>
      </c>
      <c r="C273" s="48"/>
      <c r="D273" s="48"/>
      <c r="E273" s="48"/>
      <c r="F273" s="60"/>
      <c r="G273" s="60"/>
      <c r="H273" s="60"/>
      <c r="I273" s="60"/>
      <c r="J273" s="60"/>
    </row>
    <row r="274" spans="1:10" x14ac:dyDescent="0.2">
      <c r="A274" s="48"/>
      <c r="B274" s="6" t="s">
        <v>185</v>
      </c>
      <c r="C274" s="48"/>
      <c r="D274" s="48"/>
      <c r="E274" s="48"/>
      <c r="F274" s="60"/>
      <c r="G274" s="60"/>
      <c r="H274" s="60"/>
      <c r="I274" s="60"/>
      <c r="J274" s="60"/>
    </row>
    <row r="275" spans="1:10" x14ac:dyDescent="0.2">
      <c r="A275" s="48"/>
      <c r="B275" s="6" t="s">
        <v>186</v>
      </c>
      <c r="C275" s="48"/>
      <c r="D275" s="48"/>
      <c r="E275" s="48"/>
      <c r="F275" s="60"/>
      <c r="G275" s="60"/>
      <c r="H275" s="60"/>
      <c r="I275" s="60"/>
      <c r="J275" s="60"/>
    </row>
    <row r="276" spans="1:10" x14ac:dyDescent="0.2">
      <c r="A276" s="48"/>
      <c r="B276" s="6" t="s">
        <v>187</v>
      </c>
      <c r="C276" s="48"/>
      <c r="D276" s="48"/>
      <c r="E276" s="48"/>
      <c r="F276" s="60"/>
      <c r="G276" s="60"/>
      <c r="H276" s="60"/>
      <c r="I276" s="60"/>
      <c r="J276" s="60"/>
    </row>
    <row r="277" spans="1:10" x14ac:dyDescent="0.2">
      <c r="A277" s="48"/>
      <c r="B277" s="6" t="s">
        <v>188</v>
      </c>
      <c r="C277" s="48"/>
      <c r="D277" s="48"/>
      <c r="E277" s="48"/>
      <c r="F277" s="60"/>
      <c r="G277" s="60"/>
      <c r="H277" s="60"/>
      <c r="I277" s="60"/>
      <c r="J277" s="60"/>
    </row>
    <row r="278" spans="1:10" x14ac:dyDescent="0.2">
      <c r="A278" s="47"/>
      <c r="B278" s="5" t="s">
        <v>189</v>
      </c>
      <c r="C278" s="47"/>
      <c r="D278" s="47"/>
      <c r="E278" s="47"/>
      <c r="F278" s="59"/>
      <c r="G278" s="59"/>
      <c r="H278" s="59"/>
      <c r="I278" s="59"/>
      <c r="J278" s="59"/>
    </row>
    <row r="279" spans="1:10" x14ac:dyDescent="0.2">
      <c r="A279" s="46" t="s">
        <v>902</v>
      </c>
      <c r="B279" s="4" t="s">
        <v>181</v>
      </c>
      <c r="C279" s="46" t="s">
        <v>8</v>
      </c>
      <c r="D279" s="46" t="s">
        <v>903</v>
      </c>
      <c r="E279" s="46" t="s">
        <v>903</v>
      </c>
      <c r="F279" s="58" t="s">
        <v>190</v>
      </c>
      <c r="G279" s="58">
        <v>0</v>
      </c>
      <c r="H279" s="58">
        <v>4.1840000000000002</v>
      </c>
      <c r="I279" s="58">
        <v>1.0000000000000001E-9</v>
      </c>
      <c r="J279" s="58">
        <v>0</v>
      </c>
    </row>
    <row r="280" spans="1:10" x14ac:dyDescent="0.2">
      <c r="A280" s="48"/>
      <c r="B280" s="6" t="s">
        <v>182</v>
      </c>
      <c r="C280" s="48"/>
      <c r="D280" s="48"/>
      <c r="E280" s="48"/>
      <c r="F280" s="60"/>
      <c r="G280" s="60"/>
      <c r="H280" s="60"/>
      <c r="I280" s="60"/>
      <c r="J280" s="60"/>
    </row>
    <row r="281" spans="1:10" x14ac:dyDescent="0.2">
      <c r="A281" s="48"/>
      <c r="B281" s="6" t="s">
        <v>183</v>
      </c>
      <c r="C281" s="48"/>
      <c r="D281" s="48"/>
      <c r="E281" s="48"/>
      <c r="F281" s="60"/>
      <c r="G281" s="60"/>
      <c r="H281" s="60"/>
      <c r="I281" s="60"/>
      <c r="J281" s="60"/>
    </row>
    <row r="282" spans="1:10" x14ac:dyDescent="0.2">
      <c r="A282" s="48"/>
      <c r="B282" s="6" t="s">
        <v>184</v>
      </c>
      <c r="C282" s="48"/>
      <c r="D282" s="48"/>
      <c r="E282" s="48"/>
      <c r="F282" s="60"/>
      <c r="G282" s="60"/>
      <c r="H282" s="60"/>
      <c r="I282" s="60"/>
      <c r="J282" s="60"/>
    </row>
    <row r="283" spans="1:10" x14ac:dyDescent="0.2">
      <c r="A283" s="48"/>
      <c r="B283" s="6" t="s">
        <v>185</v>
      </c>
      <c r="C283" s="48"/>
      <c r="D283" s="48"/>
      <c r="E283" s="48"/>
      <c r="F283" s="60"/>
      <c r="G283" s="60"/>
      <c r="H283" s="60"/>
      <c r="I283" s="60"/>
      <c r="J283" s="60"/>
    </row>
    <row r="284" spans="1:10" x14ac:dyDescent="0.2">
      <c r="A284" s="48"/>
      <c r="B284" s="6" t="s">
        <v>186</v>
      </c>
      <c r="C284" s="48"/>
      <c r="D284" s="48"/>
      <c r="E284" s="48"/>
      <c r="F284" s="60"/>
      <c r="G284" s="60"/>
      <c r="H284" s="60"/>
      <c r="I284" s="60"/>
      <c r="J284" s="60"/>
    </row>
    <row r="285" spans="1:10" x14ac:dyDescent="0.2">
      <c r="A285" s="48"/>
      <c r="B285" s="6" t="s">
        <v>187</v>
      </c>
      <c r="C285" s="48"/>
      <c r="D285" s="48"/>
      <c r="E285" s="48"/>
      <c r="F285" s="60"/>
      <c r="G285" s="60"/>
      <c r="H285" s="60"/>
      <c r="I285" s="60"/>
      <c r="J285" s="60"/>
    </row>
    <row r="286" spans="1:10" x14ac:dyDescent="0.2">
      <c r="A286" s="48"/>
      <c r="B286" s="6" t="s">
        <v>188</v>
      </c>
      <c r="C286" s="48"/>
      <c r="D286" s="48"/>
      <c r="E286" s="48"/>
      <c r="F286" s="60"/>
      <c r="G286" s="60"/>
      <c r="H286" s="60"/>
      <c r="I286" s="60"/>
      <c r="J286" s="60"/>
    </row>
    <row r="287" spans="1:10" x14ac:dyDescent="0.2">
      <c r="A287" s="47"/>
      <c r="B287" s="5" t="s">
        <v>189</v>
      </c>
      <c r="C287" s="47"/>
      <c r="D287" s="47"/>
      <c r="E287" s="47"/>
      <c r="F287" s="59"/>
      <c r="G287" s="59"/>
      <c r="H287" s="59"/>
      <c r="I287" s="59"/>
      <c r="J287" s="59"/>
    </row>
    <row r="288" spans="1:10" x14ac:dyDescent="0.2">
      <c r="A288" s="46" t="s">
        <v>904</v>
      </c>
      <c r="B288" s="4" t="s">
        <v>197</v>
      </c>
      <c r="C288" s="46" t="s">
        <v>8</v>
      </c>
      <c r="D288" s="46" t="s">
        <v>905</v>
      </c>
      <c r="E288" s="46"/>
      <c r="F288" s="58" t="s">
        <v>200</v>
      </c>
      <c r="G288" s="58">
        <v>0</v>
      </c>
      <c r="H288" s="58">
        <v>4.1840000000000002</v>
      </c>
      <c r="I288" s="58">
        <v>1</v>
      </c>
      <c r="J288" s="58">
        <v>0</v>
      </c>
    </row>
    <row r="289" spans="1:10" x14ac:dyDescent="0.2">
      <c r="A289" s="48"/>
      <c r="B289" s="6" t="s">
        <v>198</v>
      </c>
      <c r="C289" s="48"/>
      <c r="D289" s="48"/>
      <c r="E289" s="48"/>
      <c r="F289" s="60"/>
      <c r="G289" s="60"/>
      <c r="H289" s="60"/>
      <c r="I289" s="60"/>
      <c r="J289" s="60"/>
    </row>
    <row r="290" spans="1:10" x14ac:dyDescent="0.2">
      <c r="A290" s="47"/>
      <c r="B290" s="5" t="s">
        <v>199</v>
      </c>
      <c r="C290" s="47"/>
      <c r="D290" s="47"/>
      <c r="E290" s="47"/>
      <c r="F290" s="59"/>
      <c r="G290" s="59"/>
      <c r="H290" s="59"/>
      <c r="I290" s="59"/>
      <c r="J290" s="59"/>
    </row>
    <row r="291" spans="1:10" ht="28.5" x14ac:dyDescent="0.2">
      <c r="A291" s="46" t="s">
        <v>904</v>
      </c>
      <c r="B291" s="4" t="s">
        <v>197</v>
      </c>
      <c r="C291" s="46" t="s">
        <v>8</v>
      </c>
      <c r="D291" s="4" t="s">
        <v>906</v>
      </c>
      <c r="E291" s="46"/>
      <c r="F291" s="58" t="s">
        <v>200</v>
      </c>
      <c r="G291" s="58">
        <v>0</v>
      </c>
      <c r="H291" s="58">
        <v>4184</v>
      </c>
      <c r="I291" s="58">
        <v>1</v>
      </c>
      <c r="J291" s="58">
        <v>0</v>
      </c>
    </row>
    <row r="292" spans="1:10" ht="28.5" x14ac:dyDescent="0.2">
      <c r="A292" s="48"/>
      <c r="B292" s="6" t="s">
        <v>198</v>
      </c>
      <c r="C292" s="48"/>
      <c r="D292" s="6" t="s">
        <v>763</v>
      </c>
      <c r="E292" s="48"/>
      <c r="F292" s="60"/>
      <c r="G292" s="60"/>
      <c r="H292" s="60"/>
      <c r="I292" s="60"/>
      <c r="J292" s="60"/>
    </row>
    <row r="293" spans="1:10" x14ac:dyDescent="0.2">
      <c r="A293" s="47"/>
      <c r="B293" s="5" t="s">
        <v>199</v>
      </c>
      <c r="C293" s="47"/>
      <c r="D293" s="5"/>
      <c r="E293" s="47"/>
      <c r="F293" s="59"/>
      <c r="G293" s="59"/>
      <c r="H293" s="59"/>
      <c r="I293" s="59"/>
      <c r="J293" s="59"/>
    </row>
    <row r="294" spans="1:10" ht="57" x14ac:dyDescent="0.2">
      <c r="A294" s="3" t="s">
        <v>907</v>
      </c>
      <c r="B294" s="3" t="s">
        <v>540</v>
      </c>
      <c r="C294" s="3" t="s">
        <v>8</v>
      </c>
      <c r="D294" s="3" t="s">
        <v>908</v>
      </c>
      <c r="E294" s="3" t="s">
        <v>908</v>
      </c>
      <c r="F294" s="1" t="s">
        <v>541</v>
      </c>
      <c r="G294" s="1">
        <v>0</v>
      </c>
      <c r="H294" s="1">
        <v>418.4</v>
      </c>
      <c r="I294" s="1">
        <v>1</v>
      </c>
      <c r="J294" s="1">
        <v>0</v>
      </c>
    </row>
    <row r="295" spans="1:10" ht="71.25" x14ac:dyDescent="0.2">
      <c r="A295" s="3" t="s">
        <v>909</v>
      </c>
      <c r="B295" s="3" t="s">
        <v>553</v>
      </c>
      <c r="C295" s="3" t="s">
        <v>8</v>
      </c>
      <c r="D295" s="3" t="s">
        <v>910</v>
      </c>
      <c r="E295" s="3" t="s">
        <v>910</v>
      </c>
      <c r="F295" s="1" t="s">
        <v>554</v>
      </c>
      <c r="G295" s="1">
        <v>0</v>
      </c>
      <c r="H295" s="1">
        <v>41840</v>
      </c>
      <c r="I295" s="1">
        <v>1</v>
      </c>
      <c r="J295" s="1">
        <v>0</v>
      </c>
    </row>
    <row r="296" spans="1:10" ht="71.25" x14ac:dyDescent="0.2">
      <c r="A296" s="3" t="s">
        <v>911</v>
      </c>
      <c r="B296" s="3" t="s">
        <v>559</v>
      </c>
      <c r="C296" s="3" t="s">
        <v>8</v>
      </c>
      <c r="D296" s="3" t="s">
        <v>912</v>
      </c>
      <c r="E296" s="3" t="s">
        <v>912</v>
      </c>
      <c r="F296" s="1" t="s">
        <v>560</v>
      </c>
      <c r="G296" s="1">
        <v>0</v>
      </c>
      <c r="H296" s="1">
        <v>4184000</v>
      </c>
      <c r="I296" s="1">
        <v>1</v>
      </c>
      <c r="J296" s="1">
        <v>0</v>
      </c>
    </row>
    <row r="297" spans="1:10" ht="28.5" x14ac:dyDescent="0.2">
      <c r="A297" s="3" t="s">
        <v>913</v>
      </c>
      <c r="B297" s="3" t="s">
        <v>443</v>
      </c>
      <c r="C297" s="3" t="s">
        <v>8</v>
      </c>
      <c r="D297" s="3" t="s">
        <v>914</v>
      </c>
      <c r="E297" s="3"/>
      <c r="F297" s="1" t="s">
        <v>444</v>
      </c>
      <c r="G297" s="1">
        <v>0</v>
      </c>
      <c r="H297" s="1">
        <v>3.1415926535898002</v>
      </c>
      <c r="I297" s="1">
        <v>2000000</v>
      </c>
      <c r="J297" s="1">
        <v>0</v>
      </c>
    </row>
    <row r="298" spans="1:10" x14ac:dyDescent="0.2">
      <c r="A298" s="46" t="s">
        <v>915</v>
      </c>
      <c r="B298" s="4" t="s">
        <v>125</v>
      </c>
      <c r="C298" s="46" t="s">
        <v>8</v>
      </c>
      <c r="D298" s="46" t="s">
        <v>916</v>
      </c>
      <c r="E298" s="46" t="s">
        <v>588</v>
      </c>
      <c r="F298" s="58" t="s">
        <v>131</v>
      </c>
      <c r="G298" s="58">
        <v>0</v>
      </c>
      <c r="H298" s="58">
        <v>0.01</v>
      </c>
      <c r="I298" s="58">
        <v>1</v>
      </c>
      <c r="J298" s="58">
        <v>0</v>
      </c>
    </row>
    <row r="299" spans="1:10" x14ac:dyDescent="0.2">
      <c r="A299" s="47"/>
      <c r="B299" s="5" t="s">
        <v>130</v>
      </c>
      <c r="C299" s="47"/>
      <c r="D299" s="47"/>
      <c r="E299" s="47"/>
      <c r="F299" s="59"/>
      <c r="G299" s="59"/>
      <c r="H299" s="59"/>
      <c r="I299" s="59"/>
      <c r="J299" s="59"/>
    </row>
    <row r="300" spans="1:10" ht="28.5" x14ac:dyDescent="0.2">
      <c r="A300" s="3" t="s">
        <v>917</v>
      </c>
      <c r="B300" s="3" t="s">
        <v>443</v>
      </c>
      <c r="C300" s="3" t="s">
        <v>8</v>
      </c>
      <c r="D300" s="3" t="s">
        <v>918</v>
      </c>
      <c r="E300" s="3"/>
      <c r="F300" s="1" t="s">
        <v>444</v>
      </c>
      <c r="G300" s="1">
        <v>0</v>
      </c>
      <c r="H300" s="1">
        <v>3.1415926535898002</v>
      </c>
      <c r="I300" s="1">
        <v>20000</v>
      </c>
      <c r="J300" s="1">
        <v>0</v>
      </c>
    </row>
    <row r="301" spans="1:10" x14ac:dyDescent="0.2">
      <c r="A301" s="3" t="s">
        <v>919</v>
      </c>
      <c r="B301" s="3" t="s">
        <v>531</v>
      </c>
      <c r="C301" s="3" t="s">
        <v>8</v>
      </c>
      <c r="D301" s="3" t="s">
        <v>919</v>
      </c>
      <c r="E301" s="3"/>
      <c r="F301" s="1" t="s">
        <v>533</v>
      </c>
      <c r="G301" s="1">
        <v>0</v>
      </c>
      <c r="H301" s="1">
        <v>735.49900000000002</v>
      </c>
      <c r="I301" s="1">
        <v>1</v>
      </c>
      <c r="J301" s="1">
        <v>0</v>
      </c>
    </row>
    <row r="302" spans="1:10" x14ac:dyDescent="0.2">
      <c r="A302" s="46" t="s">
        <v>920</v>
      </c>
      <c r="B302" s="4" t="s">
        <v>166</v>
      </c>
      <c r="C302" s="46" t="s">
        <v>8</v>
      </c>
      <c r="D302" s="46" t="s">
        <v>921</v>
      </c>
      <c r="E302" s="46"/>
      <c r="F302" s="58" t="s">
        <v>168</v>
      </c>
      <c r="G302" s="58">
        <v>0</v>
      </c>
      <c r="H302" s="58">
        <v>2647796</v>
      </c>
      <c r="I302" s="58">
        <v>1</v>
      </c>
      <c r="J302" s="58">
        <v>0</v>
      </c>
    </row>
    <row r="303" spans="1:10" x14ac:dyDescent="0.2">
      <c r="A303" s="47"/>
      <c r="B303" s="5" t="s">
        <v>167</v>
      </c>
      <c r="C303" s="47"/>
      <c r="D303" s="47"/>
      <c r="E303" s="47"/>
      <c r="F303" s="59"/>
      <c r="G303" s="59"/>
      <c r="H303" s="59"/>
      <c r="I303" s="59"/>
      <c r="J303" s="59"/>
    </row>
    <row r="304" spans="1:10" x14ac:dyDescent="0.2">
      <c r="A304" s="46" t="s">
        <v>922</v>
      </c>
      <c r="B304" s="4" t="s">
        <v>277</v>
      </c>
      <c r="C304" s="46" t="s">
        <v>8</v>
      </c>
      <c r="D304" s="46" t="s">
        <v>923</v>
      </c>
      <c r="E304" s="46"/>
      <c r="F304" s="58" t="s">
        <v>290</v>
      </c>
      <c r="G304" s="58">
        <v>0</v>
      </c>
      <c r="H304" s="58">
        <v>20.116782400000002</v>
      </c>
      <c r="I304" s="58">
        <v>1</v>
      </c>
      <c r="J304" s="58">
        <v>0</v>
      </c>
    </row>
    <row r="305" spans="1:10" x14ac:dyDescent="0.2">
      <c r="A305" s="48"/>
      <c r="B305" s="6" t="s">
        <v>278</v>
      </c>
      <c r="C305" s="48"/>
      <c r="D305" s="48"/>
      <c r="E305" s="48"/>
      <c r="F305" s="60"/>
      <c r="G305" s="60"/>
      <c r="H305" s="60"/>
      <c r="I305" s="60"/>
      <c r="J305" s="60"/>
    </row>
    <row r="306" spans="1:10" x14ac:dyDescent="0.2">
      <c r="A306" s="48"/>
      <c r="B306" s="6" t="s">
        <v>279</v>
      </c>
      <c r="C306" s="48"/>
      <c r="D306" s="48"/>
      <c r="E306" s="48"/>
      <c r="F306" s="60"/>
      <c r="G306" s="60"/>
      <c r="H306" s="60"/>
      <c r="I306" s="60"/>
      <c r="J306" s="60"/>
    </row>
    <row r="307" spans="1:10" x14ac:dyDescent="0.2">
      <c r="A307" s="48"/>
      <c r="B307" s="6" t="s">
        <v>281</v>
      </c>
      <c r="C307" s="48"/>
      <c r="D307" s="48"/>
      <c r="E307" s="48"/>
      <c r="F307" s="60"/>
      <c r="G307" s="60"/>
      <c r="H307" s="60"/>
      <c r="I307" s="60"/>
      <c r="J307" s="60"/>
    </row>
    <row r="308" spans="1:10" x14ac:dyDescent="0.2">
      <c r="A308" s="48"/>
      <c r="B308" s="6" t="s">
        <v>282</v>
      </c>
      <c r="C308" s="48"/>
      <c r="D308" s="48"/>
      <c r="E308" s="48"/>
      <c r="F308" s="60"/>
      <c r="G308" s="60"/>
      <c r="H308" s="60"/>
      <c r="I308" s="60"/>
      <c r="J308" s="60"/>
    </row>
    <row r="309" spans="1:10" x14ac:dyDescent="0.2">
      <c r="A309" s="48"/>
      <c r="B309" s="6" t="s">
        <v>284</v>
      </c>
      <c r="C309" s="48"/>
      <c r="D309" s="48"/>
      <c r="E309" s="48"/>
      <c r="F309" s="60"/>
      <c r="G309" s="60"/>
      <c r="H309" s="60"/>
      <c r="I309" s="60"/>
      <c r="J309" s="60"/>
    </row>
    <row r="310" spans="1:10" x14ac:dyDescent="0.2">
      <c r="A310" s="48"/>
      <c r="B310" s="6" t="s">
        <v>285</v>
      </c>
      <c r="C310" s="48"/>
      <c r="D310" s="48"/>
      <c r="E310" s="48"/>
      <c r="F310" s="60"/>
      <c r="G310" s="60"/>
      <c r="H310" s="60"/>
      <c r="I310" s="60"/>
      <c r="J310" s="60"/>
    </row>
    <row r="311" spans="1:10" x14ac:dyDescent="0.2">
      <c r="A311" s="47"/>
      <c r="B311" s="5" t="s">
        <v>287</v>
      </c>
      <c r="C311" s="47"/>
      <c r="D311" s="47"/>
      <c r="E311" s="47"/>
      <c r="F311" s="59"/>
      <c r="G311" s="59"/>
      <c r="H311" s="59"/>
      <c r="I311" s="59"/>
      <c r="J311" s="59"/>
    </row>
    <row r="312" spans="1:10" x14ac:dyDescent="0.2">
      <c r="A312" s="46" t="s">
        <v>924</v>
      </c>
      <c r="B312" s="4" t="s">
        <v>277</v>
      </c>
      <c r="C312" s="46" t="s">
        <v>8</v>
      </c>
      <c r="D312" s="46" t="s">
        <v>925</v>
      </c>
      <c r="E312" s="46"/>
      <c r="F312" s="58" t="s">
        <v>290</v>
      </c>
      <c r="G312" s="58">
        <v>0</v>
      </c>
      <c r="H312" s="58">
        <v>792</v>
      </c>
      <c r="I312" s="58">
        <v>39.370113000000003</v>
      </c>
      <c r="J312" s="58">
        <v>0</v>
      </c>
    </row>
    <row r="313" spans="1:10" x14ac:dyDescent="0.2">
      <c r="A313" s="48"/>
      <c r="B313" s="6" t="s">
        <v>278</v>
      </c>
      <c r="C313" s="48"/>
      <c r="D313" s="48"/>
      <c r="E313" s="48"/>
      <c r="F313" s="60"/>
      <c r="G313" s="60"/>
      <c r="H313" s="60"/>
      <c r="I313" s="60"/>
      <c r="J313" s="60"/>
    </row>
    <row r="314" spans="1:10" x14ac:dyDescent="0.2">
      <c r="A314" s="48"/>
      <c r="B314" s="6" t="s">
        <v>279</v>
      </c>
      <c r="C314" s="48"/>
      <c r="D314" s="48"/>
      <c r="E314" s="48"/>
      <c r="F314" s="60"/>
      <c r="G314" s="60"/>
      <c r="H314" s="60"/>
      <c r="I314" s="60"/>
      <c r="J314" s="60"/>
    </row>
    <row r="315" spans="1:10" x14ac:dyDescent="0.2">
      <c r="A315" s="48"/>
      <c r="B315" s="6" t="s">
        <v>281</v>
      </c>
      <c r="C315" s="48"/>
      <c r="D315" s="48"/>
      <c r="E315" s="48"/>
      <c r="F315" s="60"/>
      <c r="G315" s="60"/>
      <c r="H315" s="60"/>
      <c r="I315" s="60"/>
      <c r="J315" s="60"/>
    </row>
    <row r="316" spans="1:10" x14ac:dyDescent="0.2">
      <c r="A316" s="48"/>
      <c r="B316" s="6" t="s">
        <v>282</v>
      </c>
      <c r="C316" s="48"/>
      <c r="D316" s="48"/>
      <c r="E316" s="48"/>
      <c r="F316" s="60"/>
      <c r="G316" s="60"/>
      <c r="H316" s="60"/>
      <c r="I316" s="60"/>
      <c r="J316" s="60"/>
    </row>
    <row r="317" spans="1:10" x14ac:dyDescent="0.2">
      <c r="A317" s="48"/>
      <c r="B317" s="6" t="s">
        <v>284</v>
      </c>
      <c r="C317" s="48"/>
      <c r="D317" s="48"/>
      <c r="E317" s="48"/>
      <c r="F317" s="60"/>
      <c r="G317" s="60"/>
      <c r="H317" s="60"/>
      <c r="I317" s="60"/>
      <c r="J317" s="60"/>
    </row>
    <row r="318" spans="1:10" x14ac:dyDescent="0.2">
      <c r="A318" s="48"/>
      <c r="B318" s="6" t="s">
        <v>285</v>
      </c>
      <c r="C318" s="48"/>
      <c r="D318" s="48"/>
      <c r="E318" s="48"/>
      <c r="F318" s="60"/>
      <c r="G318" s="60"/>
      <c r="H318" s="60"/>
      <c r="I318" s="60"/>
      <c r="J318" s="60"/>
    </row>
    <row r="319" spans="1:10" x14ac:dyDescent="0.2">
      <c r="A319" s="47"/>
      <c r="B319" s="5" t="s">
        <v>287</v>
      </c>
      <c r="C319" s="47"/>
      <c r="D319" s="47"/>
      <c r="E319" s="47"/>
      <c r="F319" s="59"/>
      <c r="G319" s="59"/>
      <c r="H319" s="59"/>
      <c r="I319" s="59"/>
      <c r="J319" s="59"/>
    </row>
    <row r="320" spans="1:10" x14ac:dyDescent="0.2">
      <c r="A320" s="46" t="s">
        <v>926</v>
      </c>
      <c r="B320" s="4" t="s">
        <v>277</v>
      </c>
      <c r="C320" s="46" t="s">
        <v>8</v>
      </c>
      <c r="D320" s="46" t="s">
        <v>927</v>
      </c>
      <c r="E320" s="46"/>
      <c r="F320" s="58" t="s">
        <v>290</v>
      </c>
      <c r="G320" s="58">
        <v>0</v>
      </c>
      <c r="H320" s="58">
        <v>20.116619490000001</v>
      </c>
      <c r="I320" s="58">
        <v>1</v>
      </c>
      <c r="J320" s="58">
        <v>0</v>
      </c>
    </row>
    <row r="321" spans="1:10" x14ac:dyDescent="0.2">
      <c r="A321" s="48"/>
      <c r="B321" s="6" t="s">
        <v>278</v>
      </c>
      <c r="C321" s="48"/>
      <c r="D321" s="48"/>
      <c r="E321" s="48"/>
      <c r="F321" s="60"/>
      <c r="G321" s="60"/>
      <c r="H321" s="60"/>
      <c r="I321" s="60"/>
      <c r="J321" s="60"/>
    </row>
    <row r="322" spans="1:10" x14ac:dyDescent="0.2">
      <c r="A322" s="48"/>
      <c r="B322" s="6" t="s">
        <v>279</v>
      </c>
      <c r="C322" s="48"/>
      <c r="D322" s="48"/>
      <c r="E322" s="48"/>
      <c r="F322" s="60"/>
      <c r="G322" s="60"/>
      <c r="H322" s="60"/>
      <c r="I322" s="60"/>
      <c r="J322" s="60"/>
    </row>
    <row r="323" spans="1:10" x14ac:dyDescent="0.2">
      <c r="A323" s="48"/>
      <c r="B323" s="6" t="s">
        <v>281</v>
      </c>
      <c r="C323" s="48"/>
      <c r="D323" s="48"/>
      <c r="E323" s="48"/>
      <c r="F323" s="60"/>
      <c r="G323" s="60"/>
      <c r="H323" s="60"/>
      <c r="I323" s="60"/>
      <c r="J323" s="60"/>
    </row>
    <row r="324" spans="1:10" x14ac:dyDescent="0.2">
      <c r="A324" s="48"/>
      <c r="B324" s="6" t="s">
        <v>282</v>
      </c>
      <c r="C324" s="48"/>
      <c r="D324" s="48"/>
      <c r="E324" s="48"/>
      <c r="F324" s="60"/>
      <c r="G324" s="60"/>
      <c r="H324" s="60"/>
      <c r="I324" s="60"/>
      <c r="J324" s="60"/>
    </row>
    <row r="325" spans="1:10" x14ac:dyDescent="0.2">
      <c r="A325" s="48"/>
      <c r="B325" s="6" t="s">
        <v>284</v>
      </c>
      <c r="C325" s="48"/>
      <c r="D325" s="48"/>
      <c r="E325" s="48"/>
      <c r="F325" s="60"/>
      <c r="G325" s="60"/>
      <c r="H325" s="60"/>
      <c r="I325" s="60"/>
      <c r="J325" s="60"/>
    </row>
    <row r="326" spans="1:10" x14ac:dyDescent="0.2">
      <c r="A326" s="48"/>
      <c r="B326" s="6" t="s">
        <v>285</v>
      </c>
      <c r="C326" s="48"/>
      <c r="D326" s="48"/>
      <c r="E326" s="48"/>
      <c r="F326" s="60"/>
      <c r="G326" s="60"/>
      <c r="H326" s="60"/>
      <c r="I326" s="60"/>
      <c r="J326" s="60"/>
    </row>
    <row r="327" spans="1:10" x14ac:dyDescent="0.2">
      <c r="A327" s="47"/>
      <c r="B327" s="5" t="s">
        <v>287</v>
      </c>
      <c r="C327" s="47"/>
      <c r="D327" s="47"/>
      <c r="E327" s="47"/>
      <c r="F327" s="59"/>
      <c r="G327" s="59"/>
      <c r="H327" s="59"/>
      <c r="I327" s="59"/>
      <c r="J327" s="59"/>
    </row>
    <row r="328" spans="1:10" x14ac:dyDescent="0.2">
      <c r="A328" s="46" t="s">
        <v>928</v>
      </c>
      <c r="B328" s="4" t="s">
        <v>277</v>
      </c>
      <c r="C328" s="46" t="s">
        <v>8</v>
      </c>
      <c r="D328" s="46" t="s">
        <v>929</v>
      </c>
      <c r="E328" s="46"/>
      <c r="F328" s="58" t="s">
        <v>290</v>
      </c>
      <c r="G328" s="58">
        <v>0</v>
      </c>
      <c r="H328" s="58">
        <v>792</v>
      </c>
      <c r="I328" s="58">
        <v>39.370147000000003</v>
      </c>
      <c r="J328" s="58">
        <v>0</v>
      </c>
    </row>
    <row r="329" spans="1:10" x14ac:dyDescent="0.2">
      <c r="A329" s="48"/>
      <c r="B329" s="6" t="s">
        <v>278</v>
      </c>
      <c r="C329" s="48"/>
      <c r="D329" s="48"/>
      <c r="E329" s="48"/>
      <c r="F329" s="60"/>
      <c r="G329" s="60"/>
      <c r="H329" s="60"/>
      <c r="I329" s="60"/>
      <c r="J329" s="60"/>
    </row>
    <row r="330" spans="1:10" x14ac:dyDescent="0.2">
      <c r="A330" s="48"/>
      <c r="B330" s="6" t="s">
        <v>279</v>
      </c>
      <c r="C330" s="48"/>
      <c r="D330" s="48"/>
      <c r="E330" s="48"/>
      <c r="F330" s="60"/>
      <c r="G330" s="60"/>
      <c r="H330" s="60"/>
      <c r="I330" s="60"/>
      <c r="J330" s="60"/>
    </row>
    <row r="331" spans="1:10" x14ac:dyDescent="0.2">
      <c r="A331" s="48"/>
      <c r="B331" s="6" t="s">
        <v>281</v>
      </c>
      <c r="C331" s="48"/>
      <c r="D331" s="48"/>
      <c r="E331" s="48"/>
      <c r="F331" s="60"/>
      <c r="G331" s="60"/>
      <c r="H331" s="60"/>
      <c r="I331" s="60"/>
      <c r="J331" s="60"/>
    </row>
    <row r="332" spans="1:10" x14ac:dyDescent="0.2">
      <c r="A332" s="48"/>
      <c r="B332" s="6" t="s">
        <v>282</v>
      </c>
      <c r="C332" s="48"/>
      <c r="D332" s="48"/>
      <c r="E332" s="48"/>
      <c r="F332" s="60"/>
      <c r="G332" s="60"/>
      <c r="H332" s="60"/>
      <c r="I332" s="60"/>
      <c r="J332" s="60"/>
    </row>
    <row r="333" spans="1:10" x14ac:dyDescent="0.2">
      <c r="A333" s="48"/>
      <c r="B333" s="6" t="s">
        <v>284</v>
      </c>
      <c r="C333" s="48"/>
      <c r="D333" s="48"/>
      <c r="E333" s="48"/>
      <c r="F333" s="60"/>
      <c r="G333" s="60"/>
      <c r="H333" s="60"/>
      <c r="I333" s="60"/>
      <c r="J333" s="60"/>
    </row>
    <row r="334" spans="1:10" x14ac:dyDescent="0.2">
      <c r="A334" s="48"/>
      <c r="B334" s="6" t="s">
        <v>285</v>
      </c>
      <c r="C334" s="48"/>
      <c r="D334" s="48"/>
      <c r="E334" s="48"/>
      <c r="F334" s="60"/>
      <c r="G334" s="60"/>
      <c r="H334" s="60"/>
      <c r="I334" s="60"/>
      <c r="J334" s="60"/>
    </row>
    <row r="335" spans="1:10" x14ac:dyDescent="0.2">
      <c r="A335" s="47"/>
      <c r="B335" s="5" t="s">
        <v>287</v>
      </c>
      <c r="C335" s="47"/>
      <c r="D335" s="47"/>
      <c r="E335" s="47"/>
      <c r="F335" s="59"/>
      <c r="G335" s="59"/>
      <c r="H335" s="59"/>
      <c r="I335" s="59"/>
      <c r="J335" s="59"/>
    </row>
    <row r="336" spans="1:10" x14ac:dyDescent="0.2">
      <c r="A336" s="46" t="s">
        <v>930</v>
      </c>
      <c r="B336" s="4" t="s">
        <v>166</v>
      </c>
      <c r="C336" s="46" t="s">
        <v>8</v>
      </c>
      <c r="D336" s="46" t="s">
        <v>931</v>
      </c>
      <c r="E336" s="46"/>
      <c r="F336" s="58" t="s">
        <v>168</v>
      </c>
      <c r="G336" s="58">
        <v>0</v>
      </c>
      <c r="H336" s="58">
        <v>1899.1010000000001</v>
      </c>
      <c r="I336" s="58">
        <v>1</v>
      </c>
      <c r="J336" s="58">
        <v>0</v>
      </c>
    </row>
    <row r="337" spans="1:10" x14ac:dyDescent="0.2">
      <c r="A337" s="47"/>
      <c r="B337" s="5" t="s">
        <v>167</v>
      </c>
      <c r="C337" s="47"/>
      <c r="D337" s="47"/>
      <c r="E337" s="47"/>
      <c r="F337" s="59"/>
      <c r="G337" s="59"/>
      <c r="H337" s="59"/>
      <c r="I337" s="59"/>
      <c r="J337" s="59"/>
    </row>
    <row r="338" spans="1:10" x14ac:dyDescent="0.2">
      <c r="A338" s="46" t="s">
        <v>932</v>
      </c>
      <c r="B338" s="4" t="s">
        <v>277</v>
      </c>
      <c r="C338" s="46" t="s">
        <v>8</v>
      </c>
      <c r="D338" s="46" t="s">
        <v>933</v>
      </c>
      <c r="E338" s="46"/>
      <c r="F338" s="58" t="s">
        <v>290</v>
      </c>
      <c r="G338" s="58">
        <v>0</v>
      </c>
      <c r="H338" s="58">
        <v>792</v>
      </c>
      <c r="I338" s="58">
        <v>39.369999999999997</v>
      </c>
      <c r="J338" s="58">
        <v>0</v>
      </c>
    </row>
    <row r="339" spans="1:10" x14ac:dyDescent="0.2">
      <c r="A339" s="48"/>
      <c r="B339" s="6" t="s">
        <v>278</v>
      </c>
      <c r="C339" s="48"/>
      <c r="D339" s="48"/>
      <c r="E339" s="48"/>
      <c r="F339" s="60"/>
      <c r="G339" s="60"/>
      <c r="H339" s="60"/>
      <c r="I339" s="60"/>
      <c r="J339" s="60"/>
    </row>
    <row r="340" spans="1:10" x14ac:dyDescent="0.2">
      <c r="A340" s="48"/>
      <c r="B340" s="6" t="s">
        <v>279</v>
      </c>
      <c r="C340" s="48"/>
      <c r="D340" s="48"/>
      <c r="E340" s="48"/>
      <c r="F340" s="60"/>
      <c r="G340" s="60"/>
      <c r="H340" s="60"/>
      <c r="I340" s="60"/>
      <c r="J340" s="60"/>
    </row>
    <row r="341" spans="1:10" x14ac:dyDescent="0.2">
      <c r="A341" s="48"/>
      <c r="B341" s="6" t="s">
        <v>281</v>
      </c>
      <c r="C341" s="48"/>
      <c r="D341" s="48"/>
      <c r="E341" s="48"/>
      <c r="F341" s="60"/>
      <c r="G341" s="60"/>
      <c r="H341" s="60"/>
      <c r="I341" s="60"/>
      <c r="J341" s="60"/>
    </row>
    <row r="342" spans="1:10" x14ac:dyDescent="0.2">
      <c r="A342" s="48"/>
      <c r="B342" s="6" t="s">
        <v>282</v>
      </c>
      <c r="C342" s="48"/>
      <c r="D342" s="48"/>
      <c r="E342" s="48"/>
      <c r="F342" s="60"/>
      <c r="G342" s="60"/>
      <c r="H342" s="60"/>
      <c r="I342" s="60"/>
      <c r="J342" s="60"/>
    </row>
    <row r="343" spans="1:10" x14ac:dyDescent="0.2">
      <c r="A343" s="48"/>
      <c r="B343" s="6" t="s">
        <v>284</v>
      </c>
      <c r="C343" s="48"/>
      <c r="D343" s="48"/>
      <c r="E343" s="48"/>
      <c r="F343" s="60"/>
      <c r="G343" s="60"/>
      <c r="H343" s="60"/>
      <c r="I343" s="60"/>
      <c r="J343" s="60"/>
    </row>
    <row r="344" spans="1:10" x14ac:dyDescent="0.2">
      <c r="A344" s="48"/>
      <c r="B344" s="6" t="s">
        <v>285</v>
      </c>
      <c r="C344" s="48"/>
      <c r="D344" s="48"/>
      <c r="E344" s="48"/>
      <c r="F344" s="60"/>
      <c r="G344" s="60"/>
      <c r="H344" s="60"/>
      <c r="I344" s="60"/>
      <c r="J344" s="60"/>
    </row>
    <row r="345" spans="1:10" x14ac:dyDescent="0.2">
      <c r="A345" s="47"/>
      <c r="B345" s="5" t="s">
        <v>287</v>
      </c>
      <c r="C345" s="47"/>
      <c r="D345" s="47"/>
      <c r="E345" s="47"/>
      <c r="F345" s="59"/>
      <c r="G345" s="59"/>
      <c r="H345" s="59"/>
      <c r="I345" s="59"/>
      <c r="J345" s="59"/>
    </row>
    <row r="346" spans="1:10" x14ac:dyDescent="0.2">
      <c r="A346" s="3" t="s">
        <v>934</v>
      </c>
      <c r="B346" s="3" t="s">
        <v>80</v>
      </c>
      <c r="C346" s="3" t="s">
        <v>8</v>
      </c>
      <c r="D346" s="3" t="s">
        <v>935</v>
      </c>
      <c r="E346" s="3" t="s">
        <v>935</v>
      </c>
      <c r="F346" s="1" t="s">
        <v>81</v>
      </c>
      <c r="G346" s="1">
        <v>0</v>
      </c>
      <c r="H346" s="1">
        <v>37000000000</v>
      </c>
      <c r="I346" s="1">
        <v>1</v>
      </c>
      <c r="J346" s="1">
        <v>0</v>
      </c>
    </row>
    <row r="347" spans="1:10" x14ac:dyDescent="0.2">
      <c r="A347" s="46" t="s">
        <v>936</v>
      </c>
      <c r="B347" s="4" t="s">
        <v>277</v>
      </c>
      <c r="C347" s="46" t="s">
        <v>8</v>
      </c>
      <c r="D347" s="46" t="s">
        <v>937</v>
      </c>
      <c r="E347" s="46" t="s">
        <v>937</v>
      </c>
      <c r="F347" s="58" t="s">
        <v>290</v>
      </c>
      <c r="G347" s="58">
        <v>0</v>
      </c>
      <c r="H347" s="58">
        <v>0.01</v>
      </c>
      <c r="I347" s="58">
        <v>1</v>
      </c>
      <c r="J347" s="58">
        <v>0</v>
      </c>
    </row>
    <row r="348" spans="1:10" x14ac:dyDescent="0.2">
      <c r="A348" s="48"/>
      <c r="B348" s="6" t="s">
        <v>278</v>
      </c>
      <c r="C348" s="48"/>
      <c r="D348" s="48"/>
      <c r="E348" s="48"/>
      <c r="F348" s="60"/>
      <c r="G348" s="60"/>
      <c r="H348" s="60"/>
      <c r="I348" s="60"/>
      <c r="J348" s="60"/>
    </row>
    <row r="349" spans="1:10" x14ac:dyDescent="0.2">
      <c r="A349" s="48"/>
      <c r="B349" s="6" t="s">
        <v>279</v>
      </c>
      <c r="C349" s="48"/>
      <c r="D349" s="48"/>
      <c r="E349" s="48"/>
      <c r="F349" s="60"/>
      <c r="G349" s="60"/>
      <c r="H349" s="60"/>
      <c r="I349" s="60"/>
      <c r="J349" s="60"/>
    </row>
    <row r="350" spans="1:10" x14ac:dyDescent="0.2">
      <c r="A350" s="48"/>
      <c r="B350" s="6" t="s">
        <v>281</v>
      </c>
      <c r="C350" s="48"/>
      <c r="D350" s="48"/>
      <c r="E350" s="48"/>
      <c r="F350" s="60"/>
      <c r="G350" s="60"/>
      <c r="H350" s="60"/>
      <c r="I350" s="60"/>
      <c r="J350" s="60"/>
    </row>
    <row r="351" spans="1:10" x14ac:dyDescent="0.2">
      <c r="A351" s="48"/>
      <c r="B351" s="6" t="s">
        <v>282</v>
      </c>
      <c r="C351" s="48"/>
      <c r="D351" s="48"/>
      <c r="E351" s="48"/>
      <c r="F351" s="60"/>
      <c r="G351" s="60"/>
      <c r="H351" s="60"/>
      <c r="I351" s="60"/>
      <c r="J351" s="60"/>
    </row>
    <row r="352" spans="1:10" x14ac:dyDescent="0.2">
      <c r="A352" s="48"/>
      <c r="B352" s="6" t="s">
        <v>283</v>
      </c>
      <c r="C352" s="48"/>
      <c r="D352" s="48"/>
      <c r="E352" s="48"/>
      <c r="F352" s="60"/>
      <c r="G352" s="60"/>
      <c r="H352" s="60"/>
      <c r="I352" s="60"/>
      <c r="J352" s="60"/>
    </row>
    <row r="353" spans="1:10" x14ac:dyDescent="0.2">
      <c r="A353" s="48"/>
      <c r="B353" s="6" t="s">
        <v>284</v>
      </c>
      <c r="C353" s="48"/>
      <c r="D353" s="48"/>
      <c r="E353" s="48"/>
      <c r="F353" s="60"/>
      <c r="G353" s="60"/>
      <c r="H353" s="60"/>
      <c r="I353" s="60"/>
      <c r="J353" s="60"/>
    </row>
    <row r="354" spans="1:10" x14ac:dyDescent="0.2">
      <c r="A354" s="48"/>
      <c r="B354" s="6" t="s">
        <v>285</v>
      </c>
      <c r="C354" s="48"/>
      <c r="D354" s="48"/>
      <c r="E354" s="48"/>
      <c r="F354" s="60"/>
      <c r="G354" s="60"/>
      <c r="H354" s="60"/>
      <c r="I354" s="60"/>
      <c r="J354" s="60"/>
    </row>
    <row r="355" spans="1:10" x14ac:dyDescent="0.2">
      <c r="A355" s="48"/>
      <c r="B355" s="6" t="s">
        <v>286</v>
      </c>
      <c r="C355" s="48"/>
      <c r="D355" s="48"/>
      <c r="E355" s="48"/>
      <c r="F355" s="60"/>
      <c r="G355" s="60"/>
      <c r="H355" s="60"/>
      <c r="I355" s="60"/>
      <c r="J355" s="60"/>
    </row>
    <row r="356" spans="1:10" x14ac:dyDescent="0.2">
      <c r="A356" s="48"/>
      <c r="B356" s="6" t="s">
        <v>287</v>
      </c>
      <c r="C356" s="48"/>
      <c r="D356" s="48"/>
      <c r="E356" s="48"/>
      <c r="F356" s="60"/>
      <c r="G356" s="60"/>
      <c r="H356" s="60"/>
      <c r="I356" s="60"/>
      <c r="J356" s="60"/>
    </row>
    <row r="357" spans="1:10" x14ac:dyDescent="0.2">
      <c r="A357" s="48"/>
      <c r="B357" s="6" t="s">
        <v>288</v>
      </c>
      <c r="C357" s="48"/>
      <c r="D357" s="48"/>
      <c r="E357" s="48"/>
      <c r="F357" s="60"/>
      <c r="G357" s="60"/>
      <c r="H357" s="60"/>
      <c r="I357" s="60"/>
      <c r="J357" s="60"/>
    </row>
    <row r="358" spans="1:10" x14ac:dyDescent="0.2">
      <c r="A358" s="47"/>
      <c r="B358" s="5" t="s">
        <v>289</v>
      </c>
      <c r="C358" s="47"/>
      <c r="D358" s="47"/>
      <c r="E358" s="47"/>
      <c r="F358" s="59"/>
      <c r="G358" s="59"/>
      <c r="H358" s="59"/>
      <c r="I358" s="59"/>
      <c r="J358" s="59"/>
    </row>
    <row r="359" spans="1:10" ht="28.5" x14ac:dyDescent="0.2">
      <c r="A359" s="3" t="s">
        <v>938</v>
      </c>
      <c r="B359" s="3" t="s">
        <v>296</v>
      </c>
      <c r="C359" s="3" t="s">
        <v>8</v>
      </c>
      <c r="D359" s="3" t="s">
        <v>939</v>
      </c>
      <c r="E359" s="3" t="s">
        <v>939</v>
      </c>
      <c r="F359" s="1" t="s">
        <v>297</v>
      </c>
      <c r="G359" s="1">
        <v>0</v>
      </c>
      <c r="H359" s="1">
        <v>0.01</v>
      </c>
      <c r="I359" s="1">
        <v>31558150</v>
      </c>
      <c r="J359" s="1">
        <v>0</v>
      </c>
    </row>
    <row r="360" spans="1:10" ht="28.5" x14ac:dyDescent="0.2">
      <c r="A360" s="3" t="s">
        <v>940</v>
      </c>
      <c r="B360" s="3" t="s">
        <v>296</v>
      </c>
      <c r="C360" s="3" t="s">
        <v>8</v>
      </c>
      <c r="D360" s="3" t="s">
        <v>941</v>
      </c>
      <c r="E360" s="3" t="s">
        <v>941</v>
      </c>
      <c r="F360" s="1" t="s">
        <v>297</v>
      </c>
      <c r="G360" s="1">
        <v>0</v>
      </c>
      <c r="H360" s="1">
        <v>0.01</v>
      </c>
      <c r="I360" s="1">
        <v>1</v>
      </c>
      <c r="J360" s="1">
        <v>0</v>
      </c>
    </row>
    <row r="361" spans="1:10" ht="42.75" x14ac:dyDescent="0.2">
      <c r="A361" s="3" t="s">
        <v>942</v>
      </c>
      <c r="B361" s="3" t="s">
        <v>299</v>
      </c>
      <c r="C361" s="3" t="s">
        <v>8</v>
      </c>
      <c r="D361" s="3" t="s">
        <v>943</v>
      </c>
      <c r="E361" s="3" t="s">
        <v>943</v>
      </c>
      <c r="F361" s="1" t="s">
        <v>300</v>
      </c>
      <c r="G361" s="1">
        <v>0</v>
      </c>
      <c r="H361" s="1">
        <v>0.01</v>
      </c>
      <c r="I361" s="1">
        <v>1</v>
      </c>
      <c r="J361" s="1">
        <v>0</v>
      </c>
    </row>
    <row r="362" spans="1:10" ht="42.75" x14ac:dyDescent="0.2">
      <c r="A362" s="3" t="s">
        <v>944</v>
      </c>
      <c r="B362" s="3" t="s">
        <v>302</v>
      </c>
      <c r="C362" s="3" t="s">
        <v>8</v>
      </c>
      <c r="D362" s="3" t="s">
        <v>945</v>
      </c>
      <c r="E362" s="3" t="s">
        <v>945</v>
      </c>
      <c r="F362" s="1" t="s">
        <v>303</v>
      </c>
      <c r="G362" s="1">
        <v>0</v>
      </c>
      <c r="H362" s="1">
        <v>1E-4</v>
      </c>
      <c r="I362" s="1">
        <v>1</v>
      </c>
      <c r="J362" s="1">
        <v>0</v>
      </c>
    </row>
    <row r="363" spans="1:10" ht="57" x14ac:dyDescent="0.2">
      <c r="A363" s="3" t="s">
        <v>946</v>
      </c>
      <c r="B363" s="3" t="s">
        <v>305</v>
      </c>
      <c r="C363" s="3" t="s">
        <v>8</v>
      </c>
      <c r="D363" s="3" t="s">
        <v>947</v>
      </c>
      <c r="E363" s="3" t="s">
        <v>947</v>
      </c>
      <c r="F363" s="1" t="s">
        <v>306</v>
      </c>
      <c r="G363" s="1">
        <v>0</v>
      </c>
      <c r="H363" s="1">
        <v>0.1</v>
      </c>
      <c r="I363" s="1">
        <v>1</v>
      </c>
      <c r="J363" s="1">
        <v>0</v>
      </c>
    </row>
    <row r="364" spans="1:10" x14ac:dyDescent="0.2">
      <c r="A364" s="46" t="s">
        <v>948</v>
      </c>
      <c r="B364" s="4" t="s">
        <v>315</v>
      </c>
      <c r="C364" s="46" t="s">
        <v>8</v>
      </c>
      <c r="D364" s="46" t="s">
        <v>949</v>
      </c>
      <c r="E364" s="46" t="s">
        <v>949</v>
      </c>
      <c r="F364" s="58" t="s">
        <v>319</v>
      </c>
      <c r="G364" s="58">
        <v>0</v>
      </c>
      <c r="H364" s="58">
        <v>1E-4</v>
      </c>
      <c r="I364" s="58">
        <v>1</v>
      </c>
      <c r="J364" s="58">
        <v>0</v>
      </c>
    </row>
    <row r="365" spans="1:10" x14ac:dyDescent="0.2">
      <c r="A365" s="48"/>
      <c r="B365" s="6" t="s">
        <v>316</v>
      </c>
      <c r="C365" s="48"/>
      <c r="D365" s="48"/>
      <c r="E365" s="48"/>
      <c r="F365" s="60"/>
      <c r="G365" s="60"/>
      <c r="H365" s="60"/>
      <c r="I365" s="60"/>
      <c r="J365" s="60"/>
    </row>
    <row r="366" spans="1:10" x14ac:dyDescent="0.2">
      <c r="A366" s="47"/>
      <c r="B366" s="5" t="s">
        <v>318</v>
      </c>
      <c r="C366" s="47"/>
      <c r="D366" s="47"/>
      <c r="E366" s="47"/>
      <c r="F366" s="59"/>
      <c r="G366" s="59"/>
      <c r="H366" s="59"/>
      <c r="I366" s="59"/>
      <c r="J366" s="59"/>
    </row>
    <row r="367" spans="1:10" ht="42.75" x14ac:dyDescent="0.2">
      <c r="A367" s="3" t="s">
        <v>950</v>
      </c>
      <c r="B367" s="3" t="s">
        <v>321</v>
      </c>
      <c r="C367" s="3" t="s">
        <v>8</v>
      </c>
      <c r="D367" s="3" t="s">
        <v>951</v>
      </c>
      <c r="E367" s="3" t="s">
        <v>951</v>
      </c>
      <c r="F367" s="1" t="s">
        <v>322</v>
      </c>
      <c r="G367" s="1">
        <v>0</v>
      </c>
      <c r="H367" s="1">
        <v>9.9999999999999995E-7</v>
      </c>
      <c r="I367" s="1">
        <v>1</v>
      </c>
      <c r="J367" s="1">
        <v>0</v>
      </c>
    </row>
    <row r="368" spans="1:10" ht="57" x14ac:dyDescent="0.2">
      <c r="A368" s="3" t="s">
        <v>952</v>
      </c>
      <c r="B368" s="3" t="s">
        <v>343</v>
      </c>
      <c r="C368" s="3" t="s">
        <v>8</v>
      </c>
      <c r="D368" s="3" t="s">
        <v>953</v>
      </c>
      <c r="E368" s="3"/>
      <c r="F368" s="1" t="s">
        <v>344</v>
      </c>
      <c r="G368" s="1">
        <v>0</v>
      </c>
      <c r="H368" s="1">
        <v>9.9999999999999995E-7</v>
      </c>
      <c r="I368" s="1">
        <v>1800</v>
      </c>
      <c r="J368" s="1">
        <v>0</v>
      </c>
    </row>
    <row r="369" spans="1:10" ht="71.25" x14ac:dyDescent="0.2">
      <c r="A369" s="3" t="s">
        <v>954</v>
      </c>
      <c r="B369" s="3" t="s">
        <v>659</v>
      </c>
      <c r="C369" s="3" t="s">
        <v>8</v>
      </c>
      <c r="D369" s="3" t="s">
        <v>955</v>
      </c>
      <c r="E369" s="3" t="s">
        <v>955</v>
      </c>
      <c r="F369" s="1" t="s">
        <v>131</v>
      </c>
      <c r="G369" s="1">
        <v>0</v>
      </c>
      <c r="H369" s="1">
        <v>1</v>
      </c>
      <c r="I369" s="1">
        <v>1</v>
      </c>
      <c r="J369" s="1">
        <v>0</v>
      </c>
    </row>
    <row r="370" spans="1:10" x14ac:dyDescent="0.2">
      <c r="A370" s="46" t="s">
        <v>956</v>
      </c>
      <c r="B370" s="4" t="s">
        <v>327</v>
      </c>
      <c r="C370" s="46" t="s">
        <v>8</v>
      </c>
      <c r="D370" s="46" t="s">
        <v>957</v>
      </c>
      <c r="E370" s="46" t="s">
        <v>957</v>
      </c>
      <c r="F370" s="58" t="s">
        <v>329</v>
      </c>
      <c r="G370" s="58">
        <v>0</v>
      </c>
      <c r="H370" s="58">
        <v>1E-3</v>
      </c>
      <c r="I370" s="58">
        <v>1</v>
      </c>
      <c r="J370" s="58">
        <v>0</v>
      </c>
    </row>
    <row r="371" spans="1:10" x14ac:dyDescent="0.2">
      <c r="A371" s="47"/>
      <c r="B371" s="5" t="s">
        <v>328</v>
      </c>
      <c r="C371" s="47"/>
      <c r="D371" s="47"/>
      <c r="E371" s="47"/>
      <c r="F371" s="59"/>
      <c r="G371" s="59"/>
      <c r="H371" s="59"/>
      <c r="I371" s="59"/>
      <c r="J371" s="59"/>
    </row>
    <row r="372" spans="1:10" ht="42.75" x14ac:dyDescent="0.2">
      <c r="A372" s="3" t="s">
        <v>958</v>
      </c>
      <c r="B372" s="3" t="s">
        <v>343</v>
      </c>
      <c r="C372" s="3" t="s">
        <v>8</v>
      </c>
      <c r="D372" s="3" t="s">
        <v>959</v>
      </c>
      <c r="E372" s="3" t="s">
        <v>959</v>
      </c>
      <c r="F372" s="1" t="s">
        <v>344</v>
      </c>
      <c r="G372" s="1">
        <v>0</v>
      </c>
      <c r="H372" s="1">
        <v>9.9999999999999995E-7</v>
      </c>
      <c r="I372" s="1">
        <v>3600</v>
      </c>
      <c r="J372" s="1">
        <v>0</v>
      </c>
    </row>
    <row r="373" spans="1:10" ht="57" x14ac:dyDescent="0.2">
      <c r="A373" s="3" t="s">
        <v>960</v>
      </c>
      <c r="B373" s="3" t="s">
        <v>659</v>
      </c>
      <c r="C373" s="3" t="s">
        <v>8</v>
      </c>
      <c r="D373" s="3" t="s">
        <v>961</v>
      </c>
      <c r="E373" s="3" t="s">
        <v>961</v>
      </c>
      <c r="F373" s="1" t="s">
        <v>131</v>
      </c>
      <c r="G373" s="1">
        <v>0</v>
      </c>
      <c r="H373" s="1">
        <v>9.9999999999999995E-7</v>
      </c>
      <c r="I373" s="1">
        <v>1</v>
      </c>
      <c r="J373" s="1">
        <v>0</v>
      </c>
    </row>
    <row r="374" spans="1:10" ht="57" x14ac:dyDescent="0.2">
      <c r="A374" s="3" t="s">
        <v>962</v>
      </c>
      <c r="B374" s="3" t="s">
        <v>343</v>
      </c>
      <c r="C374" s="3" t="s">
        <v>8</v>
      </c>
      <c r="D374" s="3" t="s">
        <v>963</v>
      </c>
      <c r="E374" s="3" t="s">
        <v>963</v>
      </c>
      <c r="F374" s="1" t="s">
        <v>344</v>
      </c>
      <c r="G374" s="1">
        <v>0</v>
      </c>
      <c r="H374" s="1">
        <v>9.9999999999999995E-7</v>
      </c>
      <c r="I374" s="1">
        <v>60</v>
      </c>
      <c r="J374" s="1">
        <v>0</v>
      </c>
    </row>
    <row r="375" spans="1:10" ht="57" x14ac:dyDescent="0.2">
      <c r="A375" s="3" t="s">
        <v>964</v>
      </c>
      <c r="B375" s="3" t="s">
        <v>343</v>
      </c>
      <c r="C375" s="3" t="s">
        <v>8</v>
      </c>
      <c r="D375" s="3" t="s">
        <v>965</v>
      </c>
      <c r="E375" s="3" t="s">
        <v>965</v>
      </c>
      <c r="F375" s="1" t="s">
        <v>344</v>
      </c>
      <c r="G375" s="1">
        <v>0</v>
      </c>
      <c r="H375" s="1">
        <v>9.9999999999999995E-7</v>
      </c>
      <c r="I375" s="1">
        <v>1</v>
      </c>
      <c r="J375" s="1">
        <v>0</v>
      </c>
    </row>
    <row r="376" spans="1:10" ht="28.5" x14ac:dyDescent="0.2">
      <c r="A376" s="3" t="s">
        <v>966</v>
      </c>
      <c r="B376" s="3" t="s">
        <v>354</v>
      </c>
      <c r="C376" s="3" t="s">
        <v>8</v>
      </c>
      <c r="D376" s="3" t="s">
        <v>967</v>
      </c>
      <c r="E376" s="3" t="s">
        <v>967</v>
      </c>
      <c r="F376" s="1" t="s">
        <v>356</v>
      </c>
      <c r="G376" s="1">
        <v>0</v>
      </c>
      <c r="H376" s="1">
        <v>1E-8</v>
      </c>
      <c r="I376" s="1">
        <v>1</v>
      </c>
      <c r="J376" s="1">
        <v>0</v>
      </c>
    </row>
    <row r="377" spans="1:10" x14ac:dyDescent="0.2">
      <c r="A377" s="46" t="s">
        <v>968</v>
      </c>
      <c r="B377" s="4" t="s">
        <v>414</v>
      </c>
      <c r="C377" s="46" t="s">
        <v>8</v>
      </c>
      <c r="D377" s="46" t="s">
        <v>969</v>
      </c>
      <c r="E377" s="46"/>
      <c r="F377" s="58" t="s">
        <v>416</v>
      </c>
      <c r="G377" s="58">
        <v>0</v>
      </c>
      <c r="H377" s="58">
        <v>98.063800000000001</v>
      </c>
      <c r="I377" s="58">
        <v>1</v>
      </c>
      <c r="J377" s="58">
        <v>0</v>
      </c>
    </row>
    <row r="378" spans="1:10" x14ac:dyDescent="0.2">
      <c r="A378" s="47"/>
      <c r="B378" s="5" t="s">
        <v>415</v>
      </c>
      <c r="C378" s="47"/>
      <c r="D378" s="47"/>
      <c r="E378" s="47"/>
      <c r="F378" s="59"/>
      <c r="G378" s="59"/>
      <c r="H378" s="59"/>
      <c r="I378" s="59"/>
      <c r="J378" s="59"/>
    </row>
    <row r="379" spans="1:10" ht="28.5" x14ac:dyDescent="0.2">
      <c r="A379" s="3" t="s">
        <v>970</v>
      </c>
      <c r="B379" s="3" t="s">
        <v>419</v>
      </c>
      <c r="C379" s="3" t="s">
        <v>8</v>
      </c>
      <c r="D379" s="3" t="s">
        <v>971</v>
      </c>
      <c r="E379" s="3" t="s">
        <v>971</v>
      </c>
      <c r="F379" s="1" t="s">
        <v>421</v>
      </c>
      <c r="G379" s="1">
        <v>0</v>
      </c>
      <c r="H379" s="1">
        <v>1E-3</v>
      </c>
      <c r="I379" s="1">
        <v>1</v>
      </c>
      <c r="J379" s="1">
        <v>0</v>
      </c>
    </row>
    <row r="380" spans="1:10" ht="28.5" x14ac:dyDescent="0.2">
      <c r="A380" s="3" t="s">
        <v>972</v>
      </c>
      <c r="B380" s="3" t="s">
        <v>469</v>
      </c>
      <c r="C380" s="3" t="s">
        <v>8</v>
      </c>
      <c r="D380" s="3" t="s">
        <v>973</v>
      </c>
      <c r="E380" s="3"/>
      <c r="F380" s="1" t="s">
        <v>470</v>
      </c>
      <c r="G380" s="1">
        <v>0</v>
      </c>
      <c r="H380" s="1">
        <v>0.01</v>
      </c>
      <c r="I380" s="1">
        <v>1</v>
      </c>
      <c r="J380" s="1">
        <v>0</v>
      </c>
    </row>
    <row r="381" spans="1:10" x14ac:dyDescent="0.2">
      <c r="A381" s="46" t="s">
        <v>974</v>
      </c>
      <c r="B381" s="4" t="s">
        <v>315</v>
      </c>
      <c r="C381" s="46" t="s">
        <v>8</v>
      </c>
      <c r="D381" s="46" t="s">
        <v>975</v>
      </c>
      <c r="E381" s="46"/>
      <c r="F381" s="58" t="s">
        <v>319</v>
      </c>
      <c r="G381" s="58">
        <v>0</v>
      </c>
      <c r="H381" s="58">
        <v>9.9999999999999995E-7</v>
      </c>
      <c r="I381" s="58">
        <v>1</v>
      </c>
      <c r="J381" s="58">
        <v>0</v>
      </c>
    </row>
    <row r="382" spans="1:10" x14ac:dyDescent="0.2">
      <c r="A382" s="47"/>
      <c r="B382" s="5" t="s">
        <v>318</v>
      </c>
      <c r="C382" s="47"/>
      <c r="D382" s="47"/>
      <c r="E382" s="47"/>
      <c r="F382" s="59"/>
      <c r="G382" s="59"/>
      <c r="H382" s="59"/>
      <c r="I382" s="59"/>
      <c r="J382" s="59"/>
    </row>
    <row r="383" spans="1:10" x14ac:dyDescent="0.2">
      <c r="A383" s="3" t="s">
        <v>976</v>
      </c>
      <c r="B383" s="3" t="s">
        <v>220</v>
      </c>
      <c r="C383" s="3" t="s">
        <v>8</v>
      </c>
      <c r="D383" s="3" t="s">
        <v>977</v>
      </c>
      <c r="E383" s="3"/>
      <c r="F383" s="1" t="s">
        <v>221</v>
      </c>
      <c r="G383" s="1">
        <v>0</v>
      </c>
      <c r="H383" s="1">
        <v>2.0000000000000001E-4</v>
      </c>
      <c r="I383" s="1">
        <v>1</v>
      </c>
      <c r="J383" s="1">
        <v>0</v>
      </c>
    </row>
    <row r="384" spans="1:10" ht="28.5" x14ac:dyDescent="0.2">
      <c r="A384" s="3" t="s">
        <v>978</v>
      </c>
      <c r="B384" s="3" t="s">
        <v>722</v>
      </c>
      <c r="C384" s="3" t="s">
        <v>8</v>
      </c>
      <c r="D384" s="3" t="s">
        <v>979</v>
      </c>
      <c r="E384" s="3" t="s">
        <v>979</v>
      </c>
      <c r="F384" s="1" t="s">
        <v>20</v>
      </c>
      <c r="G384" s="1">
        <v>0</v>
      </c>
      <c r="H384" s="1">
        <v>0.1</v>
      </c>
      <c r="I384" s="1">
        <v>1</v>
      </c>
      <c r="J384" s="1">
        <v>0</v>
      </c>
    </row>
    <row r="385" spans="1:10" x14ac:dyDescent="0.2">
      <c r="A385" s="46" t="s">
        <v>980</v>
      </c>
      <c r="B385" s="46" t="s">
        <v>321</v>
      </c>
      <c r="C385" s="46" t="s">
        <v>8</v>
      </c>
      <c r="D385" s="4" t="s">
        <v>981</v>
      </c>
      <c r="E385" s="46" t="s">
        <v>982</v>
      </c>
      <c r="F385" s="58" t="s">
        <v>322</v>
      </c>
      <c r="G385" s="58">
        <v>0</v>
      </c>
      <c r="H385" s="58">
        <v>2.8316850000000001E-2</v>
      </c>
      <c r="I385" s="58">
        <v>1</v>
      </c>
      <c r="J385" s="58">
        <v>0</v>
      </c>
    </row>
    <row r="386" spans="1:10" ht="28.5" x14ac:dyDescent="0.2">
      <c r="A386" s="47"/>
      <c r="B386" s="47"/>
      <c r="C386" s="47"/>
      <c r="D386" s="5" t="s">
        <v>763</v>
      </c>
      <c r="E386" s="47"/>
      <c r="F386" s="59"/>
      <c r="G386" s="59"/>
      <c r="H386" s="59"/>
      <c r="I386" s="59"/>
      <c r="J386" s="59"/>
    </row>
    <row r="387" spans="1:10" x14ac:dyDescent="0.2">
      <c r="A387" s="46" t="s">
        <v>983</v>
      </c>
      <c r="B387" s="46" t="s">
        <v>321</v>
      </c>
      <c r="C387" s="46" t="s">
        <v>8</v>
      </c>
      <c r="D387" s="4" t="s">
        <v>984</v>
      </c>
      <c r="E387" s="46" t="s">
        <v>985</v>
      </c>
      <c r="F387" s="58" t="s">
        <v>322</v>
      </c>
      <c r="G387" s="58">
        <v>0</v>
      </c>
      <c r="H387" s="58">
        <v>1.6387060000000002E-5</v>
      </c>
      <c r="I387" s="58">
        <v>1</v>
      </c>
      <c r="J387" s="58">
        <v>0</v>
      </c>
    </row>
    <row r="388" spans="1:10" ht="28.5" x14ac:dyDescent="0.2">
      <c r="A388" s="47"/>
      <c r="B388" s="47"/>
      <c r="C388" s="47"/>
      <c r="D388" s="5" t="s">
        <v>763</v>
      </c>
      <c r="E388" s="47"/>
      <c r="F388" s="59"/>
      <c r="G388" s="59"/>
      <c r="H388" s="59"/>
      <c r="I388" s="59"/>
      <c r="J388" s="59"/>
    </row>
    <row r="389" spans="1:10" x14ac:dyDescent="0.2">
      <c r="A389" s="46" t="s">
        <v>986</v>
      </c>
      <c r="B389" s="46" t="s">
        <v>321</v>
      </c>
      <c r="C389" s="46" t="s">
        <v>8</v>
      </c>
      <c r="D389" s="4" t="s">
        <v>987</v>
      </c>
      <c r="E389" s="46" t="s">
        <v>988</v>
      </c>
      <c r="F389" s="58" t="s">
        <v>322</v>
      </c>
      <c r="G389" s="58">
        <v>0</v>
      </c>
      <c r="H389" s="58">
        <v>0.76455490000000004</v>
      </c>
      <c r="I389" s="58">
        <v>1</v>
      </c>
      <c r="J389" s="58">
        <v>0</v>
      </c>
    </row>
    <row r="390" spans="1:10" ht="28.5" x14ac:dyDescent="0.2">
      <c r="A390" s="47"/>
      <c r="B390" s="47"/>
      <c r="C390" s="47"/>
      <c r="D390" s="5" t="s">
        <v>763</v>
      </c>
      <c r="E390" s="47"/>
      <c r="F390" s="59"/>
      <c r="G390" s="59"/>
      <c r="H390" s="59"/>
      <c r="I390" s="59"/>
      <c r="J390" s="59"/>
    </row>
    <row r="391" spans="1:10" x14ac:dyDescent="0.2">
      <c r="A391" s="46" t="s">
        <v>989</v>
      </c>
      <c r="B391" s="46" t="s">
        <v>321</v>
      </c>
      <c r="C391" s="46" t="s">
        <v>8</v>
      </c>
      <c r="D391" s="4" t="s">
        <v>990</v>
      </c>
      <c r="E391" s="46" t="s">
        <v>991</v>
      </c>
      <c r="F391" s="58" t="s">
        <v>322</v>
      </c>
      <c r="G391" s="58">
        <v>0</v>
      </c>
      <c r="H391" s="58">
        <v>4168182000</v>
      </c>
      <c r="I391" s="58">
        <v>1</v>
      </c>
      <c r="J391" s="58">
        <v>0</v>
      </c>
    </row>
    <row r="392" spans="1:10" ht="28.5" x14ac:dyDescent="0.2">
      <c r="A392" s="47"/>
      <c r="B392" s="47"/>
      <c r="C392" s="47"/>
      <c r="D392" s="5" t="s">
        <v>763</v>
      </c>
      <c r="E392" s="47"/>
      <c r="F392" s="59"/>
      <c r="G392" s="59"/>
      <c r="H392" s="59"/>
      <c r="I392" s="59"/>
      <c r="J392" s="59"/>
    </row>
    <row r="393" spans="1:10" x14ac:dyDescent="0.2">
      <c r="A393" s="46" t="s">
        <v>934</v>
      </c>
      <c r="B393" s="46" t="s">
        <v>80</v>
      </c>
      <c r="C393" s="46" t="s">
        <v>8</v>
      </c>
      <c r="D393" s="4" t="s">
        <v>934</v>
      </c>
      <c r="E393" s="46" t="s">
        <v>935</v>
      </c>
      <c r="F393" s="58" t="s">
        <v>81</v>
      </c>
      <c r="G393" s="58">
        <v>0</v>
      </c>
      <c r="H393" s="58">
        <v>37000000000</v>
      </c>
      <c r="I393" s="58">
        <v>1</v>
      </c>
      <c r="J393" s="58">
        <v>0</v>
      </c>
    </row>
    <row r="394" spans="1:10" ht="28.5" x14ac:dyDescent="0.2">
      <c r="A394" s="47"/>
      <c r="B394" s="47"/>
      <c r="C394" s="47"/>
      <c r="D394" s="5" t="s">
        <v>763</v>
      </c>
      <c r="E394" s="47"/>
      <c r="F394" s="59"/>
      <c r="G394" s="59"/>
      <c r="H394" s="59"/>
      <c r="I394" s="59"/>
      <c r="J394" s="59"/>
    </row>
    <row r="395" spans="1:10" ht="28.5" x14ac:dyDescent="0.2">
      <c r="A395" s="3" t="s">
        <v>992</v>
      </c>
      <c r="B395" s="3" t="s">
        <v>531</v>
      </c>
      <c r="C395" s="3" t="s">
        <v>8</v>
      </c>
      <c r="D395" s="3" t="s">
        <v>993</v>
      </c>
      <c r="E395" s="3"/>
      <c r="F395" s="1" t="s">
        <v>533</v>
      </c>
      <c r="G395" s="1">
        <v>0</v>
      </c>
      <c r="H395" s="1">
        <v>735.49900000000002</v>
      </c>
      <c r="I395" s="1">
        <v>1</v>
      </c>
      <c r="J395" s="1">
        <v>0</v>
      </c>
    </row>
    <row r="396" spans="1:10" x14ac:dyDescent="0.2">
      <c r="A396" s="46" t="s">
        <v>994</v>
      </c>
      <c r="B396" s="4" t="s">
        <v>166</v>
      </c>
      <c r="C396" s="46" t="s">
        <v>8</v>
      </c>
      <c r="D396" s="46" t="s">
        <v>995</v>
      </c>
      <c r="E396" s="46"/>
      <c r="F396" s="58" t="s">
        <v>168</v>
      </c>
      <c r="G396" s="58">
        <v>0</v>
      </c>
      <c r="H396" s="58">
        <v>2647796</v>
      </c>
      <c r="I396" s="58">
        <v>1</v>
      </c>
      <c r="J396" s="58">
        <v>0</v>
      </c>
    </row>
    <row r="397" spans="1:10" x14ac:dyDescent="0.2">
      <c r="A397" s="47"/>
      <c r="B397" s="5" t="s">
        <v>167</v>
      </c>
      <c r="C397" s="47"/>
      <c r="D397" s="47"/>
      <c r="E397" s="47"/>
      <c r="F397" s="59"/>
      <c r="G397" s="59"/>
      <c r="H397" s="59"/>
      <c r="I397" s="59"/>
      <c r="J397" s="59"/>
    </row>
    <row r="398" spans="1:10" ht="42.75" x14ac:dyDescent="0.2">
      <c r="A398" s="3" t="s">
        <v>996</v>
      </c>
      <c r="B398" s="3" t="s">
        <v>220</v>
      </c>
      <c r="C398" s="3" t="s">
        <v>8</v>
      </c>
      <c r="D398" s="3" t="s">
        <v>997</v>
      </c>
      <c r="E398" s="3"/>
      <c r="F398" s="1" t="s">
        <v>221</v>
      </c>
      <c r="G398" s="1">
        <v>0</v>
      </c>
      <c r="H398" s="1">
        <v>50.802349999999997</v>
      </c>
      <c r="I398" s="1">
        <v>1</v>
      </c>
      <c r="J398" s="1">
        <v>0</v>
      </c>
    </row>
    <row r="399" spans="1:10" ht="42.75" x14ac:dyDescent="0.2">
      <c r="A399" s="3" t="s">
        <v>998</v>
      </c>
      <c r="B399" s="3" t="s">
        <v>220</v>
      </c>
      <c r="C399" s="3" t="s">
        <v>8</v>
      </c>
      <c r="D399" s="3" t="s">
        <v>999</v>
      </c>
      <c r="E399" s="3"/>
      <c r="F399" s="1" t="s">
        <v>221</v>
      </c>
      <c r="G399" s="1">
        <v>0</v>
      </c>
      <c r="H399" s="1">
        <v>45.35924</v>
      </c>
      <c r="I399" s="1">
        <v>1</v>
      </c>
      <c r="J399" s="1">
        <v>0</v>
      </c>
    </row>
    <row r="400" spans="1:10" x14ac:dyDescent="0.2">
      <c r="A400" s="3" t="s">
        <v>1000</v>
      </c>
      <c r="B400" s="3" t="s">
        <v>1001</v>
      </c>
      <c r="C400" s="3" t="s">
        <v>8</v>
      </c>
      <c r="D400" s="3" t="s">
        <v>581</v>
      </c>
      <c r="E400" s="3" t="s">
        <v>581</v>
      </c>
      <c r="F400" s="1" t="s">
        <v>303</v>
      </c>
      <c r="G400" s="1">
        <v>0</v>
      </c>
      <c r="H400" s="1">
        <v>9.8692299999999991E-13</v>
      </c>
      <c r="I400" s="1">
        <v>1</v>
      </c>
      <c r="J400" s="1">
        <v>0</v>
      </c>
    </row>
    <row r="401" spans="1:10" x14ac:dyDescent="0.2">
      <c r="A401" s="3" t="s">
        <v>1002</v>
      </c>
      <c r="B401" s="3" t="s">
        <v>469</v>
      </c>
      <c r="C401" s="3" t="s">
        <v>8</v>
      </c>
      <c r="D401" s="3" t="s">
        <v>1003</v>
      </c>
      <c r="E401" s="3" t="s">
        <v>1003</v>
      </c>
      <c r="F401" s="1" t="s">
        <v>470</v>
      </c>
      <c r="G401" s="1">
        <v>0</v>
      </c>
      <c r="H401" s="1">
        <v>86400</v>
      </c>
      <c r="I401" s="1">
        <v>1</v>
      </c>
      <c r="J401" s="1">
        <v>0</v>
      </c>
    </row>
    <row r="402" spans="1:10" x14ac:dyDescent="0.2">
      <c r="A402" s="3" t="s">
        <v>1004</v>
      </c>
      <c r="B402" s="3" t="s">
        <v>1005</v>
      </c>
      <c r="C402" s="3" t="s">
        <v>8</v>
      </c>
      <c r="D402" s="3" t="s">
        <v>1006</v>
      </c>
      <c r="E402" s="3" t="s">
        <v>1006</v>
      </c>
      <c r="F402" s="1" t="s">
        <v>322</v>
      </c>
      <c r="G402" s="1">
        <v>0</v>
      </c>
      <c r="H402" s="1">
        <v>3.008141E-13</v>
      </c>
      <c r="I402" s="1">
        <v>1</v>
      </c>
      <c r="J402" s="1">
        <v>0</v>
      </c>
    </row>
    <row r="403" spans="1:10" ht="28.5" x14ac:dyDescent="0.2">
      <c r="A403" s="3" t="s">
        <v>1007</v>
      </c>
      <c r="B403" s="3" t="s">
        <v>1005</v>
      </c>
      <c r="C403" s="3" t="s">
        <v>8</v>
      </c>
      <c r="D403" s="3" t="s">
        <v>1008</v>
      </c>
      <c r="E403" s="3" t="s">
        <v>1008</v>
      </c>
      <c r="F403" s="1" t="s">
        <v>322</v>
      </c>
      <c r="G403" s="1">
        <v>0</v>
      </c>
      <c r="H403" s="1">
        <v>9.8692299999999991E-13</v>
      </c>
      <c r="I403" s="1">
        <v>1</v>
      </c>
      <c r="J403" s="1">
        <v>0</v>
      </c>
    </row>
    <row r="404" spans="1:10" ht="28.5" x14ac:dyDescent="0.2">
      <c r="A404" s="3" t="s">
        <v>1009</v>
      </c>
      <c r="B404" s="3" t="s">
        <v>481</v>
      </c>
      <c r="C404" s="3" t="s">
        <v>8</v>
      </c>
      <c r="D404" s="3" t="s">
        <v>1010</v>
      </c>
      <c r="E404" s="3" t="s">
        <v>1010</v>
      </c>
      <c r="F404" s="1" t="s">
        <v>482</v>
      </c>
      <c r="G404" s="1">
        <v>0</v>
      </c>
      <c r="H404" s="1">
        <v>86400</v>
      </c>
      <c r="I404" s="1">
        <v>0.1589873</v>
      </c>
      <c r="J404" s="1">
        <v>0</v>
      </c>
    </row>
    <row r="405" spans="1:10" ht="28.5" x14ac:dyDescent="0.2">
      <c r="A405" s="3" t="s">
        <v>1011</v>
      </c>
      <c r="B405" s="3" t="s">
        <v>481</v>
      </c>
      <c r="C405" s="3" t="s">
        <v>8</v>
      </c>
      <c r="D405" s="3" t="s">
        <v>1012</v>
      </c>
      <c r="E405" s="3" t="s">
        <v>1012</v>
      </c>
      <c r="F405" s="1" t="s">
        <v>482</v>
      </c>
      <c r="G405" s="1">
        <v>0</v>
      </c>
      <c r="H405" s="1">
        <v>86400</v>
      </c>
      <c r="I405" s="1">
        <v>2.8316846592000001E-2</v>
      </c>
      <c r="J405" s="1">
        <v>0</v>
      </c>
    </row>
    <row r="406" spans="1:10" ht="42.75" x14ac:dyDescent="0.2">
      <c r="A406" s="3" t="s">
        <v>1013</v>
      </c>
      <c r="B406" s="3" t="s">
        <v>481</v>
      </c>
      <c r="C406" s="3" t="s">
        <v>8</v>
      </c>
      <c r="D406" s="3" t="s">
        <v>1014</v>
      </c>
      <c r="E406" s="3"/>
      <c r="F406" s="1" t="s">
        <v>482</v>
      </c>
      <c r="G406" s="1">
        <v>0</v>
      </c>
      <c r="H406" s="1">
        <v>86400</v>
      </c>
      <c r="I406" s="1">
        <v>28.316846592000001</v>
      </c>
      <c r="J406" s="1">
        <v>0</v>
      </c>
    </row>
    <row r="407" spans="1:10" ht="28.5" x14ac:dyDescent="0.2">
      <c r="A407" s="3" t="s">
        <v>1015</v>
      </c>
      <c r="B407" s="3" t="s">
        <v>481</v>
      </c>
      <c r="C407" s="3" t="s">
        <v>8</v>
      </c>
      <c r="D407" s="3" t="s">
        <v>1016</v>
      </c>
      <c r="E407" s="3" t="s">
        <v>1016</v>
      </c>
      <c r="F407" s="1" t="s">
        <v>482</v>
      </c>
      <c r="G407" s="1">
        <v>0</v>
      </c>
      <c r="H407" s="1">
        <v>86400</v>
      </c>
      <c r="I407" s="1">
        <v>1</v>
      </c>
      <c r="J407" s="1">
        <v>0</v>
      </c>
    </row>
    <row r="408" spans="1:10" ht="28.5" x14ac:dyDescent="0.2">
      <c r="A408" s="3" t="s">
        <v>1017</v>
      </c>
      <c r="B408" s="3" t="s">
        <v>378</v>
      </c>
      <c r="C408" s="3" t="s">
        <v>8</v>
      </c>
      <c r="D408" s="3" t="s">
        <v>1018</v>
      </c>
      <c r="E408" s="3"/>
      <c r="F408" s="1" t="s">
        <v>379</v>
      </c>
      <c r="G408" s="1">
        <v>0</v>
      </c>
      <c r="H408" s="1">
        <v>10</v>
      </c>
      <c r="I408" s="1">
        <v>1</v>
      </c>
      <c r="J408" s="1">
        <v>0</v>
      </c>
    </row>
    <row r="409" spans="1:10" x14ac:dyDescent="0.2">
      <c r="A409" s="46" t="s">
        <v>1019</v>
      </c>
      <c r="B409" s="4" t="s">
        <v>163</v>
      </c>
      <c r="C409" s="46" t="s">
        <v>8</v>
      </c>
      <c r="D409" s="46" t="s">
        <v>1020</v>
      </c>
      <c r="E409" s="46"/>
      <c r="F409" s="58" t="s">
        <v>168</v>
      </c>
      <c r="G409" s="58">
        <v>0</v>
      </c>
      <c r="H409" s="58">
        <v>10</v>
      </c>
      <c r="I409" s="58">
        <v>1</v>
      </c>
      <c r="J409" s="58">
        <v>0</v>
      </c>
    </row>
    <row r="410" spans="1:10" x14ac:dyDescent="0.2">
      <c r="A410" s="48"/>
      <c r="B410" s="6" t="s">
        <v>164</v>
      </c>
      <c r="C410" s="48"/>
      <c r="D410" s="48"/>
      <c r="E410" s="48"/>
      <c r="F410" s="60"/>
      <c r="G410" s="60"/>
      <c r="H410" s="60"/>
      <c r="I410" s="60"/>
      <c r="J410" s="60"/>
    </row>
    <row r="411" spans="1:10" x14ac:dyDescent="0.2">
      <c r="A411" s="47"/>
      <c r="B411" s="5" t="s">
        <v>165</v>
      </c>
      <c r="C411" s="47"/>
      <c r="D411" s="47"/>
      <c r="E411" s="47"/>
      <c r="F411" s="59"/>
      <c r="G411" s="59"/>
      <c r="H411" s="59"/>
      <c r="I411" s="59"/>
      <c r="J411" s="59"/>
    </row>
    <row r="412" spans="1:10" x14ac:dyDescent="0.2">
      <c r="A412" s="46" t="s">
        <v>1021</v>
      </c>
      <c r="B412" s="4" t="s">
        <v>249</v>
      </c>
      <c r="C412" s="46" t="s">
        <v>8</v>
      </c>
      <c r="D412" s="46" t="s">
        <v>1022</v>
      </c>
      <c r="E412" s="46" t="s">
        <v>1022</v>
      </c>
      <c r="F412" s="58" t="s">
        <v>252</v>
      </c>
      <c r="G412" s="58">
        <v>141500</v>
      </c>
      <c r="H412" s="58">
        <v>0</v>
      </c>
      <c r="I412" s="58">
        <v>131.5</v>
      </c>
      <c r="J412" s="58">
        <v>1</v>
      </c>
    </row>
    <row r="413" spans="1:10" x14ac:dyDescent="0.2">
      <c r="A413" s="48"/>
      <c r="B413" s="6" t="s">
        <v>250</v>
      </c>
      <c r="C413" s="48"/>
      <c r="D413" s="48"/>
      <c r="E413" s="48"/>
      <c r="F413" s="60"/>
      <c r="G413" s="60"/>
      <c r="H413" s="60"/>
      <c r="I413" s="60"/>
      <c r="J413" s="60"/>
    </row>
    <row r="414" spans="1:10" x14ac:dyDescent="0.2">
      <c r="A414" s="47"/>
      <c r="B414" s="5" t="s">
        <v>251</v>
      </c>
      <c r="C414" s="47"/>
      <c r="D414" s="47"/>
      <c r="E414" s="47"/>
      <c r="F414" s="59"/>
      <c r="G414" s="59"/>
      <c r="H414" s="59"/>
      <c r="I414" s="59"/>
      <c r="J414" s="59"/>
    </row>
    <row r="415" spans="1:10" x14ac:dyDescent="0.2">
      <c r="A415" s="3" t="s">
        <v>1023</v>
      </c>
      <c r="B415" s="3" t="s">
        <v>60</v>
      </c>
      <c r="C415" s="3" t="s">
        <v>8</v>
      </c>
      <c r="D415" s="3" t="s">
        <v>1024</v>
      </c>
      <c r="E415" s="3" t="s">
        <v>1024</v>
      </c>
      <c r="F415" s="1" t="s">
        <v>61</v>
      </c>
      <c r="G415" s="1">
        <v>0</v>
      </c>
      <c r="H415" s="1">
        <v>0.1</v>
      </c>
      <c r="I415" s="1">
        <v>1</v>
      </c>
      <c r="J415" s="1">
        <v>0</v>
      </c>
    </row>
    <row r="416" spans="1:10" ht="28.5" x14ac:dyDescent="0.2">
      <c r="A416" s="3" t="s">
        <v>1025</v>
      </c>
      <c r="B416" s="3" t="s">
        <v>65</v>
      </c>
      <c r="C416" s="3" t="s">
        <v>8</v>
      </c>
      <c r="D416" s="3" t="s">
        <v>1026</v>
      </c>
      <c r="E416" s="3" t="s">
        <v>1026</v>
      </c>
      <c r="F416" s="1" t="s">
        <v>66</v>
      </c>
      <c r="G416" s="1">
        <v>0</v>
      </c>
      <c r="H416" s="1">
        <v>0.1</v>
      </c>
      <c r="I416" s="1">
        <v>0.30480000000000002</v>
      </c>
      <c r="J416" s="1">
        <v>0</v>
      </c>
    </row>
    <row r="417" spans="1:10" ht="28.5" x14ac:dyDescent="0.2">
      <c r="A417" s="3" t="s">
        <v>1027</v>
      </c>
      <c r="B417" s="3" t="s">
        <v>65</v>
      </c>
      <c r="C417" s="3" t="s">
        <v>8</v>
      </c>
      <c r="D417" s="3" t="s">
        <v>1028</v>
      </c>
      <c r="E417" s="3" t="s">
        <v>1028</v>
      </c>
      <c r="F417" s="1" t="s">
        <v>66</v>
      </c>
      <c r="G417" s="1">
        <v>0</v>
      </c>
      <c r="H417" s="1">
        <v>0.1</v>
      </c>
      <c r="I417" s="1">
        <v>1</v>
      </c>
      <c r="J417" s="1">
        <v>0</v>
      </c>
    </row>
    <row r="418" spans="1:10" ht="28.5" x14ac:dyDescent="0.2">
      <c r="A418" s="3" t="s">
        <v>1029</v>
      </c>
      <c r="B418" s="3" t="s">
        <v>65</v>
      </c>
      <c r="C418" s="3" t="s">
        <v>8</v>
      </c>
      <c r="D418" s="3" t="s">
        <v>1030</v>
      </c>
      <c r="E418" s="3" t="s">
        <v>1030</v>
      </c>
      <c r="F418" s="1" t="s">
        <v>66</v>
      </c>
      <c r="G418" s="1">
        <v>0</v>
      </c>
      <c r="H418" s="1">
        <v>1E-4</v>
      </c>
      <c r="I418" s="1">
        <v>1</v>
      </c>
      <c r="J418" s="1">
        <v>0</v>
      </c>
    </row>
    <row r="419" spans="1:10" ht="28.5" x14ac:dyDescent="0.2">
      <c r="A419" s="3" t="s">
        <v>1031</v>
      </c>
      <c r="B419" s="3" t="s">
        <v>69</v>
      </c>
      <c r="C419" s="3" t="s">
        <v>8</v>
      </c>
      <c r="D419" s="3" t="s">
        <v>1032</v>
      </c>
      <c r="E419" s="3"/>
      <c r="F419" s="1" t="s">
        <v>70</v>
      </c>
      <c r="G419" s="1">
        <v>0</v>
      </c>
      <c r="H419" s="1">
        <v>0.1</v>
      </c>
      <c r="I419" s="1">
        <v>1</v>
      </c>
      <c r="J419" s="1">
        <v>0</v>
      </c>
    </row>
    <row r="420" spans="1:10" ht="42.75" x14ac:dyDescent="0.2">
      <c r="A420" s="3" t="s">
        <v>1033</v>
      </c>
      <c r="B420" s="3" t="s">
        <v>203</v>
      </c>
      <c r="C420" s="3" t="s">
        <v>8</v>
      </c>
      <c r="D420" s="3" t="s">
        <v>1034</v>
      </c>
      <c r="E420" s="3" t="s">
        <v>1035</v>
      </c>
      <c r="F420" s="1" t="s">
        <v>204</v>
      </c>
      <c r="G420" s="1">
        <v>0</v>
      </c>
      <c r="H420" s="1">
        <v>1</v>
      </c>
      <c r="I420" s="1">
        <v>1</v>
      </c>
      <c r="J420" s="1">
        <v>0</v>
      </c>
    </row>
    <row r="421" spans="1:10" ht="57" x14ac:dyDescent="0.2">
      <c r="A421" s="3" t="s">
        <v>1036</v>
      </c>
      <c r="B421" s="3" t="s">
        <v>203</v>
      </c>
      <c r="C421" s="3" t="s">
        <v>8</v>
      </c>
      <c r="D421" s="3" t="s">
        <v>1037</v>
      </c>
      <c r="E421" s="3" t="s">
        <v>1038</v>
      </c>
      <c r="F421" s="1" t="s">
        <v>204</v>
      </c>
      <c r="G421" s="1">
        <v>0</v>
      </c>
      <c r="H421" s="1">
        <v>5</v>
      </c>
      <c r="I421" s="1">
        <v>9</v>
      </c>
      <c r="J421" s="1">
        <v>0</v>
      </c>
    </row>
    <row r="422" spans="1:10" ht="42.75" x14ac:dyDescent="0.2">
      <c r="A422" s="3" t="s">
        <v>1039</v>
      </c>
      <c r="B422" s="3" t="s">
        <v>203</v>
      </c>
      <c r="C422" s="3" t="s">
        <v>8</v>
      </c>
      <c r="D422" s="3" t="s">
        <v>1040</v>
      </c>
      <c r="E422" s="3" t="s">
        <v>204</v>
      </c>
      <c r="F422" s="1" t="s">
        <v>204</v>
      </c>
      <c r="G422" s="1">
        <v>0</v>
      </c>
      <c r="H422" s="1">
        <v>1</v>
      </c>
      <c r="I422" s="1">
        <v>1</v>
      </c>
      <c r="J422" s="1">
        <v>0</v>
      </c>
    </row>
    <row r="423" spans="1:10" ht="42.75" x14ac:dyDescent="0.2">
      <c r="A423" s="3" t="s">
        <v>1041</v>
      </c>
      <c r="B423" s="3" t="s">
        <v>203</v>
      </c>
      <c r="C423" s="3" t="s">
        <v>8</v>
      </c>
      <c r="D423" s="3" t="s">
        <v>1042</v>
      </c>
      <c r="E423" s="3" t="s">
        <v>1043</v>
      </c>
      <c r="F423" s="1" t="s">
        <v>204</v>
      </c>
      <c r="G423" s="1">
        <v>0</v>
      </c>
      <c r="H423" s="1">
        <v>5</v>
      </c>
      <c r="I423" s="1">
        <v>9</v>
      </c>
      <c r="J423" s="1">
        <v>0</v>
      </c>
    </row>
    <row r="424" spans="1:10" ht="28.5" x14ac:dyDescent="0.2">
      <c r="A424" s="3" t="s">
        <v>1044</v>
      </c>
      <c r="B424" s="3" t="s">
        <v>443</v>
      </c>
      <c r="C424" s="3" t="s">
        <v>8</v>
      </c>
      <c r="D424" s="3" t="s">
        <v>1045</v>
      </c>
      <c r="E424" s="3" t="s">
        <v>1045</v>
      </c>
      <c r="F424" s="1" t="s">
        <v>444</v>
      </c>
      <c r="G424" s="1">
        <v>0</v>
      </c>
      <c r="H424" s="1">
        <v>1.745329E-2</v>
      </c>
      <c r="I424" s="1">
        <v>1</v>
      </c>
      <c r="J424" s="1">
        <v>0</v>
      </c>
    </row>
    <row r="425" spans="1:10" ht="57" x14ac:dyDescent="0.2">
      <c r="A425" s="3" t="s">
        <v>1046</v>
      </c>
      <c r="B425" s="3" t="s">
        <v>447</v>
      </c>
      <c r="C425" s="3" t="s">
        <v>8</v>
      </c>
      <c r="D425" s="3" t="s">
        <v>1047</v>
      </c>
      <c r="E425" s="3"/>
      <c r="F425" s="1" t="s">
        <v>448</v>
      </c>
      <c r="G425" s="1">
        <v>0</v>
      </c>
      <c r="H425" s="1">
        <v>1.745329E-2</v>
      </c>
      <c r="I425" s="1">
        <v>30.48</v>
      </c>
      <c r="J425" s="1">
        <v>0</v>
      </c>
    </row>
    <row r="426" spans="1:10" ht="57" x14ac:dyDescent="0.2">
      <c r="A426" s="3" t="s">
        <v>1048</v>
      </c>
      <c r="B426" s="3" t="s">
        <v>447</v>
      </c>
      <c r="C426" s="3" t="s">
        <v>8</v>
      </c>
      <c r="D426" s="3" t="s">
        <v>1049</v>
      </c>
      <c r="E426" s="3"/>
      <c r="F426" s="1" t="s">
        <v>448</v>
      </c>
      <c r="G426" s="1">
        <v>0</v>
      </c>
      <c r="H426" s="1">
        <v>1.745329E-2</v>
      </c>
      <c r="I426" s="1">
        <v>9.1440000000000001</v>
      </c>
      <c r="J426" s="1">
        <v>0</v>
      </c>
    </row>
    <row r="427" spans="1:10" ht="57" x14ac:dyDescent="0.2">
      <c r="A427" s="3" t="s">
        <v>1050</v>
      </c>
      <c r="B427" s="3" t="s">
        <v>447</v>
      </c>
      <c r="C427" s="3" t="s">
        <v>8</v>
      </c>
      <c r="D427" s="3" t="s">
        <v>1051</v>
      </c>
      <c r="E427" s="3"/>
      <c r="F427" s="1" t="s">
        <v>448</v>
      </c>
      <c r="G427" s="1">
        <v>0</v>
      </c>
      <c r="H427" s="1">
        <v>1.745329E-2</v>
      </c>
      <c r="I427" s="1">
        <v>30</v>
      </c>
      <c r="J427" s="1">
        <v>0</v>
      </c>
    </row>
    <row r="428" spans="1:10" ht="42.75" x14ac:dyDescent="0.2">
      <c r="A428" s="3" t="s">
        <v>1052</v>
      </c>
      <c r="B428" s="3" t="s">
        <v>447</v>
      </c>
      <c r="C428" s="3" t="s">
        <v>8</v>
      </c>
      <c r="D428" s="3" t="s">
        <v>1053</v>
      </c>
      <c r="E428" s="3" t="s">
        <v>1053</v>
      </c>
      <c r="F428" s="1" t="s">
        <v>448</v>
      </c>
      <c r="G428" s="1">
        <v>0</v>
      </c>
      <c r="H428" s="1">
        <v>1.745329E-2</v>
      </c>
      <c r="I428" s="1">
        <v>0.30480000000000002</v>
      </c>
      <c r="J428" s="1">
        <v>0</v>
      </c>
    </row>
    <row r="429" spans="1:10" ht="28.5" x14ac:dyDescent="0.2">
      <c r="A429" s="46" t="s">
        <v>1046</v>
      </c>
      <c r="B429" s="46" t="s">
        <v>447</v>
      </c>
      <c r="C429" s="46" t="s">
        <v>8</v>
      </c>
      <c r="D429" s="4" t="s">
        <v>1054</v>
      </c>
      <c r="E429" s="46"/>
      <c r="F429" s="58" t="s">
        <v>448</v>
      </c>
      <c r="G429" s="58">
        <v>0</v>
      </c>
      <c r="H429" s="58">
        <v>1.745329E-2</v>
      </c>
      <c r="I429" s="58">
        <v>30.48</v>
      </c>
      <c r="J429" s="58">
        <v>0</v>
      </c>
    </row>
    <row r="430" spans="1:10" ht="28.5" x14ac:dyDescent="0.2">
      <c r="A430" s="47"/>
      <c r="B430" s="47"/>
      <c r="C430" s="47"/>
      <c r="D430" s="5" t="s">
        <v>763</v>
      </c>
      <c r="E430" s="47"/>
      <c r="F430" s="59"/>
      <c r="G430" s="59"/>
      <c r="H430" s="59"/>
      <c r="I430" s="59"/>
      <c r="J430" s="59"/>
    </row>
    <row r="431" spans="1:10" x14ac:dyDescent="0.2">
      <c r="A431" s="46" t="s">
        <v>1055</v>
      </c>
      <c r="B431" s="4" t="s">
        <v>454</v>
      </c>
      <c r="C431" s="46" t="s">
        <v>8</v>
      </c>
      <c r="D431" s="46" t="s">
        <v>1056</v>
      </c>
      <c r="E431" s="46" t="s">
        <v>1056</v>
      </c>
      <c r="F431" s="58" t="s">
        <v>458</v>
      </c>
      <c r="G431" s="58">
        <v>0</v>
      </c>
      <c r="H431" s="58">
        <v>1.745329E-2</v>
      </c>
      <c r="I431" s="58">
        <v>3600</v>
      </c>
      <c r="J431" s="58">
        <v>0</v>
      </c>
    </row>
    <row r="432" spans="1:10" x14ac:dyDescent="0.2">
      <c r="A432" s="48"/>
      <c r="B432" s="6" t="s">
        <v>455</v>
      </c>
      <c r="C432" s="48"/>
      <c r="D432" s="48"/>
      <c r="E432" s="48"/>
      <c r="F432" s="60"/>
      <c r="G432" s="60"/>
      <c r="H432" s="60"/>
      <c r="I432" s="60"/>
      <c r="J432" s="60"/>
    </row>
    <row r="433" spans="1:10" x14ac:dyDescent="0.2">
      <c r="A433" s="48"/>
      <c r="B433" s="6" t="s">
        <v>456</v>
      </c>
      <c r="C433" s="48"/>
      <c r="D433" s="48"/>
      <c r="E433" s="48"/>
      <c r="F433" s="60"/>
      <c r="G433" s="60"/>
      <c r="H433" s="60"/>
      <c r="I433" s="60"/>
      <c r="J433" s="60"/>
    </row>
    <row r="434" spans="1:10" x14ac:dyDescent="0.2">
      <c r="A434" s="47"/>
      <c r="B434" s="5" t="s">
        <v>457</v>
      </c>
      <c r="C434" s="47"/>
      <c r="D434" s="47"/>
      <c r="E434" s="47"/>
      <c r="F434" s="59"/>
      <c r="G434" s="59"/>
      <c r="H434" s="59"/>
      <c r="I434" s="59"/>
      <c r="J434" s="59"/>
    </row>
    <row r="435" spans="1:10" ht="57" x14ac:dyDescent="0.2">
      <c r="A435" s="3" t="s">
        <v>1057</v>
      </c>
      <c r="B435" s="3" t="s">
        <v>447</v>
      </c>
      <c r="C435" s="3" t="s">
        <v>8</v>
      </c>
      <c r="D435" s="3" t="s">
        <v>1058</v>
      </c>
      <c r="E435" s="3" t="s">
        <v>1058</v>
      </c>
      <c r="F435" s="1" t="s">
        <v>448</v>
      </c>
      <c r="G435" s="1">
        <v>0</v>
      </c>
      <c r="H435" s="1">
        <v>1.745329E-2</v>
      </c>
      <c r="I435" s="1">
        <v>1</v>
      </c>
      <c r="J435" s="1">
        <v>0</v>
      </c>
    </row>
    <row r="436" spans="1:10" ht="28.5" x14ac:dyDescent="0.2">
      <c r="A436" s="46" t="s">
        <v>1050</v>
      </c>
      <c r="B436" s="46" t="s">
        <v>447</v>
      </c>
      <c r="C436" s="46" t="s">
        <v>8</v>
      </c>
      <c r="D436" s="4" t="s">
        <v>1059</v>
      </c>
      <c r="E436" s="46"/>
      <c r="F436" s="58" t="s">
        <v>448</v>
      </c>
      <c r="G436" s="58">
        <v>0</v>
      </c>
      <c r="H436" s="58">
        <v>1.745329E-2</v>
      </c>
      <c r="I436" s="58">
        <v>30</v>
      </c>
      <c r="J436" s="58">
        <v>0</v>
      </c>
    </row>
    <row r="437" spans="1:10" ht="28.5" x14ac:dyDescent="0.2">
      <c r="A437" s="47"/>
      <c r="B437" s="47"/>
      <c r="C437" s="47"/>
      <c r="D437" s="5" t="s">
        <v>763</v>
      </c>
      <c r="E437" s="47"/>
      <c r="F437" s="59"/>
      <c r="G437" s="59"/>
      <c r="H437" s="59"/>
      <c r="I437" s="59"/>
      <c r="J437" s="59"/>
    </row>
    <row r="438" spans="1:10" x14ac:dyDescent="0.2">
      <c r="A438" s="46" t="s">
        <v>1060</v>
      </c>
      <c r="B438" s="4" t="s">
        <v>454</v>
      </c>
      <c r="C438" s="46" t="s">
        <v>8</v>
      </c>
      <c r="D438" s="46" t="s">
        <v>1061</v>
      </c>
      <c r="E438" s="46" t="s">
        <v>1061</v>
      </c>
      <c r="F438" s="58" t="s">
        <v>458</v>
      </c>
      <c r="G438" s="58">
        <v>0</v>
      </c>
      <c r="H438" s="58">
        <v>1.745329E-2</v>
      </c>
      <c r="I438" s="58">
        <v>60</v>
      </c>
      <c r="J438" s="58">
        <v>0</v>
      </c>
    </row>
    <row r="439" spans="1:10" x14ac:dyDescent="0.2">
      <c r="A439" s="48"/>
      <c r="B439" s="6" t="s">
        <v>455</v>
      </c>
      <c r="C439" s="48"/>
      <c r="D439" s="48"/>
      <c r="E439" s="48"/>
      <c r="F439" s="60"/>
      <c r="G439" s="60"/>
      <c r="H439" s="60"/>
      <c r="I439" s="60"/>
      <c r="J439" s="60"/>
    </row>
    <row r="440" spans="1:10" x14ac:dyDescent="0.2">
      <c r="A440" s="48"/>
      <c r="B440" s="6" t="s">
        <v>456</v>
      </c>
      <c r="C440" s="48"/>
      <c r="D440" s="48"/>
      <c r="E440" s="48"/>
      <c r="F440" s="60"/>
      <c r="G440" s="60"/>
      <c r="H440" s="60"/>
      <c r="I440" s="60"/>
      <c r="J440" s="60"/>
    </row>
    <row r="441" spans="1:10" x14ac:dyDescent="0.2">
      <c r="A441" s="47"/>
      <c r="B441" s="5" t="s">
        <v>457</v>
      </c>
      <c r="C441" s="47"/>
      <c r="D441" s="47"/>
      <c r="E441" s="47"/>
      <c r="F441" s="59"/>
      <c r="G441" s="59"/>
      <c r="H441" s="59"/>
      <c r="I441" s="59"/>
      <c r="J441" s="59"/>
    </row>
    <row r="442" spans="1:10" x14ac:dyDescent="0.2">
      <c r="A442" s="46" t="s">
        <v>1062</v>
      </c>
      <c r="B442" s="4" t="s">
        <v>454</v>
      </c>
      <c r="C442" s="46" t="s">
        <v>8</v>
      </c>
      <c r="D442" s="46" t="s">
        <v>1063</v>
      </c>
      <c r="E442" s="46" t="s">
        <v>1063</v>
      </c>
      <c r="F442" s="58" t="s">
        <v>458</v>
      </c>
      <c r="G442" s="58">
        <v>0</v>
      </c>
      <c r="H442" s="58">
        <v>1.745329E-2</v>
      </c>
      <c r="I442" s="58">
        <v>1</v>
      </c>
      <c r="J442" s="58">
        <v>0</v>
      </c>
    </row>
    <row r="443" spans="1:10" x14ac:dyDescent="0.2">
      <c r="A443" s="48"/>
      <c r="B443" s="6" t="s">
        <v>455</v>
      </c>
      <c r="C443" s="48"/>
      <c r="D443" s="48"/>
      <c r="E443" s="48"/>
      <c r="F443" s="60"/>
      <c r="G443" s="60"/>
      <c r="H443" s="60"/>
      <c r="I443" s="60"/>
      <c r="J443" s="60"/>
    </row>
    <row r="444" spans="1:10" x14ac:dyDescent="0.2">
      <c r="A444" s="47"/>
      <c r="B444" s="5" t="s">
        <v>456</v>
      </c>
      <c r="C444" s="47"/>
      <c r="D444" s="47"/>
      <c r="E444" s="47"/>
      <c r="F444" s="59"/>
      <c r="G444" s="59"/>
      <c r="H444" s="59"/>
      <c r="I444" s="59"/>
      <c r="J444" s="59"/>
    </row>
    <row r="445" spans="1:10" ht="28.5" x14ac:dyDescent="0.2">
      <c r="A445" s="3" t="s">
        <v>1064</v>
      </c>
      <c r="B445" s="3" t="s">
        <v>202</v>
      </c>
      <c r="C445" s="3" t="s">
        <v>8</v>
      </c>
      <c r="D445" s="3" t="s">
        <v>1035</v>
      </c>
      <c r="E445" s="3" t="s">
        <v>1035</v>
      </c>
      <c r="F445" s="1" t="s">
        <v>204</v>
      </c>
      <c r="G445" s="1">
        <v>273.14999999999998</v>
      </c>
      <c r="H445" s="1">
        <v>1</v>
      </c>
      <c r="I445" s="1">
        <v>1</v>
      </c>
      <c r="J445" s="1">
        <v>0</v>
      </c>
    </row>
    <row r="446" spans="1:10" x14ac:dyDescent="0.2">
      <c r="A446" s="46" t="s">
        <v>1065</v>
      </c>
      <c r="B446" s="4" t="s">
        <v>207</v>
      </c>
      <c r="C446" s="46" t="s">
        <v>8</v>
      </c>
      <c r="D446" s="46" t="s">
        <v>1066</v>
      </c>
      <c r="E446" s="46" t="s">
        <v>1066</v>
      </c>
      <c r="F446" s="58" t="s">
        <v>209</v>
      </c>
      <c r="G446" s="58">
        <v>0</v>
      </c>
      <c r="H446" s="58">
        <v>0.86042079999999999</v>
      </c>
      <c r="I446" s="58">
        <v>1</v>
      </c>
      <c r="J446" s="58">
        <v>0</v>
      </c>
    </row>
    <row r="447" spans="1:10" x14ac:dyDescent="0.2">
      <c r="A447" s="47"/>
      <c r="B447" s="5" t="s">
        <v>208</v>
      </c>
      <c r="C447" s="47"/>
      <c r="D447" s="47"/>
      <c r="E447" s="47"/>
      <c r="F447" s="59"/>
      <c r="G447" s="59"/>
      <c r="H447" s="59"/>
      <c r="I447" s="59"/>
      <c r="J447" s="59"/>
    </row>
    <row r="448" spans="1:10" ht="71.25" x14ac:dyDescent="0.2">
      <c r="A448" s="3" t="s">
        <v>1067</v>
      </c>
      <c r="B448" s="3" t="s">
        <v>211</v>
      </c>
      <c r="C448" s="3" t="s">
        <v>8</v>
      </c>
      <c r="D448" s="3" t="s">
        <v>1068</v>
      </c>
      <c r="E448" s="3"/>
      <c r="F448" s="1" t="s">
        <v>212</v>
      </c>
      <c r="G448" s="1">
        <v>0</v>
      </c>
      <c r="H448" s="1">
        <v>0.01</v>
      </c>
      <c r="I448" s="1">
        <v>1</v>
      </c>
      <c r="J448" s="1">
        <v>0</v>
      </c>
    </row>
    <row r="449" spans="1:10" ht="42.75" x14ac:dyDescent="0.2">
      <c r="A449" s="3" t="s">
        <v>1069</v>
      </c>
      <c r="B449" s="3" t="s">
        <v>211</v>
      </c>
      <c r="C449" s="3" t="s">
        <v>8</v>
      </c>
      <c r="D449" s="3" t="s">
        <v>1070</v>
      </c>
      <c r="E449" s="3" t="s">
        <v>1070</v>
      </c>
      <c r="F449" s="1" t="s">
        <v>212</v>
      </c>
      <c r="G449" s="1">
        <v>0</v>
      </c>
      <c r="H449" s="1">
        <v>1</v>
      </c>
      <c r="I449" s="1">
        <v>0.30480000000000002</v>
      </c>
      <c r="J449" s="1">
        <v>0</v>
      </c>
    </row>
    <row r="450" spans="1:10" ht="42.75" x14ac:dyDescent="0.2">
      <c r="A450" s="3" t="s">
        <v>1071</v>
      </c>
      <c r="B450" s="3" t="s">
        <v>214</v>
      </c>
      <c r="C450" s="3" t="s">
        <v>8</v>
      </c>
      <c r="D450" s="3" t="s">
        <v>1072</v>
      </c>
      <c r="E450" s="3" t="s">
        <v>1072</v>
      </c>
      <c r="F450" s="1" t="s">
        <v>215</v>
      </c>
      <c r="G450" s="1">
        <v>0</v>
      </c>
      <c r="H450" s="1">
        <v>1</v>
      </c>
      <c r="I450" s="1">
        <v>3600</v>
      </c>
      <c r="J450" s="1">
        <v>0</v>
      </c>
    </row>
    <row r="451" spans="1:10" ht="42.75" x14ac:dyDescent="0.2">
      <c r="A451" s="3" t="s">
        <v>1073</v>
      </c>
      <c r="B451" s="3" t="s">
        <v>211</v>
      </c>
      <c r="C451" s="3" t="s">
        <v>8</v>
      </c>
      <c r="D451" s="3" t="s">
        <v>1074</v>
      </c>
      <c r="E451" s="3" t="s">
        <v>1074</v>
      </c>
      <c r="F451" s="1" t="s">
        <v>212</v>
      </c>
      <c r="G451" s="1">
        <v>0</v>
      </c>
      <c r="H451" s="1">
        <v>1E-3</v>
      </c>
      <c r="I451" s="1">
        <v>1</v>
      </c>
      <c r="J451" s="1">
        <v>0</v>
      </c>
    </row>
    <row r="452" spans="1:10" ht="42.75" x14ac:dyDescent="0.2">
      <c r="A452" s="3" t="s">
        <v>1075</v>
      </c>
      <c r="B452" s="3" t="s">
        <v>211</v>
      </c>
      <c r="C452" s="3" t="s">
        <v>8</v>
      </c>
      <c r="D452" s="3" t="s">
        <v>1076</v>
      </c>
      <c r="E452" s="3" t="s">
        <v>1076</v>
      </c>
      <c r="F452" s="1" t="s">
        <v>212</v>
      </c>
      <c r="G452" s="1">
        <v>0</v>
      </c>
      <c r="H452" s="1">
        <v>1</v>
      </c>
      <c r="I452" s="1">
        <v>1</v>
      </c>
      <c r="J452" s="1">
        <v>0</v>
      </c>
    </row>
    <row r="453" spans="1:10" ht="57" x14ac:dyDescent="0.2">
      <c r="A453" s="3" t="s">
        <v>1077</v>
      </c>
      <c r="B453" s="3" t="s">
        <v>214</v>
      </c>
      <c r="C453" s="3" t="s">
        <v>8</v>
      </c>
      <c r="D453" s="3" t="s">
        <v>1078</v>
      </c>
      <c r="E453" s="3" t="s">
        <v>1078</v>
      </c>
      <c r="F453" s="1" t="s">
        <v>215</v>
      </c>
      <c r="G453" s="1">
        <v>0</v>
      </c>
      <c r="H453" s="1">
        <v>1</v>
      </c>
      <c r="I453" s="1">
        <v>60</v>
      </c>
      <c r="J453" s="1">
        <v>0</v>
      </c>
    </row>
    <row r="454" spans="1:10" ht="57" x14ac:dyDescent="0.2">
      <c r="A454" s="3" t="s">
        <v>1079</v>
      </c>
      <c r="B454" s="3" t="s">
        <v>214</v>
      </c>
      <c r="C454" s="3" t="s">
        <v>8</v>
      </c>
      <c r="D454" s="3" t="s">
        <v>1080</v>
      </c>
      <c r="E454" s="3" t="s">
        <v>1080</v>
      </c>
      <c r="F454" s="1" t="s">
        <v>215</v>
      </c>
      <c r="G454" s="1">
        <v>0</v>
      </c>
      <c r="H454" s="1">
        <v>1</v>
      </c>
      <c r="I454" s="1">
        <v>1</v>
      </c>
      <c r="J454" s="1">
        <v>0</v>
      </c>
    </row>
    <row r="455" spans="1:10" ht="42.75" x14ac:dyDescent="0.2">
      <c r="A455" s="3" t="s">
        <v>1081</v>
      </c>
      <c r="B455" s="3" t="s">
        <v>202</v>
      </c>
      <c r="C455" s="3" t="s">
        <v>8</v>
      </c>
      <c r="D455" s="3" t="s">
        <v>1038</v>
      </c>
      <c r="E455" s="3" t="s">
        <v>1038</v>
      </c>
      <c r="F455" s="1" t="s">
        <v>204</v>
      </c>
      <c r="G455" s="1">
        <v>2298.35</v>
      </c>
      <c r="H455" s="1">
        <v>5</v>
      </c>
      <c r="I455" s="1">
        <v>9</v>
      </c>
      <c r="J455" s="1">
        <v>0</v>
      </c>
    </row>
    <row r="456" spans="1:10" x14ac:dyDescent="0.2">
      <c r="A456" s="46" t="s">
        <v>1082</v>
      </c>
      <c r="B456" s="4" t="s">
        <v>207</v>
      </c>
      <c r="C456" s="46" t="s">
        <v>8</v>
      </c>
      <c r="D456" s="46" t="s">
        <v>1083</v>
      </c>
      <c r="E456" s="46" t="s">
        <v>1083</v>
      </c>
      <c r="F456" s="58" t="s">
        <v>209</v>
      </c>
      <c r="G456" s="58">
        <v>0</v>
      </c>
      <c r="H456" s="58">
        <v>0.17611019999999999</v>
      </c>
      <c r="I456" s="58">
        <v>1</v>
      </c>
      <c r="J456" s="58">
        <v>0</v>
      </c>
    </row>
    <row r="457" spans="1:10" x14ac:dyDescent="0.2">
      <c r="A457" s="47"/>
      <c r="B457" s="5" t="s">
        <v>208</v>
      </c>
      <c r="C457" s="47"/>
      <c r="D457" s="47"/>
      <c r="E457" s="47"/>
      <c r="F457" s="59"/>
      <c r="G457" s="59"/>
      <c r="H457" s="59"/>
      <c r="I457" s="59"/>
      <c r="J457" s="59"/>
    </row>
    <row r="458" spans="1:10" ht="42.75" x14ac:dyDescent="0.2">
      <c r="A458" s="3" t="s">
        <v>1084</v>
      </c>
      <c r="B458" s="3" t="s">
        <v>211</v>
      </c>
      <c r="C458" s="3" t="s">
        <v>8</v>
      </c>
      <c r="D458" s="3" t="s">
        <v>1085</v>
      </c>
      <c r="E458" s="3"/>
      <c r="F458" s="1" t="s">
        <v>212</v>
      </c>
      <c r="G458" s="1">
        <v>0</v>
      </c>
      <c r="H458" s="1">
        <v>1.8226889999999999E-2</v>
      </c>
      <c r="I458" s="1">
        <v>1</v>
      </c>
      <c r="J458" s="1">
        <v>0</v>
      </c>
    </row>
    <row r="459" spans="1:10" ht="42.75" x14ac:dyDescent="0.2">
      <c r="A459" s="3" t="s">
        <v>1086</v>
      </c>
      <c r="B459" s="3" t="s">
        <v>211</v>
      </c>
      <c r="C459" s="3" t="s">
        <v>8</v>
      </c>
      <c r="D459" s="3" t="s">
        <v>1087</v>
      </c>
      <c r="E459" s="3" t="s">
        <v>1087</v>
      </c>
      <c r="F459" s="1" t="s">
        <v>212</v>
      </c>
      <c r="G459" s="1">
        <v>0</v>
      </c>
      <c r="H459" s="1">
        <v>1.822689</v>
      </c>
      <c r="I459" s="1">
        <v>1</v>
      </c>
      <c r="J459" s="1">
        <v>0</v>
      </c>
    </row>
    <row r="460" spans="1:10" ht="28.5" x14ac:dyDescent="0.2">
      <c r="A460" s="46" t="s">
        <v>1084</v>
      </c>
      <c r="B460" s="46" t="s">
        <v>211</v>
      </c>
      <c r="C460" s="46" t="s">
        <v>8</v>
      </c>
      <c r="D460" s="4" t="s">
        <v>1088</v>
      </c>
      <c r="E460" s="46"/>
      <c r="F460" s="58" t="s">
        <v>212</v>
      </c>
      <c r="G460" s="58">
        <v>0</v>
      </c>
      <c r="H460" s="58">
        <v>1.8226889999999999E-2</v>
      </c>
      <c r="I460" s="58">
        <v>1</v>
      </c>
      <c r="J460" s="58">
        <v>0</v>
      </c>
    </row>
    <row r="461" spans="1:10" ht="28.5" x14ac:dyDescent="0.2">
      <c r="A461" s="47"/>
      <c r="B461" s="47"/>
      <c r="C461" s="47"/>
      <c r="D461" s="5" t="s">
        <v>763</v>
      </c>
      <c r="E461" s="47"/>
      <c r="F461" s="59"/>
      <c r="G461" s="59"/>
      <c r="H461" s="59"/>
      <c r="I461" s="59"/>
      <c r="J461" s="59"/>
    </row>
    <row r="462" spans="1:10" ht="42.75" x14ac:dyDescent="0.2">
      <c r="A462" s="3" t="s">
        <v>1089</v>
      </c>
      <c r="B462" s="3" t="s">
        <v>214</v>
      </c>
      <c r="C462" s="3" t="s">
        <v>8</v>
      </c>
      <c r="D462" s="3" t="s">
        <v>1090</v>
      </c>
      <c r="E462" s="3" t="s">
        <v>1090</v>
      </c>
      <c r="F462" s="1" t="s">
        <v>215</v>
      </c>
      <c r="G462" s="1">
        <v>0</v>
      </c>
      <c r="H462" s="1">
        <v>5</v>
      </c>
      <c r="I462" s="1">
        <v>32400</v>
      </c>
      <c r="J462" s="1">
        <v>0</v>
      </c>
    </row>
    <row r="463" spans="1:10" ht="57" x14ac:dyDescent="0.2">
      <c r="A463" s="3" t="s">
        <v>1091</v>
      </c>
      <c r="B463" s="3" t="s">
        <v>211</v>
      </c>
      <c r="C463" s="3" t="s">
        <v>8</v>
      </c>
      <c r="D463" s="3" t="s">
        <v>1092</v>
      </c>
      <c r="E463" s="3" t="s">
        <v>1092</v>
      </c>
      <c r="F463" s="1" t="s">
        <v>212</v>
      </c>
      <c r="G463" s="1">
        <v>0</v>
      </c>
      <c r="H463" s="1">
        <v>5</v>
      </c>
      <c r="I463" s="1">
        <v>9</v>
      </c>
      <c r="J463" s="1">
        <v>0</v>
      </c>
    </row>
    <row r="464" spans="1:10" ht="57" x14ac:dyDescent="0.2">
      <c r="A464" s="3" t="s">
        <v>1093</v>
      </c>
      <c r="B464" s="3" t="s">
        <v>214</v>
      </c>
      <c r="C464" s="3" t="s">
        <v>8</v>
      </c>
      <c r="D464" s="3" t="s">
        <v>1094</v>
      </c>
      <c r="E464" s="3" t="s">
        <v>1094</v>
      </c>
      <c r="F464" s="1" t="s">
        <v>215</v>
      </c>
      <c r="G464" s="1">
        <v>0</v>
      </c>
      <c r="H464" s="1">
        <v>5</v>
      </c>
      <c r="I464" s="1">
        <v>540</v>
      </c>
      <c r="J464" s="1">
        <v>0</v>
      </c>
    </row>
    <row r="465" spans="1:10" ht="57" x14ac:dyDescent="0.2">
      <c r="A465" s="3" t="s">
        <v>1095</v>
      </c>
      <c r="B465" s="3" t="s">
        <v>214</v>
      </c>
      <c r="C465" s="3" t="s">
        <v>8</v>
      </c>
      <c r="D465" s="3" t="s">
        <v>1096</v>
      </c>
      <c r="E465" s="3" t="s">
        <v>1096</v>
      </c>
      <c r="F465" s="1" t="s">
        <v>215</v>
      </c>
      <c r="G465" s="1">
        <v>0</v>
      </c>
      <c r="H465" s="1">
        <v>5</v>
      </c>
      <c r="I465" s="1">
        <v>9</v>
      </c>
      <c r="J465" s="1">
        <v>0</v>
      </c>
    </row>
    <row r="466" spans="1:10" ht="28.5" x14ac:dyDescent="0.2">
      <c r="A466" s="3" t="s">
        <v>1097</v>
      </c>
      <c r="B466" s="3" t="s">
        <v>202</v>
      </c>
      <c r="C466" s="3" t="s">
        <v>8</v>
      </c>
      <c r="D466" s="3" t="s">
        <v>1043</v>
      </c>
      <c r="E466" s="3" t="s">
        <v>1043</v>
      </c>
      <c r="F466" s="1" t="s">
        <v>204</v>
      </c>
      <c r="G466" s="1">
        <v>0</v>
      </c>
      <c r="H466" s="1">
        <v>5</v>
      </c>
      <c r="I466" s="1">
        <v>9</v>
      </c>
      <c r="J466" s="1">
        <v>0</v>
      </c>
    </row>
    <row r="467" spans="1:10" x14ac:dyDescent="0.2">
      <c r="A467" s="46" t="s">
        <v>1098</v>
      </c>
      <c r="B467" s="4" t="s">
        <v>277</v>
      </c>
      <c r="C467" s="46" t="s">
        <v>8</v>
      </c>
      <c r="D467" s="46" t="s">
        <v>1099</v>
      </c>
      <c r="E467" s="46" t="s">
        <v>1099</v>
      </c>
      <c r="F467" s="58" t="s">
        <v>290</v>
      </c>
      <c r="G467" s="58">
        <v>0</v>
      </c>
      <c r="H467" s="58">
        <v>0.1</v>
      </c>
      <c r="I467" s="58">
        <v>1</v>
      </c>
      <c r="J467" s="58">
        <v>0</v>
      </c>
    </row>
    <row r="468" spans="1:10" x14ac:dyDescent="0.2">
      <c r="A468" s="48"/>
      <c r="B468" s="6" t="s">
        <v>278</v>
      </c>
      <c r="C468" s="48"/>
      <c r="D468" s="48"/>
      <c r="E468" s="48"/>
      <c r="F468" s="60"/>
      <c r="G468" s="60"/>
      <c r="H468" s="60"/>
      <c r="I468" s="60"/>
      <c r="J468" s="60"/>
    </row>
    <row r="469" spans="1:10" x14ac:dyDescent="0.2">
      <c r="A469" s="48"/>
      <c r="B469" s="6" t="s">
        <v>279</v>
      </c>
      <c r="C469" s="48"/>
      <c r="D469" s="48"/>
      <c r="E469" s="48"/>
      <c r="F469" s="60"/>
      <c r="G469" s="60"/>
      <c r="H469" s="60"/>
      <c r="I469" s="60"/>
      <c r="J469" s="60"/>
    </row>
    <row r="470" spans="1:10" x14ac:dyDescent="0.2">
      <c r="A470" s="48"/>
      <c r="B470" s="6" t="s">
        <v>281</v>
      </c>
      <c r="C470" s="48"/>
      <c r="D470" s="48"/>
      <c r="E470" s="48"/>
      <c r="F470" s="60"/>
      <c r="G470" s="60"/>
      <c r="H470" s="60"/>
      <c r="I470" s="60"/>
      <c r="J470" s="60"/>
    </row>
    <row r="471" spans="1:10" x14ac:dyDescent="0.2">
      <c r="A471" s="48"/>
      <c r="B471" s="6" t="s">
        <v>282</v>
      </c>
      <c r="C471" s="48"/>
      <c r="D471" s="48"/>
      <c r="E471" s="48"/>
      <c r="F471" s="60"/>
      <c r="G471" s="60"/>
      <c r="H471" s="60"/>
      <c r="I471" s="60"/>
      <c r="J471" s="60"/>
    </row>
    <row r="472" spans="1:10" x14ac:dyDescent="0.2">
      <c r="A472" s="48"/>
      <c r="B472" s="6" t="s">
        <v>283</v>
      </c>
      <c r="C472" s="48"/>
      <c r="D472" s="48"/>
      <c r="E472" s="48"/>
      <c r="F472" s="60"/>
      <c r="G472" s="60"/>
      <c r="H472" s="60"/>
      <c r="I472" s="60"/>
      <c r="J472" s="60"/>
    </row>
    <row r="473" spans="1:10" x14ac:dyDescent="0.2">
      <c r="A473" s="48"/>
      <c r="B473" s="6" t="s">
        <v>284</v>
      </c>
      <c r="C473" s="48"/>
      <c r="D473" s="48"/>
      <c r="E473" s="48"/>
      <c r="F473" s="60"/>
      <c r="G473" s="60"/>
      <c r="H473" s="60"/>
      <c r="I473" s="60"/>
      <c r="J473" s="60"/>
    </row>
    <row r="474" spans="1:10" x14ac:dyDescent="0.2">
      <c r="A474" s="48"/>
      <c r="B474" s="6" t="s">
        <v>285</v>
      </c>
      <c r="C474" s="48"/>
      <c r="D474" s="48"/>
      <c r="E474" s="48"/>
      <c r="F474" s="60"/>
      <c r="G474" s="60"/>
      <c r="H474" s="60"/>
      <c r="I474" s="60"/>
      <c r="J474" s="60"/>
    </row>
    <row r="475" spans="1:10" x14ac:dyDescent="0.2">
      <c r="A475" s="48"/>
      <c r="B475" s="6" t="s">
        <v>286</v>
      </c>
      <c r="C475" s="48"/>
      <c r="D475" s="48"/>
      <c r="E475" s="48"/>
      <c r="F475" s="60"/>
      <c r="G475" s="60"/>
      <c r="H475" s="60"/>
      <c r="I475" s="60"/>
      <c r="J475" s="60"/>
    </row>
    <row r="476" spans="1:10" x14ac:dyDescent="0.2">
      <c r="A476" s="48"/>
      <c r="B476" s="6" t="s">
        <v>287</v>
      </c>
      <c r="C476" s="48"/>
      <c r="D476" s="48"/>
      <c r="E476" s="48"/>
      <c r="F476" s="60"/>
      <c r="G476" s="60"/>
      <c r="H476" s="60"/>
      <c r="I476" s="60"/>
      <c r="J476" s="60"/>
    </row>
    <row r="477" spans="1:10" x14ac:dyDescent="0.2">
      <c r="A477" s="48"/>
      <c r="B477" s="6" t="s">
        <v>288</v>
      </c>
      <c r="C477" s="48"/>
      <c r="D477" s="48"/>
      <c r="E477" s="48"/>
      <c r="F477" s="60"/>
      <c r="G477" s="60"/>
      <c r="H477" s="60"/>
      <c r="I477" s="60"/>
      <c r="J477" s="60"/>
    </row>
    <row r="478" spans="1:10" x14ac:dyDescent="0.2">
      <c r="A478" s="47"/>
      <c r="B478" s="5" t="s">
        <v>289</v>
      </c>
      <c r="C478" s="47"/>
      <c r="D478" s="47"/>
      <c r="E478" s="47"/>
      <c r="F478" s="59"/>
      <c r="G478" s="59"/>
      <c r="H478" s="59"/>
      <c r="I478" s="59"/>
      <c r="J478" s="59"/>
    </row>
    <row r="479" spans="1:10" ht="42.75" x14ac:dyDescent="0.2">
      <c r="A479" s="3" t="s">
        <v>1100</v>
      </c>
      <c r="B479" s="3" t="s">
        <v>296</v>
      </c>
      <c r="C479" s="3" t="s">
        <v>8</v>
      </c>
      <c r="D479" s="3" t="s">
        <v>1101</v>
      </c>
      <c r="E479" s="3" t="s">
        <v>1101</v>
      </c>
      <c r="F479" s="1" t="s">
        <v>297</v>
      </c>
      <c r="G479" s="1">
        <v>0</v>
      </c>
      <c r="H479" s="1">
        <v>0.1</v>
      </c>
      <c r="I479" s="1">
        <v>1</v>
      </c>
      <c r="J479" s="1">
        <v>0</v>
      </c>
    </row>
    <row r="480" spans="1:10" x14ac:dyDescent="0.2">
      <c r="A480" s="46" t="s">
        <v>1102</v>
      </c>
      <c r="B480" s="46" t="s">
        <v>321</v>
      </c>
      <c r="C480" s="46" t="s">
        <v>8</v>
      </c>
      <c r="D480" s="46" t="s">
        <v>1103</v>
      </c>
      <c r="E480" s="4" t="s">
        <v>1103</v>
      </c>
      <c r="F480" s="58" t="s">
        <v>322</v>
      </c>
      <c r="G480" s="58">
        <v>0</v>
      </c>
      <c r="H480" s="58">
        <v>1E-3</v>
      </c>
      <c r="I480" s="58">
        <v>1</v>
      </c>
      <c r="J480" s="58">
        <v>0</v>
      </c>
    </row>
    <row r="481" spans="1:10" x14ac:dyDescent="0.2">
      <c r="A481" s="47"/>
      <c r="B481" s="47"/>
      <c r="C481" s="47"/>
      <c r="D481" s="47"/>
      <c r="E481" s="5" t="s">
        <v>1104</v>
      </c>
      <c r="F481" s="59"/>
      <c r="G481" s="59"/>
      <c r="H481" s="59"/>
      <c r="I481" s="59"/>
      <c r="J481" s="59"/>
    </row>
    <row r="482" spans="1:10" ht="71.25" x14ac:dyDescent="0.2">
      <c r="A482" s="3" t="s">
        <v>1105</v>
      </c>
      <c r="B482" s="3" t="s">
        <v>767</v>
      </c>
      <c r="C482" s="3" t="s">
        <v>8</v>
      </c>
      <c r="D482" s="3" t="s">
        <v>1106</v>
      </c>
      <c r="E482" s="3"/>
      <c r="F482" s="1" t="s">
        <v>303</v>
      </c>
      <c r="G482" s="1">
        <v>0</v>
      </c>
      <c r="H482" s="1">
        <v>1E-8</v>
      </c>
      <c r="I482" s="1">
        <v>1</v>
      </c>
      <c r="J482" s="1">
        <v>0</v>
      </c>
    </row>
    <row r="483" spans="1:10" x14ac:dyDescent="0.2">
      <c r="A483" s="46" t="s">
        <v>1107</v>
      </c>
      <c r="B483" s="4" t="s">
        <v>327</v>
      </c>
      <c r="C483" s="46" t="s">
        <v>8</v>
      </c>
      <c r="D483" s="46" t="s">
        <v>1108</v>
      </c>
      <c r="E483" s="46" t="s">
        <v>1108</v>
      </c>
      <c r="F483" s="58" t="s">
        <v>329</v>
      </c>
      <c r="G483" s="58">
        <v>0</v>
      </c>
      <c r="H483" s="58">
        <v>1E-3</v>
      </c>
      <c r="I483" s="58">
        <v>1</v>
      </c>
      <c r="J483" s="58">
        <v>0</v>
      </c>
    </row>
    <row r="484" spans="1:10" x14ac:dyDescent="0.2">
      <c r="A484" s="47"/>
      <c r="B484" s="5" t="s">
        <v>328</v>
      </c>
      <c r="C484" s="47"/>
      <c r="D484" s="47"/>
      <c r="E484" s="47"/>
      <c r="F484" s="59"/>
      <c r="G484" s="59"/>
      <c r="H484" s="59"/>
      <c r="I484" s="59"/>
      <c r="J484" s="59"/>
    </row>
    <row r="485" spans="1:10" ht="28.5" x14ac:dyDescent="0.2">
      <c r="A485" s="46" t="s">
        <v>1105</v>
      </c>
      <c r="B485" s="46" t="s">
        <v>767</v>
      </c>
      <c r="C485" s="46" t="s">
        <v>8</v>
      </c>
      <c r="D485" s="4" t="s">
        <v>1109</v>
      </c>
      <c r="E485" s="46"/>
      <c r="F485" s="58" t="s">
        <v>303</v>
      </c>
      <c r="G485" s="58">
        <v>0</v>
      </c>
      <c r="H485" s="58">
        <v>1E-8</v>
      </c>
      <c r="I485" s="58">
        <v>1</v>
      </c>
      <c r="J485" s="58">
        <v>0</v>
      </c>
    </row>
    <row r="486" spans="1:10" ht="28.5" x14ac:dyDescent="0.2">
      <c r="A486" s="47"/>
      <c r="B486" s="47"/>
      <c r="C486" s="47"/>
      <c r="D486" s="5" t="s">
        <v>763</v>
      </c>
      <c r="E486" s="47"/>
      <c r="F486" s="59"/>
      <c r="G486" s="59"/>
      <c r="H486" s="59"/>
      <c r="I486" s="59"/>
      <c r="J486" s="59"/>
    </row>
    <row r="487" spans="1:10" ht="57" x14ac:dyDescent="0.2">
      <c r="A487" s="3" t="s">
        <v>1110</v>
      </c>
      <c r="B487" s="3" t="s">
        <v>324</v>
      </c>
      <c r="C487" s="3" t="s">
        <v>8</v>
      </c>
      <c r="D487" s="3" t="s">
        <v>1111</v>
      </c>
      <c r="E487" s="3" t="s">
        <v>1111</v>
      </c>
      <c r="F487" s="1" t="s">
        <v>325</v>
      </c>
      <c r="G487" s="1">
        <v>0</v>
      </c>
      <c r="H487" s="1">
        <v>2.7777780000000002E-10</v>
      </c>
      <c r="I487" s="1">
        <v>1</v>
      </c>
      <c r="J487" s="1">
        <v>0</v>
      </c>
    </row>
    <row r="488" spans="1:10" ht="42.75" x14ac:dyDescent="0.2">
      <c r="A488" s="3" t="s">
        <v>1112</v>
      </c>
      <c r="B488" s="3" t="s">
        <v>767</v>
      </c>
      <c r="C488" s="3" t="s">
        <v>8</v>
      </c>
      <c r="D488" s="3" t="s">
        <v>1113</v>
      </c>
      <c r="E488" s="3" t="s">
        <v>1113</v>
      </c>
      <c r="F488" s="1" t="s">
        <v>303</v>
      </c>
      <c r="G488" s="1">
        <v>0</v>
      </c>
      <c r="H488" s="1">
        <v>1E-3</v>
      </c>
      <c r="I488" s="1">
        <v>1</v>
      </c>
      <c r="J488" s="1">
        <v>0</v>
      </c>
    </row>
    <row r="489" spans="1:10" ht="57" x14ac:dyDescent="0.2">
      <c r="A489" s="3" t="s">
        <v>1114</v>
      </c>
      <c r="B489" s="3" t="s">
        <v>659</v>
      </c>
      <c r="C489" s="3" t="s">
        <v>8</v>
      </c>
      <c r="D489" s="3" t="s">
        <v>1115</v>
      </c>
      <c r="E489" s="3" t="s">
        <v>1115</v>
      </c>
      <c r="F489" s="1" t="s">
        <v>131</v>
      </c>
      <c r="G489" s="1">
        <v>0</v>
      </c>
      <c r="H489" s="1">
        <v>1E-3</v>
      </c>
      <c r="I489" s="1">
        <v>1</v>
      </c>
      <c r="J489" s="1">
        <v>0</v>
      </c>
    </row>
    <row r="490" spans="1:10" ht="57" x14ac:dyDescent="0.2">
      <c r="A490" s="3" t="s">
        <v>1116</v>
      </c>
      <c r="B490" s="3" t="s">
        <v>324</v>
      </c>
      <c r="C490" s="3" t="s">
        <v>8</v>
      </c>
      <c r="D490" s="3" t="s">
        <v>1117</v>
      </c>
      <c r="E490" s="3" t="s">
        <v>1117</v>
      </c>
      <c r="F490" s="1" t="s">
        <v>325</v>
      </c>
      <c r="G490" s="1">
        <v>0</v>
      </c>
      <c r="H490" s="1">
        <v>1.0000000000000001E-9</v>
      </c>
      <c r="I490" s="1">
        <v>1</v>
      </c>
      <c r="J490" s="1">
        <v>0</v>
      </c>
    </row>
    <row r="491" spans="1:10" ht="57" x14ac:dyDescent="0.2">
      <c r="A491" s="3" t="s">
        <v>1118</v>
      </c>
      <c r="B491" s="3" t="s">
        <v>331</v>
      </c>
      <c r="C491" s="3" t="s">
        <v>8</v>
      </c>
      <c r="D491" s="3" t="s">
        <v>1119</v>
      </c>
      <c r="E491" s="3"/>
      <c r="F491" s="1" t="s">
        <v>332</v>
      </c>
      <c r="G491" s="1">
        <v>0</v>
      </c>
      <c r="H491" s="1">
        <v>9.9999999999999995E-7</v>
      </c>
      <c r="I491" s="1">
        <v>1</v>
      </c>
      <c r="J491" s="1">
        <v>0</v>
      </c>
    </row>
    <row r="492" spans="1:10" ht="28.5" x14ac:dyDescent="0.2">
      <c r="A492" s="46" t="s">
        <v>1118</v>
      </c>
      <c r="B492" s="46" t="s">
        <v>331</v>
      </c>
      <c r="C492" s="46" t="s">
        <v>8</v>
      </c>
      <c r="D492" s="4" t="s">
        <v>1120</v>
      </c>
      <c r="E492" s="46" t="s">
        <v>1121</v>
      </c>
      <c r="F492" s="58" t="s">
        <v>332</v>
      </c>
      <c r="G492" s="58">
        <v>0</v>
      </c>
      <c r="H492" s="58">
        <v>1E-3</v>
      </c>
      <c r="I492" s="58">
        <v>1</v>
      </c>
      <c r="J492" s="58">
        <v>0</v>
      </c>
    </row>
    <row r="493" spans="1:10" ht="28.5" x14ac:dyDescent="0.2">
      <c r="A493" s="47"/>
      <c r="B493" s="47"/>
      <c r="C493" s="47"/>
      <c r="D493" s="5" t="s">
        <v>763</v>
      </c>
      <c r="E493" s="47"/>
      <c r="F493" s="59"/>
      <c r="G493" s="59"/>
      <c r="H493" s="59"/>
      <c r="I493" s="59"/>
      <c r="J493" s="59"/>
    </row>
    <row r="494" spans="1:10" ht="42.75" x14ac:dyDescent="0.2">
      <c r="A494" s="3" t="s">
        <v>1122</v>
      </c>
      <c r="B494" s="3" t="s">
        <v>343</v>
      </c>
      <c r="C494" s="3" t="s">
        <v>8</v>
      </c>
      <c r="D494" s="3" t="s">
        <v>1123</v>
      </c>
      <c r="E494" s="3" t="s">
        <v>1123</v>
      </c>
      <c r="F494" s="1" t="s">
        <v>344</v>
      </c>
      <c r="G494" s="1">
        <v>0</v>
      </c>
      <c r="H494" s="1">
        <v>1E-3</v>
      </c>
      <c r="I494" s="1">
        <v>1</v>
      </c>
      <c r="J494" s="1">
        <v>0</v>
      </c>
    </row>
    <row r="495" spans="1:10" ht="57" x14ac:dyDescent="0.2">
      <c r="A495" s="3" t="s">
        <v>1124</v>
      </c>
      <c r="B495" s="3" t="s">
        <v>346</v>
      </c>
      <c r="C495" s="3" t="s">
        <v>8</v>
      </c>
      <c r="D495" s="3" t="s">
        <v>1125</v>
      </c>
      <c r="E495" s="3" t="s">
        <v>1125</v>
      </c>
      <c r="F495" s="1" t="s">
        <v>347</v>
      </c>
      <c r="G495" s="1">
        <v>0</v>
      </c>
      <c r="H495" s="1">
        <v>1E-3</v>
      </c>
      <c r="I495" s="1">
        <v>1</v>
      </c>
      <c r="J495" s="1">
        <v>0</v>
      </c>
    </row>
    <row r="496" spans="1:10" x14ac:dyDescent="0.2">
      <c r="A496" s="46" t="s">
        <v>1126</v>
      </c>
      <c r="B496" s="4" t="s">
        <v>327</v>
      </c>
      <c r="C496" s="46" t="s">
        <v>8</v>
      </c>
      <c r="D496" s="46" t="s">
        <v>1127</v>
      </c>
      <c r="E496" s="46" t="s">
        <v>1127</v>
      </c>
      <c r="F496" s="58" t="s">
        <v>329</v>
      </c>
      <c r="G496" s="58">
        <v>0</v>
      </c>
      <c r="H496" s="58">
        <v>9.9999999999999995E-7</v>
      </c>
      <c r="I496" s="58">
        <v>1</v>
      </c>
      <c r="J496" s="58">
        <v>0</v>
      </c>
    </row>
    <row r="497" spans="1:10" x14ac:dyDescent="0.2">
      <c r="A497" s="47"/>
      <c r="B497" s="5" t="s">
        <v>328</v>
      </c>
      <c r="C497" s="47"/>
      <c r="D497" s="47"/>
      <c r="E497" s="47"/>
      <c r="F497" s="59"/>
      <c r="G497" s="59"/>
      <c r="H497" s="59"/>
      <c r="I497" s="59"/>
      <c r="J497" s="59"/>
    </row>
    <row r="498" spans="1:10" x14ac:dyDescent="0.2">
      <c r="A498" s="46" t="s">
        <v>1128</v>
      </c>
      <c r="B498" s="4" t="s">
        <v>163</v>
      </c>
      <c r="C498" s="46" t="s">
        <v>8</v>
      </c>
      <c r="D498" s="46" t="s">
        <v>1129</v>
      </c>
      <c r="E498" s="46" t="s">
        <v>1129</v>
      </c>
      <c r="F498" s="58" t="s">
        <v>168</v>
      </c>
      <c r="G498" s="58">
        <v>0</v>
      </c>
      <c r="H498" s="58">
        <v>0.1</v>
      </c>
      <c r="I498" s="58">
        <v>1</v>
      </c>
      <c r="J498" s="58">
        <v>0</v>
      </c>
    </row>
    <row r="499" spans="1:10" x14ac:dyDescent="0.2">
      <c r="A499" s="48"/>
      <c r="B499" s="6" t="s">
        <v>164</v>
      </c>
      <c r="C499" s="48"/>
      <c r="D499" s="48"/>
      <c r="E499" s="48"/>
      <c r="F499" s="60"/>
      <c r="G499" s="60"/>
      <c r="H499" s="60"/>
      <c r="I499" s="60"/>
      <c r="J499" s="60"/>
    </row>
    <row r="500" spans="1:10" x14ac:dyDescent="0.2">
      <c r="A500" s="47"/>
      <c r="B500" s="5" t="s">
        <v>165</v>
      </c>
      <c r="C500" s="47"/>
      <c r="D500" s="47"/>
      <c r="E500" s="47"/>
      <c r="F500" s="59"/>
      <c r="G500" s="59"/>
      <c r="H500" s="59"/>
      <c r="I500" s="59"/>
      <c r="J500" s="59"/>
    </row>
    <row r="501" spans="1:10" x14ac:dyDescent="0.2">
      <c r="A501" s="3" t="s">
        <v>1130</v>
      </c>
      <c r="B501" s="3" t="s">
        <v>378</v>
      </c>
      <c r="C501" s="3" t="s">
        <v>8</v>
      </c>
      <c r="D501" s="3" t="s">
        <v>1131</v>
      </c>
      <c r="E501" s="3"/>
      <c r="F501" s="1" t="s">
        <v>379</v>
      </c>
      <c r="G501" s="1">
        <v>0</v>
      </c>
      <c r="H501" s="1">
        <v>1.0000000000000001E-5</v>
      </c>
      <c r="I501" s="1">
        <v>1</v>
      </c>
      <c r="J501" s="1">
        <v>0</v>
      </c>
    </row>
    <row r="502" spans="1:10" ht="42.75" x14ac:dyDescent="0.2">
      <c r="A502" s="3" t="s">
        <v>1132</v>
      </c>
      <c r="B502" s="3" t="s">
        <v>382</v>
      </c>
      <c r="C502" s="3" t="s">
        <v>8</v>
      </c>
      <c r="D502" s="3" t="s">
        <v>1133</v>
      </c>
      <c r="E502" s="3"/>
      <c r="F502" s="1" t="s">
        <v>383</v>
      </c>
      <c r="G502" s="1">
        <v>0</v>
      </c>
      <c r="H502" s="1">
        <v>1.0000000000000001E-9</v>
      </c>
      <c r="I502" s="1">
        <v>1</v>
      </c>
      <c r="J502" s="1">
        <v>0</v>
      </c>
    </row>
    <row r="503" spans="1:10" ht="71.25" x14ac:dyDescent="0.2">
      <c r="A503" s="3" t="s">
        <v>1134</v>
      </c>
      <c r="B503" s="3" t="s">
        <v>419</v>
      </c>
      <c r="C503" s="3" t="s">
        <v>8</v>
      </c>
      <c r="D503" s="3" t="s">
        <v>1135</v>
      </c>
      <c r="E503" s="3"/>
      <c r="F503" s="1" t="s">
        <v>421</v>
      </c>
      <c r="G503" s="1">
        <v>0</v>
      </c>
      <c r="H503" s="1">
        <v>0.1</v>
      </c>
      <c r="I503" s="1">
        <v>1</v>
      </c>
      <c r="J503" s="1">
        <v>0</v>
      </c>
    </row>
    <row r="504" spans="1:10" ht="28.5" x14ac:dyDescent="0.2">
      <c r="A504" s="3" t="s">
        <v>1136</v>
      </c>
      <c r="B504" s="3" t="s">
        <v>385</v>
      </c>
      <c r="C504" s="3" t="s">
        <v>8</v>
      </c>
      <c r="D504" s="3" t="s">
        <v>1137</v>
      </c>
      <c r="E504" s="3"/>
      <c r="F504" s="1" t="s">
        <v>387</v>
      </c>
      <c r="G504" s="1">
        <v>0</v>
      </c>
      <c r="H504" s="1">
        <v>1E-3</v>
      </c>
      <c r="I504" s="1">
        <v>1</v>
      </c>
      <c r="J504" s="1">
        <v>0</v>
      </c>
    </row>
    <row r="505" spans="1:10" x14ac:dyDescent="0.2">
      <c r="A505" s="46" t="s">
        <v>1138</v>
      </c>
      <c r="B505" s="4" t="s">
        <v>414</v>
      </c>
      <c r="C505" s="46" t="s">
        <v>8</v>
      </c>
      <c r="D505" s="46" t="s">
        <v>1139</v>
      </c>
      <c r="E505" s="46" t="s">
        <v>1140</v>
      </c>
      <c r="F505" s="58" t="s">
        <v>416</v>
      </c>
      <c r="G505" s="58">
        <v>0</v>
      </c>
      <c r="H505" s="58">
        <v>0.1</v>
      </c>
      <c r="I505" s="58">
        <v>1</v>
      </c>
      <c r="J505" s="58">
        <v>0</v>
      </c>
    </row>
    <row r="506" spans="1:10" x14ac:dyDescent="0.2">
      <c r="A506" s="47"/>
      <c r="B506" s="5" t="s">
        <v>415</v>
      </c>
      <c r="C506" s="47"/>
      <c r="D506" s="47"/>
      <c r="E506" s="47"/>
      <c r="F506" s="59"/>
      <c r="G506" s="59"/>
      <c r="H506" s="59"/>
      <c r="I506" s="59"/>
      <c r="J506" s="59"/>
    </row>
    <row r="507" spans="1:10" ht="71.25" x14ac:dyDescent="0.2">
      <c r="A507" s="3" t="s">
        <v>1141</v>
      </c>
      <c r="B507" s="3" t="s">
        <v>393</v>
      </c>
      <c r="C507" s="3" t="s">
        <v>8</v>
      </c>
      <c r="D507" s="3" t="s">
        <v>1142</v>
      </c>
      <c r="E507" s="3" t="s">
        <v>1142</v>
      </c>
      <c r="F507" s="1" t="s">
        <v>394</v>
      </c>
      <c r="G507" s="1">
        <v>0</v>
      </c>
      <c r="H507" s="1">
        <v>1E-3</v>
      </c>
      <c r="I507" s="1">
        <v>1</v>
      </c>
      <c r="J507" s="1">
        <v>0</v>
      </c>
    </row>
    <row r="508" spans="1:10" ht="85.5" x14ac:dyDescent="0.2">
      <c r="A508" s="3" t="s">
        <v>1143</v>
      </c>
      <c r="B508" s="3" t="s">
        <v>393</v>
      </c>
      <c r="C508" s="3" t="s">
        <v>8</v>
      </c>
      <c r="D508" s="3" t="s">
        <v>1144</v>
      </c>
      <c r="E508" s="3" t="s">
        <v>1144</v>
      </c>
      <c r="F508" s="1" t="s">
        <v>394</v>
      </c>
      <c r="G508" s="1">
        <v>0</v>
      </c>
      <c r="H508" s="1">
        <v>1</v>
      </c>
      <c r="I508" s="1">
        <v>1</v>
      </c>
      <c r="J508" s="1">
        <v>0</v>
      </c>
    </row>
    <row r="509" spans="1:10" ht="42.75" x14ac:dyDescent="0.2">
      <c r="A509" s="3" t="s">
        <v>1145</v>
      </c>
      <c r="B509" s="3" t="s">
        <v>531</v>
      </c>
      <c r="C509" s="3" t="s">
        <v>8</v>
      </c>
      <c r="D509" s="3" t="s">
        <v>1146</v>
      </c>
      <c r="E509" s="3" t="s">
        <v>1146</v>
      </c>
      <c r="F509" s="1" t="s">
        <v>533</v>
      </c>
      <c r="G509" s="1">
        <v>0</v>
      </c>
      <c r="H509" s="1">
        <v>746</v>
      </c>
      <c r="I509" s="1">
        <v>1</v>
      </c>
      <c r="J509" s="1">
        <v>0</v>
      </c>
    </row>
    <row r="510" spans="1:10" x14ac:dyDescent="0.2">
      <c r="A510" s="46" t="s">
        <v>1147</v>
      </c>
      <c r="B510" s="4" t="s">
        <v>166</v>
      </c>
      <c r="C510" s="46" t="s">
        <v>8</v>
      </c>
      <c r="D510" s="46" t="s">
        <v>1148</v>
      </c>
      <c r="E510" s="46" t="s">
        <v>1148</v>
      </c>
      <c r="F510" s="58" t="s">
        <v>168</v>
      </c>
      <c r="G510" s="58">
        <v>0</v>
      </c>
      <c r="H510" s="61">
        <v>1E+18</v>
      </c>
      <c r="I510" s="58">
        <v>1</v>
      </c>
      <c r="J510" s="58">
        <v>0</v>
      </c>
    </row>
    <row r="511" spans="1:10" x14ac:dyDescent="0.2">
      <c r="A511" s="47"/>
      <c r="B511" s="5" t="s">
        <v>167</v>
      </c>
      <c r="C511" s="47"/>
      <c r="D511" s="47"/>
      <c r="E511" s="47"/>
      <c r="F511" s="59"/>
      <c r="G511" s="59"/>
      <c r="H511" s="62"/>
      <c r="I511" s="59"/>
      <c r="J511" s="59"/>
    </row>
    <row r="512" spans="1:10" ht="28.5" x14ac:dyDescent="0.2">
      <c r="A512" s="3" t="s">
        <v>1149</v>
      </c>
      <c r="B512" s="3" t="s">
        <v>532</v>
      </c>
      <c r="C512" s="3" t="s">
        <v>8</v>
      </c>
      <c r="D512" s="3" t="s">
        <v>1150</v>
      </c>
      <c r="E512" s="3" t="s">
        <v>1150</v>
      </c>
      <c r="F512" s="1" t="s">
        <v>533</v>
      </c>
      <c r="G512" s="1">
        <v>0</v>
      </c>
      <c r="H512" s="1">
        <v>31687540000</v>
      </c>
      <c r="I512" s="1">
        <v>1</v>
      </c>
      <c r="J512" s="1">
        <v>0</v>
      </c>
    </row>
    <row r="513" spans="1:10" ht="28.5" x14ac:dyDescent="0.2">
      <c r="A513" s="3" t="s">
        <v>1151</v>
      </c>
      <c r="B513" s="3" t="s">
        <v>122</v>
      </c>
      <c r="C513" s="3" t="s">
        <v>8</v>
      </c>
      <c r="D513" s="3" t="s">
        <v>1152</v>
      </c>
      <c r="E513" s="3" t="s">
        <v>1152</v>
      </c>
      <c r="F513" s="1" t="s">
        <v>123</v>
      </c>
      <c r="G513" s="1">
        <v>0</v>
      </c>
      <c r="H513" s="1">
        <v>1000</v>
      </c>
      <c r="I513" s="1">
        <v>1</v>
      </c>
      <c r="J513" s="1">
        <v>0</v>
      </c>
    </row>
    <row r="514" spans="1:10" x14ac:dyDescent="0.2">
      <c r="A514" s="46" t="s">
        <v>1153</v>
      </c>
      <c r="B514" s="4" t="s">
        <v>166</v>
      </c>
      <c r="C514" s="46" t="s">
        <v>8</v>
      </c>
      <c r="D514" s="46" t="s">
        <v>1154</v>
      </c>
      <c r="E514" s="46"/>
      <c r="F514" s="58" t="s">
        <v>168</v>
      </c>
      <c r="G514" s="58">
        <v>0</v>
      </c>
      <c r="H514" s="58">
        <v>9.9999999999999995E-8</v>
      </c>
      <c r="I514" s="58">
        <v>1</v>
      </c>
      <c r="J514" s="58">
        <v>0</v>
      </c>
    </row>
    <row r="515" spans="1:10" x14ac:dyDescent="0.2">
      <c r="A515" s="47"/>
      <c r="B515" s="5" t="s">
        <v>167</v>
      </c>
      <c r="C515" s="47"/>
      <c r="D515" s="47"/>
      <c r="E515" s="47"/>
      <c r="F515" s="59"/>
      <c r="G515" s="59"/>
      <c r="H515" s="59"/>
      <c r="I515" s="59"/>
      <c r="J515" s="59"/>
    </row>
    <row r="516" spans="1:10" x14ac:dyDescent="0.2">
      <c r="A516" s="3" t="s">
        <v>1155</v>
      </c>
      <c r="B516" s="3" t="s">
        <v>532</v>
      </c>
      <c r="C516" s="3" t="s">
        <v>8</v>
      </c>
      <c r="D516" s="3" t="s">
        <v>1156</v>
      </c>
      <c r="E516" s="3"/>
      <c r="F516" s="1" t="s">
        <v>533</v>
      </c>
      <c r="G516" s="1">
        <v>0</v>
      </c>
      <c r="H516" s="1">
        <v>9.9999999999999995E-8</v>
      </c>
      <c r="I516" s="1">
        <v>31558150</v>
      </c>
      <c r="J516" s="1">
        <v>0</v>
      </c>
    </row>
    <row r="517" spans="1:10" ht="57" x14ac:dyDescent="0.2">
      <c r="A517" s="3" t="s">
        <v>1157</v>
      </c>
      <c r="B517" s="3" t="s">
        <v>386</v>
      </c>
      <c r="C517" s="3" t="s">
        <v>8</v>
      </c>
      <c r="D517" s="3" t="s">
        <v>1158</v>
      </c>
      <c r="E517" s="3" t="s">
        <v>1159</v>
      </c>
      <c r="F517" s="1" t="s">
        <v>387</v>
      </c>
      <c r="G517" s="1">
        <v>0</v>
      </c>
      <c r="H517" s="1">
        <v>1E-3</v>
      </c>
      <c r="I517" s="1">
        <v>1</v>
      </c>
      <c r="J517" s="1">
        <v>0</v>
      </c>
    </row>
    <row r="518" spans="1:10" x14ac:dyDescent="0.2">
      <c r="A518" s="46" t="s">
        <v>1160</v>
      </c>
      <c r="B518" s="4" t="s">
        <v>181</v>
      </c>
      <c r="C518" s="46" t="s">
        <v>8</v>
      </c>
      <c r="D518" s="46" t="s">
        <v>1161</v>
      </c>
      <c r="E518" s="46"/>
      <c r="F518" s="58" t="s">
        <v>190</v>
      </c>
      <c r="G518" s="58">
        <v>0</v>
      </c>
      <c r="H518" s="58">
        <v>0.1</v>
      </c>
      <c r="I518" s="58">
        <v>1</v>
      </c>
      <c r="J518" s="58">
        <v>0</v>
      </c>
    </row>
    <row r="519" spans="1:10" x14ac:dyDescent="0.2">
      <c r="A519" s="48"/>
      <c r="B519" s="6" t="s">
        <v>182</v>
      </c>
      <c r="C519" s="48"/>
      <c r="D519" s="48"/>
      <c r="E519" s="48"/>
      <c r="F519" s="60"/>
      <c r="G519" s="60"/>
      <c r="H519" s="60"/>
      <c r="I519" s="60"/>
      <c r="J519" s="60"/>
    </row>
    <row r="520" spans="1:10" x14ac:dyDescent="0.2">
      <c r="A520" s="48"/>
      <c r="B520" s="6" t="s">
        <v>183</v>
      </c>
      <c r="C520" s="48"/>
      <c r="D520" s="48"/>
      <c r="E520" s="48"/>
      <c r="F520" s="60"/>
      <c r="G520" s="60"/>
      <c r="H520" s="60"/>
      <c r="I520" s="60"/>
      <c r="J520" s="60"/>
    </row>
    <row r="521" spans="1:10" x14ac:dyDescent="0.2">
      <c r="A521" s="48"/>
      <c r="B521" s="6" t="s">
        <v>184</v>
      </c>
      <c r="C521" s="48"/>
      <c r="D521" s="48"/>
      <c r="E521" s="48"/>
      <c r="F521" s="60"/>
      <c r="G521" s="60"/>
      <c r="H521" s="60"/>
      <c r="I521" s="60"/>
      <c r="J521" s="60"/>
    </row>
    <row r="522" spans="1:10" x14ac:dyDescent="0.2">
      <c r="A522" s="48"/>
      <c r="B522" s="6" t="s">
        <v>185</v>
      </c>
      <c r="C522" s="48"/>
      <c r="D522" s="48"/>
      <c r="E522" s="48"/>
      <c r="F522" s="60"/>
      <c r="G522" s="60"/>
      <c r="H522" s="60"/>
      <c r="I522" s="60"/>
      <c r="J522" s="60"/>
    </row>
    <row r="523" spans="1:10" x14ac:dyDescent="0.2">
      <c r="A523" s="48"/>
      <c r="B523" s="6" t="s">
        <v>186</v>
      </c>
      <c r="C523" s="48"/>
      <c r="D523" s="48"/>
      <c r="E523" s="48"/>
      <c r="F523" s="60"/>
      <c r="G523" s="60"/>
      <c r="H523" s="60"/>
      <c r="I523" s="60"/>
      <c r="J523" s="60"/>
    </row>
    <row r="524" spans="1:10" x14ac:dyDescent="0.2">
      <c r="A524" s="48"/>
      <c r="B524" s="6" t="s">
        <v>187</v>
      </c>
      <c r="C524" s="48"/>
      <c r="D524" s="48"/>
      <c r="E524" s="48"/>
      <c r="F524" s="60"/>
      <c r="G524" s="60"/>
      <c r="H524" s="60"/>
      <c r="I524" s="60"/>
      <c r="J524" s="60"/>
    </row>
    <row r="525" spans="1:10" x14ac:dyDescent="0.2">
      <c r="A525" s="48"/>
      <c r="B525" s="6" t="s">
        <v>188</v>
      </c>
      <c r="C525" s="48"/>
      <c r="D525" s="48"/>
      <c r="E525" s="48"/>
      <c r="F525" s="60"/>
      <c r="G525" s="60"/>
      <c r="H525" s="60"/>
      <c r="I525" s="60"/>
      <c r="J525" s="60"/>
    </row>
    <row r="526" spans="1:10" x14ac:dyDescent="0.2">
      <c r="A526" s="47"/>
      <c r="B526" s="5" t="s">
        <v>189</v>
      </c>
      <c r="C526" s="47"/>
      <c r="D526" s="47"/>
      <c r="E526" s="47"/>
      <c r="F526" s="59"/>
      <c r="G526" s="59"/>
      <c r="H526" s="59"/>
      <c r="I526" s="59"/>
      <c r="J526" s="59"/>
    </row>
    <row r="527" spans="1:10" ht="28.5" x14ac:dyDescent="0.2">
      <c r="A527" s="3" t="s">
        <v>1162</v>
      </c>
      <c r="B527" s="3" t="s">
        <v>174</v>
      </c>
      <c r="C527" s="3" t="s">
        <v>8</v>
      </c>
      <c r="D527" s="3" t="s">
        <v>1163</v>
      </c>
      <c r="E527" s="3"/>
      <c r="F527" s="1" t="s">
        <v>175</v>
      </c>
      <c r="G527" s="1">
        <v>0</v>
      </c>
      <c r="H527" s="1">
        <v>1E-4</v>
      </c>
      <c r="I527" s="1">
        <v>1</v>
      </c>
      <c r="J527" s="1">
        <v>0</v>
      </c>
    </row>
    <row r="528" spans="1:10" ht="28.5" x14ac:dyDescent="0.2">
      <c r="A528" s="3" t="s">
        <v>1164</v>
      </c>
      <c r="B528" s="3" t="s">
        <v>174</v>
      </c>
      <c r="C528" s="3" t="s">
        <v>8</v>
      </c>
      <c r="D528" s="3" t="s">
        <v>1165</v>
      </c>
      <c r="E528" s="3"/>
      <c r="F528" s="1" t="s">
        <v>175</v>
      </c>
      <c r="G528" s="1">
        <v>0</v>
      </c>
      <c r="H528" s="1">
        <v>9.9999999999999995E-8</v>
      </c>
      <c r="I528" s="1">
        <v>1</v>
      </c>
      <c r="J528" s="1">
        <v>0</v>
      </c>
    </row>
    <row r="529" spans="1:10" x14ac:dyDescent="0.2">
      <c r="A529" s="46" t="s">
        <v>1166</v>
      </c>
      <c r="B529" s="4" t="s">
        <v>181</v>
      </c>
      <c r="C529" s="46" t="s">
        <v>8</v>
      </c>
      <c r="D529" s="46" t="s">
        <v>1167</v>
      </c>
      <c r="E529" s="46"/>
      <c r="F529" s="58" t="s">
        <v>190</v>
      </c>
      <c r="G529" s="58">
        <v>0</v>
      </c>
      <c r="H529" s="58">
        <v>9.9999999999999995E-8</v>
      </c>
      <c r="I529" s="58">
        <v>1</v>
      </c>
      <c r="J529" s="58">
        <v>0</v>
      </c>
    </row>
    <row r="530" spans="1:10" x14ac:dyDescent="0.2">
      <c r="A530" s="48"/>
      <c r="B530" s="6" t="s">
        <v>182</v>
      </c>
      <c r="C530" s="48"/>
      <c r="D530" s="48"/>
      <c r="E530" s="48"/>
      <c r="F530" s="60"/>
      <c r="G530" s="60"/>
      <c r="H530" s="60"/>
      <c r="I530" s="60"/>
      <c r="J530" s="60"/>
    </row>
    <row r="531" spans="1:10" x14ac:dyDescent="0.2">
      <c r="A531" s="48"/>
      <c r="B531" s="6" t="s">
        <v>183</v>
      </c>
      <c r="C531" s="48"/>
      <c r="D531" s="48"/>
      <c r="E531" s="48"/>
      <c r="F531" s="60"/>
      <c r="G531" s="60"/>
      <c r="H531" s="60"/>
      <c r="I531" s="60"/>
      <c r="J531" s="60"/>
    </row>
    <row r="532" spans="1:10" x14ac:dyDescent="0.2">
      <c r="A532" s="48"/>
      <c r="B532" s="6" t="s">
        <v>184</v>
      </c>
      <c r="C532" s="48"/>
      <c r="D532" s="48"/>
      <c r="E532" s="48"/>
      <c r="F532" s="60"/>
      <c r="G532" s="60"/>
      <c r="H532" s="60"/>
      <c r="I532" s="60"/>
      <c r="J532" s="60"/>
    </row>
    <row r="533" spans="1:10" x14ac:dyDescent="0.2">
      <c r="A533" s="48"/>
      <c r="B533" s="6" t="s">
        <v>185</v>
      </c>
      <c r="C533" s="48"/>
      <c r="D533" s="48"/>
      <c r="E533" s="48"/>
      <c r="F533" s="60"/>
      <c r="G533" s="60"/>
      <c r="H533" s="60"/>
      <c r="I533" s="60"/>
      <c r="J533" s="60"/>
    </row>
    <row r="534" spans="1:10" x14ac:dyDescent="0.2">
      <c r="A534" s="48"/>
      <c r="B534" s="6" t="s">
        <v>186</v>
      </c>
      <c r="C534" s="48"/>
      <c r="D534" s="48"/>
      <c r="E534" s="48"/>
      <c r="F534" s="60"/>
      <c r="G534" s="60"/>
      <c r="H534" s="60"/>
      <c r="I534" s="60"/>
      <c r="J534" s="60"/>
    </row>
    <row r="535" spans="1:10" x14ac:dyDescent="0.2">
      <c r="A535" s="48"/>
      <c r="B535" s="6" t="s">
        <v>187</v>
      </c>
      <c r="C535" s="48"/>
      <c r="D535" s="48"/>
      <c r="E535" s="48"/>
      <c r="F535" s="60"/>
      <c r="G535" s="60"/>
      <c r="H535" s="60"/>
      <c r="I535" s="60"/>
      <c r="J535" s="60"/>
    </row>
    <row r="536" spans="1:10" x14ac:dyDescent="0.2">
      <c r="A536" s="48"/>
      <c r="B536" s="6" t="s">
        <v>188</v>
      </c>
      <c r="C536" s="48"/>
      <c r="D536" s="48"/>
      <c r="E536" s="48"/>
      <c r="F536" s="60"/>
      <c r="G536" s="60"/>
      <c r="H536" s="60"/>
      <c r="I536" s="60"/>
      <c r="J536" s="60"/>
    </row>
    <row r="537" spans="1:10" x14ac:dyDescent="0.2">
      <c r="A537" s="47"/>
      <c r="B537" s="5" t="s">
        <v>189</v>
      </c>
      <c r="C537" s="47"/>
      <c r="D537" s="47"/>
      <c r="E537" s="47"/>
      <c r="F537" s="59"/>
      <c r="G537" s="59"/>
      <c r="H537" s="59"/>
      <c r="I537" s="59"/>
      <c r="J537" s="59"/>
    </row>
    <row r="538" spans="1:10" x14ac:dyDescent="0.2">
      <c r="A538" s="46" t="s">
        <v>1168</v>
      </c>
      <c r="B538" s="4" t="s">
        <v>166</v>
      </c>
      <c r="C538" s="46" t="s">
        <v>8</v>
      </c>
      <c r="D538" s="46" t="s">
        <v>1169</v>
      </c>
      <c r="E538" s="46" t="s">
        <v>1169</v>
      </c>
      <c r="F538" s="58" t="s">
        <v>168</v>
      </c>
      <c r="G538" s="58">
        <v>0</v>
      </c>
      <c r="H538" s="61">
        <v>1.6021770000000001E-19</v>
      </c>
      <c r="I538" s="58">
        <v>1</v>
      </c>
      <c r="J538" s="58">
        <v>0</v>
      </c>
    </row>
    <row r="539" spans="1:10" x14ac:dyDescent="0.2">
      <c r="A539" s="47"/>
      <c r="B539" s="5" t="s">
        <v>167</v>
      </c>
      <c r="C539" s="47"/>
      <c r="D539" s="47"/>
      <c r="E539" s="47"/>
      <c r="F539" s="59"/>
      <c r="G539" s="59"/>
      <c r="H539" s="62"/>
      <c r="I539" s="59"/>
      <c r="J539" s="59"/>
    </row>
    <row r="540" spans="1:10" x14ac:dyDescent="0.2">
      <c r="A540" s="46" t="s">
        <v>1170</v>
      </c>
      <c r="B540" s="4" t="s">
        <v>280</v>
      </c>
      <c r="C540" s="46" t="s">
        <v>8</v>
      </c>
      <c r="D540" s="46" t="s">
        <v>1171</v>
      </c>
      <c r="E540" s="46"/>
      <c r="F540" s="58" t="s">
        <v>290</v>
      </c>
      <c r="G540" s="58">
        <v>0</v>
      </c>
      <c r="H540" s="58">
        <v>1.8288</v>
      </c>
      <c r="I540" s="58">
        <v>1</v>
      </c>
      <c r="J540" s="58">
        <v>0</v>
      </c>
    </row>
    <row r="541" spans="1:10" x14ac:dyDescent="0.2">
      <c r="A541" s="47"/>
      <c r="B541" s="5" t="s">
        <v>277</v>
      </c>
      <c r="C541" s="47"/>
      <c r="D541" s="47"/>
      <c r="E541" s="47"/>
      <c r="F541" s="59"/>
      <c r="G541" s="59"/>
      <c r="H541" s="59"/>
      <c r="I541" s="59"/>
      <c r="J541" s="59"/>
    </row>
    <row r="542" spans="1:10" x14ac:dyDescent="0.2">
      <c r="A542" s="46" t="s">
        <v>1172</v>
      </c>
      <c r="B542" s="4" t="s">
        <v>90</v>
      </c>
      <c r="C542" s="46" t="s">
        <v>8</v>
      </c>
      <c r="D542" s="46" t="s">
        <v>1173</v>
      </c>
      <c r="E542" s="46" t="s">
        <v>1173</v>
      </c>
      <c r="F542" s="58" t="s">
        <v>93</v>
      </c>
      <c r="G542" s="58">
        <v>0</v>
      </c>
      <c r="H542" s="61">
        <v>1.0000000000000001E-15</v>
      </c>
      <c r="I542" s="58">
        <v>1</v>
      </c>
      <c r="J542" s="58">
        <v>0</v>
      </c>
    </row>
    <row r="543" spans="1:10" x14ac:dyDescent="0.2">
      <c r="A543" s="48"/>
      <c r="B543" s="6" t="s">
        <v>91</v>
      </c>
      <c r="C543" s="48"/>
      <c r="D543" s="48"/>
      <c r="E543" s="48"/>
      <c r="F543" s="60"/>
      <c r="G543" s="60"/>
      <c r="H543" s="63"/>
      <c r="I543" s="60"/>
      <c r="J543" s="60"/>
    </row>
    <row r="544" spans="1:10" x14ac:dyDescent="0.2">
      <c r="A544" s="47"/>
      <c r="B544" s="5" t="s">
        <v>92</v>
      </c>
      <c r="C544" s="47"/>
      <c r="D544" s="47"/>
      <c r="E544" s="47"/>
      <c r="F544" s="59"/>
      <c r="G544" s="59"/>
      <c r="H544" s="62"/>
      <c r="I544" s="59"/>
      <c r="J544" s="59"/>
    </row>
    <row r="545" spans="1:10" x14ac:dyDescent="0.2">
      <c r="A545" s="46" t="s">
        <v>1174</v>
      </c>
      <c r="B545" s="46" t="s">
        <v>321</v>
      </c>
      <c r="C545" s="46" t="s">
        <v>8</v>
      </c>
      <c r="D545" s="4" t="s">
        <v>1175</v>
      </c>
      <c r="E545" s="46"/>
      <c r="F545" s="58" t="s">
        <v>322</v>
      </c>
      <c r="G545" s="58">
        <v>0</v>
      </c>
      <c r="H545" s="58">
        <v>2.8413079999999999E-5</v>
      </c>
      <c r="I545" s="58">
        <v>1</v>
      </c>
      <c r="J545" s="58">
        <v>0</v>
      </c>
    </row>
    <row r="546" spans="1:10" ht="28.5" x14ac:dyDescent="0.2">
      <c r="A546" s="47"/>
      <c r="B546" s="47"/>
      <c r="C546" s="47"/>
      <c r="D546" s="5" t="s">
        <v>763</v>
      </c>
      <c r="E546" s="47"/>
      <c r="F546" s="59"/>
      <c r="G546" s="59"/>
      <c r="H546" s="59"/>
      <c r="I546" s="59"/>
      <c r="J546" s="59"/>
    </row>
    <row r="547" spans="1:10" x14ac:dyDescent="0.2">
      <c r="A547" s="46" t="s">
        <v>1176</v>
      </c>
      <c r="B547" s="46" t="s">
        <v>321</v>
      </c>
      <c r="C547" s="46" t="s">
        <v>8</v>
      </c>
      <c r="D547" s="4" t="s">
        <v>1177</v>
      </c>
      <c r="E547" s="46"/>
      <c r="F547" s="58" t="s">
        <v>322</v>
      </c>
      <c r="G547" s="58">
        <v>0</v>
      </c>
      <c r="H547" s="58">
        <v>2.9573529999999999E-5</v>
      </c>
      <c r="I547" s="58">
        <v>1</v>
      </c>
      <c r="J547" s="58">
        <v>0</v>
      </c>
    </row>
    <row r="548" spans="1:10" ht="28.5" x14ac:dyDescent="0.2">
      <c r="A548" s="47"/>
      <c r="B548" s="47"/>
      <c r="C548" s="47"/>
      <c r="D548" s="5" t="s">
        <v>763</v>
      </c>
      <c r="E548" s="47"/>
      <c r="F548" s="59"/>
      <c r="G548" s="59"/>
      <c r="H548" s="59"/>
      <c r="I548" s="59"/>
      <c r="J548" s="59"/>
    </row>
    <row r="549" spans="1:10" x14ac:dyDescent="0.2">
      <c r="A549" s="3" t="s">
        <v>1178</v>
      </c>
      <c r="B549" s="3" t="s">
        <v>36</v>
      </c>
      <c r="C549" s="3" t="s">
        <v>8</v>
      </c>
      <c r="D549" s="3" t="s">
        <v>1178</v>
      </c>
      <c r="E549" s="3" t="s">
        <v>38</v>
      </c>
      <c r="F549" s="1" t="s">
        <v>38</v>
      </c>
      <c r="G549" s="1">
        <v>0</v>
      </c>
      <c r="H549" s="1">
        <v>1</v>
      </c>
      <c r="I549" s="1">
        <v>1</v>
      </c>
      <c r="J549" s="1">
        <v>0</v>
      </c>
    </row>
    <row r="550" spans="1:10" ht="28.5" x14ac:dyDescent="0.2">
      <c r="A550" s="3" t="s">
        <v>1174</v>
      </c>
      <c r="B550" s="3" t="s">
        <v>321</v>
      </c>
      <c r="C550" s="3" t="s">
        <v>8</v>
      </c>
      <c r="D550" s="3" t="s">
        <v>1179</v>
      </c>
      <c r="E550" s="3"/>
      <c r="F550" s="1" t="s">
        <v>322</v>
      </c>
      <c r="G550" s="1">
        <v>0</v>
      </c>
      <c r="H550" s="1">
        <v>2.8413079999999999E-5</v>
      </c>
      <c r="I550" s="1">
        <v>1</v>
      </c>
      <c r="J550" s="1">
        <v>0</v>
      </c>
    </row>
    <row r="551" spans="1:10" ht="28.5" x14ac:dyDescent="0.2">
      <c r="A551" s="3" t="s">
        <v>1176</v>
      </c>
      <c r="B551" s="3" t="s">
        <v>321</v>
      </c>
      <c r="C551" s="3" t="s">
        <v>8</v>
      </c>
      <c r="D551" s="3" t="s">
        <v>1180</v>
      </c>
      <c r="E551" s="3"/>
      <c r="F551" s="1" t="s">
        <v>322</v>
      </c>
      <c r="G551" s="1">
        <v>0</v>
      </c>
      <c r="H551" s="1">
        <v>2.9573529999999999E-5</v>
      </c>
      <c r="I551" s="1">
        <v>1</v>
      </c>
      <c r="J551" s="1">
        <v>0</v>
      </c>
    </row>
    <row r="552" spans="1:10" x14ac:dyDescent="0.2">
      <c r="A552" s="46" t="s">
        <v>1181</v>
      </c>
      <c r="B552" s="4" t="s">
        <v>277</v>
      </c>
      <c r="C552" s="46" t="s">
        <v>8</v>
      </c>
      <c r="D552" s="46" t="s">
        <v>1182</v>
      </c>
      <c r="E552" s="46" t="s">
        <v>1182</v>
      </c>
      <c r="F552" s="58" t="s">
        <v>290</v>
      </c>
      <c r="G552" s="58">
        <v>0</v>
      </c>
      <c r="H552" s="61">
        <v>1.0000000000000001E-15</v>
      </c>
      <c r="I552" s="58">
        <v>1</v>
      </c>
      <c r="J552" s="58">
        <v>0</v>
      </c>
    </row>
    <row r="553" spans="1:10" x14ac:dyDescent="0.2">
      <c r="A553" s="48"/>
      <c r="B553" s="6" t="s">
        <v>278</v>
      </c>
      <c r="C553" s="48"/>
      <c r="D553" s="48"/>
      <c r="E553" s="48"/>
      <c r="F553" s="60"/>
      <c r="G553" s="60"/>
      <c r="H553" s="63"/>
      <c r="I553" s="60"/>
      <c r="J553" s="60"/>
    </row>
    <row r="554" spans="1:10" x14ac:dyDescent="0.2">
      <c r="A554" s="48"/>
      <c r="B554" s="6" t="s">
        <v>279</v>
      </c>
      <c r="C554" s="48"/>
      <c r="D554" s="48"/>
      <c r="E554" s="48"/>
      <c r="F554" s="60"/>
      <c r="G554" s="60"/>
      <c r="H554" s="63"/>
      <c r="I554" s="60"/>
      <c r="J554" s="60"/>
    </row>
    <row r="555" spans="1:10" x14ac:dyDescent="0.2">
      <c r="A555" s="48"/>
      <c r="B555" s="6" t="s">
        <v>281</v>
      </c>
      <c r="C555" s="48"/>
      <c r="D555" s="48"/>
      <c r="E555" s="48"/>
      <c r="F555" s="60"/>
      <c r="G555" s="60"/>
      <c r="H555" s="63"/>
      <c r="I555" s="60"/>
      <c r="J555" s="60"/>
    </row>
    <row r="556" spans="1:10" x14ac:dyDescent="0.2">
      <c r="A556" s="48"/>
      <c r="B556" s="6" t="s">
        <v>282</v>
      </c>
      <c r="C556" s="48"/>
      <c r="D556" s="48"/>
      <c r="E556" s="48"/>
      <c r="F556" s="60"/>
      <c r="G556" s="60"/>
      <c r="H556" s="63"/>
      <c r="I556" s="60"/>
      <c r="J556" s="60"/>
    </row>
    <row r="557" spans="1:10" x14ac:dyDescent="0.2">
      <c r="A557" s="48"/>
      <c r="B557" s="6" t="s">
        <v>283</v>
      </c>
      <c r="C557" s="48"/>
      <c r="D557" s="48"/>
      <c r="E557" s="48"/>
      <c r="F557" s="60"/>
      <c r="G557" s="60"/>
      <c r="H557" s="63"/>
      <c r="I557" s="60"/>
      <c r="J557" s="60"/>
    </row>
    <row r="558" spans="1:10" x14ac:dyDescent="0.2">
      <c r="A558" s="48"/>
      <c r="B558" s="6" t="s">
        <v>284</v>
      </c>
      <c r="C558" s="48"/>
      <c r="D558" s="48"/>
      <c r="E558" s="48"/>
      <c r="F558" s="60"/>
      <c r="G558" s="60"/>
      <c r="H558" s="63"/>
      <c r="I558" s="60"/>
      <c r="J558" s="60"/>
    </row>
    <row r="559" spans="1:10" x14ac:dyDescent="0.2">
      <c r="A559" s="48"/>
      <c r="B559" s="6" t="s">
        <v>285</v>
      </c>
      <c r="C559" s="48"/>
      <c r="D559" s="48"/>
      <c r="E559" s="48"/>
      <c r="F559" s="60"/>
      <c r="G559" s="60"/>
      <c r="H559" s="63"/>
      <c r="I559" s="60"/>
      <c r="J559" s="60"/>
    </row>
    <row r="560" spans="1:10" x14ac:dyDescent="0.2">
      <c r="A560" s="48"/>
      <c r="B560" s="6" t="s">
        <v>286</v>
      </c>
      <c r="C560" s="48"/>
      <c r="D560" s="48"/>
      <c r="E560" s="48"/>
      <c r="F560" s="60"/>
      <c r="G560" s="60"/>
      <c r="H560" s="63"/>
      <c r="I560" s="60"/>
      <c r="J560" s="60"/>
    </row>
    <row r="561" spans="1:10" x14ac:dyDescent="0.2">
      <c r="A561" s="48"/>
      <c r="B561" s="6" t="s">
        <v>287</v>
      </c>
      <c r="C561" s="48"/>
      <c r="D561" s="48"/>
      <c r="E561" s="48"/>
      <c r="F561" s="60"/>
      <c r="G561" s="60"/>
      <c r="H561" s="63"/>
      <c r="I561" s="60"/>
      <c r="J561" s="60"/>
    </row>
    <row r="562" spans="1:10" x14ac:dyDescent="0.2">
      <c r="A562" s="48"/>
      <c r="B562" s="6" t="s">
        <v>288</v>
      </c>
      <c r="C562" s="48"/>
      <c r="D562" s="48"/>
      <c r="E562" s="48"/>
      <c r="F562" s="60"/>
      <c r="G562" s="60"/>
      <c r="H562" s="63"/>
      <c r="I562" s="60"/>
      <c r="J562" s="60"/>
    </row>
    <row r="563" spans="1:10" x14ac:dyDescent="0.2">
      <c r="A563" s="47"/>
      <c r="B563" s="5" t="s">
        <v>289</v>
      </c>
      <c r="C563" s="47"/>
      <c r="D563" s="47"/>
      <c r="E563" s="47"/>
      <c r="F563" s="59"/>
      <c r="G563" s="59"/>
      <c r="H563" s="62"/>
      <c r="I563" s="59"/>
      <c r="J563" s="59"/>
    </row>
    <row r="564" spans="1:10" ht="28.5" x14ac:dyDescent="0.2">
      <c r="A564" s="3" t="s">
        <v>1183</v>
      </c>
      <c r="B564" s="3" t="s">
        <v>270</v>
      </c>
      <c r="C564" s="3" t="s">
        <v>8</v>
      </c>
      <c r="D564" s="3" t="s">
        <v>1184</v>
      </c>
      <c r="E564" s="3"/>
      <c r="F564" s="1" t="s">
        <v>271</v>
      </c>
      <c r="G564" s="1">
        <v>0</v>
      </c>
      <c r="H564" s="1">
        <v>10.763909999999999</v>
      </c>
      <c r="I564" s="1">
        <v>1</v>
      </c>
      <c r="J564" s="1">
        <v>0</v>
      </c>
    </row>
    <row r="565" spans="1:10" ht="42.75" x14ac:dyDescent="0.2">
      <c r="A565" s="3" t="s">
        <v>1185</v>
      </c>
      <c r="B565" s="3" t="s">
        <v>274</v>
      </c>
      <c r="C565" s="3" t="s">
        <v>8</v>
      </c>
      <c r="D565" s="3" t="s">
        <v>1186</v>
      </c>
      <c r="E565" s="3"/>
      <c r="F565" s="1" t="s">
        <v>275</v>
      </c>
      <c r="G565" s="1">
        <v>0</v>
      </c>
      <c r="H565" s="1">
        <v>10.763909999999999</v>
      </c>
      <c r="I565" s="1">
        <v>1</v>
      </c>
      <c r="J565" s="1">
        <v>0</v>
      </c>
    </row>
    <row r="566" spans="1:10" x14ac:dyDescent="0.2">
      <c r="A566" s="46" t="s">
        <v>1187</v>
      </c>
      <c r="B566" s="4" t="s">
        <v>277</v>
      </c>
      <c r="C566" s="46" t="s">
        <v>8</v>
      </c>
      <c r="D566" s="46" t="s">
        <v>1188</v>
      </c>
      <c r="E566" s="46" t="s">
        <v>1188</v>
      </c>
      <c r="F566" s="58" t="s">
        <v>290</v>
      </c>
      <c r="G566" s="58">
        <v>0</v>
      </c>
      <c r="H566" s="58">
        <v>0.30480000000000002</v>
      </c>
      <c r="I566" s="58">
        <v>1</v>
      </c>
      <c r="J566" s="58">
        <v>0</v>
      </c>
    </row>
    <row r="567" spans="1:10" x14ac:dyDescent="0.2">
      <c r="A567" s="48"/>
      <c r="B567" s="6" t="s">
        <v>278</v>
      </c>
      <c r="C567" s="48"/>
      <c r="D567" s="48"/>
      <c r="E567" s="48"/>
      <c r="F567" s="60"/>
      <c r="G567" s="60"/>
      <c r="H567" s="60"/>
      <c r="I567" s="60"/>
      <c r="J567" s="60"/>
    </row>
    <row r="568" spans="1:10" x14ac:dyDescent="0.2">
      <c r="A568" s="48"/>
      <c r="B568" s="6" t="s">
        <v>279</v>
      </c>
      <c r="C568" s="48"/>
      <c r="D568" s="48"/>
      <c r="E568" s="48"/>
      <c r="F568" s="60"/>
      <c r="G568" s="60"/>
      <c r="H568" s="60"/>
      <c r="I568" s="60"/>
      <c r="J568" s="60"/>
    </row>
    <row r="569" spans="1:10" x14ac:dyDescent="0.2">
      <c r="A569" s="48"/>
      <c r="B569" s="6" t="s">
        <v>281</v>
      </c>
      <c r="C569" s="48"/>
      <c r="D569" s="48"/>
      <c r="E569" s="48"/>
      <c r="F569" s="60"/>
      <c r="G569" s="60"/>
      <c r="H569" s="60"/>
      <c r="I569" s="60"/>
      <c r="J569" s="60"/>
    </row>
    <row r="570" spans="1:10" x14ac:dyDescent="0.2">
      <c r="A570" s="48"/>
      <c r="B570" s="6" t="s">
        <v>282</v>
      </c>
      <c r="C570" s="48"/>
      <c r="D570" s="48"/>
      <c r="E570" s="48"/>
      <c r="F570" s="60"/>
      <c r="G570" s="60"/>
      <c r="H570" s="60"/>
      <c r="I570" s="60"/>
      <c r="J570" s="60"/>
    </row>
    <row r="571" spans="1:10" x14ac:dyDescent="0.2">
      <c r="A571" s="48"/>
      <c r="B571" s="6" t="s">
        <v>283</v>
      </c>
      <c r="C571" s="48"/>
      <c r="D571" s="48"/>
      <c r="E571" s="48"/>
      <c r="F571" s="60"/>
      <c r="G571" s="60"/>
      <c r="H571" s="60"/>
      <c r="I571" s="60"/>
      <c r="J571" s="60"/>
    </row>
    <row r="572" spans="1:10" x14ac:dyDescent="0.2">
      <c r="A572" s="48"/>
      <c r="B572" s="6" t="s">
        <v>284</v>
      </c>
      <c r="C572" s="48"/>
      <c r="D572" s="48"/>
      <c r="E572" s="48"/>
      <c r="F572" s="60"/>
      <c r="G572" s="60"/>
      <c r="H572" s="60"/>
      <c r="I572" s="60"/>
      <c r="J572" s="60"/>
    </row>
    <row r="573" spans="1:10" x14ac:dyDescent="0.2">
      <c r="A573" s="48"/>
      <c r="B573" s="6" t="s">
        <v>285</v>
      </c>
      <c r="C573" s="48"/>
      <c r="D573" s="48"/>
      <c r="E573" s="48"/>
      <c r="F573" s="60"/>
      <c r="G573" s="60"/>
      <c r="H573" s="60"/>
      <c r="I573" s="60"/>
      <c r="J573" s="60"/>
    </row>
    <row r="574" spans="1:10" x14ac:dyDescent="0.2">
      <c r="A574" s="48"/>
      <c r="B574" s="6" t="s">
        <v>286</v>
      </c>
      <c r="C574" s="48"/>
      <c r="D574" s="48"/>
      <c r="E574" s="48"/>
      <c r="F574" s="60"/>
      <c r="G574" s="60"/>
      <c r="H574" s="60"/>
      <c r="I574" s="60"/>
      <c r="J574" s="60"/>
    </row>
    <row r="575" spans="1:10" x14ac:dyDescent="0.2">
      <c r="A575" s="48"/>
      <c r="B575" s="6" t="s">
        <v>287</v>
      </c>
      <c r="C575" s="48"/>
      <c r="D575" s="48"/>
      <c r="E575" s="48"/>
      <c r="F575" s="60"/>
      <c r="G575" s="60"/>
      <c r="H575" s="60"/>
      <c r="I575" s="60"/>
      <c r="J575" s="60"/>
    </row>
    <row r="576" spans="1:10" x14ac:dyDescent="0.2">
      <c r="A576" s="48"/>
      <c r="B576" s="6" t="s">
        <v>288</v>
      </c>
      <c r="C576" s="48"/>
      <c r="D576" s="48"/>
      <c r="E576" s="48"/>
      <c r="F576" s="60"/>
      <c r="G576" s="60"/>
      <c r="H576" s="60"/>
      <c r="I576" s="60"/>
      <c r="J576" s="60"/>
    </row>
    <row r="577" spans="1:10" x14ac:dyDescent="0.2">
      <c r="A577" s="47"/>
      <c r="B577" s="5" t="s">
        <v>289</v>
      </c>
      <c r="C577" s="47"/>
      <c r="D577" s="47"/>
      <c r="E577" s="47"/>
      <c r="F577" s="59"/>
      <c r="G577" s="59"/>
      <c r="H577" s="59"/>
      <c r="I577" s="59"/>
      <c r="J577" s="59"/>
    </row>
    <row r="578" spans="1:10" x14ac:dyDescent="0.2">
      <c r="A578" s="46" t="s">
        <v>1189</v>
      </c>
      <c r="B578" s="4" t="s">
        <v>163</v>
      </c>
      <c r="C578" s="46" t="s">
        <v>8</v>
      </c>
      <c r="D578" s="46" t="s">
        <v>1190</v>
      </c>
      <c r="E578" s="46" t="s">
        <v>1190</v>
      </c>
      <c r="F578" s="58" t="s">
        <v>168</v>
      </c>
      <c r="G578" s="58">
        <v>0</v>
      </c>
      <c r="H578" s="58">
        <v>1.355818</v>
      </c>
      <c r="I578" s="58">
        <v>1</v>
      </c>
      <c r="J578" s="58">
        <v>0</v>
      </c>
    </row>
    <row r="579" spans="1:10" x14ac:dyDescent="0.2">
      <c r="A579" s="48"/>
      <c r="B579" s="6" t="s">
        <v>164</v>
      </c>
      <c r="C579" s="48"/>
      <c r="D579" s="48"/>
      <c r="E579" s="48"/>
      <c r="F579" s="60"/>
      <c r="G579" s="60"/>
      <c r="H579" s="60"/>
      <c r="I579" s="60"/>
      <c r="J579" s="60"/>
    </row>
    <row r="580" spans="1:10" x14ac:dyDescent="0.2">
      <c r="A580" s="47"/>
      <c r="B580" s="5" t="s">
        <v>165</v>
      </c>
      <c r="C580" s="47"/>
      <c r="D580" s="47"/>
      <c r="E580" s="47"/>
      <c r="F580" s="59"/>
      <c r="G580" s="59"/>
      <c r="H580" s="59"/>
      <c r="I580" s="59"/>
      <c r="J580" s="59"/>
    </row>
    <row r="581" spans="1:10" x14ac:dyDescent="0.2">
      <c r="A581" s="46" t="s">
        <v>1191</v>
      </c>
      <c r="B581" s="4" t="s">
        <v>181</v>
      </c>
      <c r="C581" s="46" t="s">
        <v>8</v>
      </c>
      <c r="D581" s="46" t="s">
        <v>1192</v>
      </c>
      <c r="E581" s="46" t="s">
        <v>1192</v>
      </c>
      <c r="F581" s="58" t="s">
        <v>190</v>
      </c>
      <c r="G581" s="58">
        <v>0</v>
      </c>
      <c r="H581" s="58">
        <v>1.355818</v>
      </c>
      <c r="I581" s="58">
        <v>0.1589873</v>
      </c>
      <c r="J581" s="58">
        <v>0</v>
      </c>
    </row>
    <row r="582" spans="1:10" x14ac:dyDescent="0.2">
      <c r="A582" s="48"/>
      <c r="B582" s="6" t="s">
        <v>182</v>
      </c>
      <c r="C582" s="48"/>
      <c r="D582" s="48"/>
      <c r="E582" s="48"/>
      <c r="F582" s="60"/>
      <c r="G582" s="60"/>
      <c r="H582" s="60"/>
      <c r="I582" s="60"/>
      <c r="J582" s="60"/>
    </row>
    <row r="583" spans="1:10" x14ac:dyDescent="0.2">
      <c r="A583" s="48"/>
      <c r="B583" s="6" t="s">
        <v>183</v>
      </c>
      <c r="C583" s="48"/>
      <c r="D583" s="48"/>
      <c r="E583" s="48"/>
      <c r="F583" s="60"/>
      <c r="G583" s="60"/>
      <c r="H583" s="60"/>
      <c r="I583" s="60"/>
      <c r="J583" s="60"/>
    </row>
    <row r="584" spans="1:10" x14ac:dyDescent="0.2">
      <c r="A584" s="48"/>
      <c r="B584" s="6" t="s">
        <v>184</v>
      </c>
      <c r="C584" s="48"/>
      <c r="D584" s="48"/>
      <c r="E584" s="48"/>
      <c r="F584" s="60"/>
      <c r="G584" s="60"/>
      <c r="H584" s="60"/>
      <c r="I584" s="60"/>
      <c r="J584" s="60"/>
    </row>
    <row r="585" spans="1:10" x14ac:dyDescent="0.2">
      <c r="A585" s="48"/>
      <c r="B585" s="6" t="s">
        <v>185</v>
      </c>
      <c r="C585" s="48"/>
      <c r="D585" s="48"/>
      <c r="E585" s="48"/>
      <c r="F585" s="60"/>
      <c r="G585" s="60"/>
      <c r="H585" s="60"/>
      <c r="I585" s="60"/>
      <c r="J585" s="60"/>
    </row>
    <row r="586" spans="1:10" x14ac:dyDescent="0.2">
      <c r="A586" s="48"/>
      <c r="B586" s="6" t="s">
        <v>186</v>
      </c>
      <c r="C586" s="48"/>
      <c r="D586" s="48"/>
      <c r="E586" s="48"/>
      <c r="F586" s="60"/>
      <c r="G586" s="60"/>
      <c r="H586" s="60"/>
      <c r="I586" s="60"/>
      <c r="J586" s="60"/>
    </row>
    <row r="587" spans="1:10" x14ac:dyDescent="0.2">
      <c r="A587" s="48"/>
      <c r="B587" s="6" t="s">
        <v>187</v>
      </c>
      <c r="C587" s="48"/>
      <c r="D587" s="48"/>
      <c r="E587" s="48"/>
      <c r="F587" s="60"/>
      <c r="G587" s="60"/>
      <c r="H587" s="60"/>
      <c r="I587" s="60"/>
      <c r="J587" s="60"/>
    </row>
    <row r="588" spans="1:10" x14ac:dyDescent="0.2">
      <c r="A588" s="48"/>
      <c r="B588" s="6" t="s">
        <v>188</v>
      </c>
      <c r="C588" s="48"/>
      <c r="D588" s="48"/>
      <c r="E588" s="48"/>
      <c r="F588" s="60"/>
      <c r="G588" s="60"/>
      <c r="H588" s="60"/>
      <c r="I588" s="60"/>
      <c r="J588" s="60"/>
    </row>
    <row r="589" spans="1:10" x14ac:dyDescent="0.2">
      <c r="A589" s="47"/>
      <c r="B589" s="5" t="s">
        <v>189</v>
      </c>
      <c r="C589" s="47"/>
      <c r="D589" s="47"/>
      <c r="E589" s="47"/>
      <c r="F589" s="59"/>
      <c r="G589" s="59"/>
      <c r="H589" s="59"/>
      <c r="I589" s="59"/>
      <c r="J589" s="59"/>
    </row>
    <row r="590" spans="1:10" x14ac:dyDescent="0.2">
      <c r="A590" s="46" t="s">
        <v>1193</v>
      </c>
      <c r="B590" s="4" t="s">
        <v>181</v>
      </c>
      <c r="C590" s="46" t="s">
        <v>8</v>
      </c>
      <c r="D590" s="46" t="s">
        <v>1194</v>
      </c>
      <c r="E590" s="46" t="s">
        <v>1194</v>
      </c>
      <c r="F590" s="58" t="s">
        <v>190</v>
      </c>
      <c r="G590" s="58">
        <v>0</v>
      </c>
      <c r="H590" s="58">
        <v>358.16919999999999</v>
      </c>
      <c r="I590" s="58">
        <v>1</v>
      </c>
      <c r="J590" s="58">
        <v>0</v>
      </c>
    </row>
    <row r="591" spans="1:10" x14ac:dyDescent="0.2">
      <c r="A591" s="48"/>
      <c r="B591" s="6" t="s">
        <v>182</v>
      </c>
      <c r="C591" s="48"/>
      <c r="D591" s="48"/>
      <c r="E591" s="48"/>
      <c r="F591" s="60"/>
      <c r="G591" s="60"/>
      <c r="H591" s="60"/>
      <c r="I591" s="60"/>
      <c r="J591" s="60"/>
    </row>
    <row r="592" spans="1:10" x14ac:dyDescent="0.2">
      <c r="A592" s="48"/>
      <c r="B592" s="6" t="s">
        <v>183</v>
      </c>
      <c r="C592" s="48"/>
      <c r="D592" s="48"/>
      <c r="E592" s="48"/>
      <c r="F592" s="60"/>
      <c r="G592" s="60"/>
      <c r="H592" s="60"/>
      <c r="I592" s="60"/>
      <c r="J592" s="60"/>
    </row>
    <row r="593" spans="1:10" x14ac:dyDescent="0.2">
      <c r="A593" s="48"/>
      <c r="B593" s="6" t="s">
        <v>184</v>
      </c>
      <c r="C593" s="48"/>
      <c r="D593" s="48"/>
      <c r="E593" s="48"/>
      <c r="F593" s="60"/>
      <c r="G593" s="60"/>
      <c r="H593" s="60"/>
      <c r="I593" s="60"/>
      <c r="J593" s="60"/>
    </row>
    <row r="594" spans="1:10" x14ac:dyDescent="0.2">
      <c r="A594" s="48"/>
      <c r="B594" s="6" t="s">
        <v>185</v>
      </c>
      <c r="C594" s="48"/>
      <c r="D594" s="48"/>
      <c r="E594" s="48"/>
      <c r="F594" s="60"/>
      <c r="G594" s="60"/>
      <c r="H594" s="60"/>
      <c r="I594" s="60"/>
      <c r="J594" s="60"/>
    </row>
    <row r="595" spans="1:10" x14ac:dyDescent="0.2">
      <c r="A595" s="48"/>
      <c r="B595" s="6" t="s">
        <v>186</v>
      </c>
      <c r="C595" s="48"/>
      <c r="D595" s="48"/>
      <c r="E595" s="48"/>
      <c r="F595" s="60"/>
      <c r="G595" s="60"/>
      <c r="H595" s="60"/>
      <c r="I595" s="60"/>
      <c r="J595" s="60"/>
    </row>
    <row r="596" spans="1:10" x14ac:dyDescent="0.2">
      <c r="A596" s="48"/>
      <c r="B596" s="6" t="s">
        <v>187</v>
      </c>
      <c r="C596" s="48"/>
      <c r="D596" s="48"/>
      <c r="E596" s="48"/>
      <c r="F596" s="60"/>
      <c r="G596" s="60"/>
      <c r="H596" s="60"/>
      <c r="I596" s="60"/>
      <c r="J596" s="60"/>
    </row>
    <row r="597" spans="1:10" x14ac:dyDescent="0.2">
      <c r="A597" s="48"/>
      <c r="B597" s="6" t="s">
        <v>188</v>
      </c>
      <c r="C597" s="48"/>
      <c r="D597" s="48"/>
      <c r="E597" s="48"/>
      <c r="F597" s="60"/>
      <c r="G597" s="60"/>
      <c r="H597" s="60"/>
      <c r="I597" s="60"/>
      <c r="J597" s="60"/>
    </row>
    <row r="598" spans="1:10" x14ac:dyDescent="0.2">
      <c r="A598" s="47"/>
      <c r="B598" s="5" t="s">
        <v>189</v>
      </c>
      <c r="C598" s="47"/>
      <c r="D598" s="47"/>
      <c r="E598" s="47"/>
      <c r="F598" s="59"/>
      <c r="G598" s="59"/>
      <c r="H598" s="59"/>
      <c r="I598" s="59"/>
      <c r="J598" s="59"/>
    </row>
    <row r="599" spans="1:10" ht="57" x14ac:dyDescent="0.2">
      <c r="A599" s="3" t="s">
        <v>1195</v>
      </c>
      <c r="B599" s="3" t="s">
        <v>174</v>
      </c>
      <c r="C599" s="3" t="s">
        <v>8</v>
      </c>
      <c r="D599" s="3" t="s">
        <v>1196</v>
      </c>
      <c r="E599" s="3" t="s">
        <v>1196</v>
      </c>
      <c r="F599" s="1" t="s">
        <v>175</v>
      </c>
      <c r="G599" s="1">
        <v>0</v>
      </c>
      <c r="H599" s="1">
        <v>1.355818</v>
      </c>
      <c r="I599" s="1">
        <v>0.45359240000000001</v>
      </c>
      <c r="J599" s="1">
        <v>0</v>
      </c>
    </row>
    <row r="600" spans="1:10" ht="57" x14ac:dyDescent="0.2">
      <c r="A600" s="3" t="s">
        <v>1197</v>
      </c>
      <c r="B600" s="3" t="s">
        <v>532</v>
      </c>
      <c r="C600" s="3" t="s">
        <v>8</v>
      </c>
      <c r="D600" s="3" t="s">
        <v>1198</v>
      </c>
      <c r="E600" s="3" t="s">
        <v>1198</v>
      </c>
      <c r="F600" s="1" t="s">
        <v>533</v>
      </c>
      <c r="G600" s="1">
        <v>0</v>
      </c>
      <c r="H600" s="1">
        <v>2.2596970000000001E-2</v>
      </c>
      <c r="I600" s="1">
        <v>1</v>
      </c>
      <c r="J600" s="1">
        <v>0</v>
      </c>
    </row>
    <row r="601" spans="1:10" ht="57" x14ac:dyDescent="0.2">
      <c r="A601" s="3" t="s">
        <v>1199</v>
      </c>
      <c r="B601" s="3" t="s">
        <v>532</v>
      </c>
      <c r="C601" s="3" t="s">
        <v>8</v>
      </c>
      <c r="D601" s="3" t="s">
        <v>1200</v>
      </c>
      <c r="E601" s="3" t="s">
        <v>1200</v>
      </c>
      <c r="F601" s="1" t="s">
        <v>533</v>
      </c>
      <c r="G601" s="1">
        <v>0</v>
      </c>
      <c r="H601" s="1">
        <v>1.355818</v>
      </c>
      <c r="I601" s="1">
        <v>1</v>
      </c>
      <c r="J601" s="1">
        <v>0</v>
      </c>
    </row>
    <row r="602" spans="1:10" ht="42.75" x14ac:dyDescent="0.2">
      <c r="A602" s="3" t="s">
        <v>1201</v>
      </c>
      <c r="B602" s="3" t="s">
        <v>224</v>
      </c>
      <c r="C602" s="3" t="s">
        <v>8</v>
      </c>
      <c r="D602" s="3" t="s">
        <v>1202</v>
      </c>
      <c r="E602" s="3" t="s">
        <v>1202</v>
      </c>
      <c r="F602" s="1" t="s">
        <v>225</v>
      </c>
      <c r="G602" s="1">
        <v>0</v>
      </c>
      <c r="H602" s="1">
        <v>0.13825489999999999</v>
      </c>
      <c r="I602" s="1">
        <v>1</v>
      </c>
      <c r="J602" s="1">
        <v>0</v>
      </c>
    </row>
    <row r="603" spans="1:10" x14ac:dyDescent="0.2">
      <c r="A603" s="46" t="s">
        <v>1203</v>
      </c>
      <c r="B603" s="4" t="s">
        <v>128</v>
      </c>
      <c r="C603" s="46" t="s">
        <v>8</v>
      </c>
      <c r="D603" s="46" t="s">
        <v>1206</v>
      </c>
      <c r="E603" s="46"/>
      <c r="F603" s="58" t="s">
        <v>131</v>
      </c>
      <c r="G603" s="58">
        <v>0</v>
      </c>
      <c r="H603" s="58">
        <v>0.01</v>
      </c>
      <c r="I603" s="58">
        <v>1</v>
      </c>
      <c r="J603" s="58">
        <v>0</v>
      </c>
    </row>
    <row r="604" spans="1:10" x14ac:dyDescent="0.2">
      <c r="A604" s="48"/>
      <c r="B604" s="6" t="s">
        <v>585</v>
      </c>
      <c r="C604" s="48"/>
      <c r="D604" s="48"/>
      <c r="E604" s="48"/>
      <c r="F604" s="60"/>
      <c r="G604" s="60"/>
      <c r="H604" s="60"/>
      <c r="I604" s="60"/>
      <c r="J604" s="60"/>
    </row>
    <row r="605" spans="1:10" x14ac:dyDescent="0.2">
      <c r="A605" s="48"/>
      <c r="B605" s="6" t="s">
        <v>1204</v>
      </c>
      <c r="C605" s="48"/>
      <c r="D605" s="48"/>
      <c r="E605" s="48"/>
      <c r="F605" s="60"/>
      <c r="G605" s="60"/>
      <c r="H605" s="60"/>
      <c r="I605" s="60"/>
      <c r="J605" s="60"/>
    </row>
    <row r="606" spans="1:10" x14ac:dyDescent="0.2">
      <c r="A606" s="48"/>
      <c r="B606" s="6" t="s">
        <v>1205</v>
      </c>
      <c r="C606" s="48"/>
      <c r="D606" s="48"/>
      <c r="E606" s="48"/>
      <c r="F606" s="60"/>
      <c r="G606" s="60"/>
      <c r="H606" s="60"/>
      <c r="I606" s="60"/>
      <c r="J606" s="60"/>
    </row>
    <row r="607" spans="1:10" x14ac:dyDescent="0.2">
      <c r="A607" s="47"/>
      <c r="B607" s="5" t="s">
        <v>587</v>
      </c>
      <c r="C607" s="47"/>
      <c r="D607" s="47"/>
      <c r="E607" s="47"/>
      <c r="F607" s="59"/>
      <c r="G607" s="59"/>
      <c r="H607" s="59"/>
      <c r="I607" s="59"/>
      <c r="J607" s="59"/>
    </row>
    <row r="608" spans="1:10" x14ac:dyDescent="0.2">
      <c r="A608" s="3" t="s">
        <v>1207</v>
      </c>
      <c r="B608" s="3" t="s">
        <v>1208</v>
      </c>
      <c r="C608" s="3" t="s">
        <v>8</v>
      </c>
      <c r="D608" s="3" t="s">
        <v>1209</v>
      </c>
      <c r="E608" s="3" t="s">
        <v>1209</v>
      </c>
      <c r="F608" s="1" t="s">
        <v>23</v>
      </c>
      <c r="G608" s="1">
        <v>0</v>
      </c>
      <c r="H608" s="1">
        <v>1.9171339999999999</v>
      </c>
      <c r="I608" s="1">
        <v>1</v>
      </c>
      <c r="J608" s="1">
        <v>0</v>
      </c>
    </row>
    <row r="609" spans="1:10" x14ac:dyDescent="0.2">
      <c r="A609" s="3" t="s">
        <v>1210</v>
      </c>
      <c r="B609" s="3" t="s">
        <v>296</v>
      </c>
      <c r="C609" s="3" t="s">
        <v>8</v>
      </c>
      <c r="D609" s="3" t="s">
        <v>1211</v>
      </c>
      <c r="E609" s="3" t="s">
        <v>1211</v>
      </c>
      <c r="F609" s="1" t="s">
        <v>297</v>
      </c>
      <c r="G609" s="1">
        <v>0</v>
      </c>
      <c r="H609" s="1">
        <v>0.30480000000000002</v>
      </c>
      <c r="I609" s="1">
        <v>86400</v>
      </c>
      <c r="J609" s="1">
        <v>0</v>
      </c>
    </row>
    <row r="610" spans="1:10" ht="57" x14ac:dyDescent="0.2">
      <c r="A610" s="3" t="s">
        <v>1212</v>
      </c>
      <c r="B610" s="3" t="s">
        <v>293</v>
      </c>
      <c r="C610" s="3" t="s">
        <v>8</v>
      </c>
      <c r="D610" s="3" t="s">
        <v>1213</v>
      </c>
      <c r="E610" s="3" t="s">
        <v>1213</v>
      </c>
      <c r="F610" s="1" t="s">
        <v>294</v>
      </c>
      <c r="G610" s="1">
        <v>0</v>
      </c>
      <c r="H610" s="1">
        <v>0.54864000000000002</v>
      </c>
      <c r="I610" s="1">
        <v>1</v>
      </c>
      <c r="J610" s="1">
        <v>0</v>
      </c>
    </row>
    <row r="611" spans="1:10" x14ac:dyDescent="0.2">
      <c r="A611" s="46" t="s">
        <v>1214</v>
      </c>
      <c r="B611" s="4" t="s">
        <v>128</v>
      </c>
      <c r="C611" s="46" t="s">
        <v>8</v>
      </c>
      <c r="D611" s="46" t="s">
        <v>1215</v>
      </c>
      <c r="E611" s="46" t="s">
        <v>1215</v>
      </c>
      <c r="F611" s="58" t="s">
        <v>131</v>
      </c>
      <c r="G611" s="58">
        <v>0</v>
      </c>
      <c r="H611" s="58">
        <v>1</v>
      </c>
      <c r="I611" s="58">
        <v>1</v>
      </c>
      <c r="J611" s="58">
        <v>0</v>
      </c>
    </row>
    <row r="612" spans="1:10" x14ac:dyDescent="0.2">
      <c r="A612" s="48"/>
      <c r="B612" s="6" t="s">
        <v>585</v>
      </c>
      <c r="C612" s="48"/>
      <c r="D612" s="48"/>
      <c r="E612" s="48"/>
      <c r="F612" s="60"/>
      <c r="G612" s="60"/>
      <c r="H612" s="60"/>
      <c r="I612" s="60"/>
      <c r="J612" s="60"/>
    </row>
    <row r="613" spans="1:10" x14ac:dyDescent="0.2">
      <c r="A613" s="48"/>
      <c r="B613" s="6" t="s">
        <v>1204</v>
      </c>
      <c r="C613" s="48"/>
      <c r="D613" s="48"/>
      <c r="E613" s="48"/>
      <c r="F613" s="60"/>
      <c r="G613" s="60"/>
      <c r="H613" s="60"/>
      <c r="I613" s="60"/>
      <c r="J613" s="60"/>
    </row>
    <row r="614" spans="1:10" x14ac:dyDescent="0.2">
      <c r="A614" s="48"/>
      <c r="B614" s="6" t="s">
        <v>1205</v>
      </c>
      <c r="C614" s="48"/>
      <c r="D614" s="48"/>
      <c r="E614" s="48"/>
      <c r="F614" s="60"/>
      <c r="G614" s="60"/>
      <c r="H614" s="60"/>
      <c r="I614" s="60"/>
      <c r="J614" s="60"/>
    </row>
    <row r="615" spans="1:10" x14ac:dyDescent="0.2">
      <c r="A615" s="47"/>
      <c r="B615" s="5" t="s">
        <v>587</v>
      </c>
      <c r="C615" s="47"/>
      <c r="D615" s="47"/>
      <c r="E615" s="47"/>
      <c r="F615" s="59"/>
      <c r="G615" s="59"/>
      <c r="H615" s="59"/>
      <c r="I615" s="59"/>
      <c r="J615" s="59"/>
    </row>
    <row r="616" spans="1:10" ht="28.5" x14ac:dyDescent="0.2">
      <c r="A616" s="3" t="s">
        <v>1216</v>
      </c>
      <c r="B616" s="3" t="s">
        <v>1208</v>
      </c>
      <c r="C616" s="3" t="s">
        <v>8</v>
      </c>
      <c r="D616" s="3" t="s">
        <v>1217</v>
      </c>
      <c r="E616" s="3" t="s">
        <v>1217</v>
      </c>
      <c r="F616" s="1" t="s">
        <v>23</v>
      </c>
      <c r="G616" s="1">
        <v>0</v>
      </c>
      <c r="H616" s="1">
        <v>10.763909999999999</v>
      </c>
      <c r="I616" s="1">
        <v>1</v>
      </c>
      <c r="J616" s="1">
        <v>0</v>
      </c>
    </row>
    <row r="617" spans="1:10" ht="28.5" x14ac:dyDescent="0.2">
      <c r="A617" s="3" t="s">
        <v>1218</v>
      </c>
      <c r="B617" s="3" t="s">
        <v>1208</v>
      </c>
      <c r="C617" s="3" t="s">
        <v>8</v>
      </c>
      <c r="D617" s="3" t="s">
        <v>1219</v>
      </c>
      <c r="E617" s="3" t="s">
        <v>1219</v>
      </c>
      <c r="F617" s="1" t="s">
        <v>23</v>
      </c>
      <c r="G617" s="1">
        <v>0</v>
      </c>
      <c r="H617" s="1">
        <v>80.519639999999995</v>
      </c>
      <c r="I617" s="1">
        <v>1</v>
      </c>
      <c r="J617" s="1">
        <v>0</v>
      </c>
    </row>
    <row r="618" spans="1:10" x14ac:dyDescent="0.2">
      <c r="A618" s="3" t="s">
        <v>1220</v>
      </c>
      <c r="B618" s="3" t="s">
        <v>296</v>
      </c>
      <c r="C618" s="3" t="s">
        <v>8</v>
      </c>
      <c r="D618" s="3" t="s">
        <v>1221</v>
      </c>
      <c r="E618" s="3" t="s">
        <v>1221</v>
      </c>
      <c r="F618" s="1" t="s">
        <v>297</v>
      </c>
      <c r="G618" s="1">
        <v>0</v>
      </c>
      <c r="H618" s="1">
        <v>0.30480000000000002</v>
      </c>
      <c r="I618" s="1">
        <v>3600</v>
      </c>
      <c r="J618" s="1">
        <v>0</v>
      </c>
    </row>
    <row r="619" spans="1:10" x14ac:dyDescent="0.2">
      <c r="A619" s="46" t="s">
        <v>1222</v>
      </c>
      <c r="B619" s="4" t="s">
        <v>1204</v>
      </c>
      <c r="C619" s="46" t="s">
        <v>8</v>
      </c>
      <c r="D619" s="46" t="s">
        <v>1223</v>
      </c>
      <c r="E619" s="46" t="s">
        <v>1223</v>
      </c>
      <c r="F619" s="58" t="s">
        <v>131</v>
      </c>
      <c r="G619" s="58">
        <v>0</v>
      </c>
      <c r="H619" s="58">
        <v>12</v>
      </c>
      <c r="I619" s="58">
        <v>1</v>
      </c>
      <c r="J619" s="58">
        <v>0</v>
      </c>
    </row>
    <row r="620" spans="1:10" x14ac:dyDescent="0.2">
      <c r="A620" s="47"/>
      <c r="B620" s="5" t="s">
        <v>587</v>
      </c>
      <c r="C620" s="47"/>
      <c r="D620" s="47"/>
      <c r="E620" s="47"/>
      <c r="F620" s="59"/>
      <c r="G620" s="59"/>
      <c r="H620" s="59"/>
      <c r="I620" s="59"/>
      <c r="J620" s="59"/>
    </row>
    <row r="621" spans="1:10" x14ac:dyDescent="0.2">
      <c r="A621" s="46" t="s">
        <v>1224</v>
      </c>
      <c r="B621" s="4" t="s">
        <v>128</v>
      </c>
      <c r="C621" s="46" t="s">
        <v>8</v>
      </c>
      <c r="D621" s="46" t="s">
        <v>1225</v>
      </c>
      <c r="E621" s="46" t="s">
        <v>1225</v>
      </c>
      <c r="F621" s="58" t="s">
        <v>131</v>
      </c>
      <c r="G621" s="58">
        <v>0</v>
      </c>
      <c r="H621" s="58">
        <v>0.30480000000000002</v>
      </c>
      <c r="I621" s="58">
        <v>1</v>
      </c>
      <c r="J621" s="58">
        <v>0</v>
      </c>
    </row>
    <row r="622" spans="1:10" x14ac:dyDescent="0.2">
      <c r="A622" s="48"/>
      <c r="B622" s="6" t="s">
        <v>585</v>
      </c>
      <c r="C622" s="48"/>
      <c r="D622" s="48"/>
      <c r="E622" s="48"/>
      <c r="F622" s="60"/>
      <c r="G622" s="60"/>
      <c r="H622" s="60"/>
      <c r="I622" s="60"/>
      <c r="J622" s="60"/>
    </row>
    <row r="623" spans="1:10" x14ac:dyDescent="0.2">
      <c r="A623" s="48"/>
      <c r="B623" s="6" t="s">
        <v>1204</v>
      </c>
      <c r="C623" s="48"/>
      <c r="D623" s="48"/>
      <c r="E623" s="48"/>
      <c r="F623" s="60"/>
      <c r="G623" s="60"/>
      <c r="H623" s="60"/>
      <c r="I623" s="60"/>
      <c r="J623" s="60"/>
    </row>
    <row r="624" spans="1:10" x14ac:dyDescent="0.2">
      <c r="A624" s="48"/>
      <c r="B624" s="6" t="s">
        <v>1205</v>
      </c>
      <c r="C624" s="48"/>
      <c r="D624" s="48"/>
      <c r="E624" s="48"/>
      <c r="F624" s="60"/>
      <c r="G624" s="60"/>
      <c r="H624" s="60"/>
      <c r="I624" s="60"/>
      <c r="J624" s="60"/>
    </row>
    <row r="625" spans="1:10" x14ac:dyDescent="0.2">
      <c r="A625" s="47"/>
      <c r="B625" s="5" t="s">
        <v>587</v>
      </c>
      <c r="C625" s="47"/>
      <c r="D625" s="47"/>
      <c r="E625" s="47"/>
      <c r="F625" s="59"/>
      <c r="G625" s="59"/>
      <c r="H625" s="59"/>
      <c r="I625" s="59"/>
      <c r="J625" s="59"/>
    </row>
    <row r="626" spans="1:10" x14ac:dyDescent="0.2">
      <c r="A626" s="46" t="s">
        <v>1226</v>
      </c>
      <c r="B626" s="4" t="s">
        <v>128</v>
      </c>
      <c r="C626" s="46" t="s">
        <v>8</v>
      </c>
      <c r="D626" s="46" t="s">
        <v>1227</v>
      </c>
      <c r="E626" s="46" t="s">
        <v>1227</v>
      </c>
      <c r="F626" s="58" t="s">
        <v>131</v>
      </c>
      <c r="G626" s="58">
        <v>0</v>
      </c>
      <c r="H626" s="58">
        <v>1</v>
      </c>
      <c r="I626" s="58">
        <v>5280</v>
      </c>
      <c r="J626" s="58">
        <v>0</v>
      </c>
    </row>
    <row r="627" spans="1:10" x14ac:dyDescent="0.2">
      <c r="A627" s="48"/>
      <c r="B627" s="6" t="s">
        <v>585</v>
      </c>
      <c r="C627" s="48"/>
      <c r="D627" s="48"/>
      <c r="E627" s="48"/>
      <c r="F627" s="60"/>
      <c r="G627" s="60"/>
      <c r="H627" s="60"/>
      <c r="I627" s="60"/>
      <c r="J627" s="60"/>
    </row>
    <row r="628" spans="1:10" x14ac:dyDescent="0.2">
      <c r="A628" s="48"/>
      <c r="B628" s="6" t="s">
        <v>1204</v>
      </c>
      <c r="C628" s="48"/>
      <c r="D628" s="48"/>
      <c r="E628" s="48"/>
      <c r="F628" s="60"/>
      <c r="G628" s="60"/>
      <c r="H628" s="60"/>
      <c r="I628" s="60"/>
      <c r="J628" s="60"/>
    </row>
    <row r="629" spans="1:10" x14ac:dyDescent="0.2">
      <c r="A629" s="48"/>
      <c r="B629" s="6" t="s">
        <v>1205</v>
      </c>
      <c r="C629" s="48"/>
      <c r="D629" s="48"/>
      <c r="E629" s="48"/>
      <c r="F629" s="60"/>
      <c r="G629" s="60"/>
      <c r="H629" s="60"/>
      <c r="I629" s="60"/>
      <c r="J629" s="60"/>
    </row>
    <row r="630" spans="1:10" x14ac:dyDescent="0.2">
      <c r="A630" s="47"/>
      <c r="B630" s="5" t="s">
        <v>587</v>
      </c>
      <c r="C630" s="47"/>
      <c r="D630" s="47"/>
      <c r="E630" s="47"/>
      <c r="F630" s="59"/>
      <c r="G630" s="59"/>
      <c r="H630" s="59"/>
      <c r="I630" s="59"/>
      <c r="J630" s="59"/>
    </row>
    <row r="631" spans="1:10" ht="28.5" x14ac:dyDescent="0.2">
      <c r="A631" s="3" t="s">
        <v>1228</v>
      </c>
      <c r="B631" s="3" t="s">
        <v>296</v>
      </c>
      <c r="C631" s="3" t="s">
        <v>8</v>
      </c>
      <c r="D631" s="3" t="s">
        <v>1229</v>
      </c>
      <c r="E631" s="3" t="s">
        <v>1229</v>
      </c>
      <c r="F631" s="1" t="s">
        <v>297</v>
      </c>
      <c r="G631" s="1">
        <v>0</v>
      </c>
      <c r="H631" s="1">
        <v>0.30480000000000002</v>
      </c>
      <c r="I631" s="1">
        <v>60</v>
      </c>
      <c r="J631" s="1">
        <v>0</v>
      </c>
    </row>
    <row r="632" spans="1:10" ht="42.75" x14ac:dyDescent="0.2">
      <c r="A632" s="3" t="s">
        <v>1230</v>
      </c>
      <c r="B632" s="3" t="s">
        <v>296</v>
      </c>
      <c r="C632" s="3" t="s">
        <v>8</v>
      </c>
      <c r="D632" s="3" t="s">
        <v>1231</v>
      </c>
      <c r="E632" s="3" t="s">
        <v>1231</v>
      </c>
      <c r="F632" s="1" t="s">
        <v>297</v>
      </c>
      <c r="G632" s="1">
        <v>0</v>
      </c>
      <c r="H632" s="1">
        <v>304.8</v>
      </c>
      <c r="I632" s="1">
        <v>1</v>
      </c>
      <c r="J632" s="1">
        <v>0</v>
      </c>
    </row>
    <row r="633" spans="1:10" ht="28.5" x14ac:dyDescent="0.2">
      <c r="A633" s="3" t="s">
        <v>1232</v>
      </c>
      <c r="B633" s="3" t="s">
        <v>296</v>
      </c>
      <c r="C633" s="3" t="s">
        <v>8</v>
      </c>
      <c r="D633" s="3" t="s">
        <v>1233</v>
      </c>
      <c r="E633" s="3" t="s">
        <v>1233</v>
      </c>
      <c r="F633" s="1" t="s">
        <v>297</v>
      </c>
      <c r="G633" s="1">
        <v>0</v>
      </c>
      <c r="H633" s="1">
        <v>0.30480000000000002</v>
      </c>
      <c r="I633" s="1">
        <v>1</v>
      </c>
      <c r="J633" s="1">
        <v>0</v>
      </c>
    </row>
    <row r="634" spans="1:10" ht="42.75" x14ac:dyDescent="0.2">
      <c r="A634" s="3" t="s">
        <v>1234</v>
      </c>
      <c r="B634" s="3" t="s">
        <v>299</v>
      </c>
      <c r="C634" s="3" t="s">
        <v>8</v>
      </c>
      <c r="D634" s="3" t="s">
        <v>1235</v>
      </c>
      <c r="E634" s="3" t="s">
        <v>1235</v>
      </c>
      <c r="F634" s="1" t="s">
        <v>300</v>
      </c>
      <c r="G634" s="1">
        <v>0</v>
      </c>
      <c r="H634" s="1">
        <v>0.30480000000000002</v>
      </c>
      <c r="I634" s="1">
        <v>1</v>
      </c>
      <c r="J634" s="1">
        <v>0</v>
      </c>
    </row>
    <row r="635" spans="1:10" ht="42.75" x14ac:dyDescent="0.2">
      <c r="A635" s="3" t="s">
        <v>1236</v>
      </c>
      <c r="B635" s="3" t="s">
        <v>296</v>
      </c>
      <c r="C635" s="3" t="s">
        <v>8</v>
      </c>
      <c r="D635" s="3" t="s">
        <v>1237</v>
      </c>
      <c r="E635" s="3" t="s">
        <v>1237</v>
      </c>
      <c r="F635" s="1" t="s">
        <v>297</v>
      </c>
      <c r="G635" s="1">
        <v>0</v>
      </c>
      <c r="H635" s="1">
        <v>304800</v>
      </c>
      <c r="I635" s="1">
        <v>1</v>
      </c>
      <c r="J635" s="1">
        <v>0</v>
      </c>
    </row>
    <row r="636" spans="1:10" ht="28.5" x14ac:dyDescent="0.2">
      <c r="A636" s="3" t="s">
        <v>1238</v>
      </c>
      <c r="B636" s="3" t="s">
        <v>302</v>
      </c>
      <c r="C636" s="3" t="s">
        <v>8</v>
      </c>
      <c r="D636" s="3" t="s">
        <v>1239</v>
      </c>
      <c r="E636" s="3" t="s">
        <v>1239</v>
      </c>
      <c r="F636" s="1" t="s">
        <v>303</v>
      </c>
      <c r="G636" s="1">
        <v>0</v>
      </c>
      <c r="H636" s="1">
        <v>9.2903040000000006E-2</v>
      </c>
      <c r="I636" s="1">
        <v>1</v>
      </c>
      <c r="J636" s="1">
        <v>0</v>
      </c>
    </row>
    <row r="637" spans="1:10" x14ac:dyDescent="0.2">
      <c r="A637" s="46" t="s">
        <v>1240</v>
      </c>
      <c r="B637" s="4" t="s">
        <v>315</v>
      </c>
      <c r="C637" s="46" t="s">
        <v>8</v>
      </c>
      <c r="D637" s="46" t="s">
        <v>1241</v>
      </c>
      <c r="E637" s="46" t="s">
        <v>1241</v>
      </c>
      <c r="F637" s="58" t="s">
        <v>319</v>
      </c>
      <c r="G637" s="58">
        <v>0</v>
      </c>
      <c r="H637" s="58">
        <v>9.2903040000000006E-2</v>
      </c>
      <c r="I637" s="58">
        <v>3600</v>
      </c>
      <c r="J637" s="58">
        <v>0</v>
      </c>
    </row>
    <row r="638" spans="1:10" x14ac:dyDescent="0.2">
      <c r="A638" s="48"/>
      <c r="B638" s="6" t="s">
        <v>316</v>
      </c>
      <c r="C638" s="48"/>
      <c r="D638" s="48"/>
      <c r="E638" s="48"/>
      <c r="F638" s="60"/>
      <c r="G638" s="60"/>
      <c r="H638" s="60"/>
      <c r="I638" s="60"/>
      <c r="J638" s="60"/>
    </row>
    <row r="639" spans="1:10" x14ac:dyDescent="0.2">
      <c r="A639" s="47"/>
      <c r="B639" s="5" t="s">
        <v>318</v>
      </c>
      <c r="C639" s="47"/>
      <c r="D639" s="47"/>
      <c r="E639" s="47"/>
      <c r="F639" s="59"/>
      <c r="G639" s="59"/>
      <c r="H639" s="59"/>
      <c r="I639" s="59"/>
      <c r="J639" s="59"/>
    </row>
    <row r="640" spans="1:10" ht="42.75" x14ac:dyDescent="0.2">
      <c r="A640" s="3" t="s">
        <v>1242</v>
      </c>
      <c r="B640" s="3" t="s">
        <v>722</v>
      </c>
      <c r="C640" s="3" t="s">
        <v>8</v>
      </c>
      <c r="D640" s="3" t="s">
        <v>1243</v>
      </c>
      <c r="E640" s="3" t="s">
        <v>1243</v>
      </c>
      <c r="F640" s="1" t="s">
        <v>20</v>
      </c>
      <c r="G640" s="1">
        <v>0</v>
      </c>
      <c r="H640" s="1">
        <v>5669.2910000000002</v>
      </c>
      <c r="I640" s="1">
        <v>1</v>
      </c>
      <c r="J640" s="1">
        <v>0</v>
      </c>
    </row>
    <row r="641" spans="1:10" x14ac:dyDescent="0.2">
      <c r="A641" s="46" t="s">
        <v>1244</v>
      </c>
      <c r="B641" s="4" t="s">
        <v>315</v>
      </c>
      <c r="C641" s="46" t="s">
        <v>8</v>
      </c>
      <c r="D641" s="46" t="s">
        <v>1245</v>
      </c>
      <c r="E641" s="46" t="s">
        <v>1245</v>
      </c>
      <c r="F641" s="58" t="s">
        <v>319</v>
      </c>
      <c r="G641" s="58">
        <v>0</v>
      </c>
      <c r="H641" s="58">
        <v>9.2903040000000006E-2</v>
      </c>
      <c r="I641" s="58">
        <v>1</v>
      </c>
      <c r="J641" s="58">
        <v>0</v>
      </c>
    </row>
    <row r="642" spans="1:10" x14ac:dyDescent="0.2">
      <c r="A642" s="48"/>
      <c r="B642" s="6" t="s">
        <v>316</v>
      </c>
      <c r="C642" s="48"/>
      <c r="D642" s="48"/>
      <c r="E642" s="48"/>
      <c r="F642" s="60"/>
      <c r="G642" s="60"/>
      <c r="H642" s="60"/>
      <c r="I642" s="60"/>
      <c r="J642" s="60"/>
    </row>
    <row r="643" spans="1:10" x14ac:dyDescent="0.2">
      <c r="A643" s="47"/>
      <c r="B643" s="5" t="s">
        <v>318</v>
      </c>
      <c r="C643" s="47"/>
      <c r="D643" s="47"/>
      <c r="E643" s="47"/>
      <c r="F643" s="59"/>
      <c r="G643" s="59"/>
      <c r="H643" s="59"/>
      <c r="I643" s="59"/>
      <c r="J643" s="59"/>
    </row>
    <row r="644" spans="1:10" x14ac:dyDescent="0.2">
      <c r="A644" s="3" t="s">
        <v>980</v>
      </c>
      <c r="B644" s="3" t="s">
        <v>321</v>
      </c>
      <c r="C644" s="3" t="s">
        <v>8</v>
      </c>
      <c r="D644" s="3" t="s">
        <v>982</v>
      </c>
      <c r="E644" s="3" t="s">
        <v>982</v>
      </c>
      <c r="F644" s="1" t="s">
        <v>322</v>
      </c>
      <c r="G644" s="1">
        <v>0</v>
      </c>
      <c r="H644" s="1">
        <v>2.8316850000000001E-2</v>
      </c>
      <c r="I644" s="1">
        <v>1</v>
      </c>
      <c r="J644" s="1">
        <v>0</v>
      </c>
    </row>
    <row r="645" spans="1:10" ht="28.5" x14ac:dyDescent="0.2">
      <c r="A645" s="46" t="s">
        <v>1246</v>
      </c>
      <c r="B645" s="46" t="s">
        <v>484</v>
      </c>
      <c r="C645" s="46" t="s">
        <v>8</v>
      </c>
      <c r="D645" s="4" t="s">
        <v>1247</v>
      </c>
      <c r="E645" s="46"/>
      <c r="F645" s="58" t="s">
        <v>494</v>
      </c>
      <c r="G645" s="58">
        <v>0</v>
      </c>
      <c r="H645" s="58">
        <v>1.1953000000000001E-3</v>
      </c>
      <c r="I645" s="58">
        <v>1</v>
      </c>
      <c r="J645" s="58">
        <v>0</v>
      </c>
    </row>
    <row r="646" spans="1:10" ht="28.5" x14ac:dyDescent="0.2">
      <c r="A646" s="47"/>
      <c r="B646" s="47"/>
      <c r="C646" s="47"/>
      <c r="D646" s="5" t="s">
        <v>763</v>
      </c>
      <c r="E646" s="47"/>
      <c r="F646" s="59"/>
      <c r="G646" s="59"/>
      <c r="H646" s="59"/>
      <c r="I646" s="59"/>
      <c r="J646" s="59"/>
    </row>
    <row r="647" spans="1:10" ht="28.5" x14ac:dyDescent="0.2">
      <c r="A647" s="3" t="s">
        <v>1248</v>
      </c>
      <c r="B647" s="3" t="s">
        <v>659</v>
      </c>
      <c r="C647" s="3" t="s">
        <v>8</v>
      </c>
      <c r="D647" s="3" t="s">
        <v>1249</v>
      </c>
      <c r="E647" s="3" t="s">
        <v>1249</v>
      </c>
      <c r="F647" s="1" t="s">
        <v>131</v>
      </c>
      <c r="G647" s="1">
        <v>0</v>
      </c>
      <c r="H647" s="1">
        <v>2.8316850000000001E-2</v>
      </c>
      <c r="I647" s="1">
        <v>0.1589873</v>
      </c>
      <c r="J647" s="1">
        <v>0</v>
      </c>
    </row>
    <row r="648" spans="1:10" ht="28.5" x14ac:dyDescent="0.2">
      <c r="A648" s="3" t="s">
        <v>1250</v>
      </c>
      <c r="B648" s="3" t="s">
        <v>343</v>
      </c>
      <c r="C648" s="3" t="s">
        <v>8</v>
      </c>
      <c r="D648" s="3" t="s">
        <v>1251</v>
      </c>
      <c r="E648" s="3" t="s">
        <v>1251</v>
      </c>
      <c r="F648" s="1" t="s">
        <v>344</v>
      </c>
      <c r="G648" s="1">
        <v>0</v>
      </c>
      <c r="H648" s="1">
        <v>2.8316850000000001E-2</v>
      </c>
      <c r="I648" s="1">
        <v>86400</v>
      </c>
      <c r="J648" s="1">
        <v>0</v>
      </c>
    </row>
    <row r="649" spans="1:10" ht="42.75" x14ac:dyDescent="0.2">
      <c r="A649" s="3" t="s">
        <v>1252</v>
      </c>
      <c r="B649" s="3" t="s">
        <v>311</v>
      </c>
      <c r="C649" s="3" t="s">
        <v>8</v>
      </c>
      <c r="D649" s="3" t="s">
        <v>1253</v>
      </c>
      <c r="E649" s="3" t="s">
        <v>1253</v>
      </c>
      <c r="F649" s="1" t="s">
        <v>313</v>
      </c>
      <c r="G649" s="1">
        <v>0</v>
      </c>
      <c r="H649" s="1">
        <v>9.2903040000000006E-2</v>
      </c>
      <c r="I649" s="1">
        <v>5957067005</v>
      </c>
      <c r="J649" s="1">
        <v>0</v>
      </c>
    </row>
    <row r="650" spans="1:10" ht="42.75" x14ac:dyDescent="0.2">
      <c r="A650" s="3" t="s">
        <v>1254</v>
      </c>
      <c r="B650" s="3" t="s">
        <v>346</v>
      </c>
      <c r="C650" s="3" t="s">
        <v>8</v>
      </c>
      <c r="D650" s="3" t="s">
        <v>1255</v>
      </c>
      <c r="E650" s="3" t="s">
        <v>1255</v>
      </c>
      <c r="F650" s="1" t="s">
        <v>347</v>
      </c>
      <c r="G650" s="1">
        <v>0</v>
      </c>
      <c r="H650" s="1">
        <v>2.8316850000000001E-2</v>
      </c>
      <c r="I650" s="1">
        <v>7464960000</v>
      </c>
      <c r="J650" s="1">
        <v>0</v>
      </c>
    </row>
    <row r="651" spans="1:10" ht="28.5" x14ac:dyDescent="0.2">
      <c r="A651" s="3" t="s">
        <v>1256</v>
      </c>
      <c r="B651" s="3" t="s">
        <v>767</v>
      </c>
      <c r="C651" s="3" t="s">
        <v>8</v>
      </c>
      <c r="D651" s="3" t="s">
        <v>1257</v>
      </c>
      <c r="E651" s="3" t="s">
        <v>1257</v>
      </c>
      <c r="F651" s="1" t="s">
        <v>303</v>
      </c>
      <c r="G651" s="1">
        <v>0</v>
      </c>
      <c r="H651" s="1">
        <v>9.2903040000000006E-2</v>
      </c>
      <c r="I651" s="1">
        <v>1</v>
      </c>
      <c r="J651" s="1">
        <v>0</v>
      </c>
    </row>
    <row r="652" spans="1:10" ht="42.75" x14ac:dyDescent="0.2">
      <c r="A652" s="3" t="s">
        <v>1258</v>
      </c>
      <c r="B652" s="3" t="s">
        <v>659</v>
      </c>
      <c r="C652" s="3" t="s">
        <v>8</v>
      </c>
      <c r="D652" s="3" t="s">
        <v>1259</v>
      </c>
      <c r="E652" s="3" t="s">
        <v>1259</v>
      </c>
      <c r="F652" s="1" t="s">
        <v>131</v>
      </c>
      <c r="G652" s="1">
        <v>0</v>
      </c>
      <c r="H652" s="1">
        <v>1</v>
      </c>
      <c r="I652" s="1">
        <v>1</v>
      </c>
      <c r="J652" s="1">
        <v>0</v>
      </c>
    </row>
    <row r="653" spans="1:10" ht="28.5" x14ac:dyDescent="0.2">
      <c r="A653" s="3" t="s">
        <v>1260</v>
      </c>
      <c r="B653" s="3" t="s">
        <v>343</v>
      </c>
      <c r="C653" s="3" t="s">
        <v>8</v>
      </c>
      <c r="D653" s="3" t="s">
        <v>1261</v>
      </c>
      <c r="E653" s="3" t="s">
        <v>1261</v>
      </c>
      <c r="F653" s="1" t="s">
        <v>344</v>
      </c>
      <c r="G653" s="1">
        <v>0</v>
      </c>
      <c r="H653" s="1">
        <v>2.8316850000000001E-2</v>
      </c>
      <c r="I653" s="1">
        <v>3600</v>
      </c>
      <c r="J653" s="1">
        <v>0</v>
      </c>
    </row>
    <row r="654" spans="1:10" ht="42.75" x14ac:dyDescent="0.2">
      <c r="A654" s="3" t="s">
        <v>1262</v>
      </c>
      <c r="B654" s="3" t="s">
        <v>346</v>
      </c>
      <c r="C654" s="3" t="s">
        <v>8</v>
      </c>
      <c r="D654" s="3" t="s">
        <v>1263</v>
      </c>
      <c r="E654" s="3" t="s">
        <v>1263</v>
      </c>
      <c r="F654" s="1" t="s">
        <v>347</v>
      </c>
      <c r="G654" s="1">
        <v>0</v>
      </c>
      <c r="H654" s="1">
        <v>2.8316850000000001E-2</v>
      </c>
      <c r="I654" s="1">
        <v>12960000</v>
      </c>
      <c r="J654" s="1">
        <v>0</v>
      </c>
    </row>
    <row r="655" spans="1:10" x14ac:dyDescent="0.2">
      <c r="A655" s="46" t="s">
        <v>1264</v>
      </c>
      <c r="B655" s="4" t="s">
        <v>327</v>
      </c>
      <c r="C655" s="46" t="s">
        <v>8</v>
      </c>
      <c r="D655" s="46" t="s">
        <v>1265</v>
      </c>
      <c r="E655" s="46" t="s">
        <v>1265</v>
      </c>
      <c r="F655" s="58" t="s">
        <v>329</v>
      </c>
      <c r="G655" s="58">
        <v>0</v>
      </c>
      <c r="H655" s="58">
        <v>2.8316850000000001E-2</v>
      </c>
      <c r="I655" s="58">
        <v>1</v>
      </c>
      <c r="J655" s="58">
        <v>0</v>
      </c>
    </row>
    <row r="656" spans="1:10" x14ac:dyDescent="0.2">
      <c r="A656" s="47"/>
      <c r="B656" s="5" t="s">
        <v>328</v>
      </c>
      <c r="C656" s="47"/>
      <c r="D656" s="47"/>
      <c r="E656" s="47"/>
      <c r="F656" s="59"/>
      <c r="G656" s="59"/>
      <c r="H656" s="59"/>
      <c r="I656" s="59"/>
      <c r="J656" s="59"/>
    </row>
    <row r="657" spans="1:10" x14ac:dyDescent="0.2">
      <c r="A657" s="46" t="s">
        <v>1266</v>
      </c>
      <c r="B657" s="4" t="s">
        <v>327</v>
      </c>
      <c r="C657" s="46" t="s">
        <v>8</v>
      </c>
      <c r="D657" s="46" t="s">
        <v>1267</v>
      </c>
      <c r="E657" s="46" t="s">
        <v>1267</v>
      </c>
      <c r="F657" s="58" t="s">
        <v>329</v>
      </c>
      <c r="G657" s="58">
        <v>0</v>
      </c>
      <c r="H657" s="58">
        <v>6.2427959999999998E-2</v>
      </c>
      <c r="I657" s="58">
        <v>1</v>
      </c>
      <c r="J657" s="58">
        <v>0</v>
      </c>
    </row>
    <row r="658" spans="1:10" x14ac:dyDescent="0.2">
      <c r="A658" s="47"/>
      <c r="B658" s="5" t="s">
        <v>328</v>
      </c>
      <c r="C658" s="47"/>
      <c r="D658" s="47"/>
      <c r="E658" s="47"/>
      <c r="F658" s="59"/>
      <c r="G658" s="59"/>
      <c r="H658" s="59"/>
      <c r="I658" s="59"/>
      <c r="J658" s="59"/>
    </row>
    <row r="659" spans="1:10" ht="42.75" x14ac:dyDescent="0.2">
      <c r="A659" s="3" t="s">
        <v>1268</v>
      </c>
      <c r="B659" s="3" t="s">
        <v>343</v>
      </c>
      <c r="C659" s="3" t="s">
        <v>8</v>
      </c>
      <c r="D659" s="3" t="s">
        <v>1269</v>
      </c>
      <c r="E659" s="3" t="s">
        <v>1269</v>
      </c>
      <c r="F659" s="1" t="s">
        <v>344</v>
      </c>
      <c r="G659" s="1">
        <v>0</v>
      </c>
      <c r="H659" s="1">
        <v>2.8316850000000001E-2</v>
      </c>
      <c r="I659" s="1">
        <v>60</v>
      </c>
      <c r="J659" s="1">
        <v>0</v>
      </c>
    </row>
    <row r="660" spans="1:10" ht="57" x14ac:dyDescent="0.2">
      <c r="A660" s="3" t="s">
        <v>1270</v>
      </c>
      <c r="B660" s="3" t="s">
        <v>1271</v>
      </c>
      <c r="C660" s="3" t="s">
        <v>8</v>
      </c>
      <c r="D660" s="3" t="s">
        <v>1272</v>
      </c>
      <c r="E660" s="3" t="s">
        <v>1272</v>
      </c>
      <c r="F660" s="1" t="s">
        <v>297</v>
      </c>
      <c r="G660" s="1">
        <v>0</v>
      </c>
      <c r="H660" s="1">
        <v>0.30480000000000002</v>
      </c>
      <c r="I660" s="1">
        <v>60</v>
      </c>
      <c r="J660" s="1">
        <v>0</v>
      </c>
    </row>
    <row r="661" spans="1:10" ht="42.75" x14ac:dyDescent="0.2">
      <c r="A661" s="3" t="s">
        <v>1273</v>
      </c>
      <c r="B661" s="3" t="s">
        <v>346</v>
      </c>
      <c r="C661" s="3" t="s">
        <v>8</v>
      </c>
      <c r="D661" s="3" t="s">
        <v>1274</v>
      </c>
      <c r="E661" s="3" t="s">
        <v>1274</v>
      </c>
      <c r="F661" s="1" t="s">
        <v>347</v>
      </c>
      <c r="G661" s="1">
        <v>0</v>
      </c>
      <c r="H661" s="1">
        <v>2.8316850000000001E-2</v>
      </c>
      <c r="I661" s="1">
        <v>3600</v>
      </c>
      <c r="J661" s="1">
        <v>0</v>
      </c>
    </row>
    <row r="662" spans="1:10" ht="57" x14ac:dyDescent="0.2">
      <c r="A662" s="3" t="s">
        <v>1275</v>
      </c>
      <c r="B662" s="3" t="s">
        <v>331</v>
      </c>
      <c r="C662" s="3" t="s">
        <v>8</v>
      </c>
      <c r="D662" s="3" t="s">
        <v>1276</v>
      </c>
      <c r="E662" s="3"/>
      <c r="F662" s="1" t="s">
        <v>332</v>
      </c>
      <c r="G662" s="1">
        <v>0</v>
      </c>
      <c r="H662" s="1">
        <v>6.2427960000000003E-5</v>
      </c>
      <c r="I662" s="1">
        <v>1</v>
      </c>
      <c r="J662" s="1">
        <v>0</v>
      </c>
    </row>
    <row r="663" spans="1:10" ht="28.5" x14ac:dyDescent="0.2">
      <c r="A663" s="46" t="s">
        <v>1275</v>
      </c>
      <c r="B663" s="46" t="s">
        <v>331</v>
      </c>
      <c r="C663" s="46" t="s">
        <v>8</v>
      </c>
      <c r="D663" s="4" t="s">
        <v>1277</v>
      </c>
      <c r="E663" s="46"/>
      <c r="F663" s="58" t="s">
        <v>332</v>
      </c>
      <c r="G663" s="58">
        <v>0</v>
      </c>
      <c r="H663" s="58">
        <v>6.2427959999999998E-2</v>
      </c>
      <c r="I663" s="58">
        <v>1</v>
      </c>
      <c r="J663" s="58">
        <v>0</v>
      </c>
    </row>
    <row r="664" spans="1:10" ht="28.5" x14ac:dyDescent="0.2">
      <c r="A664" s="47"/>
      <c r="B664" s="47"/>
      <c r="C664" s="47"/>
      <c r="D664" s="5" t="s">
        <v>763</v>
      </c>
      <c r="E664" s="47"/>
      <c r="F664" s="59"/>
      <c r="G664" s="59"/>
      <c r="H664" s="59"/>
      <c r="I664" s="59"/>
      <c r="J664" s="59"/>
    </row>
    <row r="665" spans="1:10" ht="42.75" x14ac:dyDescent="0.2">
      <c r="A665" s="3" t="s">
        <v>1278</v>
      </c>
      <c r="B665" s="3" t="s">
        <v>343</v>
      </c>
      <c r="C665" s="3" t="s">
        <v>8</v>
      </c>
      <c r="D665" s="3" t="s">
        <v>1279</v>
      </c>
      <c r="E665" s="3" t="s">
        <v>1279</v>
      </c>
      <c r="F665" s="1" t="s">
        <v>344</v>
      </c>
      <c r="G665" s="1">
        <v>0</v>
      </c>
      <c r="H665" s="1">
        <v>2.8316850000000001E-2</v>
      </c>
      <c r="I665" s="1">
        <v>1</v>
      </c>
      <c r="J665" s="1">
        <v>0</v>
      </c>
    </row>
    <row r="666" spans="1:10" ht="57" x14ac:dyDescent="0.2">
      <c r="A666" s="3" t="s">
        <v>1280</v>
      </c>
      <c r="B666" s="3" t="s">
        <v>1271</v>
      </c>
      <c r="C666" s="3" t="s">
        <v>8</v>
      </c>
      <c r="D666" s="3" t="s">
        <v>1281</v>
      </c>
      <c r="E666" s="3" t="s">
        <v>1281</v>
      </c>
      <c r="F666" s="1" t="s">
        <v>297</v>
      </c>
      <c r="G666" s="1">
        <v>0</v>
      </c>
      <c r="H666" s="1">
        <v>0.30480000000000002</v>
      </c>
      <c r="I666" s="1">
        <v>1</v>
      </c>
      <c r="J666" s="1">
        <v>0</v>
      </c>
    </row>
    <row r="667" spans="1:10" ht="57" x14ac:dyDescent="0.2">
      <c r="A667" s="3" t="s">
        <v>1282</v>
      </c>
      <c r="B667" s="3" t="s">
        <v>346</v>
      </c>
      <c r="C667" s="3" t="s">
        <v>8</v>
      </c>
      <c r="D667" s="3" t="s">
        <v>1283</v>
      </c>
      <c r="E667" s="3" t="s">
        <v>1283</v>
      </c>
      <c r="F667" s="1" t="s">
        <v>347</v>
      </c>
      <c r="G667" s="1">
        <v>0</v>
      </c>
      <c r="H667" s="1">
        <v>2.8316850000000001E-2</v>
      </c>
      <c r="I667" s="1">
        <v>1</v>
      </c>
      <c r="J667" s="1">
        <v>0</v>
      </c>
    </row>
    <row r="668" spans="1:10" x14ac:dyDescent="0.2">
      <c r="A668" s="46" t="s">
        <v>1284</v>
      </c>
      <c r="B668" s="4" t="s">
        <v>327</v>
      </c>
      <c r="C668" s="46" t="s">
        <v>8</v>
      </c>
      <c r="D668" s="46" t="s">
        <v>1285</v>
      </c>
      <c r="E668" s="46"/>
      <c r="F668" s="58" t="s">
        <v>329</v>
      </c>
      <c r="G668" s="58">
        <v>0</v>
      </c>
      <c r="H668" s="58">
        <v>2.8316850000000001E-2</v>
      </c>
      <c r="I668" s="58">
        <v>42.637689999999999</v>
      </c>
      <c r="J668" s="58">
        <v>0</v>
      </c>
    </row>
    <row r="669" spans="1:10" x14ac:dyDescent="0.2">
      <c r="A669" s="47"/>
      <c r="B669" s="5" t="s">
        <v>328</v>
      </c>
      <c r="C669" s="47"/>
      <c r="D669" s="47"/>
      <c r="E669" s="47"/>
      <c r="F669" s="59"/>
      <c r="G669" s="59"/>
      <c r="H669" s="59"/>
      <c r="I669" s="59"/>
      <c r="J669" s="59"/>
    </row>
    <row r="670" spans="1:10" ht="71.25" x14ac:dyDescent="0.2">
      <c r="A670" s="3" t="s">
        <v>1286</v>
      </c>
      <c r="B670" s="3" t="s">
        <v>349</v>
      </c>
      <c r="C670" s="3" t="s">
        <v>8</v>
      </c>
      <c r="D670" s="3" t="s">
        <v>1287</v>
      </c>
      <c r="E670" s="3"/>
      <c r="F670" s="1" t="s">
        <v>352</v>
      </c>
      <c r="G670" s="1">
        <v>0</v>
      </c>
      <c r="H670" s="1">
        <v>1</v>
      </c>
      <c r="I670" s="1">
        <v>1</v>
      </c>
      <c r="J670" s="1">
        <v>0</v>
      </c>
    </row>
    <row r="671" spans="1:10" x14ac:dyDescent="0.2">
      <c r="A671" s="46" t="s">
        <v>1288</v>
      </c>
      <c r="B671" s="4" t="s">
        <v>277</v>
      </c>
      <c r="C671" s="46" t="s">
        <v>8</v>
      </c>
      <c r="D671" s="46" t="s">
        <v>1289</v>
      </c>
      <c r="E671" s="46"/>
      <c r="F671" s="58" t="s">
        <v>290</v>
      </c>
      <c r="G671" s="58">
        <v>0</v>
      </c>
      <c r="H671" s="58">
        <v>0.91439919999999997</v>
      </c>
      <c r="I671" s="58">
        <v>3</v>
      </c>
      <c r="J671" s="58">
        <v>0</v>
      </c>
    </row>
    <row r="672" spans="1:10" x14ac:dyDescent="0.2">
      <c r="A672" s="48"/>
      <c r="B672" s="6" t="s">
        <v>280</v>
      </c>
      <c r="C672" s="48"/>
      <c r="D672" s="48"/>
      <c r="E672" s="48"/>
      <c r="F672" s="60"/>
      <c r="G672" s="60"/>
      <c r="H672" s="60"/>
      <c r="I672" s="60"/>
      <c r="J672" s="60"/>
    </row>
    <row r="673" spans="1:10" x14ac:dyDescent="0.2">
      <c r="A673" s="48"/>
      <c r="B673" s="6" t="s">
        <v>284</v>
      </c>
      <c r="C673" s="48"/>
      <c r="D673" s="48"/>
      <c r="E673" s="48"/>
      <c r="F673" s="60"/>
      <c r="G673" s="60"/>
      <c r="H673" s="60"/>
      <c r="I673" s="60"/>
      <c r="J673" s="60"/>
    </row>
    <row r="674" spans="1:10" x14ac:dyDescent="0.2">
      <c r="A674" s="47"/>
      <c r="B674" s="5" t="s">
        <v>287</v>
      </c>
      <c r="C674" s="47"/>
      <c r="D674" s="47"/>
      <c r="E674" s="47"/>
      <c r="F674" s="59"/>
      <c r="G674" s="59"/>
      <c r="H674" s="59"/>
      <c r="I674" s="59"/>
      <c r="J674" s="59"/>
    </row>
    <row r="675" spans="1:10" x14ac:dyDescent="0.2">
      <c r="A675" s="46" t="s">
        <v>1290</v>
      </c>
      <c r="B675" s="4" t="s">
        <v>277</v>
      </c>
      <c r="C675" s="46" t="s">
        <v>8</v>
      </c>
      <c r="D675" s="46" t="s">
        <v>1291</v>
      </c>
      <c r="E675" s="46"/>
      <c r="F675" s="58" t="s">
        <v>290</v>
      </c>
      <c r="G675" s="58">
        <v>0</v>
      </c>
      <c r="H675" s="58">
        <v>12</v>
      </c>
      <c r="I675" s="58">
        <v>39.370113000000003</v>
      </c>
      <c r="J675" s="58">
        <v>0</v>
      </c>
    </row>
    <row r="676" spans="1:10" x14ac:dyDescent="0.2">
      <c r="A676" s="48"/>
      <c r="B676" s="6" t="s">
        <v>280</v>
      </c>
      <c r="C676" s="48"/>
      <c r="D676" s="48"/>
      <c r="E676" s="48"/>
      <c r="F676" s="60"/>
      <c r="G676" s="60"/>
      <c r="H676" s="60"/>
      <c r="I676" s="60"/>
      <c r="J676" s="60"/>
    </row>
    <row r="677" spans="1:10" x14ac:dyDescent="0.2">
      <c r="A677" s="48"/>
      <c r="B677" s="6" t="s">
        <v>284</v>
      </c>
      <c r="C677" s="48"/>
      <c r="D677" s="48"/>
      <c r="E677" s="48"/>
      <c r="F677" s="60"/>
      <c r="G677" s="60"/>
      <c r="H677" s="60"/>
      <c r="I677" s="60"/>
      <c r="J677" s="60"/>
    </row>
    <row r="678" spans="1:10" x14ac:dyDescent="0.2">
      <c r="A678" s="47"/>
      <c r="B678" s="5" t="s">
        <v>287</v>
      </c>
      <c r="C678" s="47"/>
      <c r="D678" s="47"/>
      <c r="E678" s="47"/>
      <c r="F678" s="59"/>
      <c r="G678" s="59"/>
      <c r="H678" s="59"/>
      <c r="I678" s="59"/>
      <c r="J678" s="59"/>
    </row>
    <row r="679" spans="1:10" x14ac:dyDescent="0.2">
      <c r="A679" s="46" t="s">
        <v>1292</v>
      </c>
      <c r="B679" s="4" t="s">
        <v>277</v>
      </c>
      <c r="C679" s="46" t="s">
        <v>8</v>
      </c>
      <c r="D679" s="46" t="s">
        <v>1293</v>
      </c>
      <c r="E679" s="46"/>
      <c r="F679" s="58" t="s">
        <v>290</v>
      </c>
      <c r="G679" s="58">
        <v>0</v>
      </c>
      <c r="H679" s="58">
        <v>0.91440250000000001</v>
      </c>
      <c r="I679" s="58">
        <v>3</v>
      </c>
      <c r="J679" s="58">
        <v>0</v>
      </c>
    </row>
    <row r="680" spans="1:10" x14ac:dyDescent="0.2">
      <c r="A680" s="48"/>
      <c r="B680" s="6" t="s">
        <v>280</v>
      </c>
      <c r="C680" s="48"/>
      <c r="D680" s="48"/>
      <c r="E680" s="48"/>
      <c r="F680" s="60"/>
      <c r="G680" s="60"/>
      <c r="H680" s="60"/>
      <c r="I680" s="60"/>
      <c r="J680" s="60"/>
    </row>
    <row r="681" spans="1:10" x14ac:dyDescent="0.2">
      <c r="A681" s="48"/>
      <c r="B681" s="6" t="s">
        <v>284</v>
      </c>
      <c r="C681" s="48"/>
      <c r="D681" s="48"/>
      <c r="E681" s="48"/>
      <c r="F681" s="60"/>
      <c r="G681" s="60"/>
      <c r="H681" s="60"/>
      <c r="I681" s="60"/>
      <c r="J681" s="60"/>
    </row>
    <row r="682" spans="1:10" x14ac:dyDescent="0.2">
      <c r="A682" s="47"/>
      <c r="B682" s="5" t="s">
        <v>287</v>
      </c>
      <c r="C682" s="47"/>
      <c r="D682" s="47"/>
      <c r="E682" s="47"/>
      <c r="F682" s="59"/>
      <c r="G682" s="59"/>
      <c r="H682" s="59"/>
      <c r="I682" s="59"/>
      <c r="J682" s="59"/>
    </row>
    <row r="683" spans="1:10" x14ac:dyDescent="0.2">
      <c r="A683" s="46" t="s">
        <v>1294</v>
      </c>
      <c r="B683" s="4" t="s">
        <v>277</v>
      </c>
      <c r="C683" s="46" t="s">
        <v>8</v>
      </c>
      <c r="D683" s="46" t="s">
        <v>1295</v>
      </c>
      <c r="E683" s="46" t="s">
        <v>1295</v>
      </c>
      <c r="F683" s="58" t="s">
        <v>290</v>
      </c>
      <c r="G683" s="58">
        <v>0</v>
      </c>
      <c r="H683" s="58">
        <v>0.30479726499999998</v>
      </c>
      <c r="I683" s="58">
        <v>1</v>
      </c>
      <c r="J683" s="58">
        <v>0</v>
      </c>
    </row>
    <row r="684" spans="1:10" x14ac:dyDescent="0.2">
      <c r="A684" s="48"/>
      <c r="B684" s="6" t="s">
        <v>280</v>
      </c>
      <c r="C684" s="48"/>
      <c r="D684" s="48"/>
      <c r="E684" s="48"/>
      <c r="F684" s="60"/>
      <c r="G684" s="60"/>
      <c r="H684" s="60"/>
      <c r="I684" s="60"/>
      <c r="J684" s="60"/>
    </row>
    <row r="685" spans="1:10" x14ac:dyDescent="0.2">
      <c r="A685" s="48"/>
      <c r="B685" s="6" t="s">
        <v>284</v>
      </c>
      <c r="C685" s="48"/>
      <c r="D685" s="48"/>
      <c r="E685" s="48"/>
      <c r="F685" s="60"/>
      <c r="G685" s="60"/>
      <c r="H685" s="60"/>
      <c r="I685" s="60"/>
      <c r="J685" s="60"/>
    </row>
    <row r="686" spans="1:10" x14ac:dyDescent="0.2">
      <c r="A686" s="47"/>
      <c r="B686" s="5" t="s">
        <v>287</v>
      </c>
      <c r="C686" s="47"/>
      <c r="D686" s="47"/>
      <c r="E686" s="47"/>
      <c r="F686" s="59"/>
      <c r="G686" s="59"/>
      <c r="H686" s="59"/>
      <c r="I686" s="59"/>
      <c r="J686" s="59"/>
    </row>
    <row r="687" spans="1:10" x14ac:dyDescent="0.2">
      <c r="A687" s="46" t="s">
        <v>1296</v>
      </c>
      <c r="B687" s="4" t="s">
        <v>277</v>
      </c>
      <c r="C687" s="46" t="s">
        <v>8</v>
      </c>
      <c r="D687" s="46" t="s">
        <v>1297</v>
      </c>
      <c r="E687" s="46"/>
      <c r="F687" s="58" t="s">
        <v>290</v>
      </c>
      <c r="G687" s="58">
        <v>0</v>
      </c>
      <c r="H687" s="58">
        <v>6378300</v>
      </c>
      <c r="I687" s="58">
        <v>20926201</v>
      </c>
      <c r="J687" s="58">
        <v>0</v>
      </c>
    </row>
    <row r="688" spans="1:10" x14ac:dyDescent="0.2">
      <c r="A688" s="48"/>
      <c r="B688" s="6" t="s">
        <v>280</v>
      </c>
      <c r="C688" s="48"/>
      <c r="D688" s="48"/>
      <c r="E688" s="48"/>
      <c r="F688" s="60"/>
      <c r="G688" s="60"/>
      <c r="H688" s="60"/>
      <c r="I688" s="60"/>
      <c r="J688" s="60"/>
    </row>
    <row r="689" spans="1:10" x14ac:dyDescent="0.2">
      <c r="A689" s="48"/>
      <c r="B689" s="6" t="s">
        <v>284</v>
      </c>
      <c r="C689" s="48"/>
      <c r="D689" s="48"/>
      <c r="E689" s="48"/>
      <c r="F689" s="60"/>
      <c r="G689" s="60"/>
      <c r="H689" s="60"/>
      <c r="I689" s="60"/>
      <c r="J689" s="60"/>
    </row>
    <row r="690" spans="1:10" x14ac:dyDescent="0.2">
      <c r="A690" s="47"/>
      <c r="B690" s="5" t="s">
        <v>287</v>
      </c>
      <c r="C690" s="47"/>
      <c r="D690" s="47"/>
      <c r="E690" s="47"/>
      <c r="F690" s="59"/>
      <c r="G690" s="59"/>
      <c r="H690" s="59"/>
      <c r="I690" s="59"/>
      <c r="J690" s="59"/>
    </row>
    <row r="691" spans="1:10" x14ac:dyDescent="0.2">
      <c r="A691" s="46" t="s">
        <v>1298</v>
      </c>
      <c r="B691" s="4" t="s">
        <v>277</v>
      </c>
      <c r="C691" s="46" t="s">
        <v>8</v>
      </c>
      <c r="D691" s="46" t="s">
        <v>1299</v>
      </c>
      <c r="E691" s="46"/>
      <c r="F691" s="58" t="s">
        <v>290</v>
      </c>
      <c r="G691" s="58">
        <v>0</v>
      </c>
      <c r="H691" s="58">
        <v>12</v>
      </c>
      <c r="I691" s="58">
        <v>39.370142000000001</v>
      </c>
      <c r="J691" s="58">
        <v>0</v>
      </c>
    </row>
    <row r="692" spans="1:10" x14ac:dyDescent="0.2">
      <c r="A692" s="48"/>
      <c r="B692" s="6" t="s">
        <v>280</v>
      </c>
      <c r="C692" s="48"/>
      <c r="D692" s="48"/>
      <c r="E692" s="48"/>
      <c r="F692" s="60"/>
      <c r="G692" s="60"/>
      <c r="H692" s="60"/>
      <c r="I692" s="60"/>
      <c r="J692" s="60"/>
    </row>
    <row r="693" spans="1:10" x14ac:dyDescent="0.2">
      <c r="A693" s="48"/>
      <c r="B693" s="6" t="s">
        <v>284</v>
      </c>
      <c r="C693" s="48"/>
      <c r="D693" s="48"/>
      <c r="E693" s="48"/>
      <c r="F693" s="60"/>
      <c r="G693" s="60"/>
      <c r="H693" s="60"/>
      <c r="I693" s="60"/>
      <c r="J693" s="60"/>
    </row>
    <row r="694" spans="1:10" x14ac:dyDescent="0.2">
      <c r="A694" s="47"/>
      <c r="B694" s="5" t="s">
        <v>287</v>
      </c>
      <c r="C694" s="47"/>
      <c r="D694" s="47"/>
      <c r="E694" s="47"/>
      <c r="F694" s="59"/>
      <c r="G694" s="59"/>
      <c r="H694" s="59"/>
      <c r="I694" s="59"/>
      <c r="J694" s="59"/>
    </row>
    <row r="695" spans="1:10" x14ac:dyDescent="0.2">
      <c r="A695" s="46" t="s">
        <v>1300</v>
      </c>
      <c r="B695" s="4" t="s">
        <v>277</v>
      </c>
      <c r="C695" s="46" t="s">
        <v>8</v>
      </c>
      <c r="D695" s="46" t="s">
        <v>1301</v>
      </c>
      <c r="E695" s="46"/>
      <c r="F695" s="58" t="s">
        <v>290</v>
      </c>
      <c r="G695" s="58">
        <v>0</v>
      </c>
      <c r="H695" s="58">
        <v>0.30479841000000002</v>
      </c>
      <c r="I695" s="58">
        <v>1</v>
      </c>
      <c r="J695" s="58">
        <v>0</v>
      </c>
    </row>
    <row r="696" spans="1:10" x14ac:dyDescent="0.2">
      <c r="A696" s="48"/>
      <c r="B696" s="6" t="s">
        <v>280</v>
      </c>
      <c r="C696" s="48"/>
      <c r="D696" s="48"/>
      <c r="E696" s="48"/>
      <c r="F696" s="60"/>
      <c r="G696" s="60"/>
      <c r="H696" s="60"/>
      <c r="I696" s="60"/>
      <c r="J696" s="60"/>
    </row>
    <row r="697" spans="1:10" x14ac:dyDescent="0.2">
      <c r="A697" s="48"/>
      <c r="B697" s="6" t="s">
        <v>284</v>
      </c>
      <c r="C697" s="48"/>
      <c r="D697" s="48"/>
      <c r="E697" s="48"/>
      <c r="F697" s="60"/>
      <c r="G697" s="60"/>
      <c r="H697" s="60"/>
      <c r="I697" s="60"/>
      <c r="J697" s="60"/>
    </row>
    <row r="698" spans="1:10" x14ac:dyDescent="0.2">
      <c r="A698" s="47"/>
      <c r="B698" s="5" t="s">
        <v>287</v>
      </c>
      <c r="C698" s="47"/>
      <c r="D698" s="47"/>
      <c r="E698" s="47"/>
      <c r="F698" s="59"/>
      <c r="G698" s="59"/>
      <c r="H698" s="59"/>
      <c r="I698" s="59"/>
      <c r="J698" s="59"/>
    </row>
    <row r="699" spans="1:10" x14ac:dyDescent="0.2">
      <c r="A699" s="46" t="s">
        <v>1302</v>
      </c>
      <c r="B699" s="4" t="s">
        <v>277</v>
      </c>
      <c r="C699" s="46" t="s">
        <v>8</v>
      </c>
      <c r="D699" s="46" t="s">
        <v>1303</v>
      </c>
      <c r="E699" s="46"/>
      <c r="F699" s="58" t="s">
        <v>290</v>
      </c>
      <c r="G699" s="58">
        <v>0</v>
      </c>
      <c r="H699" s="58">
        <v>0.3047996</v>
      </c>
      <c r="I699" s="58">
        <v>1</v>
      </c>
      <c r="J699" s="58">
        <v>0</v>
      </c>
    </row>
    <row r="700" spans="1:10" x14ac:dyDescent="0.2">
      <c r="A700" s="48"/>
      <c r="B700" s="6" t="s">
        <v>280</v>
      </c>
      <c r="C700" s="48"/>
      <c r="D700" s="48"/>
      <c r="E700" s="48"/>
      <c r="F700" s="60"/>
      <c r="G700" s="60"/>
      <c r="H700" s="60"/>
      <c r="I700" s="60"/>
      <c r="J700" s="60"/>
    </row>
    <row r="701" spans="1:10" x14ac:dyDescent="0.2">
      <c r="A701" s="48"/>
      <c r="B701" s="6" t="s">
        <v>284</v>
      </c>
      <c r="C701" s="48"/>
      <c r="D701" s="48"/>
      <c r="E701" s="48"/>
      <c r="F701" s="60"/>
      <c r="G701" s="60"/>
      <c r="H701" s="60"/>
      <c r="I701" s="60"/>
      <c r="J701" s="60"/>
    </row>
    <row r="702" spans="1:10" x14ac:dyDescent="0.2">
      <c r="A702" s="47"/>
      <c r="B702" s="5" t="s">
        <v>287</v>
      </c>
      <c r="C702" s="47"/>
      <c r="D702" s="47"/>
      <c r="E702" s="47"/>
      <c r="F702" s="59"/>
      <c r="G702" s="59"/>
      <c r="H702" s="59"/>
      <c r="I702" s="59"/>
      <c r="J702" s="59"/>
    </row>
    <row r="703" spans="1:10" x14ac:dyDescent="0.2">
      <c r="A703" s="46" t="s">
        <v>1304</v>
      </c>
      <c r="B703" s="4" t="s">
        <v>277</v>
      </c>
      <c r="C703" s="46" t="s">
        <v>8</v>
      </c>
      <c r="D703" s="46" t="s">
        <v>1305</v>
      </c>
      <c r="E703" s="46"/>
      <c r="F703" s="58" t="s">
        <v>290</v>
      </c>
      <c r="G703" s="58">
        <v>0</v>
      </c>
      <c r="H703" s="58">
        <v>0.3047995</v>
      </c>
      <c r="I703" s="58">
        <v>1</v>
      </c>
      <c r="J703" s="58">
        <v>0</v>
      </c>
    </row>
    <row r="704" spans="1:10" x14ac:dyDescent="0.2">
      <c r="A704" s="48"/>
      <c r="B704" s="6" t="s">
        <v>280</v>
      </c>
      <c r="C704" s="48"/>
      <c r="D704" s="48"/>
      <c r="E704" s="48"/>
      <c r="F704" s="60"/>
      <c r="G704" s="60"/>
      <c r="H704" s="60"/>
      <c r="I704" s="60"/>
      <c r="J704" s="60"/>
    </row>
    <row r="705" spans="1:10" x14ac:dyDescent="0.2">
      <c r="A705" s="48"/>
      <c r="B705" s="6" t="s">
        <v>284</v>
      </c>
      <c r="C705" s="48"/>
      <c r="D705" s="48"/>
      <c r="E705" s="48"/>
      <c r="F705" s="60"/>
      <c r="G705" s="60"/>
      <c r="H705" s="60"/>
      <c r="I705" s="60"/>
      <c r="J705" s="60"/>
    </row>
    <row r="706" spans="1:10" x14ac:dyDescent="0.2">
      <c r="A706" s="47"/>
      <c r="B706" s="5" t="s">
        <v>287</v>
      </c>
      <c r="C706" s="47"/>
      <c r="D706" s="47"/>
      <c r="E706" s="47"/>
      <c r="F706" s="59"/>
      <c r="G706" s="59"/>
      <c r="H706" s="59"/>
      <c r="I706" s="59"/>
      <c r="J706" s="59"/>
    </row>
    <row r="707" spans="1:10" x14ac:dyDescent="0.2">
      <c r="A707" s="46" t="s">
        <v>1306</v>
      </c>
      <c r="B707" s="4" t="s">
        <v>277</v>
      </c>
      <c r="C707" s="46" t="s">
        <v>8</v>
      </c>
      <c r="D707" s="46" t="s">
        <v>1307</v>
      </c>
      <c r="E707" s="46" t="s">
        <v>1308</v>
      </c>
      <c r="F707" s="58" t="s">
        <v>290</v>
      </c>
      <c r="G707" s="58">
        <v>0</v>
      </c>
      <c r="H707" s="58">
        <v>0.30481225299999998</v>
      </c>
      <c r="I707" s="58">
        <v>1</v>
      </c>
      <c r="J707" s="58">
        <v>0</v>
      </c>
    </row>
    <row r="708" spans="1:10" x14ac:dyDescent="0.2">
      <c r="A708" s="48"/>
      <c r="B708" s="6" t="s">
        <v>280</v>
      </c>
      <c r="C708" s="48"/>
      <c r="D708" s="48"/>
      <c r="E708" s="48"/>
      <c r="F708" s="60"/>
      <c r="G708" s="60"/>
      <c r="H708" s="60"/>
      <c r="I708" s="60"/>
      <c r="J708" s="60"/>
    </row>
    <row r="709" spans="1:10" x14ac:dyDescent="0.2">
      <c r="A709" s="48"/>
      <c r="B709" s="6" t="s">
        <v>284</v>
      </c>
      <c r="C709" s="48"/>
      <c r="D709" s="48"/>
      <c r="E709" s="48"/>
      <c r="F709" s="60"/>
      <c r="G709" s="60"/>
      <c r="H709" s="60"/>
      <c r="I709" s="60"/>
      <c r="J709" s="60"/>
    </row>
    <row r="710" spans="1:10" x14ac:dyDescent="0.2">
      <c r="A710" s="47"/>
      <c r="B710" s="5" t="s">
        <v>287</v>
      </c>
      <c r="C710" s="47"/>
      <c r="D710" s="47"/>
      <c r="E710" s="47"/>
      <c r="F710" s="59"/>
      <c r="G710" s="59"/>
      <c r="H710" s="59"/>
      <c r="I710" s="59"/>
      <c r="J710" s="59"/>
    </row>
    <row r="711" spans="1:10" x14ac:dyDescent="0.2">
      <c r="A711" s="46" t="s">
        <v>1309</v>
      </c>
      <c r="B711" s="4" t="s">
        <v>277</v>
      </c>
      <c r="C711" s="46" t="s">
        <v>8</v>
      </c>
      <c r="D711" s="46" t="s">
        <v>1310</v>
      </c>
      <c r="E711" s="46"/>
      <c r="F711" s="58" t="s">
        <v>290</v>
      </c>
      <c r="G711" s="58">
        <v>0</v>
      </c>
      <c r="H711" s="58">
        <v>12</v>
      </c>
      <c r="I711" s="58">
        <v>39.370147000000003</v>
      </c>
      <c r="J711" s="58">
        <v>0</v>
      </c>
    </row>
    <row r="712" spans="1:10" x14ac:dyDescent="0.2">
      <c r="A712" s="48"/>
      <c r="B712" s="6" t="s">
        <v>280</v>
      </c>
      <c r="C712" s="48"/>
      <c r="D712" s="48"/>
      <c r="E712" s="48"/>
      <c r="F712" s="60"/>
      <c r="G712" s="60"/>
      <c r="H712" s="60"/>
      <c r="I712" s="60"/>
      <c r="J712" s="60"/>
    </row>
    <row r="713" spans="1:10" x14ac:dyDescent="0.2">
      <c r="A713" s="48"/>
      <c r="B713" s="6" t="s">
        <v>284</v>
      </c>
      <c r="C713" s="48"/>
      <c r="D713" s="48"/>
      <c r="E713" s="48"/>
      <c r="F713" s="60"/>
      <c r="G713" s="60"/>
      <c r="H713" s="60"/>
      <c r="I713" s="60"/>
      <c r="J713" s="60"/>
    </row>
    <row r="714" spans="1:10" x14ac:dyDescent="0.2">
      <c r="A714" s="47"/>
      <c r="B714" s="5" t="s">
        <v>287</v>
      </c>
      <c r="C714" s="47"/>
      <c r="D714" s="47"/>
      <c r="E714" s="47"/>
      <c r="F714" s="59"/>
      <c r="G714" s="59"/>
      <c r="H714" s="59"/>
      <c r="I714" s="59"/>
      <c r="J714" s="59"/>
    </row>
    <row r="715" spans="1:10" x14ac:dyDescent="0.2">
      <c r="A715" s="46" t="s">
        <v>1311</v>
      </c>
      <c r="B715" s="4" t="s">
        <v>277</v>
      </c>
      <c r="C715" s="46" t="s">
        <v>8</v>
      </c>
      <c r="D715" s="46" t="s">
        <v>1312</v>
      </c>
      <c r="E715" s="46" t="s">
        <v>1312</v>
      </c>
      <c r="F715" s="58" t="s">
        <v>290</v>
      </c>
      <c r="G715" s="58">
        <v>0</v>
      </c>
      <c r="H715" s="58">
        <v>12</v>
      </c>
      <c r="I715" s="58">
        <v>39.369999999999997</v>
      </c>
      <c r="J715" s="58">
        <v>0</v>
      </c>
    </row>
    <row r="716" spans="1:10" x14ac:dyDescent="0.2">
      <c r="A716" s="48"/>
      <c r="B716" s="6" t="s">
        <v>280</v>
      </c>
      <c r="C716" s="48"/>
      <c r="D716" s="48"/>
      <c r="E716" s="48"/>
      <c r="F716" s="60"/>
      <c r="G716" s="60"/>
      <c r="H716" s="60"/>
      <c r="I716" s="60"/>
      <c r="J716" s="60"/>
    </row>
    <row r="717" spans="1:10" x14ac:dyDescent="0.2">
      <c r="A717" s="48"/>
      <c r="B717" s="6" t="s">
        <v>284</v>
      </c>
      <c r="C717" s="48"/>
      <c r="D717" s="48"/>
      <c r="E717" s="48"/>
      <c r="F717" s="60"/>
      <c r="G717" s="60"/>
      <c r="H717" s="60"/>
      <c r="I717" s="60"/>
      <c r="J717" s="60"/>
    </row>
    <row r="718" spans="1:10" x14ac:dyDescent="0.2">
      <c r="A718" s="47"/>
      <c r="B718" s="5" t="s">
        <v>287</v>
      </c>
      <c r="C718" s="47"/>
      <c r="D718" s="47"/>
      <c r="E718" s="47"/>
      <c r="F718" s="59"/>
      <c r="G718" s="59"/>
      <c r="H718" s="59"/>
      <c r="I718" s="59"/>
      <c r="J718" s="59"/>
    </row>
    <row r="719" spans="1:10" x14ac:dyDescent="0.2">
      <c r="A719" s="3" t="s">
        <v>1313</v>
      </c>
      <c r="B719" s="3" t="s">
        <v>220</v>
      </c>
      <c r="C719" s="3" t="s">
        <v>8</v>
      </c>
      <c r="D719" s="3" t="s">
        <v>1314</v>
      </c>
      <c r="E719" s="3" t="s">
        <v>1314</v>
      </c>
      <c r="F719" s="1" t="s">
        <v>221</v>
      </c>
      <c r="G719" s="1">
        <v>0</v>
      </c>
      <c r="H719" s="1">
        <v>1E-3</v>
      </c>
      <c r="I719" s="1">
        <v>1</v>
      </c>
      <c r="J719" s="1">
        <v>0</v>
      </c>
    </row>
    <row r="720" spans="1:10" ht="57" x14ac:dyDescent="0.2">
      <c r="A720" s="3" t="s">
        <v>1315</v>
      </c>
      <c r="B720" s="3" t="s">
        <v>246</v>
      </c>
      <c r="C720" s="3" t="s">
        <v>8</v>
      </c>
      <c r="D720" s="3" t="s">
        <v>1316</v>
      </c>
      <c r="E720" s="3" t="s">
        <v>1316</v>
      </c>
      <c r="F720" s="1" t="s">
        <v>247</v>
      </c>
      <c r="G720" s="1">
        <v>0</v>
      </c>
      <c r="H720" s="1">
        <v>3.0479999999999998E-4</v>
      </c>
      <c r="I720" s="1">
        <v>9.9999999999999995E-7</v>
      </c>
      <c r="J720" s="1">
        <v>0</v>
      </c>
    </row>
    <row r="721" spans="1:10" x14ac:dyDescent="0.2">
      <c r="A721" s="46" t="s">
        <v>1317</v>
      </c>
      <c r="B721" s="4" t="s">
        <v>249</v>
      </c>
      <c r="C721" s="46" t="s">
        <v>8</v>
      </c>
      <c r="D721" s="46" t="s">
        <v>1318</v>
      </c>
      <c r="E721" s="46" t="s">
        <v>1318</v>
      </c>
      <c r="F721" s="58" t="s">
        <v>252</v>
      </c>
      <c r="G721" s="58">
        <v>0</v>
      </c>
      <c r="H721" s="58">
        <v>1000</v>
      </c>
      <c r="I721" s="58">
        <v>1</v>
      </c>
      <c r="J721" s="58">
        <v>0</v>
      </c>
    </row>
    <row r="722" spans="1:10" x14ac:dyDescent="0.2">
      <c r="A722" s="48"/>
      <c r="B722" s="6" t="s">
        <v>250</v>
      </c>
      <c r="C722" s="48"/>
      <c r="D722" s="48"/>
      <c r="E722" s="48"/>
      <c r="F722" s="60"/>
      <c r="G722" s="60"/>
      <c r="H722" s="60"/>
      <c r="I722" s="60"/>
      <c r="J722" s="60"/>
    </row>
    <row r="723" spans="1:10" x14ac:dyDescent="0.2">
      <c r="A723" s="47"/>
      <c r="B723" s="5" t="s">
        <v>251</v>
      </c>
      <c r="C723" s="47"/>
      <c r="D723" s="47"/>
      <c r="E723" s="47"/>
      <c r="F723" s="59"/>
      <c r="G723" s="59"/>
      <c r="H723" s="59"/>
      <c r="I723" s="59"/>
      <c r="J723" s="59"/>
    </row>
    <row r="724" spans="1:10" ht="42.75" x14ac:dyDescent="0.2">
      <c r="A724" s="3" t="s">
        <v>1319</v>
      </c>
      <c r="B724" s="3" t="s">
        <v>254</v>
      </c>
      <c r="C724" s="3" t="s">
        <v>8</v>
      </c>
      <c r="D724" s="3" t="s">
        <v>1320</v>
      </c>
      <c r="E724" s="3" t="s">
        <v>1320</v>
      </c>
      <c r="F724" s="1" t="s">
        <v>255</v>
      </c>
      <c r="G724" s="1">
        <v>0</v>
      </c>
      <c r="H724" s="1">
        <v>100000</v>
      </c>
      <c r="I724" s="1">
        <v>1</v>
      </c>
      <c r="J724" s="1">
        <v>0</v>
      </c>
    </row>
    <row r="725" spans="1:10" x14ac:dyDescent="0.2">
      <c r="A725" s="46" t="s">
        <v>1321</v>
      </c>
      <c r="B725" s="4" t="s">
        <v>249</v>
      </c>
      <c r="C725" s="46" t="s">
        <v>8</v>
      </c>
      <c r="D725" s="46" t="s">
        <v>1322</v>
      </c>
      <c r="E725" s="46" t="s">
        <v>1322</v>
      </c>
      <c r="F725" s="58" t="s">
        <v>252</v>
      </c>
      <c r="G725" s="58">
        <v>0</v>
      </c>
      <c r="H725" s="58">
        <v>1</v>
      </c>
      <c r="I725" s="58">
        <v>1</v>
      </c>
      <c r="J725" s="58">
        <v>0</v>
      </c>
    </row>
    <row r="726" spans="1:10" x14ac:dyDescent="0.2">
      <c r="A726" s="48"/>
      <c r="B726" s="6" t="s">
        <v>250</v>
      </c>
      <c r="C726" s="48"/>
      <c r="D726" s="48"/>
      <c r="E726" s="48"/>
      <c r="F726" s="60"/>
      <c r="G726" s="60"/>
      <c r="H726" s="60"/>
      <c r="I726" s="60"/>
      <c r="J726" s="60"/>
    </row>
    <row r="727" spans="1:10" x14ac:dyDescent="0.2">
      <c r="A727" s="47"/>
      <c r="B727" s="5" t="s">
        <v>251</v>
      </c>
      <c r="C727" s="47"/>
      <c r="D727" s="47"/>
      <c r="E727" s="47"/>
      <c r="F727" s="59"/>
      <c r="G727" s="59"/>
      <c r="H727" s="59"/>
      <c r="I727" s="59"/>
      <c r="J727" s="59"/>
    </row>
    <row r="728" spans="1:10" x14ac:dyDescent="0.2">
      <c r="A728" s="46" t="s">
        <v>1323</v>
      </c>
      <c r="B728" s="4" t="s">
        <v>249</v>
      </c>
      <c r="C728" s="46" t="s">
        <v>8</v>
      </c>
      <c r="D728" s="46" t="s">
        <v>1324</v>
      </c>
      <c r="E728" s="46" t="s">
        <v>1324</v>
      </c>
      <c r="F728" s="58" t="s">
        <v>252</v>
      </c>
      <c r="G728" s="58">
        <v>0</v>
      </c>
      <c r="H728" s="58">
        <v>0.2199692</v>
      </c>
      <c r="I728" s="58">
        <v>1</v>
      </c>
      <c r="J728" s="58">
        <v>0</v>
      </c>
    </row>
    <row r="729" spans="1:10" x14ac:dyDescent="0.2">
      <c r="A729" s="48"/>
      <c r="B729" s="6" t="s">
        <v>250</v>
      </c>
      <c r="C729" s="48"/>
      <c r="D729" s="48"/>
      <c r="E729" s="48"/>
      <c r="F729" s="60"/>
      <c r="G729" s="60"/>
      <c r="H729" s="60"/>
      <c r="I729" s="60"/>
      <c r="J729" s="60"/>
    </row>
    <row r="730" spans="1:10" x14ac:dyDescent="0.2">
      <c r="A730" s="47"/>
      <c r="B730" s="5" t="s">
        <v>251</v>
      </c>
      <c r="C730" s="47"/>
      <c r="D730" s="47"/>
      <c r="E730" s="47"/>
      <c r="F730" s="59"/>
      <c r="G730" s="59"/>
      <c r="H730" s="59"/>
      <c r="I730" s="59"/>
      <c r="J730" s="59"/>
    </row>
    <row r="731" spans="1:10" x14ac:dyDescent="0.2">
      <c r="A731" s="46" t="s">
        <v>1325</v>
      </c>
      <c r="B731" s="4" t="s">
        <v>249</v>
      </c>
      <c r="C731" s="46" t="s">
        <v>8</v>
      </c>
      <c r="D731" s="46" t="s">
        <v>1326</v>
      </c>
      <c r="E731" s="46" t="s">
        <v>1326</v>
      </c>
      <c r="F731" s="58" t="s">
        <v>252</v>
      </c>
      <c r="G731" s="58">
        <v>0</v>
      </c>
      <c r="H731" s="58">
        <v>0.26417200000000002</v>
      </c>
      <c r="I731" s="58">
        <v>1</v>
      </c>
      <c r="J731" s="58">
        <v>0</v>
      </c>
    </row>
    <row r="732" spans="1:10" x14ac:dyDescent="0.2">
      <c r="A732" s="48"/>
      <c r="B732" s="6" t="s">
        <v>250</v>
      </c>
      <c r="C732" s="48"/>
      <c r="D732" s="48"/>
      <c r="E732" s="48"/>
      <c r="F732" s="60"/>
      <c r="G732" s="60"/>
      <c r="H732" s="60"/>
      <c r="I732" s="60"/>
      <c r="J732" s="60"/>
    </row>
    <row r="733" spans="1:10" x14ac:dyDescent="0.2">
      <c r="A733" s="47"/>
      <c r="B733" s="5" t="s">
        <v>251</v>
      </c>
      <c r="C733" s="47"/>
      <c r="D733" s="47"/>
      <c r="E733" s="47"/>
      <c r="F733" s="59"/>
      <c r="G733" s="59"/>
      <c r="H733" s="59"/>
      <c r="I733" s="59"/>
      <c r="J733" s="59"/>
    </row>
    <row r="734" spans="1:10" ht="28.5" x14ac:dyDescent="0.2">
      <c r="A734" s="3" t="s">
        <v>1327</v>
      </c>
      <c r="B734" s="3" t="s">
        <v>127</v>
      </c>
      <c r="C734" s="3" t="s">
        <v>8</v>
      </c>
      <c r="D734" s="3" t="s">
        <v>1328</v>
      </c>
      <c r="E734" s="3" t="s">
        <v>1328</v>
      </c>
      <c r="F734" s="1" t="s">
        <v>131</v>
      </c>
      <c r="G734" s="1">
        <v>0</v>
      </c>
      <c r="H734" s="1">
        <v>1E-3</v>
      </c>
      <c r="I734" s="1">
        <v>1</v>
      </c>
      <c r="J734" s="1">
        <v>0</v>
      </c>
    </row>
    <row r="735" spans="1:10" x14ac:dyDescent="0.2">
      <c r="A735" s="46" t="s">
        <v>1329</v>
      </c>
      <c r="B735" s="4" t="s">
        <v>249</v>
      </c>
      <c r="C735" s="46" t="s">
        <v>8</v>
      </c>
      <c r="D735" s="46" t="s">
        <v>1330</v>
      </c>
      <c r="E735" s="46" t="s">
        <v>1330</v>
      </c>
      <c r="F735" s="58" t="s">
        <v>252</v>
      </c>
      <c r="G735" s="58">
        <v>0</v>
      </c>
      <c r="H735" s="58">
        <v>1</v>
      </c>
      <c r="I735" s="58">
        <v>1</v>
      </c>
      <c r="J735" s="58">
        <v>0</v>
      </c>
    </row>
    <row r="736" spans="1:10" x14ac:dyDescent="0.2">
      <c r="A736" s="48"/>
      <c r="B736" s="6" t="s">
        <v>250</v>
      </c>
      <c r="C736" s="48"/>
      <c r="D736" s="48"/>
      <c r="E736" s="48"/>
      <c r="F736" s="60"/>
      <c r="G736" s="60"/>
      <c r="H736" s="60"/>
      <c r="I736" s="60"/>
      <c r="J736" s="60"/>
    </row>
    <row r="737" spans="1:10" x14ac:dyDescent="0.2">
      <c r="A737" s="47"/>
      <c r="B737" s="5" t="s">
        <v>251</v>
      </c>
      <c r="C737" s="47"/>
      <c r="D737" s="47"/>
      <c r="E737" s="47"/>
      <c r="F737" s="59"/>
      <c r="G737" s="59"/>
      <c r="H737" s="59"/>
      <c r="I737" s="59"/>
      <c r="J737" s="59"/>
    </row>
    <row r="738" spans="1:10" x14ac:dyDescent="0.2">
      <c r="A738" s="46" t="s">
        <v>1331</v>
      </c>
      <c r="B738" s="4" t="s">
        <v>249</v>
      </c>
      <c r="C738" s="46" t="s">
        <v>8</v>
      </c>
      <c r="D738" s="46" t="s">
        <v>1332</v>
      </c>
      <c r="E738" s="46" t="s">
        <v>1332</v>
      </c>
      <c r="F738" s="58" t="s">
        <v>252</v>
      </c>
      <c r="G738" s="58">
        <v>0</v>
      </c>
      <c r="H738" s="58">
        <v>1E-3</v>
      </c>
      <c r="I738" s="58">
        <v>1</v>
      </c>
      <c r="J738" s="58">
        <v>0</v>
      </c>
    </row>
    <row r="739" spans="1:10" x14ac:dyDescent="0.2">
      <c r="A739" s="48"/>
      <c r="B739" s="6" t="s">
        <v>250</v>
      </c>
      <c r="C739" s="48"/>
      <c r="D739" s="48"/>
      <c r="E739" s="48"/>
      <c r="F739" s="60"/>
      <c r="G739" s="60"/>
      <c r="H739" s="60"/>
      <c r="I739" s="60"/>
      <c r="J739" s="60"/>
    </row>
    <row r="740" spans="1:10" x14ac:dyDescent="0.2">
      <c r="A740" s="47"/>
      <c r="B740" s="5" t="s">
        <v>251</v>
      </c>
      <c r="C740" s="47"/>
      <c r="D740" s="47"/>
      <c r="E740" s="47"/>
      <c r="F740" s="59"/>
      <c r="G740" s="59"/>
      <c r="H740" s="59"/>
      <c r="I740" s="59"/>
      <c r="J740" s="59"/>
    </row>
    <row r="741" spans="1:10" ht="28.5" x14ac:dyDescent="0.2">
      <c r="A741" s="3" t="s">
        <v>1333</v>
      </c>
      <c r="B741" s="3" t="s">
        <v>257</v>
      </c>
      <c r="C741" s="3" t="s">
        <v>8</v>
      </c>
      <c r="D741" s="3" t="s">
        <v>1334</v>
      </c>
      <c r="E741" s="3" t="s">
        <v>1334</v>
      </c>
      <c r="F741" s="1" t="s">
        <v>258</v>
      </c>
      <c r="G741" s="1">
        <v>0</v>
      </c>
      <c r="H741" s="1">
        <v>1E-3</v>
      </c>
      <c r="I741" s="1">
        <v>1</v>
      </c>
      <c r="J741" s="1">
        <v>0</v>
      </c>
    </row>
    <row r="742" spans="1:10" x14ac:dyDescent="0.2">
      <c r="A742" s="3" t="s">
        <v>1335</v>
      </c>
      <c r="B742" s="3" t="s">
        <v>469</v>
      </c>
      <c r="C742" s="3" t="s">
        <v>8</v>
      </c>
      <c r="D742" s="3" t="s">
        <v>1336</v>
      </c>
      <c r="E742" s="3"/>
      <c r="F742" s="1" t="s">
        <v>470</v>
      </c>
      <c r="G742" s="1">
        <v>0</v>
      </c>
      <c r="H742" s="11">
        <v>3.155815E+16</v>
      </c>
      <c r="I742" s="1">
        <v>1</v>
      </c>
      <c r="J742" s="1">
        <v>0</v>
      </c>
    </row>
    <row r="743" spans="1:10" x14ac:dyDescent="0.2">
      <c r="A743" s="3" t="s">
        <v>1337</v>
      </c>
      <c r="B743" s="3" t="s">
        <v>299</v>
      </c>
      <c r="C743" s="3" t="s">
        <v>8</v>
      </c>
      <c r="D743" s="3" t="s">
        <v>1338</v>
      </c>
      <c r="E743" s="3"/>
      <c r="F743" s="1" t="s">
        <v>300</v>
      </c>
      <c r="G743" s="1">
        <v>0</v>
      </c>
      <c r="H743" s="1">
        <v>0.01</v>
      </c>
      <c r="I743" s="1">
        <v>1</v>
      </c>
      <c r="J743" s="1">
        <v>0</v>
      </c>
    </row>
    <row r="744" spans="1:10" x14ac:dyDescent="0.2">
      <c r="A744" s="46" t="s">
        <v>1339</v>
      </c>
      <c r="B744" s="4" t="s">
        <v>327</v>
      </c>
      <c r="C744" s="46" t="s">
        <v>8</v>
      </c>
      <c r="D744" s="4" t="s">
        <v>1340</v>
      </c>
      <c r="E744" s="46"/>
      <c r="F744" s="58" t="s">
        <v>329</v>
      </c>
      <c r="G744" s="58">
        <v>0</v>
      </c>
      <c r="H744" s="58">
        <v>3.7854120000000002E-3</v>
      </c>
      <c r="I744" s="58">
        <v>42.637689999999999</v>
      </c>
      <c r="J744" s="58">
        <v>0</v>
      </c>
    </row>
    <row r="745" spans="1:10" ht="28.5" x14ac:dyDescent="0.2">
      <c r="A745" s="47"/>
      <c r="B745" s="5" t="s">
        <v>328</v>
      </c>
      <c r="C745" s="47"/>
      <c r="D745" s="5" t="s">
        <v>763</v>
      </c>
      <c r="E745" s="47"/>
      <c r="F745" s="59"/>
      <c r="G745" s="59"/>
      <c r="H745" s="59"/>
      <c r="I745" s="59"/>
      <c r="J745" s="59"/>
    </row>
    <row r="746" spans="1:10" x14ac:dyDescent="0.2">
      <c r="A746" s="3" t="s">
        <v>1341</v>
      </c>
      <c r="B746" s="3" t="s">
        <v>321</v>
      </c>
      <c r="C746" s="3" t="s">
        <v>8</v>
      </c>
      <c r="D746" s="3" t="s">
        <v>1342</v>
      </c>
      <c r="E746" s="3" t="s">
        <v>1342</v>
      </c>
      <c r="F746" s="1" t="s">
        <v>322</v>
      </c>
      <c r="G746" s="1">
        <v>0</v>
      </c>
      <c r="H746" s="1">
        <v>4.5460919999999998E-3</v>
      </c>
      <c r="I746" s="1">
        <v>1</v>
      </c>
      <c r="J746" s="1">
        <v>0</v>
      </c>
    </row>
    <row r="747" spans="1:10" ht="42.75" x14ac:dyDescent="0.2">
      <c r="A747" s="3" t="s">
        <v>1343</v>
      </c>
      <c r="B747" s="3" t="s">
        <v>343</v>
      </c>
      <c r="C747" s="3" t="s">
        <v>8</v>
      </c>
      <c r="D747" s="3" t="s">
        <v>1344</v>
      </c>
      <c r="E747" s="3" t="s">
        <v>1344</v>
      </c>
      <c r="F747" s="1" t="s">
        <v>344</v>
      </c>
      <c r="G747" s="1">
        <v>0</v>
      </c>
      <c r="H747" s="1">
        <v>4.5490920000000002E-3</v>
      </c>
      <c r="I747" s="1">
        <v>86400</v>
      </c>
      <c r="J747" s="1">
        <v>0</v>
      </c>
    </row>
    <row r="748" spans="1:10" ht="42.75" x14ac:dyDescent="0.2">
      <c r="A748" s="3" t="s">
        <v>1345</v>
      </c>
      <c r="B748" s="3" t="s">
        <v>659</v>
      </c>
      <c r="C748" s="3" t="s">
        <v>8</v>
      </c>
      <c r="D748" s="3" t="s">
        <v>1346</v>
      </c>
      <c r="E748" s="3" t="s">
        <v>1346</v>
      </c>
      <c r="F748" s="1" t="s">
        <v>131</v>
      </c>
      <c r="G748" s="1">
        <v>0</v>
      </c>
      <c r="H748" s="1">
        <v>0.16054370000000001</v>
      </c>
      <c r="I748" s="1">
        <v>1</v>
      </c>
      <c r="J748" s="1">
        <v>0</v>
      </c>
    </row>
    <row r="749" spans="1:10" ht="42.75" x14ac:dyDescent="0.2">
      <c r="A749" s="3" t="s">
        <v>1347</v>
      </c>
      <c r="B749" s="3" t="s">
        <v>343</v>
      </c>
      <c r="C749" s="3" t="s">
        <v>8</v>
      </c>
      <c r="D749" s="3" t="s">
        <v>1348</v>
      </c>
      <c r="E749" s="3" t="s">
        <v>1349</v>
      </c>
      <c r="F749" s="1" t="s">
        <v>344</v>
      </c>
      <c r="G749" s="1">
        <v>0</v>
      </c>
      <c r="H749" s="1">
        <v>4.5490920000000002E-3</v>
      </c>
      <c r="I749" s="1">
        <v>3600</v>
      </c>
      <c r="J749" s="1">
        <v>0</v>
      </c>
    </row>
    <row r="750" spans="1:10" ht="42.75" x14ac:dyDescent="0.2">
      <c r="A750" s="3" t="s">
        <v>1350</v>
      </c>
      <c r="B750" s="3" t="s">
        <v>664</v>
      </c>
      <c r="C750" s="3" t="s">
        <v>8</v>
      </c>
      <c r="D750" s="3" t="s">
        <v>1351</v>
      </c>
      <c r="E750" s="3" t="s">
        <v>1352</v>
      </c>
      <c r="F750" s="1" t="s">
        <v>319</v>
      </c>
      <c r="G750" s="1">
        <v>0</v>
      </c>
      <c r="H750" s="1">
        <v>4.1430549999999996E-6</v>
      </c>
      <c r="I750" s="1">
        <v>1</v>
      </c>
      <c r="J750" s="1">
        <v>0</v>
      </c>
    </row>
    <row r="751" spans="1:10" ht="71.25" x14ac:dyDescent="0.2">
      <c r="A751" s="3" t="s">
        <v>1353</v>
      </c>
      <c r="B751" s="3" t="s">
        <v>1271</v>
      </c>
      <c r="C751" s="3" t="s">
        <v>8</v>
      </c>
      <c r="D751" s="3" t="s">
        <v>1354</v>
      </c>
      <c r="E751" s="3" t="s">
        <v>1355</v>
      </c>
      <c r="F751" s="1" t="s">
        <v>297</v>
      </c>
      <c r="G751" s="1">
        <v>0</v>
      </c>
      <c r="H751" s="1">
        <v>1.3592699999999999E-5</v>
      </c>
      <c r="I751" s="1">
        <v>1</v>
      </c>
      <c r="J751" s="1">
        <v>0</v>
      </c>
    </row>
    <row r="752" spans="1:10" ht="42.75" x14ac:dyDescent="0.2">
      <c r="A752" s="3" t="s">
        <v>1356</v>
      </c>
      <c r="B752" s="3" t="s">
        <v>664</v>
      </c>
      <c r="C752" s="3" t="s">
        <v>8</v>
      </c>
      <c r="D752" s="3" t="s">
        <v>1357</v>
      </c>
      <c r="E752" s="3" t="s">
        <v>1358</v>
      </c>
      <c r="F752" s="1" t="s">
        <v>319</v>
      </c>
      <c r="G752" s="1">
        <v>0</v>
      </c>
      <c r="H752" s="1">
        <v>4.9716670000000003E-5</v>
      </c>
      <c r="I752" s="1">
        <v>1</v>
      </c>
      <c r="J752" s="1">
        <v>0</v>
      </c>
    </row>
    <row r="753" spans="1:10" ht="71.25" x14ac:dyDescent="0.2">
      <c r="A753" s="3" t="s">
        <v>1359</v>
      </c>
      <c r="B753" s="3" t="s">
        <v>1271</v>
      </c>
      <c r="C753" s="3" t="s">
        <v>8</v>
      </c>
      <c r="D753" s="3" t="s">
        <v>1360</v>
      </c>
      <c r="E753" s="3" t="s">
        <v>1361</v>
      </c>
      <c r="F753" s="1" t="s">
        <v>297</v>
      </c>
      <c r="G753" s="1">
        <v>0</v>
      </c>
      <c r="H753" s="1">
        <v>1.9573490000000002E-3</v>
      </c>
      <c r="I753" s="1">
        <v>1</v>
      </c>
      <c r="J753" s="1">
        <v>0</v>
      </c>
    </row>
    <row r="754" spans="1:10" ht="42.75" x14ac:dyDescent="0.2">
      <c r="A754" s="3" t="s">
        <v>1362</v>
      </c>
      <c r="B754" s="3" t="s">
        <v>346</v>
      </c>
      <c r="C754" s="3" t="s">
        <v>8</v>
      </c>
      <c r="D754" s="3" t="s">
        <v>1363</v>
      </c>
      <c r="E754" s="3" t="s">
        <v>1364</v>
      </c>
      <c r="F754" s="1" t="s">
        <v>347</v>
      </c>
      <c r="G754" s="1">
        <v>0</v>
      </c>
      <c r="H754" s="1">
        <v>4.5460919999999998E-3</v>
      </c>
      <c r="I754" s="1">
        <v>12960000</v>
      </c>
      <c r="J754" s="1">
        <v>0</v>
      </c>
    </row>
    <row r="755" spans="1:10" ht="85.5" x14ac:dyDescent="0.2">
      <c r="A755" s="3" t="s">
        <v>1365</v>
      </c>
      <c r="B755" s="3" t="s">
        <v>659</v>
      </c>
      <c r="C755" s="3" t="s">
        <v>8</v>
      </c>
      <c r="D755" s="3" t="s">
        <v>1366</v>
      </c>
      <c r="E755" s="3"/>
      <c r="F755" s="1" t="s">
        <v>131</v>
      </c>
      <c r="G755" s="1">
        <v>0</v>
      </c>
      <c r="H755" s="1">
        <v>1E-3</v>
      </c>
      <c r="I755" s="1">
        <v>1</v>
      </c>
      <c r="J755" s="1">
        <v>0</v>
      </c>
    </row>
    <row r="756" spans="1:10" x14ac:dyDescent="0.2">
      <c r="A756" s="46" t="s">
        <v>1367</v>
      </c>
      <c r="B756" s="4" t="s">
        <v>327</v>
      </c>
      <c r="C756" s="46" t="s">
        <v>8</v>
      </c>
      <c r="D756" s="46" t="s">
        <v>1368</v>
      </c>
      <c r="E756" s="46" t="s">
        <v>1368</v>
      </c>
      <c r="F756" s="58" t="s">
        <v>329</v>
      </c>
      <c r="G756" s="58">
        <v>0</v>
      </c>
      <c r="H756" s="58">
        <v>1.0022420000000001E-2</v>
      </c>
      <c r="I756" s="58">
        <v>1</v>
      </c>
      <c r="J756" s="58">
        <v>0</v>
      </c>
    </row>
    <row r="757" spans="1:10" x14ac:dyDescent="0.2">
      <c r="A757" s="47"/>
      <c r="B757" s="5" t="s">
        <v>328</v>
      </c>
      <c r="C757" s="47"/>
      <c r="D757" s="47"/>
      <c r="E757" s="47"/>
      <c r="F757" s="59"/>
      <c r="G757" s="59"/>
      <c r="H757" s="59"/>
      <c r="I757" s="59"/>
      <c r="J757" s="59"/>
    </row>
    <row r="758" spans="1:10" ht="57" x14ac:dyDescent="0.2">
      <c r="A758" s="3" t="s">
        <v>1369</v>
      </c>
      <c r="B758" s="3" t="s">
        <v>659</v>
      </c>
      <c r="C758" s="3" t="s">
        <v>8</v>
      </c>
      <c r="D758" s="3" t="s">
        <v>1370</v>
      </c>
      <c r="E758" s="3"/>
      <c r="F758" s="1" t="s">
        <v>131</v>
      </c>
      <c r="G758" s="1">
        <v>0</v>
      </c>
      <c r="H758" s="1">
        <v>2.8594059999999998E-5</v>
      </c>
      <c r="I758" s="1">
        <v>1</v>
      </c>
      <c r="J758" s="1">
        <v>0</v>
      </c>
    </row>
    <row r="759" spans="1:10" ht="42.75" x14ac:dyDescent="0.2">
      <c r="A759" s="3" t="s">
        <v>1371</v>
      </c>
      <c r="B759" s="3" t="s">
        <v>767</v>
      </c>
      <c r="C759" s="3" t="s">
        <v>8</v>
      </c>
      <c r="D759" s="3" t="s">
        <v>1372</v>
      </c>
      <c r="E759" s="3" t="s">
        <v>1372</v>
      </c>
      <c r="F759" s="1" t="s">
        <v>303</v>
      </c>
      <c r="G759" s="1">
        <v>0</v>
      </c>
      <c r="H759" s="1">
        <v>4.5460919999999998E-3</v>
      </c>
      <c r="I759" s="1">
        <v>1609.3440000000001</v>
      </c>
      <c r="J759" s="1">
        <v>0</v>
      </c>
    </row>
    <row r="760" spans="1:10" ht="42.75" x14ac:dyDescent="0.2">
      <c r="A760" s="3" t="s">
        <v>1373</v>
      </c>
      <c r="B760" s="3" t="s">
        <v>343</v>
      </c>
      <c r="C760" s="3" t="s">
        <v>8</v>
      </c>
      <c r="D760" s="3" t="s">
        <v>1374</v>
      </c>
      <c r="E760" s="3" t="s">
        <v>1374</v>
      </c>
      <c r="F760" s="1" t="s">
        <v>344</v>
      </c>
      <c r="G760" s="1">
        <v>0</v>
      </c>
      <c r="H760" s="1">
        <v>4.5490920000000002E-3</v>
      </c>
      <c r="I760" s="1">
        <v>60</v>
      </c>
      <c r="J760" s="1">
        <v>0</v>
      </c>
    </row>
    <row r="761" spans="1:10" ht="42.75" x14ac:dyDescent="0.2">
      <c r="A761" s="3" t="s">
        <v>1375</v>
      </c>
      <c r="B761" s="3" t="s">
        <v>664</v>
      </c>
      <c r="C761" s="3" t="s">
        <v>8</v>
      </c>
      <c r="D761" s="3" t="s">
        <v>1376</v>
      </c>
      <c r="E761" s="3" t="s">
        <v>1376</v>
      </c>
      <c r="F761" s="1" t="s">
        <v>319</v>
      </c>
      <c r="G761" s="1">
        <v>0</v>
      </c>
      <c r="H761" s="1">
        <v>2.4853329999999999E-4</v>
      </c>
      <c r="I761" s="1">
        <v>1</v>
      </c>
      <c r="J761" s="1">
        <v>0</v>
      </c>
    </row>
    <row r="762" spans="1:10" ht="71.25" x14ac:dyDescent="0.2">
      <c r="A762" s="3" t="s">
        <v>1377</v>
      </c>
      <c r="B762" s="3" t="s">
        <v>1271</v>
      </c>
      <c r="C762" s="3" t="s">
        <v>8</v>
      </c>
      <c r="D762" s="3" t="s">
        <v>1378</v>
      </c>
      <c r="E762" s="3" t="s">
        <v>1378</v>
      </c>
      <c r="F762" s="1" t="s">
        <v>297</v>
      </c>
      <c r="G762" s="1">
        <v>0</v>
      </c>
      <c r="H762" s="1">
        <v>8.1556209999999996E-4</v>
      </c>
      <c r="I762" s="1">
        <v>1</v>
      </c>
      <c r="J762" s="1">
        <v>0</v>
      </c>
    </row>
    <row r="763" spans="1:10" ht="57" x14ac:dyDescent="0.2">
      <c r="A763" s="3" t="s">
        <v>1379</v>
      </c>
      <c r="B763" s="3" t="s">
        <v>346</v>
      </c>
      <c r="C763" s="3" t="s">
        <v>8</v>
      </c>
      <c r="D763" s="3" t="s">
        <v>1380</v>
      </c>
      <c r="E763" s="3" t="s">
        <v>1380</v>
      </c>
      <c r="F763" s="1" t="s">
        <v>347</v>
      </c>
      <c r="G763" s="1">
        <v>0</v>
      </c>
      <c r="H763" s="1">
        <v>4.5460919999999998E-3</v>
      </c>
      <c r="I763" s="1">
        <v>3600</v>
      </c>
      <c r="J763" s="1">
        <v>0</v>
      </c>
    </row>
    <row r="764" spans="1:10" ht="28.5" x14ac:dyDescent="0.2">
      <c r="A764" s="3" t="s">
        <v>1381</v>
      </c>
      <c r="B764" s="3" t="s">
        <v>321</v>
      </c>
      <c r="C764" s="3" t="s">
        <v>8</v>
      </c>
      <c r="D764" s="3" t="s">
        <v>1382</v>
      </c>
      <c r="E764" s="3" t="s">
        <v>1382</v>
      </c>
      <c r="F764" s="1" t="s">
        <v>322</v>
      </c>
      <c r="G764" s="1">
        <v>0</v>
      </c>
      <c r="H764" s="1">
        <v>3.7854120000000002E-3</v>
      </c>
      <c r="I764" s="1">
        <v>1</v>
      </c>
      <c r="J764" s="1">
        <v>0</v>
      </c>
    </row>
    <row r="765" spans="1:10" ht="57" x14ac:dyDescent="0.2">
      <c r="A765" s="3" t="s">
        <v>1383</v>
      </c>
      <c r="B765" s="3" t="s">
        <v>659</v>
      </c>
      <c r="C765" s="3" t="s">
        <v>8</v>
      </c>
      <c r="D765" s="3" t="s">
        <v>1384</v>
      </c>
      <c r="E765" s="3"/>
      <c r="F765" s="1" t="s">
        <v>131</v>
      </c>
      <c r="G765" s="1">
        <v>0</v>
      </c>
      <c r="H765" s="1">
        <v>2.3809523810000002E-3</v>
      </c>
      <c r="I765" s="1">
        <v>1</v>
      </c>
      <c r="J765" s="1">
        <v>0</v>
      </c>
    </row>
    <row r="766" spans="1:10" ht="42.75" x14ac:dyDescent="0.2">
      <c r="A766" s="3" t="s">
        <v>1385</v>
      </c>
      <c r="B766" s="3" t="s">
        <v>659</v>
      </c>
      <c r="C766" s="3" t="s">
        <v>8</v>
      </c>
      <c r="D766" s="3" t="s">
        <v>1386</v>
      </c>
      <c r="E766" s="3" t="s">
        <v>1386</v>
      </c>
      <c r="F766" s="1" t="s">
        <v>131</v>
      </c>
      <c r="G766" s="1">
        <v>0</v>
      </c>
      <c r="H766" s="1">
        <v>2.380952381E-2</v>
      </c>
      <c r="I766" s="1">
        <v>1</v>
      </c>
      <c r="J766" s="1">
        <v>0</v>
      </c>
    </row>
    <row r="767" spans="1:10" ht="42.75" x14ac:dyDescent="0.2">
      <c r="A767" s="3" t="s">
        <v>1387</v>
      </c>
      <c r="B767" s="3" t="s">
        <v>343</v>
      </c>
      <c r="C767" s="3" t="s">
        <v>8</v>
      </c>
      <c r="D767" s="3" t="s">
        <v>1388</v>
      </c>
      <c r="E767" s="3" t="s">
        <v>1388</v>
      </c>
      <c r="F767" s="1" t="s">
        <v>344</v>
      </c>
      <c r="G767" s="1">
        <v>0</v>
      </c>
      <c r="H767" s="1">
        <v>3.7854120000000002E-3</v>
      </c>
      <c r="I767" s="1">
        <v>86400</v>
      </c>
      <c r="J767" s="1">
        <v>0</v>
      </c>
    </row>
    <row r="768" spans="1:10" ht="42.75" x14ac:dyDescent="0.2">
      <c r="A768" s="3" t="s">
        <v>1389</v>
      </c>
      <c r="B768" s="3" t="s">
        <v>767</v>
      </c>
      <c r="C768" s="3" t="s">
        <v>8</v>
      </c>
      <c r="D768" s="3" t="s">
        <v>1390</v>
      </c>
      <c r="E768" s="3" t="s">
        <v>1390</v>
      </c>
      <c r="F768" s="1" t="s">
        <v>303</v>
      </c>
      <c r="G768" s="1">
        <v>0</v>
      </c>
      <c r="H768" s="1">
        <v>3.7854120000000002E-3</v>
      </c>
      <c r="I768" s="1">
        <v>0.30480000000000002</v>
      </c>
      <c r="J768" s="1">
        <v>0</v>
      </c>
    </row>
    <row r="769" spans="1:10" ht="42.75" x14ac:dyDescent="0.2">
      <c r="A769" s="3" t="s">
        <v>1391</v>
      </c>
      <c r="B769" s="3" t="s">
        <v>659</v>
      </c>
      <c r="C769" s="3" t="s">
        <v>8</v>
      </c>
      <c r="D769" s="3" t="s">
        <v>1392</v>
      </c>
      <c r="E769" s="3" t="s">
        <v>1392</v>
      </c>
      <c r="F769" s="1" t="s">
        <v>131</v>
      </c>
      <c r="G769" s="1">
        <v>0</v>
      </c>
      <c r="H769" s="1">
        <v>0.13368060000000001</v>
      </c>
      <c r="I769" s="1">
        <v>1</v>
      </c>
      <c r="J769" s="1">
        <v>0</v>
      </c>
    </row>
    <row r="770" spans="1:10" ht="42.75" x14ac:dyDescent="0.2">
      <c r="A770" s="3" t="s">
        <v>1393</v>
      </c>
      <c r="B770" s="3" t="s">
        <v>343</v>
      </c>
      <c r="C770" s="3" t="s">
        <v>8</v>
      </c>
      <c r="D770" s="3" t="s">
        <v>1394</v>
      </c>
      <c r="E770" s="3" t="s">
        <v>1395</v>
      </c>
      <c r="F770" s="1" t="s">
        <v>344</v>
      </c>
      <c r="G770" s="1">
        <v>0</v>
      </c>
      <c r="H770" s="1">
        <v>3.7854120000000002E-3</v>
      </c>
      <c r="I770" s="1">
        <v>3600</v>
      </c>
      <c r="J770" s="1">
        <v>0</v>
      </c>
    </row>
    <row r="771" spans="1:10" ht="42.75" x14ac:dyDescent="0.2">
      <c r="A771" s="3" t="s">
        <v>1396</v>
      </c>
      <c r="B771" s="3" t="s">
        <v>664</v>
      </c>
      <c r="C771" s="3" t="s">
        <v>8</v>
      </c>
      <c r="D771" s="3" t="s">
        <v>1397</v>
      </c>
      <c r="E771" s="3" t="s">
        <v>1398</v>
      </c>
      <c r="F771" s="1" t="s">
        <v>319</v>
      </c>
      <c r="G771" s="1">
        <v>0</v>
      </c>
      <c r="H771" s="1">
        <v>3.449814E-6</v>
      </c>
      <c r="I771" s="1">
        <v>1</v>
      </c>
      <c r="J771" s="1">
        <v>0</v>
      </c>
    </row>
    <row r="772" spans="1:10" ht="71.25" x14ac:dyDescent="0.2">
      <c r="A772" s="3" t="s">
        <v>1399</v>
      </c>
      <c r="B772" s="3" t="s">
        <v>1271</v>
      </c>
      <c r="C772" s="3" t="s">
        <v>8</v>
      </c>
      <c r="D772" s="3" t="s">
        <v>1400</v>
      </c>
      <c r="E772" s="3" t="s">
        <v>1401</v>
      </c>
      <c r="F772" s="1" t="s">
        <v>297</v>
      </c>
      <c r="G772" s="1">
        <v>0</v>
      </c>
      <c r="H772" s="1">
        <v>1.1318290000000001E-5</v>
      </c>
      <c r="I772" s="1">
        <v>1</v>
      </c>
      <c r="J772" s="1">
        <v>0</v>
      </c>
    </row>
    <row r="773" spans="1:10" ht="42.75" x14ac:dyDescent="0.2">
      <c r="A773" s="3" t="s">
        <v>1402</v>
      </c>
      <c r="B773" s="3" t="s">
        <v>664</v>
      </c>
      <c r="C773" s="3" t="s">
        <v>8</v>
      </c>
      <c r="D773" s="3" t="s">
        <v>1403</v>
      </c>
      <c r="E773" s="3" t="s">
        <v>1404</v>
      </c>
      <c r="F773" s="1" t="s">
        <v>319</v>
      </c>
      <c r="G773" s="1">
        <v>0</v>
      </c>
      <c r="H773" s="1">
        <v>4.1397760000000003E-5</v>
      </c>
      <c r="I773" s="1">
        <v>1</v>
      </c>
      <c r="J773" s="1">
        <v>0</v>
      </c>
    </row>
    <row r="774" spans="1:10" ht="71.25" x14ac:dyDescent="0.2">
      <c r="A774" s="3" t="s">
        <v>1405</v>
      </c>
      <c r="B774" s="3" t="s">
        <v>1271</v>
      </c>
      <c r="C774" s="3" t="s">
        <v>8</v>
      </c>
      <c r="D774" s="3" t="s">
        <v>1406</v>
      </c>
      <c r="E774" s="3" t="s">
        <v>1407</v>
      </c>
      <c r="F774" s="1" t="s">
        <v>297</v>
      </c>
      <c r="G774" s="1">
        <v>0</v>
      </c>
      <c r="H774" s="1">
        <v>1.629833E-3</v>
      </c>
      <c r="I774" s="1">
        <v>1</v>
      </c>
      <c r="J774" s="1">
        <v>0</v>
      </c>
    </row>
    <row r="775" spans="1:10" ht="42.75" x14ac:dyDescent="0.2">
      <c r="A775" s="3" t="s">
        <v>1408</v>
      </c>
      <c r="B775" s="3" t="s">
        <v>346</v>
      </c>
      <c r="C775" s="3" t="s">
        <v>8</v>
      </c>
      <c r="D775" s="3" t="s">
        <v>1409</v>
      </c>
      <c r="E775" s="3" t="s">
        <v>1410</v>
      </c>
      <c r="F775" s="1" t="s">
        <v>347</v>
      </c>
      <c r="G775" s="1">
        <v>0</v>
      </c>
      <c r="H775" s="1">
        <v>3.7854120000000002E-3</v>
      </c>
      <c r="I775" s="1">
        <v>12960000</v>
      </c>
      <c r="J775" s="1">
        <v>0</v>
      </c>
    </row>
    <row r="776" spans="1:10" ht="85.5" x14ac:dyDescent="0.2">
      <c r="A776" s="3" t="s">
        <v>1411</v>
      </c>
      <c r="B776" s="3" t="s">
        <v>659</v>
      </c>
      <c r="C776" s="3" t="s">
        <v>8</v>
      </c>
      <c r="D776" s="3" t="s">
        <v>1412</v>
      </c>
      <c r="E776" s="3"/>
      <c r="F776" s="1" t="s">
        <v>131</v>
      </c>
      <c r="G776" s="1">
        <v>0</v>
      </c>
      <c r="H776" s="1">
        <v>1E-3</v>
      </c>
      <c r="I776" s="1">
        <v>1</v>
      </c>
      <c r="J776" s="1">
        <v>0</v>
      </c>
    </row>
    <row r="777" spans="1:10" x14ac:dyDescent="0.2">
      <c r="A777" s="46" t="s">
        <v>1413</v>
      </c>
      <c r="B777" s="4" t="s">
        <v>327</v>
      </c>
      <c r="C777" s="46" t="s">
        <v>8</v>
      </c>
      <c r="D777" s="46" t="s">
        <v>1414</v>
      </c>
      <c r="E777" s="46" t="s">
        <v>1414</v>
      </c>
      <c r="F777" s="58" t="s">
        <v>329</v>
      </c>
      <c r="G777" s="58">
        <v>0</v>
      </c>
      <c r="H777" s="58">
        <v>8.3454040000000007E-3</v>
      </c>
      <c r="I777" s="58">
        <v>1</v>
      </c>
      <c r="J777" s="58">
        <v>0</v>
      </c>
    </row>
    <row r="778" spans="1:10" x14ac:dyDescent="0.2">
      <c r="A778" s="47"/>
      <c r="B778" s="5" t="s">
        <v>328</v>
      </c>
      <c r="C778" s="47"/>
      <c r="D778" s="47"/>
      <c r="E778" s="47"/>
      <c r="F778" s="59"/>
      <c r="G778" s="59"/>
      <c r="H778" s="59"/>
      <c r="I778" s="59"/>
      <c r="J778" s="59"/>
    </row>
    <row r="779" spans="1:10" ht="57" x14ac:dyDescent="0.2">
      <c r="A779" s="3" t="s">
        <v>1415</v>
      </c>
      <c r="B779" s="3" t="s">
        <v>659</v>
      </c>
      <c r="C779" s="3" t="s">
        <v>8</v>
      </c>
      <c r="D779" s="3" t="s">
        <v>1416</v>
      </c>
      <c r="E779" s="3"/>
      <c r="F779" s="1" t="s">
        <v>131</v>
      </c>
      <c r="G779" s="1">
        <v>0</v>
      </c>
      <c r="H779" s="1">
        <v>2.3809520000000001E-5</v>
      </c>
      <c r="I779" s="1">
        <v>1</v>
      </c>
      <c r="J779" s="1">
        <v>0</v>
      </c>
    </row>
    <row r="780" spans="1:10" ht="42.75" x14ac:dyDescent="0.2">
      <c r="A780" s="3" t="s">
        <v>1417</v>
      </c>
      <c r="B780" s="3" t="s">
        <v>767</v>
      </c>
      <c r="C780" s="3" t="s">
        <v>8</v>
      </c>
      <c r="D780" s="3" t="s">
        <v>1418</v>
      </c>
      <c r="E780" s="3" t="s">
        <v>1418</v>
      </c>
      <c r="F780" s="1" t="s">
        <v>303</v>
      </c>
      <c r="G780" s="1">
        <v>0</v>
      </c>
      <c r="H780" s="1">
        <v>3.7854120000000002E-3</v>
      </c>
      <c r="I780" s="1">
        <v>1609.3440000000001</v>
      </c>
      <c r="J780" s="1">
        <v>0</v>
      </c>
    </row>
    <row r="781" spans="1:10" ht="42.75" x14ac:dyDescent="0.2">
      <c r="A781" s="3" t="s">
        <v>1419</v>
      </c>
      <c r="B781" s="3" t="s">
        <v>343</v>
      </c>
      <c r="C781" s="3" t="s">
        <v>8</v>
      </c>
      <c r="D781" s="3" t="s">
        <v>1420</v>
      </c>
      <c r="E781" s="3" t="s">
        <v>1420</v>
      </c>
      <c r="F781" s="1" t="s">
        <v>344</v>
      </c>
      <c r="G781" s="1">
        <v>0</v>
      </c>
      <c r="H781" s="1">
        <v>3.7854120000000002E-3</v>
      </c>
      <c r="I781" s="1">
        <v>60</v>
      </c>
      <c r="J781" s="1">
        <v>0</v>
      </c>
    </row>
    <row r="782" spans="1:10" ht="42.75" x14ac:dyDescent="0.2">
      <c r="A782" s="3" t="s">
        <v>1421</v>
      </c>
      <c r="B782" s="3" t="s">
        <v>664</v>
      </c>
      <c r="C782" s="3" t="s">
        <v>8</v>
      </c>
      <c r="D782" s="3" t="s">
        <v>1422</v>
      </c>
      <c r="E782" s="3" t="s">
        <v>1422</v>
      </c>
      <c r="F782" s="1" t="s">
        <v>319</v>
      </c>
      <c r="G782" s="1">
        <v>0</v>
      </c>
      <c r="H782" s="1">
        <v>2.0698879999999999E-4</v>
      </c>
      <c r="I782" s="1">
        <v>1</v>
      </c>
      <c r="J782" s="1">
        <v>0</v>
      </c>
    </row>
    <row r="783" spans="1:10" ht="71.25" x14ac:dyDescent="0.2">
      <c r="A783" s="3" t="s">
        <v>1423</v>
      </c>
      <c r="B783" s="3" t="s">
        <v>1271</v>
      </c>
      <c r="C783" s="3" t="s">
        <v>8</v>
      </c>
      <c r="D783" s="3" t="s">
        <v>1424</v>
      </c>
      <c r="E783" s="3" t="s">
        <v>1424</v>
      </c>
      <c r="F783" s="1" t="s">
        <v>297</v>
      </c>
      <c r="G783" s="1">
        <v>0</v>
      </c>
      <c r="H783" s="1">
        <v>6.7909719999999999E-4</v>
      </c>
      <c r="I783" s="1">
        <v>1</v>
      </c>
      <c r="J783" s="1">
        <v>0</v>
      </c>
    </row>
    <row r="784" spans="1:10" ht="57" x14ac:dyDescent="0.2">
      <c r="A784" s="3" t="s">
        <v>1425</v>
      </c>
      <c r="B784" s="3" t="s">
        <v>346</v>
      </c>
      <c r="C784" s="3" t="s">
        <v>8</v>
      </c>
      <c r="D784" s="3" t="s">
        <v>1426</v>
      </c>
      <c r="E784" s="3" t="s">
        <v>1426</v>
      </c>
      <c r="F784" s="1" t="s">
        <v>347</v>
      </c>
      <c r="G784" s="1">
        <v>0</v>
      </c>
      <c r="H784" s="1">
        <v>3.7854120000000002E-3</v>
      </c>
      <c r="I784" s="1">
        <v>3600</v>
      </c>
      <c r="J784" s="1">
        <v>0</v>
      </c>
    </row>
    <row r="785" spans="1:10" ht="71.25" x14ac:dyDescent="0.2">
      <c r="A785" s="3" t="s">
        <v>1427</v>
      </c>
      <c r="B785" s="3" t="s">
        <v>349</v>
      </c>
      <c r="C785" s="3" t="s">
        <v>8</v>
      </c>
      <c r="D785" s="3" t="s">
        <v>1428</v>
      </c>
      <c r="E785" s="3"/>
      <c r="F785" s="1" t="s">
        <v>352</v>
      </c>
      <c r="G785" s="1">
        <v>0</v>
      </c>
      <c r="H785" s="1">
        <v>3.7854120000000002E-3</v>
      </c>
      <c r="I785" s="1">
        <v>28.262357000000002</v>
      </c>
      <c r="J785" s="1">
        <v>0</v>
      </c>
    </row>
    <row r="786" spans="1:10" x14ac:dyDescent="0.2">
      <c r="A786" s="46" t="s">
        <v>1339</v>
      </c>
      <c r="B786" s="4" t="s">
        <v>327</v>
      </c>
      <c r="C786" s="46" t="s">
        <v>8</v>
      </c>
      <c r="D786" s="46" t="s">
        <v>1429</v>
      </c>
      <c r="E786" s="46"/>
      <c r="F786" s="58" t="s">
        <v>329</v>
      </c>
      <c r="G786" s="58">
        <v>0</v>
      </c>
      <c r="H786" s="58">
        <v>3.7854120000000002E-3</v>
      </c>
      <c r="I786" s="58">
        <v>42.637689999999999</v>
      </c>
      <c r="J786" s="58">
        <v>0</v>
      </c>
    </row>
    <row r="787" spans="1:10" x14ac:dyDescent="0.2">
      <c r="A787" s="47"/>
      <c r="B787" s="5" t="s">
        <v>328</v>
      </c>
      <c r="C787" s="47"/>
      <c r="D787" s="47"/>
      <c r="E787" s="47"/>
      <c r="F787" s="59"/>
      <c r="G787" s="59"/>
      <c r="H787" s="59"/>
      <c r="I787" s="59"/>
      <c r="J787" s="59"/>
    </row>
    <row r="788" spans="1:10" x14ac:dyDescent="0.2">
      <c r="A788" s="46" t="s">
        <v>1430</v>
      </c>
      <c r="B788" s="4" t="s">
        <v>327</v>
      </c>
      <c r="C788" s="46" t="s">
        <v>8</v>
      </c>
      <c r="D788" s="46" t="s">
        <v>1431</v>
      </c>
      <c r="E788" s="46" t="s">
        <v>1431</v>
      </c>
      <c r="F788" s="58" t="s">
        <v>329</v>
      </c>
      <c r="G788" s="58">
        <v>0</v>
      </c>
      <c r="H788" s="58">
        <v>3.7256270000000001E-6</v>
      </c>
      <c r="I788" s="58">
        <v>1</v>
      </c>
      <c r="J788" s="58">
        <v>0</v>
      </c>
    </row>
    <row r="789" spans="1:10" x14ac:dyDescent="0.2">
      <c r="A789" s="47"/>
      <c r="B789" s="5" t="s">
        <v>328</v>
      </c>
      <c r="C789" s="47"/>
      <c r="D789" s="47"/>
      <c r="E789" s="47"/>
      <c r="F789" s="59"/>
      <c r="G789" s="59"/>
      <c r="H789" s="59"/>
      <c r="I789" s="59"/>
      <c r="J789" s="59"/>
    </row>
    <row r="790" spans="1:10" x14ac:dyDescent="0.2">
      <c r="A790" s="46" t="s">
        <v>1432</v>
      </c>
      <c r="B790" s="4" t="s">
        <v>327</v>
      </c>
      <c r="C790" s="46" t="s">
        <v>8</v>
      </c>
      <c r="D790" s="46" t="s">
        <v>1433</v>
      </c>
      <c r="E790" s="46" t="s">
        <v>1433</v>
      </c>
      <c r="F790" s="58" t="s">
        <v>329</v>
      </c>
      <c r="G790" s="58">
        <v>0</v>
      </c>
      <c r="H790" s="58">
        <v>4.1727020000000004E-6</v>
      </c>
      <c r="I790" s="58">
        <v>1</v>
      </c>
      <c r="J790" s="58">
        <v>0</v>
      </c>
    </row>
    <row r="791" spans="1:10" x14ac:dyDescent="0.2">
      <c r="A791" s="47"/>
      <c r="B791" s="5" t="s">
        <v>328</v>
      </c>
      <c r="C791" s="47"/>
      <c r="D791" s="47"/>
      <c r="E791" s="47"/>
      <c r="F791" s="59"/>
      <c r="G791" s="59"/>
      <c r="H791" s="59"/>
      <c r="I791" s="59"/>
      <c r="J791" s="59"/>
    </row>
    <row r="792" spans="1:10" x14ac:dyDescent="0.2">
      <c r="A792" s="46" t="s">
        <v>1434</v>
      </c>
      <c r="B792" s="4" t="s">
        <v>52</v>
      </c>
      <c r="C792" s="46" t="s">
        <v>8</v>
      </c>
      <c r="D792" s="46" t="s">
        <v>1434</v>
      </c>
      <c r="E792" s="46"/>
      <c r="F792" s="58" t="s">
        <v>55</v>
      </c>
      <c r="G792" s="58">
        <v>0</v>
      </c>
      <c r="H792" s="58">
        <v>7.9577469999999998E-4</v>
      </c>
      <c r="I792" s="58">
        <v>1</v>
      </c>
      <c r="J792" s="58">
        <v>0</v>
      </c>
    </row>
    <row r="793" spans="1:10" x14ac:dyDescent="0.2">
      <c r="A793" s="48"/>
      <c r="B793" s="6" t="s">
        <v>53</v>
      </c>
      <c r="C793" s="48"/>
      <c r="D793" s="48"/>
      <c r="E793" s="48"/>
      <c r="F793" s="60"/>
      <c r="G793" s="60"/>
      <c r="H793" s="60"/>
      <c r="I793" s="60"/>
      <c r="J793" s="60"/>
    </row>
    <row r="794" spans="1:10" x14ac:dyDescent="0.2">
      <c r="A794" s="47"/>
      <c r="B794" s="5" t="s">
        <v>54</v>
      </c>
      <c r="C794" s="47"/>
      <c r="D794" s="47"/>
      <c r="E794" s="47"/>
      <c r="F794" s="59"/>
      <c r="G794" s="59"/>
      <c r="H794" s="59"/>
      <c r="I794" s="59"/>
      <c r="J794" s="59"/>
    </row>
    <row r="795" spans="1:10" x14ac:dyDescent="0.2">
      <c r="A795" s="46" t="s">
        <v>1435</v>
      </c>
      <c r="B795" s="4" t="s">
        <v>516</v>
      </c>
      <c r="C795" s="46" t="s">
        <v>8</v>
      </c>
      <c r="D795" s="46" t="s">
        <v>1435</v>
      </c>
      <c r="E795" s="46"/>
      <c r="F795" s="58" t="s">
        <v>518</v>
      </c>
      <c r="G795" s="58">
        <v>0</v>
      </c>
      <c r="H795" s="58">
        <v>1E-4</v>
      </c>
      <c r="I795" s="58">
        <v>1</v>
      </c>
      <c r="J795" s="58">
        <v>0</v>
      </c>
    </row>
    <row r="796" spans="1:10" x14ac:dyDescent="0.2">
      <c r="A796" s="47"/>
      <c r="B796" s="5" t="s">
        <v>517</v>
      </c>
      <c r="C796" s="47"/>
      <c r="D796" s="47"/>
      <c r="E796" s="47"/>
      <c r="F796" s="59"/>
      <c r="G796" s="59"/>
      <c r="H796" s="59"/>
      <c r="I796" s="59"/>
      <c r="J796" s="59"/>
    </row>
    <row r="797" spans="1:10" ht="28.5" x14ac:dyDescent="0.2">
      <c r="A797" s="3" t="s">
        <v>1436</v>
      </c>
      <c r="B797" s="3" t="s">
        <v>80</v>
      </c>
      <c r="C797" s="3" t="s">
        <v>8</v>
      </c>
      <c r="D797" s="3" t="s">
        <v>1437</v>
      </c>
      <c r="E797" s="3" t="s">
        <v>1437</v>
      </c>
      <c r="F797" s="1" t="s">
        <v>81</v>
      </c>
      <c r="G797" s="1">
        <v>0</v>
      </c>
      <c r="H797" s="1">
        <v>1000000000</v>
      </c>
      <c r="I797" s="1">
        <v>1</v>
      </c>
      <c r="J797" s="1">
        <v>0</v>
      </c>
    </row>
    <row r="798" spans="1:10" x14ac:dyDescent="0.2">
      <c r="A798" s="46" t="s">
        <v>1438</v>
      </c>
      <c r="B798" s="4" t="s">
        <v>166</v>
      </c>
      <c r="C798" s="46" t="s">
        <v>8</v>
      </c>
      <c r="D798" s="46" t="s">
        <v>1439</v>
      </c>
      <c r="E798" s="46" t="s">
        <v>1439</v>
      </c>
      <c r="F798" s="58" t="s">
        <v>168</v>
      </c>
      <c r="G798" s="58">
        <v>0</v>
      </c>
      <c r="H798" s="58">
        <v>1.6021900000000001E-10</v>
      </c>
      <c r="I798" s="58">
        <v>1</v>
      </c>
      <c r="J798" s="58">
        <v>0</v>
      </c>
    </row>
    <row r="799" spans="1:10" x14ac:dyDescent="0.2">
      <c r="A799" s="47"/>
      <c r="B799" s="5" t="s">
        <v>167</v>
      </c>
      <c r="C799" s="47"/>
      <c r="D799" s="47"/>
      <c r="E799" s="47"/>
      <c r="F799" s="59"/>
      <c r="G799" s="59"/>
      <c r="H799" s="59"/>
      <c r="I799" s="59"/>
      <c r="J799" s="59"/>
    </row>
    <row r="800" spans="1:10" ht="28.5" x14ac:dyDescent="0.2">
      <c r="A800" s="3" t="s">
        <v>1440</v>
      </c>
      <c r="B800" s="3" t="s">
        <v>378</v>
      </c>
      <c r="C800" s="3" t="s">
        <v>8</v>
      </c>
      <c r="D800" s="3" t="s">
        <v>1441</v>
      </c>
      <c r="E800" s="3" t="s">
        <v>1441</v>
      </c>
      <c r="F800" s="1" t="s">
        <v>379</v>
      </c>
      <c r="G800" s="1">
        <v>0</v>
      </c>
      <c r="H800" s="1">
        <v>9.8066500000000001E-3</v>
      </c>
      <c r="I800" s="1">
        <v>1</v>
      </c>
      <c r="J800" s="1">
        <v>0</v>
      </c>
    </row>
    <row r="801" spans="1:10" x14ac:dyDescent="0.2">
      <c r="A801" s="3" t="s">
        <v>1442</v>
      </c>
      <c r="B801" s="3" t="s">
        <v>37</v>
      </c>
      <c r="C801" s="3" t="s">
        <v>8</v>
      </c>
      <c r="D801" s="3" t="s">
        <v>1443</v>
      </c>
      <c r="E801" s="3" t="s">
        <v>1443</v>
      </c>
      <c r="F801" s="19" t="s">
        <v>160</v>
      </c>
      <c r="G801" s="1">
        <v>0</v>
      </c>
      <c r="H801" s="19">
        <f>10^9</f>
        <v>1000000000</v>
      </c>
      <c r="I801" s="1">
        <v>1</v>
      </c>
      <c r="J801" s="1">
        <v>0</v>
      </c>
    </row>
    <row r="802" spans="1:10" x14ac:dyDescent="0.2">
      <c r="A802" s="46" t="s">
        <v>1444</v>
      </c>
      <c r="B802" s="4" t="s">
        <v>166</v>
      </c>
      <c r="C802" s="46" t="s">
        <v>8</v>
      </c>
      <c r="D802" s="46" t="s">
        <v>1445</v>
      </c>
      <c r="E802" s="46" t="s">
        <v>1445</v>
      </c>
      <c r="F802" s="58" t="s">
        <v>168</v>
      </c>
      <c r="G802" s="58">
        <v>0</v>
      </c>
      <c r="H802" s="58">
        <v>1000000000</v>
      </c>
      <c r="I802" s="58">
        <v>1</v>
      </c>
      <c r="J802" s="58">
        <v>0</v>
      </c>
    </row>
    <row r="803" spans="1:10" x14ac:dyDescent="0.2">
      <c r="A803" s="47"/>
      <c r="B803" s="5" t="s">
        <v>167</v>
      </c>
      <c r="C803" s="47"/>
      <c r="D803" s="47"/>
      <c r="E803" s="47"/>
      <c r="F803" s="59"/>
      <c r="G803" s="59"/>
      <c r="H803" s="59"/>
      <c r="I803" s="59"/>
      <c r="J803" s="59"/>
    </row>
    <row r="804" spans="1:10" x14ac:dyDescent="0.2">
      <c r="A804" s="3" t="s">
        <v>1446</v>
      </c>
      <c r="B804" s="3" t="s">
        <v>299</v>
      </c>
      <c r="C804" s="3" t="s">
        <v>8</v>
      </c>
      <c r="D804" s="3" t="s">
        <v>1447</v>
      </c>
      <c r="E804" s="3" t="s">
        <v>1447</v>
      </c>
      <c r="F804" s="1" t="s">
        <v>300</v>
      </c>
      <c r="G804" s="1">
        <v>0</v>
      </c>
      <c r="H804" s="1">
        <v>9.8066499999999994</v>
      </c>
      <c r="I804" s="1">
        <v>1</v>
      </c>
      <c r="J804" s="1">
        <v>0</v>
      </c>
    </row>
    <row r="805" spans="1:10" x14ac:dyDescent="0.2">
      <c r="A805" s="46" t="s">
        <v>1448</v>
      </c>
      <c r="B805" s="4" t="s">
        <v>404</v>
      </c>
      <c r="C805" s="46" t="s">
        <v>8</v>
      </c>
      <c r="D805" s="46" t="s">
        <v>1449</v>
      </c>
      <c r="E805" s="46" t="s">
        <v>1449</v>
      </c>
      <c r="F805" s="58" t="s">
        <v>403</v>
      </c>
      <c r="G805" s="58">
        <v>0</v>
      </c>
      <c r="H805" s="58">
        <v>1000000000</v>
      </c>
      <c r="I805" s="58">
        <v>1</v>
      </c>
      <c r="J805" s="58">
        <v>0</v>
      </c>
    </row>
    <row r="806" spans="1:10" x14ac:dyDescent="0.2">
      <c r="A806" s="47"/>
      <c r="B806" s="5" t="s">
        <v>405</v>
      </c>
      <c r="C806" s="47"/>
      <c r="D806" s="47"/>
      <c r="E806" s="47"/>
      <c r="F806" s="59"/>
      <c r="G806" s="59"/>
      <c r="H806" s="59"/>
      <c r="I806" s="59"/>
      <c r="J806" s="59"/>
    </row>
    <row r="807" spans="1:10" x14ac:dyDescent="0.2">
      <c r="A807" s="3" t="s">
        <v>1450</v>
      </c>
      <c r="B807" s="3" t="s">
        <v>443</v>
      </c>
      <c r="C807" s="3" t="s">
        <v>8</v>
      </c>
      <c r="D807" s="3" t="s">
        <v>1451</v>
      </c>
      <c r="E807" s="3"/>
      <c r="F807" s="1" t="s">
        <v>444</v>
      </c>
      <c r="G807" s="1">
        <v>0</v>
      </c>
      <c r="H807" s="1">
        <v>1.5707963267999999E-2</v>
      </c>
      <c r="I807" s="1">
        <v>1</v>
      </c>
      <c r="J807" s="1">
        <v>0</v>
      </c>
    </row>
    <row r="808" spans="1:10" x14ac:dyDescent="0.2">
      <c r="A808" s="46" t="s">
        <v>1452</v>
      </c>
      <c r="B808" s="4" t="s">
        <v>414</v>
      </c>
      <c r="C808" s="46" t="s">
        <v>8</v>
      </c>
      <c r="D808" s="46" t="s">
        <v>1453</v>
      </c>
      <c r="E808" s="46" t="s">
        <v>1453</v>
      </c>
      <c r="F808" s="58" t="s">
        <v>416</v>
      </c>
      <c r="G808" s="58">
        <v>0</v>
      </c>
      <c r="H808" s="58">
        <v>1000000000</v>
      </c>
      <c r="I808" s="58">
        <v>1</v>
      </c>
      <c r="J808" s="58">
        <v>0</v>
      </c>
    </row>
    <row r="809" spans="1:10" x14ac:dyDescent="0.2">
      <c r="A809" s="47"/>
      <c r="B809" s="5" t="s">
        <v>415</v>
      </c>
      <c r="C809" s="47"/>
      <c r="D809" s="47"/>
      <c r="E809" s="47"/>
      <c r="F809" s="59"/>
      <c r="G809" s="59"/>
      <c r="H809" s="59"/>
      <c r="I809" s="59"/>
      <c r="J809" s="59"/>
    </row>
    <row r="810" spans="1:10" x14ac:dyDescent="0.2">
      <c r="A810" s="46" t="s">
        <v>1454</v>
      </c>
      <c r="B810" s="4" t="s">
        <v>389</v>
      </c>
      <c r="C810" s="46" t="s">
        <v>8</v>
      </c>
      <c r="D810" s="46" t="s">
        <v>1455</v>
      </c>
      <c r="E810" s="46" t="s">
        <v>1455</v>
      </c>
      <c r="F810" s="58" t="s">
        <v>391</v>
      </c>
      <c r="G810" s="58">
        <v>0</v>
      </c>
      <c r="H810" s="58">
        <v>100000000000</v>
      </c>
      <c r="I810" s="58">
        <v>1</v>
      </c>
      <c r="J810" s="58">
        <v>0</v>
      </c>
    </row>
    <row r="811" spans="1:10" x14ac:dyDescent="0.2">
      <c r="A811" s="47"/>
      <c r="B811" s="5" t="s">
        <v>390</v>
      </c>
      <c r="C811" s="47"/>
      <c r="D811" s="47"/>
      <c r="E811" s="47"/>
      <c r="F811" s="59"/>
      <c r="G811" s="59"/>
      <c r="H811" s="59"/>
      <c r="I811" s="59"/>
      <c r="J811" s="59"/>
    </row>
    <row r="812" spans="1:10" ht="42.75" x14ac:dyDescent="0.2">
      <c r="A812" s="3" t="s">
        <v>1456</v>
      </c>
      <c r="B812" s="3" t="s">
        <v>438</v>
      </c>
      <c r="C812" s="3" t="s">
        <v>8</v>
      </c>
      <c r="D812" s="3" t="s">
        <v>1457</v>
      </c>
      <c r="E812" s="3" t="s">
        <v>1457</v>
      </c>
      <c r="F812" s="1" t="s">
        <v>439</v>
      </c>
      <c r="G812" s="1">
        <v>0</v>
      </c>
      <c r="H812" s="11">
        <v>1E+18</v>
      </c>
      <c r="I812" s="1">
        <v>1</v>
      </c>
      <c r="J812" s="1">
        <v>0</v>
      </c>
    </row>
    <row r="813" spans="1:10" x14ac:dyDescent="0.2">
      <c r="A813" s="3" t="s">
        <v>1458</v>
      </c>
      <c r="B813" s="3" t="s">
        <v>443</v>
      </c>
      <c r="C813" s="3" t="s">
        <v>8</v>
      </c>
      <c r="D813" s="3" t="s">
        <v>1459</v>
      </c>
      <c r="E813" s="3"/>
      <c r="F813" s="1" t="s">
        <v>444</v>
      </c>
      <c r="G813" s="1">
        <v>0</v>
      </c>
      <c r="H813" s="1">
        <v>1.5707963267999999E-2</v>
      </c>
      <c r="I813" s="1">
        <v>1</v>
      </c>
      <c r="J813" s="1">
        <v>0</v>
      </c>
    </row>
    <row r="814" spans="1:10" x14ac:dyDescent="0.2">
      <c r="A814" s="46" t="s">
        <v>1460</v>
      </c>
      <c r="B814" s="46" t="s">
        <v>443</v>
      </c>
      <c r="C814" s="46" t="s">
        <v>8</v>
      </c>
      <c r="D814" s="4" t="s">
        <v>1461</v>
      </c>
      <c r="E814" s="46" t="s">
        <v>1461</v>
      </c>
      <c r="F814" s="58" t="s">
        <v>444</v>
      </c>
      <c r="G814" s="58">
        <v>0</v>
      </c>
      <c r="H814" s="58">
        <v>1000000000</v>
      </c>
      <c r="I814" s="58">
        <v>1</v>
      </c>
      <c r="J814" s="58">
        <v>0</v>
      </c>
    </row>
    <row r="815" spans="1:10" ht="28.5" x14ac:dyDescent="0.2">
      <c r="A815" s="47"/>
      <c r="B815" s="47"/>
      <c r="C815" s="47"/>
      <c r="D815" s="5" t="s">
        <v>763</v>
      </c>
      <c r="E815" s="47"/>
      <c r="F815" s="59"/>
      <c r="G815" s="59"/>
      <c r="H815" s="59"/>
      <c r="I815" s="59"/>
      <c r="J815" s="59"/>
    </row>
    <row r="816" spans="1:10" x14ac:dyDescent="0.2">
      <c r="A816" s="3" t="s">
        <v>1462</v>
      </c>
      <c r="B816" s="3" t="s">
        <v>220</v>
      </c>
      <c r="C816" s="3" t="s">
        <v>8</v>
      </c>
      <c r="D816" s="3" t="s">
        <v>1462</v>
      </c>
      <c r="E816" s="3"/>
      <c r="F816" s="1" t="s">
        <v>221</v>
      </c>
      <c r="G816" s="1">
        <v>0</v>
      </c>
      <c r="H816" s="1">
        <v>6.4798909999999995E-5</v>
      </c>
      <c r="I816" s="1">
        <v>1</v>
      </c>
      <c r="J816" s="1">
        <v>0</v>
      </c>
    </row>
    <row r="817" spans="1:10" x14ac:dyDescent="0.2">
      <c r="A817" s="46" t="s">
        <v>1463</v>
      </c>
      <c r="B817" s="4" t="s">
        <v>249</v>
      </c>
      <c r="C817" s="46" t="s">
        <v>8</v>
      </c>
      <c r="D817" s="46" t="s">
        <v>1464</v>
      </c>
      <c r="E817" s="46"/>
      <c r="F817" s="58" t="s">
        <v>252</v>
      </c>
      <c r="G817" s="58">
        <v>0</v>
      </c>
      <c r="H817" s="58">
        <v>2.288352E-5</v>
      </c>
      <c r="I817" s="58">
        <v>1</v>
      </c>
      <c r="J817" s="58">
        <v>0</v>
      </c>
    </row>
    <row r="818" spans="1:10" x14ac:dyDescent="0.2">
      <c r="A818" s="48"/>
      <c r="B818" s="6" t="s">
        <v>250</v>
      </c>
      <c r="C818" s="48"/>
      <c r="D818" s="48"/>
      <c r="E818" s="48"/>
      <c r="F818" s="60"/>
      <c r="G818" s="60"/>
      <c r="H818" s="60"/>
      <c r="I818" s="60"/>
      <c r="J818" s="60"/>
    </row>
    <row r="819" spans="1:10" x14ac:dyDescent="0.2">
      <c r="A819" s="47"/>
      <c r="B819" s="5" t="s">
        <v>251</v>
      </c>
      <c r="C819" s="47"/>
      <c r="D819" s="47"/>
      <c r="E819" s="47"/>
      <c r="F819" s="59"/>
      <c r="G819" s="59"/>
      <c r="H819" s="59"/>
      <c r="I819" s="59"/>
      <c r="J819" s="59"/>
    </row>
    <row r="820" spans="1:10" x14ac:dyDescent="0.2">
      <c r="A820" s="46" t="s">
        <v>1465</v>
      </c>
      <c r="B820" s="4" t="s">
        <v>249</v>
      </c>
      <c r="C820" s="46" t="s">
        <v>8</v>
      </c>
      <c r="D820" s="46" t="s">
        <v>1466</v>
      </c>
      <c r="E820" s="46"/>
      <c r="F820" s="58" t="s">
        <v>252</v>
      </c>
      <c r="G820" s="58">
        <v>0</v>
      </c>
      <c r="H820" s="58">
        <v>2.288352E-3</v>
      </c>
      <c r="I820" s="58">
        <v>1</v>
      </c>
      <c r="J820" s="58">
        <v>0</v>
      </c>
    </row>
    <row r="821" spans="1:10" x14ac:dyDescent="0.2">
      <c r="A821" s="48"/>
      <c r="B821" s="6" t="s">
        <v>250</v>
      </c>
      <c r="C821" s="48"/>
      <c r="D821" s="48"/>
      <c r="E821" s="48"/>
      <c r="F821" s="60"/>
      <c r="G821" s="60"/>
      <c r="H821" s="60"/>
      <c r="I821" s="60"/>
      <c r="J821" s="60"/>
    </row>
    <row r="822" spans="1:10" x14ac:dyDescent="0.2">
      <c r="A822" s="47"/>
      <c r="B822" s="5" t="s">
        <v>251</v>
      </c>
      <c r="C822" s="47"/>
      <c r="D822" s="47"/>
      <c r="E822" s="47"/>
      <c r="F822" s="59"/>
      <c r="G822" s="59"/>
      <c r="H822" s="59"/>
      <c r="I822" s="59"/>
      <c r="J822" s="59"/>
    </row>
    <row r="823" spans="1:10" ht="28.5" x14ac:dyDescent="0.2">
      <c r="A823" s="46" t="s">
        <v>1463</v>
      </c>
      <c r="B823" s="4" t="s">
        <v>249</v>
      </c>
      <c r="C823" s="46" t="s">
        <v>8</v>
      </c>
      <c r="D823" s="4" t="s">
        <v>1467</v>
      </c>
      <c r="E823" s="46"/>
      <c r="F823" s="58" t="s">
        <v>252</v>
      </c>
      <c r="G823" s="58">
        <v>0</v>
      </c>
      <c r="H823" s="58">
        <v>2.288352E-5</v>
      </c>
      <c r="I823" s="58">
        <v>1</v>
      </c>
      <c r="J823" s="58">
        <v>0</v>
      </c>
    </row>
    <row r="824" spans="1:10" ht="28.5" x14ac:dyDescent="0.2">
      <c r="A824" s="48"/>
      <c r="B824" s="6" t="s">
        <v>250</v>
      </c>
      <c r="C824" s="48"/>
      <c r="D824" s="6" t="s">
        <v>763</v>
      </c>
      <c r="E824" s="48"/>
      <c r="F824" s="60"/>
      <c r="G824" s="60"/>
      <c r="H824" s="60"/>
      <c r="I824" s="60"/>
      <c r="J824" s="60"/>
    </row>
    <row r="825" spans="1:10" x14ac:dyDescent="0.2">
      <c r="A825" s="47"/>
      <c r="B825" s="5" t="s">
        <v>251</v>
      </c>
      <c r="C825" s="47"/>
      <c r="D825" s="5"/>
      <c r="E825" s="47"/>
      <c r="F825" s="59"/>
      <c r="G825" s="59"/>
      <c r="H825" s="59"/>
      <c r="I825" s="59"/>
      <c r="J825" s="59"/>
    </row>
    <row r="826" spans="1:10" x14ac:dyDescent="0.2">
      <c r="A826" s="46" t="s">
        <v>1468</v>
      </c>
      <c r="B826" s="4" t="s">
        <v>249</v>
      </c>
      <c r="C826" s="46" t="s">
        <v>8</v>
      </c>
      <c r="D826" s="46" t="s">
        <v>1469</v>
      </c>
      <c r="E826" s="46"/>
      <c r="F826" s="58" t="s">
        <v>252</v>
      </c>
      <c r="G826" s="58">
        <v>0</v>
      </c>
      <c r="H826" s="58">
        <v>1.7118060000000001E-2</v>
      </c>
      <c r="I826" s="58">
        <v>1</v>
      </c>
      <c r="J826" s="58">
        <v>0</v>
      </c>
    </row>
    <row r="827" spans="1:10" x14ac:dyDescent="0.2">
      <c r="A827" s="48"/>
      <c r="B827" s="6" t="s">
        <v>250</v>
      </c>
      <c r="C827" s="48"/>
      <c r="D827" s="48"/>
      <c r="E827" s="48"/>
      <c r="F827" s="60"/>
      <c r="G827" s="60"/>
      <c r="H827" s="60"/>
      <c r="I827" s="60"/>
      <c r="J827" s="60"/>
    </row>
    <row r="828" spans="1:10" x14ac:dyDescent="0.2">
      <c r="A828" s="47"/>
      <c r="B828" s="5" t="s">
        <v>251</v>
      </c>
      <c r="C828" s="47"/>
      <c r="D828" s="47"/>
      <c r="E828" s="47"/>
      <c r="F828" s="59"/>
      <c r="G828" s="59"/>
      <c r="H828" s="59"/>
      <c r="I828" s="59"/>
      <c r="J828" s="59"/>
    </row>
    <row r="829" spans="1:10" x14ac:dyDescent="0.2">
      <c r="A829" s="46" t="s">
        <v>1470</v>
      </c>
      <c r="B829" s="4" t="s">
        <v>463</v>
      </c>
      <c r="C829" s="46" t="s">
        <v>8</v>
      </c>
      <c r="D829" s="46" t="s">
        <v>1471</v>
      </c>
      <c r="E829" s="46" t="s">
        <v>1471</v>
      </c>
      <c r="F829" s="58" t="s">
        <v>466</v>
      </c>
      <c r="G829" s="58">
        <v>0</v>
      </c>
      <c r="H829" s="58">
        <v>1000000000</v>
      </c>
      <c r="I829" s="58">
        <v>1</v>
      </c>
      <c r="J829" s="58">
        <v>0</v>
      </c>
    </row>
    <row r="830" spans="1:10" x14ac:dyDescent="0.2">
      <c r="A830" s="48"/>
      <c r="B830" s="6" t="s">
        <v>464</v>
      </c>
      <c r="C830" s="48"/>
      <c r="D830" s="48"/>
      <c r="E830" s="48"/>
      <c r="F830" s="60"/>
      <c r="G830" s="60"/>
      <c r="H830" s="60"/>
      <c r="I830" s="60"/>
      <c r="J830" s="60"/>
    </row>
    <row r="831" spans="1:10" x14ac:dyDescent="0.2">
      <c r="A831" s="47"/>
      <c r="B831" s="5" t="s">
        <v>465</v>
      </c>
      <c r="C831" s="47"/>
      <c r="D831" s="47"/>
      <c r="E831" s="47"/>
      <c r="F831" s="59"/>
      <c r="G831" s="59"/>
      <c r="H831" s="59"/>
      <c r="I831" s="59"/>
      <c r="J831" s="59"/>
    </row>
    <row r="832" spans="1:10" ht="71.25" x14ac:dyDescent="0.2">
      <c r="A832" s="3" t="s">
        <v>1472</v>
      </c>
      <c r="B832" s="3" t="s">
        <v>484</v>
      </c>
      <c r="C832" s="3" t="s">
        <v>8</v>
      </c>
      <c r="D832" s="3" t="s">
        <v>1473</v>
      </c>
      <c r="E832" s="3"/>
      <c r="F832" s="1" t="s">
        <v>494</v>
      </c>
      <c r="G832" s="1">
        <v>0</v>
      </c>
      <c r="H832" s="1">
        <v>1000000000</v>
      </c>
      <c r="I832" s="1">
        <v>1</v>
      </c>
      <c r="J832" s="1">
        <v>0</v>
      </c>
    </row>
    <row r="833" spans="1:10" x14ac:dyDescent="0.2">
      <c r="A833" s="46" t="s">
        <v>1474</v>
      </c>
      <c r="B833" s="4" t="s">
        <v>531</v>
      </c>
      <c r="C833" s="46" t="s">
        <v>8</v>
      </c>
      <c r="D833" s="46" t="s">
        <v>1475</v>
      </c>
      <c r="E833" s="46" t="s">
        <v>1475</v>
      </c>
      <c r="F833" s="58" t="s">
        <v>533</v>
      </c>
      <c r="G833" s="58">
        <v>0</v>
      </c>
      <c r="H833" s="58">
        <v>1000000000</v>
      </c>
      <c r="I833" s="58">
        <v>1</v>
      </c>
      <c r="J833" s="58">
        <v>0</v>
      </c>
    </row>
    <row r="834" spans="1:10" x14ac:dyDescent="0.2">
      <c r="A834" s="47"/>
      <c r="B834" s="5" t="s">
        <v>532</v>
      </c>
      <c r="C834" s="47"/>
      <c r="D834" s="47"/>
      <c r="E834" s="47"/>
      <c r="F834" s="59"/>
      <c r="G834" s="59"/>
      <c r="H834" s="59"/>
      <c r="I834" s="59"/>
      <c r="J834" s="59"/>
    </row>
    <row r="835" spans="1:10" x14ac:dyDescent="0.2">
      <c r="A835" s="46" t="s">
        <v>1476</v>
      </c>
      <c r="B835" s="4" t="s">
        <v>166</v>
      </c>
      <c r="C835" s="46" t="s">
        <v>8</v>
      </c>
      <c r="D835" s="46" t="s">
        <v>1477</v>
      </c>
      <c r="E835" s="46" t="s">
        <v>1477</v>
      </c>
      <c r="F835" s="58" t="s">
        <v>168</v>
      </c>
      <c r="G835" s="58">
        <v>0</v>
      </c>
      <c r="H835" s="58">
        <v>3600000000000</v>
      </c>
      <c r="I835" s="58">
        <v>1</v>
      </c>
      <c r="J835" s="58">
        <v>0</v>
      </c>
    </row>
    <row r="836" spans="1:10" x14ac:dyDescent="0.2">
      <c r="A836" s="47"/>
      <c r="B836" s="5" t="s">
        <v>167</v>
      </c>
      <c r="C836" s="47"/>
      <c r="D836" s="47"/>
      <c r="E836" s="47"/>
      <c r="F836" s="59"/>
      <c r="G836" s="59"/>
      <c r="H836" s="59"/>
      <c r="I836" s="59"/>
      <c r="J836" s="59"/>
    </row>
    <row r="837" spans="1:10" x14ac:dyDescent="0.2">
      <c r="A837" s="3" t="s">
        <v>1478</v>
      </c>
      <c r="B837" s="3" t="s">
        <v>469</v>
      </c>
      <c r="C837" s="3" t="s">
        <v>8</v>
      </c>
      <c r="D837" s="3" t="s">
        <v>1479</v>
      </c>
      <c r="E837" s="3" t="s">
        <v>1479</v>
      </c>
      <c r="F837" s="1" t="s">
        <v>470</v>
      </c>
      <c r="G837" s="1">
        <v>0</v>
      </c>
      <c r="H837" s="1">
        <v>3600</v>
      </c>
      <c r="I837" s="1">
        <v>1</v>
      </c>
      <c r="J837" s="1">
        <v>0</v>
      </c>
    </row>
    <row r="838" spans="1:10" ht="28.5" x14ac:dyDescent="0.2">
      <c r="A838" s="3" t="s">
        <v>1480</v>
      </c>
      <c r="B838" s="3" t="s">
        <v>481</v>
      </c>
      <c r="C838" s="3" t="s">
        <v>8</v>
      </c>
      <c r="D838" s="3" t="s">
        <v>1481</v>
      </c>
      <c r="E838" s="3" t="s">
        <v>1481</v>
      </c>
      <c r="F838" s="1" t="s">
        <v>482</v>
      </c>
      <c r="G838" s="1">
        <v>0</v>
      </c>
      <c r="H838" s="1">
        <v>3600</v>
      </c>
      <c r="I838" s="1">
        <v>2.8316846592000001E-2</v>
      </c>
      <c r="J838" s="1">
        <v>0</v>
      </c>
    </row>
    <row r="839" spans="1:10" ht="42.75" x14ac:dyDescent="0.2">
      <c r="A839" s="3" t="s">
        <v>1482</v>
      </c>
      <c r="B839" s="3" t="s">
        <v>476</v>
      </c>
      <c r="C839" s="3" t="s">
        <v>8</v>
      </c>
      <c r="D839" s="3" t="s">
        <v>1483</v>
      </c>
      <c r="E839" s="3"/>
      <c r="F839" s="1" t="s">
        <v>479</v>
      </c>
      <c r="G839" s="1">
        <v>0</v>
      </c>
      <c r="H839" s="1">
        <v>3600</v>
      </c>
      <c r="I839" s="1">
        <v>304.8</v>
      </c>
      <c r="J839" s="1">
        <v>0</v>
      </c>
    </row>
    <row r="840" spans="1:10" ht="28.5" x14ac:dyDescent="0.2">
      <c r="A840" s="3" t="s">
        <v>1484</v>
      </c>
      <c r="B840" s="3" t="s">
        <v>476</v>
      </c>
      <c r="C840" s="3" t="s">
        <v>8</v>
      </c>
      <c r="D840" s="3" t="s">
        <v>1485</v>
      </c>
      <c r="E840" s="3" t="s">
        <v>1485</v>
      </c>
      <c r="F840" s="1" t="s">
        <v>479</v>
      </c>
      <c r="G840" s="1">
        <v>0</v>
      </c>
      <c r="H840" s="1">
        <v>3.6</v>
      </c>
      <c r="I840" s="1">
        <v>1</v>
      </c>
      <c r="J840" s="1">
        <v>0</v>
      </c>
    </row>
    <row r="841" spans="1:10" ht="42.75" x14ac:dyDescent="0.2">
      <c r="A841" s="3" t="s">
        <v>1486</v>
      </c>
      <c r="B841" s="3" t="s">
        <v>481</v>
      </c>
      <c r="C841" s="3" t="s">
        <v>8</v>
      </c>
      <c r="D841" s="3" t="s">
        <v>1487</v>
      </c>
      <c r="E841" s="3" t="s">
        <v>1487</v>
      </c>
      <c r="F841" s="1" t="s">
        <v>482</v>
      </c>
      <c r="G841" s="1">
        <v>0</v>
      </c>
      <c r="H841" s="1">
        <v>3600</v>
      </c>
      <c r="I841" s="1">
        <v>1</v>
      </c>
      <c r="J841" s="1">
        <v>0</v>
      </c>
    </row>
    <row r="842" spans="1:10" x14ac:dyDescent="0.2">
      <c r="A842" s="3" t="s">
        <v>1488</v>
      </c>
      <c r="B842" s="3" t="s">
        <v>302</v>
      </c>
      <c r="C842" s="3" t="s">
        <v>8</v>
      </c>
      <c r="D842" s="3" t="s">
        <v>1489</v>
      </c>
      <c r="E842" s="3" t="s">
        <v>1489</v>
      </c>
      <c r="F842" s="1" t="s">
        <v>303</v>
      </c>
      <c r="G842" s="1">
        <v>0</v>
      </c>
      <c r="H842" s="1">
        <v>10000</v>
      </c>
      <c r="I842" s="1">
        <v>1</v>
      </c>
      <c r="J842" s="1">
        <v>0</v>
      </c>
    </row>
    <row r="843" spans="1:10" ht="28.5" x14ac:dyDescent="0.2">
      <c r="A843" s="3" t="s">
        <v>1490</v>
      </c>
      <c r="B843" s="3" t="s">
        <v>321</v>
      </c>
      <c r="C843" s="3" t="s">
        <v>8</v>
      </c>
      <c r="D843" s="3" t="s">
        <v>1491</v>
      </c>
      <c r="E843" s="3" t="s">
        <v>1491</v>
      </c>
      <c r="F843" s="1" t="s">
        <v>322</v>
      </c>
      <c r="G843" s="1">
        <v>0</v>
      </c>
      <c r="H843" s="1">
        <v>10000</v>
      </c>
      <c r="I843" s="1">
        <v>1</v>
      </c>
      <c r="J843" s="1">
        <v>0</v>
      </c>
    </row>
    <row r="844" spans="1:10" x14ac:dyDescent="0.2">
      <c r="A844" s="46" t="s">
        <v>1492</v>
      </c>
      <c r="B844" s="4" t="s">
        <v>414</v>
      </c>
      <c r="C844" s="46" t="s">
        <v>8</v>
      </c>
      <c r="D844" s="46" t="s">
        <v>1493</v>
      </c>
      <c r="E844" s="46" t="s">
        <v>1493</v>
      </c>
      <c r="F844" s="58" t="s">
        <v>416</v>
      </c>
      <c r="G844" s="58">
        <v>0</v>
      </c>
      <c r="H844" s="58">
        <v>10000000</v>
      </c>
      <c r="I844" s="58">
        <v>1</v>
      </c>
      <c r="J844" s="58">
        <v>0</v>
      </c>
    </row>
    <row r="845" spans="1:10" x14ac:dyDescent="0.2">
      <c r="A845" s="47"/>
      <c r="B845" s="5" t="s">
        <v>415</v>
      </c>
      <c r="C845" s="47"/>
      <c r="D845" s="47"/>
      <c r="E845" s="47"/>
      <c r="F845" s="59"/>
      <c r="G845" s="59"/>
      <c r="H845" s="59"/>
      <c r="I845" s="59"/>
      <c r="J845" s="59"/>
    </row>
    <row r="846" spans="1:10" ht="42.75" x14ac:dyDescent="0.2">
      <c r="A846" s="3" t="s">
        <v>1494</v>
      </c>
      <c r="B846" s="3" t="s">
        <v>531</v>
      </c>
      <c r="C846" s="3" t="s">
        <v>8</v>
      </c>
      <c r="D846" s="3" t="s">
        <v>1495</v>
      </c>
      <c r="E846" s="3" t="s">
        <v>1495</v>
      </c>
      <c r="F846" s="1" t="s">
        <v>533</v>
      </c>
      <c r="G846" s="1">
        <v>0</v>
      </c>
      <c r="H846" s="1">
        <v>746.04300000000001</v>
      </c>
      <c r="I846" s="1">
        <v>1</v>
      </c>
      <c r="J846" s="1">
        <v>0</v>
      </c>
    </row>
    <row r="847" spans="1:10" x14ac:dyDescent="0.2">
      <c r="A847" s="46" t="s">
        <v>1496</v>
      </c>
      <c r="B847" s="4" t="s">
        <v>543</v>
      </c>
      <c r="C847" s="46" t="s">
        <v>8</v>
      </c>
      <c r="D847" s="46" t="s">
        <v>1497</v>
      </c>
      <c r="E847" s="46" t="s">
        <v>1497</v>
      </c>
      <c r="F847" s="58" t="s">
        <v>551</v>
      </c>
      <c r="G847" s="58">
        <v>0</v>
      </c>
      <c r="H847" s="58">
        <v>746.04300000000001</v>
      </c>
      <c r="I847" s="58">
        <v>6.4515999999999998E-4</v>
      </c>
      <c r="J847" s="58">
        <v>0</v>
      </c>
    </row>
    <row r="848" spans="1:10" x14ac:dyDescent="0.2">
      <c r="A848" s="48"/>
      <c r="B848" s="6" t="s">
        <v>544</v>
      </c>
      <c r="C848" s="48"/>
      <c r="D848" s="48"/>
      <c r="E848" s="48"/>
      <c r="F848" s="60"/>
      <c r="G848" s="60"/>
      <c r="H848" s="60"/>
      <c r="I848" s="60"/>
      <c r="J848" s="60"/>
    </row>
    <row r="849" spans="1:10" x14ac:dyDescent="0.2">
      <c r="A849" s="48"/>
      <c r="B849" s="6" t="s">
        <v>545</v>
      </c>
      <c r="C849" s="48"/>
      <c r="D849" s="48"/>
      <c r="E849" s="48"/>
      <c r="F849" s="60"/>
      <c r="G849" s="60"/>
      <c r="H849" s="60"/>
      <c r="I849" s="60"/>
      <c r="J849" s="60"/>
    </row>
    <row r="850" spans="1:10" x14ac:dyDescent="0.2">
      <c r="A850" s="48"/>
      <c r="B850" s="6" t="s">
        <v>546</v>
      </c>
      <c r="C850" s="48"/>
      <c r="D850" s="48"/>
      <c r="E850" s="48"/>
      <c r="F850" s="60"/>
      <c r="G850" s="60"/>
      <c r="H850" s="60"/>
      <c r="I850" s="60"/>
      <c r="J850" s="60"/>
    </row>
    <row r="851" spans="1:10" x14ac:dyDescent="0.2">
      <c r="A851" s="48"/>
      <c r="B851" s="6" t="s">
        <v>547</v>
      </c>
      <c r="C851" s="48"/>
      <c r="D851" s="48"/>
      <c r="E851" s="48"/>
      <c r="F851" s="60"/>
      <c r="G851" s="60"/>
      <c r="H851" s="60"/>
      <c r="I851" s="60"/>
      <c r="J851" s="60"/>
    </row>
    <row r="852" spans="1:10" x14ac:dyDescent="0.2">
      <c r="A852" s="48"/>
      <c r="B852" s="6" t="s">
        <v>548</v>
      </c>
      <c r="C852" s="48"/>
      <c r="D852" s="48"/>
      <c r="E852" s="48"/>
      <c r="F852" s="60"/>
      <c r="G852" s="60"/>
      <c r="H852" s="60"/>
      <c r="I852" s="60"/>
      <c r="J852" s="60"/>
    </row>
    <row r="853" spans="1:10" x14ac:dyDescent="0.2">
      <c r="A853" s="48"/>
      <c r="B853" s="6" t="s">
        <v>549</v>
      </c>
      <c r="C853" s="48"/>
      <c r="D853" s="48"/>
      <c r="E853" s="48"/>
      <c r="F853" s="60"/>
      <c r="G853" s="60"/>
      <c r="H853" s="60"/>
      <c r="I853" s="60"/>
      <c r="J853" s="60"/>
    </row>
    <row r="854" spans="1:10" x14ac:dyDescent="0.2">
      <c r="A854" s="47"/>
      <c r="B854" s="5" t="s">
        <v>550</v>
      </c>
      <c r="C854" s="47"/>
      <c r="D854" s="47"/>
      <c r="E854" s="47"/>
      <c r="F854" s="59"/>
      <c r="G854" s="59"/>
      <c r="H854" s="59"/>
      <c r="I854" s="59"/>
      <c r="J854" s="59"/>
    </row>
    <row r="855" spans="1:10" x14ac:dyDescent="0.2">
      <c r="A855" s="3" t="s">
        <v>1498</v>
      </c>
      <c r="B855" s="3" t="s">
        <v>321</v>
      </c>
      <c r="C855" s="3" t="s">
        <v>8</v>
      </c>
      <c r="D855" s="3" t="s">
        <v>1499</v>
      </c>
      <c r="E855" s="3" t="s">
        <v>1499</v>
      </c>
      <c r="F855" s="1" t="s">
        <v>322</v>
      </c>
      <c r="G855" s="1">
        <v>0</v>
      </c>
      <c r="H855" s="1">
        <v>0.1</v>
      </c>
      <c r="I855" s="1">
        <v>1</v>
      </c>
      <c r="J855" s="1">
        <v>0</v>
      </c>
    </row>
    <row r="856" spans="1:10" ht="28.5" x14ac:dyDescent="0.2">
      <c r="A856" s="3" t="s">
        <v>1500</v>
      </c>
      <c r="B856" s="3" t="s">
        <v>531</v>
      </c>
      <c r="C856" s="3" t="s">
        <v>8</v>
      </c>
      <c r="D856" s="3" t="s">
        <v>1501</v>
      </c>
      <c r="E856" s="3" t="s">
        <v>1501</v>
      </c>
      <c r="F856" s="1" t="s">
        <v>533</v>
      </c>
      <c r="G856" s="1">
        <v>0</v>
      </c>
      <c r="H856" s="1">
        <v>745.69989999999996</v>
      </c>
      <c r="I856" s="1">
        <v>1</v>
      </c>
      <c r="J856" s="1">
        <v>0</v>
      </c>
    </row>
    <row r="857" spans="1:10" x14ac:dyDescent="0.2">
      <c r="A857" s="46" t="s">
        <v>1502</v>
      </c>
      <c r="B857" s="4" t="s">
        <v>166</v>
      </c>
      <c r="C857" s="46" t="s">
        <v>8</v>
      </c>
      <c r="D857" s="46" t="s">
        <v>1503</v>
      </c>
      <c r="E857" s="46" t="s">
        <v>1504</v>
      </c>
      <c r="F857" s="58" t="s">
        <v>168</v>
      </c>
      <c r="G857" s="58">
        <v>0</v>
      </c>
      <c r="H857" s="58">
        <v>2684520</v>
      </c>
      <c r="I857" s="58">
        <v>1</v>
      </c>
      <c r="J857" s="58">
        <v>0</v>
      </c>
    </row>
    <row r="858" spans="1:10" x14ac:dyDescent="0.2">
      <c r="A858" s="47"/>
      <c r="B858" s="5" t="s">
        <v>167</v>
      </c>
      <c r="C858" s="47"/>
      <c r="D858" s="47"/>
      <c r="E858" s="47"/>
      <c r="F858" s="59"/>
      <c r="G858" s="59"/>
      <c r="H858" s="59"/>
      <c r="I858" s="59"/>
      <c r="J858" s="59"/>
    </row>
    <row r="859" spans="1:10" x14ac:dyDescent="0.2">
      <c r="A859" s="46" t="s">
        <v>1505</v>
      </c>
      <c r="B859" s="4" t="s">
        <v>181</v>
      </c>
      <c r="C859" s="46" t="s">
        <v>8</v>
      </c>
      <c r="D859" s="46" t="s">
        <v>1506</v>
      </c>
      <c r="E859" s="46" t="s">
        <v>1507</v>
      </c>
      <c r="F859" s="58" t="s">
        <v>190</v>
      </c>
      <c r="G859" s="58">
        <v>0</v>
      </c>
      <c r="H859" s="58">
        <v>2684520</v>
      </c>
      <c r="I859" s="58">
        <v>0.1589873</v>
      </c>
      <c r="J859" s="58">
        <v>0</v>
      </c>
    </row>
    <row r="860" spans="1:10" x14ac:dyDescent="0.2">
      <c r="A860" s="48"/>
      <c r="B860" s="6" t="s">
        <v>182</v>
      </c>
      <c r="C860" s="48"/>
      <c r="D860" s="48"/>
      <c r="E860" s="48"/>
      <c r="F860" s="60"/>
      <c r="G860" s="60"/>
      <c r="H860" s="60"/>
      <c r="I860" s="60"/>
      <c r="J860" s="60"/>
    </row>
    <row r="861" spans="1:10" x14ac:dyDescent="0.2">
      <c r="A861" s="48"/>
      <c r="B861" s="6" t="s">
        <v>183</v>
      </c>
      <c r="C861" s="48"/>
      <c r="D861" s="48"/>
      <c r="E861" s="48"/>
      <c r="F861" s="60"/>
      <c r="G861" s="60"/>
      <c r="H861" s="60"/>
      <c r="I861" s="60"/>
      <c r="J861" s="60"/>
    </row>
    <row r="862" spans="1:10" x14ac:dyDescent="0.2">
      <c r="A862" s="48"/>
      <c r="B862" s="6" t="s">
        <v>184</v>
      </c>
      <c r="C862" s="48"/>
      <c r="D862" s="48"/>
      <c r="E862" s="48"/>
      <c r="F862" s="60"/>
      <c r="G862" s="60"/>
      <c r="H862" s="60"/>
      <c r="I862" s="60"/>
      <c r="J862" s="60"/>
    </row>
    <row r="863" spans="1:10" x14ac:dyDescent="0.2">
      <c r="A863" s="48"/>
      <c r="B863" s="6" t="s">
        <v>185</v>
      </c>
      <c r="C863" s="48"/>
      <c r="D863" s="48"/>
      <c r="E863" s="48"/>
      <c r="F863" s="60"/>
      <c r="G863" s="60"/>
      <c r="H863" s="60"/>
      <c r="I863" s="60"/>
      <c r="J863" s="60"/>
    </row>
    <row r="864" spans="1:10" x14ac:dyDescent="0.2">
      <c r="A864" s="48"/>
      <c r="B864" s="6" t="s">
        <v>186</v>
      </c>
      <c r="C864" s="48"/>
      <c r="D864" s="48"/>
      <c r="E864" s="48"/>
      <c r="F864" s="60"/>
      <c r="G864" s="60"/>
      <c r="H864" s="60"/>
      <c r="I864" s="60"/>
      <c r="J864" s="60"/>
    </row>
    <row r="865" spans="1:10" x14ac:dyDescent="0.2">
      <c r="A865" s="48"/>
      <c r="B865" s="6" t="s">
        <v>187</v>
      </c>
      <c r="C865" s="48"/>
      <c r="D865" s="48"/>
      <c r="E865" s="48"/>
      <c r="F865" s="60"/>
      <c r="G865" s="60"/>
      <c r="H865" s="60"/>
      <c r="I865" s="60"/>
      <c r="J865" s="60"/>
    </row>
    <row r="866" spans="1:10" x14ac:dyDescent="0.2">
      <c r="A866" s="48"/>
      <c r="B866" s="6" t="s">
        <v>188</v>
      </c>
      <c r="C866" s="48"/>
      <c r="D866" s="48"/>
      <c r="E866" s="48"/>
      <c r="F866" s="60"/>
      <c r="G866" s="60"/>
      <c r="H866" s="60"/>
      <c r="I866" s="60"/>
      <c r="J866" s="60"/>
    </row>
    <row r="867" spans="1:10" x14ac:dyDescent="0.2">
      <c r="A867" s="47"/>
      <c r="B867" s="5" t="s">
        <v>189</v>
      </c>
      <c r="C867" s="47"/>
      <c r="D867" s="47"/>
      <c r="E867" s="47"/>
      <c r="F867" s="59"/>
      <c r="G867" s="59"/>
      <c r="H867" s="59"/>
      <c r="I867" s="59"/>
      <c r="J867" s="59"/>
    </row>
    <row r="868" spans="1:10" ht="57" x14ac:dyDescent="0.2">
      <c r="A868" s="3" t="s">
        <v>1508</v>
      </c>
      <c r="B868" s="3" t="s">
        <v>174</v>
      </c>
      <c r="C868" s="3" t="s">
        <v>8</v>
      </c>
      <c r="D868" s="3" t="s">
        <v>1509</v>
      </c>
      <c r="E868" s="3" t="s">
        <v>1510</v>
      </c>
      <c r="F868" s="1" t="s">
        <v>175</v>
      </c>
      <c r="G868" s="1">
        <v>0</v>
      </c>
      <c r="H868" s="1">
        <v>2684520</v>
      </c>
      <c r="I868" s="1">
        <v>0.45359240000000001</v>
      </c>
      <c r="J868" s="1">
        <v>0</v>
      </c>
    </row>
    <row r="869" spans="1:10" ht="42.75" x14ac:dyDescent="0.2">
      <c r="A869" s="3" t="s">
        <v>1511</v>
      </c>
      <c r="B869" s="3" t="s">
        <v>559</v>
      </c>
      <c r="C869" s="3" t="s">
        <v>8</v>
      </c>
      <c r="D869" s="3" t="s">
        <v>1512</v>
      </c>
      <c r="E869" s="3" t="s">
        <v>1512</v>
      </c>
      <c r="F869" s="1" t="s">
        <v>560</v>
      </c>
      <c r="G869" s="1">
        <v>0</v>
      </c>
      <c r="H869" s="1">
        <v>26334.14</v>
      </c>
      <c r="I869" s="1">
        <v>1</v>
      </c>
      <c r="J869" s="1">
        <v>0</v>
      </c>
    </row>
    <row r="870" spans="1:10" x14ac:dyDescent="0.2">
      <c r="A870" s="46" t="s">
        <v>1513</v>
      </c>
      <c r="B870" s="4" t="s">
        <v>543</v>
      </c>
      <c r="C870" s="46" t="s">
        <v>8</v>
      </c>
      <c r="D870" s="46" t="s">
        <v>1514</v>
      </c>
      <c r="E870" s="46" t="s">
        <v>1514</v>
      </c>
      <c r="F870" s="58" t="s">
        <v>551</v>
      </c>
      <c r="G870" s="58">
        <v>0</v>
      </c>
      <c r="H870" s="58">
        <v>745.69989999999996</v>
      </c>
      <c r="I870" s="58">
        <v>6.4515999999999998E-4</v>
      </c>
      <c r="J870" s="58">
        <v>0</v>
      </c>
    </row>
    <row r="871" spans="1:10" x14ac:dyDescent="0.2">
      <c r="A871" s="48"/>
      <c r="B871" s="6" t="s">
        <v>544</v>
      </c>
      <c r="C871" s="48"/>
      <c r="D871" s="48"/>
      <c r="E871" s="48"/>
      <c r="F871" s="60"/>
      <c r="G871" s="60"/>
      <c r="H871" s="60"/>
      <c r="I871" s="60"/>
      <c r="J871" s="60"/>
    </row>
    <row r="872" spans="1:10" x14ac:dyDescent="0.2">
      <c r="A872" s="48"/>
      <c r="B872" s="6" t="s">
        <v>545</v>
      </c>
      <c r="C872" s="48"/>
      <c r="D872" s="48"/>
      <c r="E872" s="48"/>
      <c r="F872" s="60"/>
      <c r="G872" s="60"/>
      <c r="H872" s="60"/>
      <c r="I872" s="60"/>
      <c r="J872" s="60"/>
    </row>
    <row r="873" spans="1:10" x14ac:dyDescent="0.2">
      <c r="A873" s="48"/>
      <c r="B873" s="6" t="s">
        <v>546</v>
      </c>
      <c r="C873" s="48"/>
      <c r="D873" s="48"/>
      <c r="E873" s="48"/>
      <c r="F873" s="60"/>
      <c r="G873" s="60"/>
      <c r="H873" s="60"/>
      <c r="I873" s="60"/>
      <c r="J873" s="60"/>
    </row>
    <row r="874" spans="1:10" x14ac:dyDescent="0.2">
      <c r="A874" s="48"/>
      <c r="B874" s="6" t="s">
        <v>547</v>
      </c>
      <c r="C874" s="48"/>
      <c r="D874" s="48"/>
      <c r="E874" s="48"/>
      <c r="F874" s="60"/>
      <c r="G874" s="60"/>
      <c r="H874" s="60"/>
      <c r="I874" s="60"/>
      <c r="J874" s="60"/>
    </row>
    <row r="875" spans="1:10" x14ac:dyDescent="0.2">
      <c r="A875" s="48"/>
      <c r="B875" s="6" t="s">
        <v>548</v>
      </c>
      <c r="C875" s="48"/>
      <c r="D875" s="48"/>
      <c r="E875" s="48"/>
      <c r="F875" s="60"/>
      <c r="G875" s="60"/>
      <c r="H875" s="60"/>
      <c r="I875" s="60"/>
      <c r="J875" s="60"/>
    </row>
    <row r="876" spans="1:10" x14ac:dyDescent="0.2">
      <c r="A876" s="48"/>
      <c r="B876" s="6" t="s">
        <v>549</v>
      </c>
      <c r="C876" s="48"/>
      <c r="D876" s="48"/>
      <c r="E876" s="48"/>
      <c r="F876" s="60"/>
      <c r="G876" s="60"/>
      <c r="H876" s="60"/>
      <c r="I876" s="60"/>
      <c r="J876" s="60"/>
    </row>
    <row r="877" spans="1:10" x14ac:dyDescent="0.2">
      <c r="A877" s="47"/>
      <c r="B877" s="5" t="s">
        <v>550</v>
      </c>
      <c r="C877" s="47"/>
      <c r="D877" s="47"/>
      <c r="E877" s="47"/>
      <c r="F877" s="59"/>
      <c r="G877" s="59"/>
      <c r="H877" s="59"/>
      <c r="I877" s="59"/>
      <c r="J877" s="59"/>
    </row>
    <row r="878" spans="1:10" ht="28.5" x14ac:dyDescent="0.2">
      <c r="A878" s="3" t="s">
        <v>1515</v>
      </c>
      <c r="B878" s="3" t="s">
        <v>469</v>
      </c>
      <c r="C878" s="3" t="s">
        <v>8</v>
      </c>
      <c r="D878" s="3" t="s">
        <v>1516</v>
      </c>
      <c r="E878" s="3"/>
      <c r="F878" s="1" t="s">
        <v>470</v>
      </c>
      <c r="G878" s="1">
        <v>0</v>
      </c>
      <c r="H878" s="1">
        <v>100</v>
      </c>
      <c r="I878" s="1">
        <v>1</v>
      </c>
      <c r="J878" s="1">
        <v>0</v>
      </c>
    </row>
    <row r="879" spans="1:10" x14ac:dyDescent="0.2">
      <c r="A879" s="46" t="s">
        <v>1517</v>
      </c>
      <c r="B879" s="4" t="s">
        <v>277</v>
      </c>
      <c r="C879" s="46" t="s">
        <v>8</v>
      </c>
      <c r="D879" s="46" t="s">
        <v>1518</v>
      </c>
      <c r="E879" s="46" t="s">
        <v>1518</v>
      </c>
      <c r="F879" s="58" t="s">
        <v>290</v>
      </c>
      <c r="G879" s="58">
        <v>0</v>
      </c>
      <c r="H879" s="58">
        <v>2.5399999999999999E-2</v>
      </c>
      <c r="I879" s="58">
        <v>1</v>
      </c>
      <c r="J879" s="58">
        <v>0</v>
      </c>
    </row>
    <row r="880" spans="1:10" x14ac:dyDescent="0.2">
      <c r="A880" s="48"/>
      <c r="B880" s="6" t="s">
        <v>278</v>
      </c>
      <c r="C880" s="48"/>
      <c r="D880" s="48"/>
      <c r="E880" s="48"/>
      <c r="F880" s="60"/>
      <c r="G880" s="60"/>
      <c r="H880" s="60"/>
      <c r="I880" s="60"/>
      <c r="J880" s="60"/>
    </row>
    <row r="881" spans="1:10" x14ac:dyDescent="0.2">
      <c r="A881" s="48"/>
      <c r="B881" s="6" t="s">
        <v>279</v>
      </c>
      <c r="C881" s="48"/>
      <c r="D881" s="48"/>
      <c r="E881" s="48"/>
      <c r="F881" s="60"/>
      <c r="G881" s="60"/>
      <c r="H881" s="60"/>
      <c r="I881" s="60"/>
      <c r="J881" s="60"/>
    </row>
    <row r="882" spans="1:10" x14ac:dyDescent="0.2">
      <c r="A882" s="48"/>
      <c r="B882" s="6" t="s">
        <v>281</v>
      </c>
      <c r="C882" s="48"/>
      <c r="D882" s="48"/>
      <c r="E882" s="48"/>
      <c r="F882" s="60"/>
      <c r="G882" s="60"/>
      <c r="H882" s="60"/>
      <c r="I882" s="60"/>
      <c r="J882" s="60"/>
    </row>
    <row r="883" spans="1:10" x14ac:dyDescent="0.2">
      <c r="A883" s="48"/>
      <c r="B883" s="6" t="s">
        <v>282</v>
      </c>
      <c r="C883" s="48"/>
      <c r="D883" s="48"/>
      <c r="E883" s="48"/>
      <c r="F883" s="60"/>
      <c r="G883" s="60"/>
      <c r="H883" s="60"/>
      <c r="I883" s="60"/>
      <c r="J883" s="60"/>
    </row>
    <row r="884" spans="1:10" x14ac:dyDescent="0.2">
      <c r="A884" s="48"/>
      <c r="B884" s="6" t="s">
        <v>283</v>
      </c>
      <c r="C884" s="48"/>
      <c r="D884" s="48"/>
      <c r="E884" s="48"/>
      <c r="F884" s="60"/>
      <c r="G884" s="60"/>
      <c r="H884" s="60"/>
      <c r="I884" s="60"/>
      <c r="J884" s="60"/>
    </row>
    <row r="885" spans="1:10" x14ac:dyDescent="0.2">
      <c r="A885" s="48"/>
      <c r="B885" s="6" t="s">
        <v>284</v>
      </c>
      <c r="C885" s="48"/>
      <c r="D885" s="48"/>
      <c r="E885" s="48"/>
      <c r="F885" s="60"/>
      <c r="G885" s="60"/>
      <c r="H885" s="60"/>
      <c r="I885" s="60"/>
      <c r="J885" s="60"/>
    </row>
    <row r="886" spans="1:10" x14ac:dyDescent="0.2">
      <c r="A886" s="48"/>
      <c r="B886" s="6" t="s">
        <v>285</v>
      </c>
      <c r="C886" s="48"/>
      <c r="D886" s="48"/>
      <c r="E886" s="48"/>
      <c r="F886" s="60"/>
      <c r="G886" s="60"/>
      <c r="H886" s="60"/>
      <c r="I886" s="60"/>
      <c r="J886" s="60"/>
    </row>
    <row r="887" spans="1:10" x14ac:dyDescent="0.2">
      <c r="A887" s="48"/>
      <c r="B887" s="6" t="s">
        <v>286</v>
      </c>
      <c r="C887" s="48"/>
      <c r="D887" s="48"/>
      <c r="E887" s="48"/>
      <c r="F887" s="60"/>
      <c r="G887" s="60"/>
      <c r="H887" s="60"/>
      <c r="I887" s="60"/>
      <c r="J887" s="60"/>
    </row>
    <row r="888" spans="1:10" x14ac:dyDescent="0.2">
      <c r="A888" s="48"/>
      <c r="B888" s="6" t="s">
        <v>287</v>
      </c>
      <c r="C888" s="48"/>
      <c r="D888" s="48"/>
      <c r="E888" s="48"/>
      <c r="F888" s="60"/>
      <c r="G888" s="60"/>
      <c r="H888" s="60"/>
      <c r="I888" s="60"/>
      <c r="J888" s="60"/>
    </row>
    <row r="889" spans="1:10" x14ac:dyDescent="0.2">
      <c r="A889" s="48"/>
      <c r="B889" s="6" t="s">
        <v>288</v>
      </c>
      <c r="C889" s="48"/>
      <c r="D889" s="48"/>
      <c r="E889" s="48"/>
      <c r="F889" s="60"/>
      <c r="G889" s="60"/>
      <c r="H889" s="60"/>
      <c r="I889" s="60"/>
      <c r="J889" s="60"/>
    </row>
    <row r="890" spans="1:10" x14ac:dyDescent="0.2">
      <c r="A890" s="47"/>
      <c r="B890" s="5" t="s">
        <v>289</v>
      </c>
      <c r="C890" s="47"/>
      <c r="D890" s="47"/>
      <c r="E890" s="47"/>
      <c r="F890" s="59"/>
      <c r="G890" s="59"/>
      <c r="H890" s="59"/>
      <c r="I890" s="59"/>
      <c r="J890" s="59"/>
    </row>
    <row r="891" spans="1:10" x14ac:dyDescent="0.2">
      <c r="A891" s="46" t="s">
        <v>1519</v>
      </c>
      <c r="B891" s="4" t="s">
        <v>277</v>
      </c>
      <c r="C891" s="46" t="s">
        <v>8</v>
      </c>
      <c r="D891" s="46" t="s">
        <v>1520</v>
      </c>
      <c r="E891" s="46"/>
      <c r="F891" s="58" t="s">
        <v>290</v>
      </c>
      <c r="G891" s="58">
        <v>0</v>
      </c>
      <c r="H891" s="58">
        <v>2.5400000000000002E-3</v>
      </c>
      <c r="I891" s="58">
        <v>1</v>
      </c>
      <c r="J891" s="58">
        <v>0</v>
      </c>
    </row>
    <row r="892" spans="1:10" x14ac:dyDescent="0.2">
      <c r="A892" s="48"/>
      <c r="B892" s="6" t="s">
        <v>278</v>
      </c>
      <c r="C892" s="48"/>
      <c r="D892" s="48"/>
      <c r="E892" s="48"/>
      <c r="F892" s="60"/>
      <c r="G892" s="60"/>
      <c r="H892" s="60"/>
      <c r="I892" s="60"/>
      <c r="J892" s="60"/>
    </row>
    <row r="893" spans="1:10" x14ac:dyDescent="0.2">
      <c r="A893" s="48"/>
      <c r="B893" s="6" t="s">
        <v>279</v>
      </c>
      <c r="C893" s="48"/>
      <c r="D893" s="48"/>
      <c r="E893" s="48"/>
      <c r="F893" s="60"/>
      <c r="G893" s="60"/>
      <c r="H893" s="60"/>
      <c r="I893" s="60"/>
      <c r="J893" s="60"/>
    </row>
    <row r="894" spans="1:10" x14ac:dyDescent="0.2">
      <c r="A894" s="48"/>
      <c r="B894" s="6" t="s">
        <v>281</v>
      </c>
      <c r="C894" s="48"/>
      <c r="D894" s="48"/>
      <c r="E894" s="48"/>
      <c r="F894" s="60"/>
      <c r="G894" s="60"/>
      <c r="H894" s="60"/>
      <c r="I894" s="60"/>
      <c r="J894" s="60"/>
    </row>
    <row r="895" spans="1:10" x14ac:dyDescent="0.2">
      <c r="A895" s="48"/>
      <c r="B895" s="6" t="s">
        <v>282</v>
      </c>
      <c r="C895" s="48"/>
      <c r="D895" s="48"/>
      <c r="E895" s="48"/>
      <c r="F895" s="60"/>
      <c r="G895" s="60"/>
      <c r="H895" s="60"/>
      <c r="I895" s="60"/>
      <c r="J895" s="60"/>
    </row>
    <row r="896" spans="1:10" x14ac:dyDescent="0.2">
      <c r="A896" s="48"/>
      <c r="B896" s="6" t="s">
        <v>283</v>
      </c>
      <c r="C896" s="48"/>
      <c r="D896" s="48"/>
      <c r="E896" s="48"/>
      <c r="F896" s="60"/>
      <c r="G896" s="60"/>
      <c r="H896" s="60"/>
      <c r="I896" s="60"/>
      <c r="J896" s="60"/>
    </row>
    <row r="897" spans="1:10" x14ac:dyDescent="0.2">
      <c r="A897" s="48"/>
      <c r="B897" s="6" t="s">
        <v>284</v>
      </c>
      <c r="C897" s="48"/>
      <c r="D897" s="48"/>
      <c r="E897" s="48"/>
      <c r="F897" s="60"/>
      <c r="G897" s="60"/>
      <c r="H897" s="60"/>
      <c r="I897" s="60"/>
      <c r="J897" s="60"/>
    </row>
    <row r="898" spans="1:10" x14ac:dyDescent="0.2">
      <c r="A898" s="47"/>
      <c r="B898" s="5" t="s">
        <v>285</v>
      </c>
      <c r="C898" s="47"/>
      <c r="D898" s="47"/>
      <c r="E898" s="47"/>
      <c r="F898" s="59"/>
      <c r="G898" s="59"/>
      <c r="H898" s="59"/>
      <c r="I898" s="59"/>
      <c r="J898" s="59"/>
    </row>
    <row r="899" spans="1:10" x14ac:dyDescent="0.2">
      <c r="A899" s="46" t="s">
        <v>1521</v>
      </c>
      <c r="B899" s="4" t="s">
        <v>277</v>
      </c>
      <c r="C899" s="46" t="s">
        <v>8</v>
      </c>
      <c r="D899" s="46" t="s">
        <v>1522</v>
      </c>
      <c r="E899" s="46" t="s">
        <v>1523</v>
      </c>
      <c r="F899" s="58" t="s">
        <v>290</v>
      </c>
      <c r="G899" s="58">
        <v>0</v>
      </c>
      <c r="H899" s="58">
        <v>1.5874999999999999E-3</v>
      </c>
      <c r="I899" s="58">
        <v>1</v>
      </c>
      <c r="J899" s="58">
        <v>0</v>
      </c>
    </row>
    <row r="900" spans="1:10" x14ac:dyDescent="0.2">
      <c r="A900" s="48"/>
      <c r="B900" s="6" t="s">
        <v>278</v>
      </c>
      <c r="C900" s="48"/>
      <c r="D900" s="48"/>
      <c r="E900" s="48"/>
      <c r="F900" s="60"/>
      <c r="G900" s="60"/>
      <c r="H900" s="60"/>
      <c r="I900" s="60"/>
      <c r="J900" s="60"/>
    </row>
    <row r="901" spans="1:10" x14ac:dyDescent="0.2">
      <c r="A901" s="48"/>
      <c r="B901" s="6" t="s">
        <v>279</v>
      </c>
      <c r="C901" s="48"/>
      <c r="D901" s="48"/>
      <c r="E901" s="48"/>
      <c r="F901" s="60"/>
      <c r="G901" s="60"/>
      <c r="H901" s="60"/>
      <c r="I901" s="60"/>
      <c r="J901" s="60"/>
    </row>
    <row r="902" spans="1:10" x14ac:dyDescent="0.2">
      <c r="A902" s="48"/>
      <c r="B902" s="6" t="s">
        <v>281</v>
      </c>
      <c r="C902" s="48"/>
      <c r="D902" s="48"/>
      <c r="E902" s="48"/>
      <c r="F902" s="60"/>
      <c r="G902" s="60"/>
      <c r="H902" s="60"/>
      <c r="I902" s="60"/>
      <c r="J902" s="60"/>
    </row>
    <row r="903" spans="1:10" x14ac:dyDescent="0.2">
      <c r="A903" s="48"/>
      <c r="B903" s="6" t="s">
        <v>282</v>
      </c>
      <c r="C903" s="48"/>
      <c r="D903" s="48"/>
      <c r="E903" s="48"/>
      <c r="F903" s="60"/>
      <c r="G903" s="60"/>
      <c r="H903" s="60"/>
      <c r="I903" s="60"/>
      <c r="J903" s="60"/>
    </row>
    <row r="904" spans="1:10" x14ac:dyDescent="0.2">
      <c r="A904" s="48"/>
      <c r="B904" s="6" t="s">
        <v>283</v>
      </c>
      <c r="C904" s="48"/>
      <c r="D904" s="48"/>
      <c r="E904" s="48"/>
      <c r="F904" s="60"/>
      <c r="G904" s="60"/>
      <c r="H904" s="60"/>
      <c r="I904" s="60"/>
      <c r="J904" s="60"/>
    </row>
    <row r="905" spans="1:10" x14ac:dyDescent="0.2">
      <c r="A905" s="48"/>
      <c r="B905" s="6" t="s">
        <v>284</v>
      </c>
      <c r="C905" s="48"/>
      <c r="D905" s="48"/>
      <c r="E905" s="48"/>
      <c r="F905" s="60"/>
      <c r="G905" s="60"/>
      <c r="H905" s="60"/>
      <c r="I905" s="60"/>
      <c r="J905" s="60"/>
    </row>
    <row r="906" spans="1:10" x14ac:dyDescent="0.2">
      <c r="A906" s="47"/>
      <c r="B906" s="5" t="s">
        <v>285</v>
      </c>
      <c r="C906" s="47"/>
      <c r="D906" s="47"/>
      <c r="E906" s="47"/>
      <c r="F906" s="59"/>
      <c r="G906" s="59"/>
      <c r="H906" s="59"/>
      <c r="I906" s="59"/>
      <c r="J906" s="59"/>
    </row>
    <row r="907" spans="1:10" x14ac:dyDescent="0.2">
      <c r="A907" s="46" t="s">
        <v>1524</v>
      </c>
      <c r="B907" s="4" t="s">
        <v>277</v>
      </c>
      <c r="C907" s="46" t="s">
        <v>8</v>
      </c>
      <c r="D907" s="46" t="s">
        <v>1525</v>
      </c>
      <c r="E907" s="46" t="s">
        <v>1526</v>
      </c>
      <c r="F907" s="58" t="s">
        <v>290</v>
      </c>
      <c r="G907" s="58">
        <v>0</v>
      </c>
      <c r="H907" s="58">
        <v>7.9374999999999997E-4</v>
      </c>
      <c r="I907" s="58">
        <v>1</v>
      </c>
      <c r="J907" s="58">
        <v>0</v>
      </c>
    </row>
    <row r="908" spans="1:10" x14ac:dyDescent="0.2">
      <c r="A908" s="48"/>
      <c r="B908" s="6" t="s">
        <v>278</v>
      </c>
      <c r="C908" s="48"/>
      <c r="D908" s="48"/>
      <c r="E908" s="48"/>
      <c r="F908" s="60"/>
      <c r="G908" s="60"/>
      <c r="H908" s="60"/>
      <c r="I908" s="60"/>
      <c r="J908" s="60"/>
    </row>
    <row r="909" spans="1:10" x14ac:dyDescent="0.2">
      <c r="A909" s="48"/>
      <c r="B909" s="6" t="s">
        <v>279</v>
      </c>
      <c r="C909" s="48"/>
      <c r="D909" s="48"/>
      <c r="E909" s="48"/>
      <c r="F909" s="60"/>
      <c r="G909" s="60"/>
      <c r="H909" s="60"/>
      <c r="I909" s="60"/>
      <c r="J909" s="60"/>
    </row>
    <row r="910" spans="1:10" x14ac:dyDescent="0.2">
      <c r="A910" s="48"/>
      <c r="B910" s="6" t="s">
        <v>281</v>
      </c>
      <c r="C910" s="48"/>
      <c r="D910" s="48"/>
      <c r="E910" s="48"/>
      <c r="F910" s="60"/>
      <c r="G910" s="60"/>
      <c r="H910" s="60"/>
      <c r="I910" s="60"/>
      <c r="J910" s="60"/>
    </row>
    <row r="911" spans="1:10" x14ac:dyDescent="0.2">
      <c r="A911" s="48"/>
      <c r="B911" s="6" t="s">
        <v>282</v>
      </c>
      <c r="C911" s="48"/>
      <c r="D911" s="48"/>
      <c r="E911" s="48"/>
      <c r="F911" s="60"/>
      <c r="G911" s="60"/>
      <c r="H911" s="60"/>
      <c r="I911" s="60"/>
      <c r="J911" s="60"/>
    </row>
    <row r="912" spans="1:10" x14ac:dyDescent="0.2">
      <c r="A912" s="48"/>
      <c r="B912" s="6" t="s">
        <v>283</v>
      </c>
      <c r="C912" s="48"/>
      <c r="D912" s="48"/>
      <c r="E912" s="48"/>
      <c r="F912" s="60"/>
      <c r="G912" s="60"/>
      <c r="H912" s="60"/>
      <c r="I912" s="60"/>
      <c r="J912" s="60"/>
    </row>
    <row r="913" spans="1:10" x14ac:dyDescent="0.2">
      <c r="A913" s="48"/>
      <c r="B913" s="6" t="s">
        <v>284</v>
      </c>
      <c r="C913" s="48"/>
      <c r="D913" s="48"/>
      <c r="E913" s="48"/>
      <c r="F913" s="60"/>
      <c r="G913" s="60"/>
      <c r="H913" s="60"/>
      <c r="I913" s="60"/>
      <c r="J913" s="60"/>
    </row>
    <row r="914" spans="1:10" x14ac:dyDescent="0.2">
      <c r="A914" s="47"/>
      <c r="B914" s="5" t="s">
        <v>285</v>
      </c>
      <c r="C914" s="47"/>
      <c r="D914" s="47"/>
      <c r="E914" s="47"/>
      <c r="F914" s="59"/>
      <c r="G914" s="59"/>
      <c r="H914" s="59"/>
      <c r="I914" s="59"/>
      <c r="J914" s="59"/>
    </row>
    <row r="915" spans="1:10" x14ac:dyDescent="0.2">
      <c r="A915" s="46" t="s">
        <v>1527</v>
      </c>
      <c r="B915" s="4" t="s">
        <v>277</v>
      </c>
      <c r="C915" s="46" t="s">
        <v>8</v>
      </c>
      <c r="D915" s="46" t="s">
        <v>1528</v>
      </c>
      <c r="E915" s="46" t="s">
        <v>1529</v>
      </c>
      <c r="F915" s="58" t="s">
        <v>290</v>
      </c>
      <c r="G915" s="58">
        <v>0</v>
      </c>
      <c r="H915" s="58">
        <v>3.9687499999999998E-4</v>
      </c>
      <c r="I915" s="58">
        <v>1</v>
      </c>
      <c r="J915" s="58">
        <v>0</v>
      </c>
    </row>
    <row r="916" spans="1:10" x14ac:dyDescent="0.2">
      <c r="A916" s="48"/>
      <c r="B916" s="6" t="s">
        <v>278</v>
      </c>
      <c r="C916" s="48"/>
      <c r="D916" s="48"/>
      <c r="E916" s="48"/>
      <c r="F916" s="60"/>
      <c r="G916" s="60"/>
      <c r="H916" s="60"/>
      <c r="I916" s="60"/>
      <c r="J916" s="60"/>
    </row>
    <row r="917" spans="1:10" x14ac:dyDescent="0.2">
      <c r="A917" s="48"/>
      <c r="B917" s="6" t="s">
        <v>279</v>
      </c>
      <c r="C917" s="48"/>
      <c r="D917" s="48"/>
      <c r="E917" s="48"/>
      <c r="F917" s="60"/>
      <c r="G917" s="60"/>
      <c r="H917" s="60"/>
      <c r="I917" s="60"/>
      <c r="J917" s="60"/>
    </row>
    <row r="918" spans="1:10" x14ac:dyDescent="0.2">
      <c r="A918" s="48"/>
      <c r="B918" s="6" t="s">
        <v>281</v>
      </c>
      <c r="C918" s="48"/>
      <c r="D918" s="48"/>
      <c r="E918" s="48"/>
      <c r="F918" s="60"/>
      <c r="G918" s="60"/>
      <c r="H918" s="60"/>
      <c r="I918" s="60"/>
      <c r="J918" s="60"/>
    </row>
    <row r="919" spans="1:10" x14ac:dyDescent="0.2">
      <c r="A919" s="48"/>
      <c r="B919" s="6" t="s">
        <v>282</v>
      </c>
      <c r="C919" s="48"/>
      <c r="D919" s="48"/>
      <c r="E919" s="48"/>
      <c r="F919" s="60"/>
      <c r="G919" s="60"/>
      <c r="H919" s="60"/>
      <c r="I919" s="60"/>
      <c r="J919" s="60"/>
    </row>
    <row r="920" spans="1:10" x14ac:dyDescent="0.2">
      <c r="A920" s="48"/>
      <c r="B920" s="6" t="s">
        <v>283</v>
      </c>
      <c r="C920" s="48"/>
      <c r="D920" s="48"/>
      <c r="E920" s="48"/>
      <c r="F920" s="60"/>
      <c r="G920" s="60"/>
      <c r="H920" s="60"/>
      <c r="I920" s="60"/>
      <c r="J920" s="60"/>
    </row>
    <row r="921" spans="1:10" x14ac:dyDescent="0.2">
      <c r="A921" s="48"/>
      <c r="B921" s="6" t="s">
        <v>284</v>
      </c>
      <c r="C921" s="48"/>
      <c r="D921" s="48"/>
      <c r="E921" s="48"/>
      <c r="F921" s="60"/>
      <c r="G921" s="60"/>
      <c r="H921" s="60"/>
      <c r="I921" s="60"/>
      <c r="J921" s="60"/>
    </row>
    <row r="922" spans="1:10" x14ac:dyDescent="0.2">
      <c r="A922" s="47"/>
      <c r="B922" s="5" t="s">
        <v>285</v>
      </c>
      <c r="C922" s="47"/>
      <c r="D922" s="47"/>
      <c r="E922" s="47"/>
      <c r="F922" s="59"/>
      <c r="G922" s="59"/>
      <c r="H922" s="59"/>
      <c r="I922" s="59"/>
      <c r="J922" s="59"/>
    </row>
    <row r="923" spans="1:10" ht="28.5" x14ac:dyDescent="0.2">
      <c r="A923" s="3" t="s">
        <v>1530</v>
      </c>
      <c r="B923" s="3" t="s">
        <v>296</v>
      </c>
      <c r="C923" s="3" t="s">
        <v>8</v>
      </c>
      <c r="D923" s="3" t="s">
        <v>1531</v>
      </c>
      <c r="E923" s="3" t="s">
        <v>1531</v>
      </c>
      <c r="F923" s="1" t="s">
        <v>297</v>
      </c>
      <c r="G923" s="1">
        <v>0</v>
      </c>
      <c r="H923" s="1">
        <v>2.5399999999999999E-2</v>
      </c>
      <c r="I923" s="1">
        <v>31558150</v>
      </c>
      <c r="J923" s="1">
        <v>0</v>
      </c>
    </row>
    <row r="924" spans="1:10" ht="57" x14ac:dyDescent="0.2">
      <c r="A924" s="3" t="s">
        <v>1532</v>
      </c>
      <c r="B924" s="3" t="s">
        <v>12</v>
      </c>
      <c r="C924" s="3" t="s">
        <v>8</v>
      </c>
      <c r="D924" s="3" t="s">
        <v>1533</v>
      </c>
      <c r="E924" s="3" t="s">
        <v>1533</v>
      </c>
      <c r="F924" s="1" t="s">
        <v>13</v>
      </c>
      <c r="G924" s="1">
        <v>0</v>
      </c>
      <c r="H924" s="1">
        <v>1.8</v>
      </c>
      <c r="I924" s="1">
        <v>1</v>
      </c>
      <c r="J924" s="1">
        <v>0</v>
      </c>
    </row>
    <row r="925" spans="1:10" ht="28.5" x14ac:dyDescent="0.2">
      <c r="A925" s="3" t="s">
        <v>1534</v>
      </c>
      <c r="B925" s="3" t="s">
        <v>296</v>
      </c>
      <c r="C925" s="3" t="s">
        <v>8</v>
      </c>
      <c r="D925" s="3" t="s">
        <v>1535</v>
      </c>
      <c r="E925" s="3" t="s">
        <v>1535</v>
      </c>
      <c r="F925" s="1" t="s">
        <v>297</v>
      </c>
      <c r="G925" s="1">
        <v>0</v>
      </c>
      <c r="H925" s="1">
        <v>2.5399999999999999E-2</v>
      </c>
      <c r="I925" s="1">
        <v>60</v>
      </c>
      <c r="J925" s="1">
        <v>0</v>
      </c>
    </row>
    <row r="926" spans="1:10" ht="28.5" x14ac:dyDescent="0.2">
      <c r="A926" s="3" t="s">
        <v>1536</v>
      </c>
      <c r="B926" s="3" t="s">
        <v>296</v>
      </c>
      <c r="C926" s="3" t="s">
        <v>8</v>
      </c>
      <c r="D926" s="3" t="s">
        <v>1537</v>
      </c>
      <c r="E926" s="3" t="s">
        <v>1537</v>
      </c>
      <c r="F926" s="1" t="s">
        <v>297</v>
      </c>
      <c r="G926" s="1">
        <v>0</v>
      </c>
      <c r="H926" s="1">
        <v>2.5399999999999999E-2</v>
      </c>
      <c r="I926" s="1">
        <v>1</v>
      </c>
      <c r="J926" s="1">
        <v>0</v>
      </c>
    </row>
    <row r="927" spans="1:10" ht="28.5" x14ac:dyDescent="0.2">
      <c r="A927" s="3" t="s">
        <v>1538</v>
      </c>
      <c r="B927" s="3" t="s">
        <v>302</v>
      </c>
      <c r="C927" s="3" t="s">
        <v>8</v>
      </c>
      <c r="D927" s="3" t="s">
        <v>1539</v>
      </c>
      <c r="E927" s="3" t="s">
        <v>1540</v>
      </c>
      <c r="F927" s="1" t="s">
        <v>303</v>
      </c>
      <c r="G927" s="1">
        <v>0</v>
      </c>
      <c r="H927" s="1">
        <v>6.4515999999999998E-4</v>
      </c>
      <c r="I927" s="1">
        <v>1</v>
      </c>
      <c r="J927" s="1">
        <v>0</v>
      </c>
    </row>
    <row r="928" spans="1:10" x14ac:dyDescent="0.2">
      <c r="A928" s="46" t="s">
        <v>1541</v>
      </c>
      <c r="B928" s="4" t="s">
        <v>583</v>
      </c>
      <c r="C928" s="46" t="s">
        <v>8</v>
      </c>
      <c r="D928" s="46" t="s">
        <v>1542</v>
      </c>
      <c r="E928" s="46" t="s">
        <v>1542</v>
      </c>
      <c r="F928" s="58" t="s">
        <v>131</v>
      </c>
      <c r="G928" s="58">
        <v>0</v>
      </c>
      <c r="H928" s="58">
        <v>1</v>
      </c>
      <c r="I928" s="58">
        <v>144</v>
      </c>
      <c r="J928" s="58">
        <v>0</v>
      </c>
    </row>
    <row r="929" spans="1:10" x14ac:dyDescent="0.2">
      <c r="A929" s="47"/>
      <c r="B929" s="5" t="s">
        <v>129</v>
      </c>
      <c r="C929" s="47"/>
      <c r="D929" s="47"/>
      <c r="E929" s="47"/>
      <c r="F929" s="59"/>
      <c r="G929" s="59"/>
      <c r="H929" s="59"/>
      <c r="I929" s="59"/>
      <c r="J929" s="59"/>
    </row>
    <row r="930" spans="1:10" x14ac:dyDescent="0.2">
      <c r="A930" s="46" t="s">
        <v>1543</v>
      </c>
      <c r="B930" s="4" t="s">
        <v>583</v>
      </c>
      <c r="C930" s="46" t="s">
        <v>8</v>
      </c>
      <c r="D930" s="46" t="s">
        <v>1544</v>
      </c>
      <c r="E930" s="46" t="s">
        <v>1544</v>
      </c>
      <c r="F930" s="58" t="s">
        <v>131</v>
      </c>
      <c r="G930" s="58">
        <v>0</v>
      </c>
      <c r="H930" s="58">
        <v>1</v>
      </c>
      <c r="I930" s="58">
        <v>1</v>
      </c>
      <c r="J930" s="58">
        <v>0</v>
      </c>
    </row>
    <row r="931" spans="1:10" x14ac:dyDescent="0.2">
      <c r="A931" s="47"/>
      <c r="B931" s="5" t="s">
        <v>129</v>
      </c>
      <c r="C931" s="47"/>
      <c r="D931" s="47"/>
      <c r="E931" s="47"/>
      <c r="F931" s="59"/>
      <c r="G931" s="59"/>
      <c r="H931" s="59"/>
      <c r="I931" s="59"/>
      <c r="J931" s="59"/>
    </row>
    <row r="932" spans="1:10" x14ac:dyDescent="0.2">
      <c r="A932" s="46" t="s">
        <v>1545</v>
      </c>
      <c r="B932" s="4" t="s">
        <v>315</v>
      </c>
      <c r="C932" s="46" t="s">
        <v>8</v>
      </c>
      <c r="D932" s="46" t="s">
        <v>1546</v>
      </c>
      <c r="E932" s="46" t="s">
        <v>1546</v>
      </c>
      <c r="F932" s="58" t="s">
        <v>319</v>
      </c>
      <c r="G932" s="58">
        <v>0</v>
      </c>
      <c r="H932" s="58">
        <v>6.4515999999999998E-4</v>
      </c>
      <c r="I932" s="58">
        <v>1</v>
      </c>
      <c r="J932" s="58">
        <v>0</v>
      </c>
    </row>
    <row r="933" spans="1:10" x14ac:dyDescent="0.2">
      <c r="A933" s="48"/>
      <c r="B933" s="6" t="s">
        <v>316</v>
      </c>
      <c r="C933" s="48"/>
      <c r="D933" s="48"/>
      <c r="E933" s="48"/>
      <c r="F933" s="60"/>
      <c r="G933" s="60"/>
      <c r="H933" s="60"/>
      <c r="I933" s="60"/>
      <c r="J933" s="60"/>
    </row>
    <row r="934" spans="1:10" x14ac:dyDescent="0.2">
      <c r="A934" s="47"/>
      <c r="B934" s="5" t="s">
        <v>318</v>
      </c>
      <c r="C934" s="47"/>
      <c r="D934" s="47"/>
      <c r="E934" s="47"/>
      <c r="F934" s="59"/>
      <c r="G934" s="59"/>
      <c r="H934" s="59"/>
      <c r="I934" s="59"/>
      <c r="J934" s="59"/>
    </row>
    <row r="935" spans="1:10" ht="28.5" x14ac:dyDescent="0.2">
      <c r="A935" s="3" t="s">
        <v>1547</v>
      </c>
      <c r="B935" s="3" t="s">
        <v>321</v>
      </c>
      <c r="C935" s="3" t="s">
        <v>8</v>
      </c>
      <c r="D935" s="3" t="s">
        <v>985</v>
      </c>
      <c r="E935" s="3" t="s">
        <v>1548</v>
      </c>
      <c r="F935" s="1" t="s">
        <v>322</v>
      </c>
      <c r="G935" s="1">
        <v>0</v>
      </c>
      <c r="H935" s="1">
        <v>1.6387060000000002E-5</v>
      </c>
      <c r="I935" s="1">
        <v>1</v>
      </c>
      <c r="J935" s="1">
        <v>0</v>
      </c>
    </row>
    <row r="936" spans="1:10" ht="42.75" x14ac:dyDescent="0.2">
      <c r="A936" s="3" t="s">
        <v>1549</v>
      </c>
      <c r="B936" s="3" t="s">
        <v>767</v>
      </c>
      <c r="C936" s="3" t="s">
        <v>8</v>
      </c>
      <c r="D936" s="3" t="s">
        <v>1550</v>
      </c>
      <c r="E936" s="3" t="s">
        <v>1550</v>
      </c>
      <c r="F936" s="1" t="s">
        <v>303</v>
      </c>
      <c r="G936" s="1">
        <v>0</v>
      </c>
      <c r="H936" s="1">
        <v>1.6387063999999999E-5</v>
      </c>
      <c r="I936" s="1">
        <v>0.30480000000000002</v>
      </c>
      <c r="J936" s="1">
        <v>0</v>
      </c>
    </row>
    <row r="937" spans="1:10" ht="28.5" x14ac:dyDescent="0.2">
      <c r="A937" s="3" t="s">
        <v>1551</v>
      </c>
      <c r="B937" s="3" t="s">
        <v>354</v>
      </c>
      <c r="C937" s="3" t="s">
        <v>8</v>
      </c>
      <c r="D937" s="3" t="s">
        <v>1552</v>
      </c>
      <c r="E937" s="3" t="s">
        <v>1552</v>
      </c>
      <c r="F937" s="1" t="s">
        <v>356</v>
      </c>
      <c r="G937" s="1">
        <v>0</v>
      </c>
      <c r="H937" s="1">
        <v>4.1623140000000001E-7</v>
      </c>
      <c r="I937" s="1">
        <v>1</v>
      </c>
      <c r="J937" s="1">
        <v>0</v>
      </c>
    </row>
    <row r="938" spans="1:10" x14ac:dyDescent="0.2">
      <c r="A938" s="46" t="s">
        <v>1553</v>
      </c>
      <c r="B938" s="4" t="s">
        <v>414</v>
      </c>
      <c r="C938" s="46" t="s">
        <v>8</v>
      </c>
      <c r="D938" s="46" t="s">
        <v>1554</v>
      </c>
      <c r="E938" s="46"/>
      <c r="F938" s="58" t="s">
        <v>416</v>
      </c>
      <c r="G938" s="58">
        <v>0</v>
      </c>
      <c r="H938" s="58">
        <v>249.08199999999999</v>
      </c>
      <c r="I938" s="58">
        <v>1</v>
      </c>
      <c r="J938" s="58">
        <v>0</v>
      </c>
    </row>
    <row r="939" spans="1:10" x14ac:dyDescent="0.2">
      <c r="A939" s="47"/>
      <c r="B939" s="5" t="s">
        <v>415</v>
      </c>
      <c r="C939" s="47"/>
      <c r="D939" s="47"/>
      <c r="E939" s="47"/>
      <c r="F939" s="59"/>
      <c r="G939" s="59"/>
      <c r="H939" s="59"/>
      <c r="I939" s="59"/>
      <c r="J939" s="59"/>
    </row>
    <row r="940" spans="1:10" x14ac:dyDescent="0.2">
      <c r="A940" s="46" t="s">
        <v>1555</v>
      </c>
      <c r="B940" s="4" t="s">
        <v>414</v>
      </c>
      <c r="C940" s="46" t="s">
        <v>8</v>
      </c>
      <c r="D940" s="46" t="s">
        <v>1556</v>
      </c>
      <c r="E940" s="46"/>
      <c r="F940" s="58" t="s">
        <v>416</v>
      </c>
      <c r="G940" s="58">
        <v>0</v>
      </c>
      <c r="H940" s="58">
        <v>248.84</v>
      </c>
      <c r="I940" s="58">
        <v>1</v>
      </c>
      <c r="J940" s="58">
        <v>0</v>
      </c>
    </row>
    <row r="941" spans="1:10" x14ac:dyDescent="0.2">
      <c r="A941" s="47"/>
      <c r="B941" s="5" t="s">
        <v>415</v>
      </c>
      <c r="C941" s="47"/>
      <c r="D941" s="47"/>
      <c r="E941" s="47"/>
      <c r="F941" s="59"/>
      <c r="G941" s="59"/>
      <c r="H941" s="59"/>
      <c r="I941" s="59"/>
      <c r="J941" s="59"/>
    </row>
    <row r="942" spans="1:10" x14ac:dyDescent="0.2">
      <c r="A942" s="46" t="s">
        <v>1557</v>
      </c>
      <c r="B942" s="4" t="s">
        <v>414</v>
      </c>
      <c r="C942" s="46" t="s">
        <v>8</v>
      </c>
      <c r="D942" s="46" t="s">
        <v>1558</v>
      </c>
      <c r="E942" s="46"/>
      <c r="F942" s="58" t="s">
        <v>416</v>
      </c>
      <c r="G942" s="58">
        <v>0</v>
      </c>
      <c r="H942" s="58">
        <v>3386.38</v>
      </c>
      <c r="I942" s="58">
        <v>1</v>
      </c>
      <c r="J942" s="58">
        <v>0</v>
      </c>
    </row>
    <row r="943" spans="1:10" x14ac:dyDescent="0.2">
      <c r="A943" s="47"/>
      <c r="B943" s="5" t="s">
        <v>415</v>
      </c>
      <c r="C943" s="47"/>
      <c r="D943" s="47"/>
      <c r="E943" s="47"/>
      <c r="F943" s="59"/>
      <c r="G943" s="59"/>
      <c r="H943" s="59"/>
      <c r="I943" s="59"/>
      <c r="J943" s="59"/>
    </row>
    <row r="944" spans="1:10" x14ac:dyDescent="0.2">
      <c r="A944" s="46" t="s">
        <v>1559</v>
      </c>
      <c r="B944" s="4" t="s">
        <v>414</v>
      </c>
      <c r="C944" s="46" t="s">
        <v>8</v>
      </c>
      <c r="D944" s="46" t="s">
        <v>1560</v>
      </c>
      <c r="E944" s="46"/>
      <c r="F944" s="58" t="s">
        <v>416</v>
      </c>
      <c r="G944" s="58">
        <v>0</v>
      </c>
      <c r="H944" s="58">
        <v>3376.85</v>
      </c>
      <c r="I944" s="58">
        <v>1</v>
      </c>
      <c r="J944" s="58">
        <v>0</v>
      </c>
    </row>
    <row r="945" spans="1:10" x14ac:dyDescent="0.2">
      <c r="A945" s="47"/>
      <c r="B945" s="5" t="s">
        <v>415</v>
      </c>
      <c r="C945" s="47"/>
      <c r="D945" s="47"/>
      <c r="E945" s="47"/>
      <c r="F945" s="59"/>
      <c r="G945" s="59"/>
      <c r="H945" s="59"/>
      <c r="I945" s="59"/>
      <c r="J945" s="59"/>
    </row>
    <row r="946" spans="1:10" x14ac:dyDescent="0.2">
      <c r="A946" s="46" t="s">
        <v>1561</v>
      </c>
      <c r="B946" s="4" t="s">
        <v>277</v>
      </c>
      <c r="C946" s="46" t="s">
        <v>8</v>
      </c>
      <c r="D946" s="46" t="s">
        <v>1562</v>
      </c>
      <c r="E946" s="46" t="s">
        <v>1562</v>
      </c>
      <c r="F946" s="58" t="s">
        <v>290</v>
      </c>
      <c r="G946" s="58">
        <v>0</v>
      </c>
      <c r="H946" s="58">
        <v>1</v>
      </c>
      <c r="I946" s="58">
        <v>39.369999999999997</v>
      </c>
      <c r="J946" s="58">
        <v>0</v>
      </c>
    </row>
    <row r="947" spans="1:10" x14ac:dyDescent="0.2">
      <c r="A947" s="48"/>
      <c r="B947" s="6" t="s">
        <v>280</v>
      </c>
      <c r="C947" s="48"/>
      <c r="D947" s="48"/>
      <c r="E947" s="48"/>
      <c r="F947" s="60"/>
      <c r="G947" s="60"/>
      <c r="H947" s="60"/>
      <c r="I947" s="60"/>
      <c r="J947" s="60"/>
    </row>
    <row r="948" spans="1:10" x14ac:dyDescent="0.2">
      <c r="A948" s="48"/>
      <c r="B948" s="6" t="s">
        <v>284</v>
      </c>
      <c r="C948" s="48"/>
      <c r="D948" s="48"/>
      <c r="E948" s="48"/>
      <c r="F948" s="60"/>
      <c r="G948" s="60"/>
      <c r="H948" s="60"/>
      <c r="I948" s="60"/>
      <c r="J948" s="60"/>
    </row>
    <row r="949" spans="1:10" x14ac:dyDescent="0.2">
      <c r="A949" s="47"/>
      <c r="B949" s="5" t="s">
        <v>287</v>
      </c>
      <c r="C949" s="47"/>
      <c r="D949" s="47"/>
      <c r="E949" s="47"/>
      <c r="F949" s="59"/>
      <c r="G949" s="59"/>
      <c r="H949" s="59"/>
      <c r="I949" s="59"/>
      <c r="J949" s="59"/>
    </row>
    <row r="950" spans="1:10" ht="57" x14ac:dyDescent="0.2">
      <c r="A950" s="3" t="s">
        <v>1563</v>
      </c>
      <c r="B950" s="3" t="s">
        <v>386</v>
      </c>
      <c r="C950" s="3" t="s">
        <v>8</v>
      </c>
      <c r="D950" s="3" t="s">
        <v>1564</v>
      </c>
      <c r="E950" s="3" t="s">
        <v>1564</v>
      </c>
      <c r="F950" s="1" t="s">
        <v>387</v>
      </c>
      <c r="G950" s="1">
        <v>0</v>
      </c>
      <c r="H950" s="1">
        <v>10000</v>
      </c>
      <c r="I950" s="1">
        <v>1</v>
      </c>
      <c r="J950" s="1">
        <v>0</v>
      </c>
    </row>
    <row r="951" spans="1:10" x14ac:dyDescent="0.2">
      <c r="A951" s="46" t="s">
        <v>1565</v>
      </c>
      <c r="B951" s="4" t="s">
        <v>181</v>
      </c>
      <c r="C951" s="46" t="s">
        <v>8</v>
      </c>
      <c r="D951" s="46" t="s">
        <v>1566</v>
      </c>
      <c r="E951" s="46" t="s">
        <v>1566</v>
      </c>
      <c r="F951" s="58" t="s">
        <v>190</v>
      </c>
      <c r="G951" s="58">
        <v>0</v>
      </c>
      <c r="H951" s="58">
        <v>1000</v>
      </c>
      <c r="I951" s="58">
        <v>1</v>
      </c>
      <c r="J951" s="58">
        <v>0</v>
      </c>
    </row>
    <row r="952" spans="1:10" x14ac:dyDescent="0.2">
      <c r="A952" s="48"/>
      <c r="B952" s="6" t="s">
        <v>182</v>
      </c>
      <c r="C952" s="48"/>
      <c r="D952" s="48"/>
      <c r="E952" s="48"/>
      <c r="F952" s="60"/>
      <c r="G952" s="60"/>
      <c r="H952" s="60"/>
      <c r="I952" s="60"/>
      <c r="J952" s="60"/>
    </row>
    <row r="953" spans="1:10" x14ac:dyDescent="0.2">
      <c r="A953" s="48"/>
      <c r="B953" s="6" t="s">
        <v>183</v>
      </c>
      <c r="C953" s="48"/>
      <c r="D953" s="48"/>
      <c r="E953" s="48"/>
      <c r="F953" s="60"/>
      <c r="G953" s="60"/>
      <c r="H953" s="60"/>
      <c r="I953" s="60"/>
      <c r="J953" s="60"/>
    </row>
    <row r="954" spans="1:10" x14ac:dyDescent="0.2">
      <c r="A954" s="48"/>
      <c r="B954" s="6" t="s">
        <v>184</v>
      </c>
      <c r="C954" s="48"/>
      <c r="D954" s="48"/>
      <c r="E954" s="48"/>
      <c r="F954" s="60"/>
      <c r="G954" s="60"/>
      <c r="H954" s="60"/>
      <c r="I954" s="60"/>
      <c r="J954" s="60"/>
    </row>
    <row r="955" spans="1:10" x14ac:dyDescent="0.2">
      <c r="A955" s="48"/>
      <c r="B955" s="6" t="s">
        <v>185</v>
      </c>
      <c r="C955" s="48"/>
      <c r="D955" s="48"/>
      <c r="E955" s="48"/>
      <c r="F955" s="60"/>
      <c r="G955" s="60"/>
      <c r="H955" s="60"/>
      <c r="I955" s="60"/>
      <c r="J955" s="60"/>
    </row>
    <row r="956" spans="1:10" x14ac:dyDescent="0.2">
      <c r="A956" s="48"/>
      <c r="B956" s="6" t="s">
        <v>186</v>
      </c>
      <c r="C956" s="48"/>
      <c r="D956" s="48"/>
      <c r="E956" s="48"/>
      <c r="F956" s="60"/>
      <c r="G956" s="60"/>
      <c r="H956" s="60"/>
      <c r="I956" s="60"/>
      <c r="J956" s="60"/>
    </row>
    <row r="957" spans="1:10" x14ac:dyDescent="0.2">
      <c r="A957" s="48"/>
      <c r="B957" s="6" t="s">
        <v>187</v>
      </c>
      <c r="C957" s="48"/>
      <c r="D957" s="48"/>
      <c r="E957" s="48"/>
      <c r="F957" s="60"/>
      <c r="G957" s="60"/>
      <c r="H957" s="60"/>
      <c r="I957" s="60"/>
      <c r="J957" s="60"/>
    </row>
    <row r="958" spans="1:10" x14ac:dyDescent="0.2">
      <c r="A958" s="48"/>
      <c r="B958" s="6" t="s">
        <v>188</v>
      </c>
      <c r="C958" s="48"/>
      <c r="D958" s="48"/>
      <c r="E958" s="48"/>
      <c r="F958" s="60"/>
      <c r="G958" s="60"/>
      <c r="H958" s="60"/>
      <c r="I958" s="60"/>
      <c r="J958" s="60"/>
    </row>
    <row r="959" spans="1:10" x14ac:dyDescent="0.2">
      <c r="A959" s="47"/>
      <c r="B959" s="5" t="s">
        <v>189</v>
      </c>
      <c r="C959" s="47"/>
      <c r="D959" s="47"/>
      <c r="E959" s="47"/>
      <c r="F959" s="59"/>
      <c r="G959" s="59"/>
      <c r="H959" s="59"/>
      <c r="I959" s="59"/>
      <c r="J959" s="59"/>
    </row>
    <row r="960" spans="1:10" ht="28.5" x14ac:dyDescent="0.2">
      <c r="A960" s="3" t="s">
        <v>1567</v>
      </c>
      <c r="B960" s="3" t="s">
        <v>174</v>
      </c>
      <c r="C960" s="3" t="s">
        <v>8</v>
      </c>
      <c r="D960" s="3" t="s">
        <v>1568</v>
      </c>
      <c r="E960" s="3" t="s">
        <v>1568</v>
      </c>
      <c r="F960" s="1" t="s">
        <v>175</v>
      </c>
      <c r="G960" s="1">
        <v>0</v>
      </c>
      <c r="H960" s="1">
        <v>1000</v>
      </c>
      <c r="I960" s="1">
        <v>1</v>
      </c>
      <c r="J960" s="1">
        <v>0</v>
      </c>
    </row>
    <row r="961" spans="1:10" x14ac:dyDescent="0.2">
      <c r="A961" s="46" t="s">
        <v>1569</v>
      </c>
      <c r="B961" s="4" t="s">
        <v>177</v>
      </c>
      <c r="C961" s="46" t="s">
        <v>8</v>
      </c>
      <c r="D961" s="46" t="s">
        <v>1570</v>
      </c>
      <c r="E961" s="46" t="s">
        <v>1570</v>
      </c>
      <c r="F961" s="58" t="s">
        <v>179</v>
      </c>
      <c r="G961" s="58">
        <v>0</v>
      </c>
      <c r="H961" s="58">
        <v>1000</v>
      </c>
      <c r="I961" s="58">
        <v>1</v>
      </c>
      <c r="J961" s="58">
        <v>0</v>
      </c>
    </row>
    <row r="962" spans="1:10" x14ac:dyDescent="0.2">
      <c r="A962" s="47"/>
      <c r="B962" s="5" t="s">
        <v>178</v>
      </c>
      <c r="C962" s="47"/>
      <c r="D962" s="47"/>
      <c r="E962" s="47"/>
      <c r="F962" s="59"/>
      <c r="G962" s="59"/>
      <c r="H962" s="59"/>
      <c r="I962" s="59"/>
      <c r="J962" s="59"/>
    </row>
    <row r="963" spans="1:10" ht="28.5" x14ac:dyDescent="0.2">
      <c r="A963" s="3" t="s">
        <v>1571</v>
      </c>
      <c r="B963" s="3" t="s">
        <v>1572</v>
      </c>
      <c r="C963" s="3" t="s">
        <v>8</v>
      </c>
      <c r="D963" s="3" t="s">
        <v>1573</v>
      </c>
      <c r="E963" s="3" t="s">
        <v>1573</v>
      </c>
      <c r="F963" s="1" t="s">
        <v>379</v>
      </c>
      <c r="G963" s="1">
        <v>0</v>
      </c>
      <c r="H963" s="1">
        <v>1</v>
      </c>
      <c r="I963" s="1">
        <v>1</v>
      </c>
      <c r="J963" s="1">
        <v>0</v>
      </c>
    </row>
    <row r="964" spans="1:10" ht="42.75" x14ac:dyDescent="0.2">
      <c r="A964" s="3" t="s">
        <v>1574</v>
      </c>
      <c r="B964" s="3" t="s">
        <v>386</v>
      </c>
      <c r="C964" s="3" t="s">
        <v>8</v>
      </c>
      <c r="D964" s="3" t="s">
        <v>1575</v>
      </c>
      <c r="E964" s="3" t="s">
        <v>1575</v>
      </c>
      <c r="F964" s="1" t="s">
        <v>387</v>
      </c>
      <c r="G964" s="1">
        <v>0</v>
      </c>
      <c r="H964" s="1">
        <v>1</v>
      </c>
      <c r="I964" s="1">
        <v>1</v>
      </c>
      <c r="J964" s="1">
        <v>0</v>
      </c>
    </row>
    <row r="965" spans="1:10" ht="71.25" x14ac:dyDescent="0.2">
      <c r="A965" s="3" t="s">
        <v>1576</v>
      </c>
      <c r="B965" s="3" t="s">
        <v>553</v>
      </c>
      <c r="C965" s="3" t="s">
        <v>8</v>
      </c>
      <c r="D965" s="3" t="s">
        <v>1577</v>
      </c>
      <c r="E965" s="3" t="s">
        <v>1577</v>
      </c>
      <c r="F965" s="1" t="s">
        <v>554</v>
      </c>
      <c r="G965" s="1">
        <v>0</v>
      </c>
      <c r="H965" s="1">
        <v>1</v>
      </c>
      <c r="I965" s="1">
        <v>1</v>
      </c>
      <c r="J965" s="1">
        <v>0</v>
      </c>
    </row>
    <row r="966" spans="1:10" x14ac:dyDescent="0.2">
      <c r="A966" s="46" t="s">
        <v>1578</v>
      </c>
      <c r="B966" s="4" t="s">
        <v>207</v>
      </c>
      <c r="C966" s="46" t="s">
        <v>8</v>
      </c>
      <c r="D966" s="46" t="s">
        <v>1579</v>
      </c>
      <c r="E966" s="46" t="s">
        <v>1579</v>
      </c>
      <c r="F966" s="58" t="s">
        <v>209</v>
      </c>
      <c r="G966" s="58">
        <v>0</v>
      </c>
      <c r="H966" s="58">
        <v>1E-3</v>
      </c>
      <c r="I966" s="58">
        <v>1</v>
      </c>
      <c r="J966" s="58">
        <v>0</v>
      </c>
    </row>
    <row r="967" spans="1:10" x14ac:dyDescent="0.2">
      <c r="A967" s="47"/>
      <c r="B967" s="5" t="s">
        <v>208</v>
      </c>
      <c r="C967" s="47"/>
      <c r="D967" s="47"/>
      <c r="E967" s="47"/>
      <c r="F967" s="59"/>
      <c r="G967" s="59"/>
      <c r="H967" s="59"/>
      <c r="I967" s="59"/>
      <c r="J967" s="59"/>
    </row>
    <row r="968" spans="1:10" x14ac:dyDescent="0.2">
      <c r="A968" s="46" t="s">
        <v>1580</v>
      </c>
      <c r="B968" s="4" t="s">
        <v>43</v>
      </c>
      <c r="C968" s="46" t="s">
        <v>8</v>
      </c>
      <c r="D968" s="46" t="s">
        <v>1581</v>
      </c>
      <c r="E968" s="46" t="s">
        <v>1581</v>
      </c>
      <c r="F968" s="58" t="s">
        <v>46</v>
      </c>
      <c r="G968" s="58">
        <v>0</v>
      </c>
      <c r="H968" s="58">
        <v>1000</v>
      </c>
      <c r="I968" s="58">
        <v>1</v>
      </c>
      <c r="J968" s="58">
        <v>0</v>
      </c>
    </row>
    <row r="969" spans="1:10" x14ac:dyDescent="0.2">
      <c r="A969" s="48"/>
      <c r="B969" s="6" t="s">
        <v>44</v>
      </c>
      <c r="C969" s="48"/>
      <c r="D969" s="48"/>
      <c r="E969" s="48"/>
      <c r="F969" s="60"/>
      <c r="G969" s="60"/>
      <c r="H969" s="60"/>
      <c r="I969" s="60"/>
      <c r="J969" s="60"/>
    </row>
    <row r="970" spans="1:10" x14ac:dyDescent="0.2">
      <c r="A970" s="47"/>
      <c r="B970" s="5" t="s">
        <v>45</v>
      </c>
      <c r="C970" s="47"/>
      <c r="D970" s="47"/>
      <c r="E970" s="47"/>
      <c r="F970" s="59"/>
      <c r="G970" s="59"/>
      <c r="H970" s="59"/>
      <c r="I970" s="59"/>
      <c r="J970" s="59"/>
    </row>
    <row r="971" spans="1:10" ht="42.75" x14ac:dyDescent="0.2">
      <c r="A971" s="3" t="s">
        <v>1582</v>
      </c>
      <c r="B971" s="3" t="s">
        <v>343</v>
      </c>
      <c r="C971" s="3" t="s">
        <v>8</v>
      </c>
      <c r="D971" s="3" t="s">
        <v>1583</v>
      </c>
      <c r="E971" s="3"/>
      <c r="F971" s="1" t="s">
        <v>344</v>
      </c>
      <c r="G971" s="1">
        <v>0</v>
      </c>
      <c r="H971" s="1">
        <v>158.9873</v>
      </c>
      <c r="I971" s="1">
        <v>86400</v>
      </c>
      <c r="J971" s="1">
        <v>0</v>
      </c>
    </row>
    <row r="972" spans="1:10" x14ac:dyDescent="0.2">
      <c r="A972" s="3" t="s">
        <v>1584</v>
      </c>
      <c r="B972" s="3" t="s">
        <v>87</v>
      </c>
      <c r="C972" s="3" t="s">
        <v>8</v>
      </c>
      <c r="D972" s="3" t="s">
        <v>1585</v>
      </c>
      <c r="E972" s="3"/>
      <c r="F972" s="1" t="s">
        <v>86</v>
      </c>
      <c r="G972" s="1">
        <v>0</v>
      </c>
      <c r="H972" s="1">
        <v>1024</v>
      </c>
      <c r="I972" s="1">
        <v>1</v>
      </c>
      <c r="J972" s="1">
        <v>0</v>
      </c>
    </row>
    <row r="973" spans="1:10" x14ac:dyDescent="0.2">
      <c r="A973" s="46" t="s">
        <v>1586</v>
      </c>
      <c r="B973" s="4" t="s">
        <v>90</v>
      </c>
      <c r="C973" s="46" t="s">
        <v>8</v>
      </c>
      <c r="D973" s="46" t="s">
        <v>1587</v>
      </c>
      <c r="E973" s="46" t="s">
        <v>1587</v>
      </c>
      <c r="F973" s="58" t="s">
        <v>93</v>
      </c>
      <c r="G973" s="58">
        <v>0</v>
      </c>
      <c r="H973" s="58">
        <v>1000</v>
      </c>
      <c r="I973" s="58">
        <v>1</v>
      </c>
      <c r="J973" s="58">
        <v>0</v>
      </c>
    </row>
    <row r="974" spans="1:10" x14ac:dyDescent="0.2">
      <c r="A974" s="48"/>
      <c r="B974" s="6" t="s">
        <v>91</v>
      </c>
      <c r="C974" s="48"/>
      <c r="D974" s="48"/>
      <c r="E974" s="48"/>
      <c r="F974" s="60"/>
      <c r="G974" s="60"/>
      <c r="H974" s="60"/>
      <c r="I974" s="60"/>
      <c r="J974" s="60"/>
    </row>
    <row r="975" spans="1:10" x14ac:dyDescent="0.2">
      <c r="A975" s="47"/>
      <c r="B975" s="5" t="s">
        <v>92</v>
      </c>
      <c r="C975" s="47"/>
      <c r="D975" s="47"/>
      <c r="E975" s="47"/>
      <c r="F975" s="59"/>
      <c r="G975" s="59"/>
      <c r="H975" s="59"/>
      <c r="I975" s="59"/>
      <c r="J975" s="59"/>
    </row>
    <row r="976" spans="1:10" x14ac:dyDescent="0.2">
      <c r="A976" s="46" t="s">
        <v>1588</v>
      </c>
      <c r="B976" s="4" t="s">
        <v>166</v>
      </c>
      <c r="C976" s="46" t="s">
        <v>8</v>
      </c>
      <c r="D976" s="46" t="s">
        <v>1589</v>
      </c>
      <c r="E976" s="46" t="s">
        <v>1589</v>
      </c>
      <c r="F976" s="58" t="s">
        <v>168</v>
      </c>
      <c r="G976" s="58">
        <v>0</v>
      </c>
      <c r="H976" s="58">
        <v>4184</v>
      </c>
      <c r="I976" s="58">
        <v>1</v>
      </c>
      <c r="J976" s="58">
        <v>0</v>
      </c>
    </row>
    <row r="977" spans="1:10" x14ac:dyDescent="0.2">
      <c r="A977" s="47"/>
      <c r="B977" s="5" t="s">
        <v>167</v>
      </c>
      <c r="C977" s="47"/>
      <c r="D977" s="47"/>
      <c r="E977" s="47"/>
      <c r="F977" s="59"/>
      <c r="G977" s="59"/>
      <c r="H977" s="59"/>
      <c r="I977" s="59"/>
      <c r="J977" s="59"/>
    </row>
    <row r="978" spans="1:10" ht="71.25" x14ac:dyDescent="0.2">
      <c r="A978" s="3" t="s">
        <v>1590</v>
      </c>
      <c r="B978" s="3" t="s">
        <v>1591</v>
      </c>
      <c r="C978" s="3" t="s">
        <v>8</v>
      </c>
      <c r="D978" s="3" t="s">
        <v>1592</v>
      </c>
      <c r="E978" s="3" t="s">
        <v>1592</v>
      </c>
      <c r="F978" s="1" t="s">
        <v>379</v>
      </c>
      <c r="G978" s="1">
        <v>0</v>
      </c>
      <c r="H978" s="1">
        <v>4184</v>
      </c>
      <c r="I978" s="1">
        <v>1E-4</v>
      </c>
      <c r="J978" s="1">
        <v>0</v>
      </c>
    </row>
    <row r="979" spans="1:10" x14ac:dyDescent="0.2">
      <c r="A979" s="46" t="s">
        <v>1593</v>
      </c>
      <c r="B979" s="4" t="s">
        <v>181</v>
      </c>
      <c r="C979" s="46" t="s">
        <v>8</v>
      </c>
      <c r="D979" s="46" t="s">
        <v>1594</v>
      </c>
      <c r="E979" s="46" t="s">
        <v>1594</v>
      </c>
      <c r="F979" s="58" t="s">
        <v>190</v>
      </c>
      <c r="G979" s="58">
        <v>0</v>
      </c>
      <c r="H979" s="58">
        <v>4184</v>
      </c>
      <c r="I979" s="58">
        <v>9.9999999999999995E-7</v>
      </c>
      <c r="J979" s="58">
        <v>0</v>
      </c>
    </row>
    <row r="980" spans="1:10" x14ac:dyDescent="0.2">
      <c r="A980" s="48"/>
      <c r="B980" s="6" t="s">
        <v>182</v>
      </c>
      <c r="C980" s="48"/>
      <c r="D980" s="48"/>
      <c r="E980" s="48"/>
      <c r="F980" s="60"/>
      <c r="G980" s="60"/>
      <c r="H980" s="60"/>
      <c r="I980" s="60"/>
      <c r="J980" s="60"/>
    </row>
    <row r="981" spans="1:10" x14ac:dyDescent="0.2">
      <c r="A981" s="48"/>
      <c r="B981" s="6" t="s">
        <v>183</v>
      </c>
      <c r="C981" s="48"/>
      <c r="D981" s="48"/>
      <c r="E981" s="48"/>
      <c r="F981" s="60"/>
      <c r="G981" s="60"/>
      <c r="H981" s="60"/>
      <c r="I981" s="60"/>
      <c r="J981" s="60"/>
    </row>
    <row r="982" spans="1:10" x14ac:dyDescent="0.2">
      <c r="A982" s="48"/>
      <c r="B982" s="6" t="s">
        <v>184</v>
      </c>
      <c r="C982" s="48"/>
      <c r="D982" s="48"/>
      <c r="E982" s="48"/>
      <c r="F982" s="60"/>
      <c r="G982" s="60"/>
      <c r="H982" s="60"/>
      <c r="I982" s="60"/>
      <c r="J982" s="60"/>
    </row>
    <row r="983" spans="1:10" x14ac:dyDescent="0.2">
      <c r="A983" s="48"/>
      <c r="B983" s="6" t="s">
        <v>185</v>
      </c>
      <c r="C983" s="48"/>
      <c r="D983" s="48"/>
      <c r="E983" s="48"/>
      <c r="F983" s="60"/>
      <c r="G983" s="60"/>
      <c r="H983" s="60"/>
      <c r="I983" s="60"/>
      <c r="J983" s="60"/>
    </row>
    <row r="984" spans="1:10" x14ac:dyDescent="0.2">
      <c r="A984" s="48"/>
      <c r="B984" s="6" t="s">
        <v>186</v>
      </c>
      <c r="C984" s="48"/>
      <c r="D984" s="48"/>
      <c r="E984" s="48"/>
      <c r="F984" s="60"/>
      <c r="G984" s="60"/>
      <c r="H984" s="60"/>
      <c r="I984" s="60"/>
      <c r="J984" s="60"/>
    </row>
    <row r="985" spans="1:10" x14ac:dyDescent="0.2">
      <c r="A985" s="48"/>
      <c r="B985" s="6" t="s">
        <v>187</v>
      </c>
      <c r="C985" s="48"/>
      <c r="D985" s="48"/>
      <c r="E985" s="48"/>
      <c r="F985" s="60"/>
      <c r="G985" s="60"/>
      <c r="H985" s="60"/>
      <c r="I985" s="60"/>
      <c r="J985" s="60"/>
    </row>
    <row r="986" spans="1:10" x14ac:dyDescent="0.2">
      <c r="A986" s="48"/>
      <c r="B986" s="6" t="s">
        <v>188</v>
      </c>
      <c r="C986" s="48"/>
      <c r="D986" s="48"/>
      <c r="E986" s="48"/>
      <c r="F986" s="60"/>
      <c r="G986" s="60"/>
      <c r="H986" s="60"/>
      <c r="I986" s="60"/>
      <c r="J986" s="60"/>
    </row>
    <row r="987" spans="1:10" x14ac:dyDescent="0.2">
      <c r="A987" s="47"/>
      <c r="B987" s="5" t="s">
        <v>189</v>
      </c>
      <c r="C987" s="47"/>
      <c r="D987" s="47"/>
      <c r="E987" s="47"/>
      <c r="F987" s="59"/>
      <c r="G987" s="59"/>
      <c r="H987" s="59"/>
      <c r="I987" s="59"/>
      <c r="J987" s="59"/>
    </row>
    <row r="988" spans="1:10" ht="28.5" x14ac:dyDescent="0.2">
      <c r="A988" s="3" t="s">
        <v>1595</v>
      </c>
      <c r="B988" s="3" t="s">
        <v>174</v>
      </c>
      <c r="C988" s="3" t="s">
        <v>8</v>
      </c>
      <c r="D988" s="3" t="s">
        <v>1596</v>
      </c>
      <c r="E988" s="3" t="s">
        <v>1596</v>
      </c>
      <c r="F988" s="1" t="s">
        <v>175</v>
      </c>
      <c r="G988" s="1">
        <v>0</v>
      </c>
      <c r="H988" s="1">
        <v>4184</v>
      </c>
      <c r="I988" s="1">
        <v>1E-3</v>
      </c>
      <c r="J988" s="1">
        <v>0</v>
      </c>
    </row>
    <row r="989" spans="1:10" ht="28.5" x14ac:dyDescent="0.2">
      <c r="A989" s="3" t="s">
        <v>1597</v>
      </c>
      <c r="B989" s="3" t="s">
        <v>531</v>
      </c>
      <c r="C989" s="3" t="s">
        <v>8</v>
      </c>
      <c r="D989" s="3" t="s">
        <v>1598</v>
      </c>
      <c r="E989" s="3" t="s">
        <v>1598</v>
      </c>
      <c r="F989" s="1" t="s">
        <v>533</v>
      </c>
      <c r="G989" s="1">
        <v>0</v>
      </c>
      <c r="H989" s="1">
        <v>1.1622220000000001</v>
      </c>
      <c r="I989" s="1">
        <v>1</v>
      </c>
      <c r="J989" s="1">
        <v>0</v>
      </c>
    </row>
    <row r="990" spans="1:10" ht="71.25" x14ac:dyDescent="0.2">
      <c r="A990" s="3" t="s">
        <v>1599</v>
      </c>
      <c r="B990" s="3" t="s">
        <v>540</v>
      </c>
      <c r="C990" s="3" t="s">
        <v>8</v>
      </c>
      <c r="D990" s="3" t="s">
        <v>1600</v>
      </c>
      <c r="E990" s="3" t="s">
        <v>1600</v>
      </c>
      <c r="F990" s="1" t="s">
        <v>541</v>
      </c>
      <c r="G990" s="1">
        <v>0</v>
      </c>
      <c r="H990" s="1">
        <v>1.1622220000000001</v>
      </c>
      <c r="I990" s="1">
        <v>1</v>
      </c>
      <c r="J990" s="1">
        <v>0</v>
      </c>
    </row>
    <row r="991" spans="1:10" ht="71.25" x14ac:dyDescent="0.2">
      <c r="A991" s="3" t="s">
        <v>1601</v>
      </c>
      <c r="B991" s="3" t="s">
        <v>553</v>
      </c>
      <c r="C991" s="3" t="s">
        <v>8</v>
      </c>
      <c r="D991" s="3" t="s">
        <v>1602</v>
      </c>
      <c r="E991" s="3" t="s">
        <v>1602</v>
      </c>
      <c r="F991" s="1" t="s">
        <v>554</v>
      </c>
      <c r="G991" s="1">
        <v>0</v>
      </c>
      <c r="H991" s="1">
        <v>1.1622220000000001</v>
      </c>
      <c r="I991" s="1">
        <v>1</v>
      </c>
      <c r="J991" s="1">
        <v>0</v>
      </c>
    </row>
    <row r="992" spans="1:10" ht="42.75" x14ac:dyDescent="0.2">
      <c r="A992" s="3" t="s">
        <v>1603</v>
      </c>
      <c r="B992" s="3" t="s">
        <v>174</v>
      </c>
      <c r="C992" s="3" t="s">
        <v>8</v>
      </c>
      <c r="D992" s="3" t="s">
        <v>1604</v>
      </c>
      <c r="E992" s="3" t="s">
        <v>1604</v>
      </c>
      <c r="F992" s="1" t="s">
        <v>175</v>
      </c>
      <c r="G992" s="1">
        <v>0</v>
      </c>
      <c r="H992" s="1">
        <v>4184</v>
      </c>
      <c r="I992" s="1">
        <v>1</v>
      </c>
      <c r="J992" s="1">
        <v>0</v>
      </c>
    </row>
    <row r="993" spans="1:10" x14ac:dyDescent="0.2">
      <c r="A993" s="46" t="s">
        <v>1605</v>
      </c>
      <c r="B993" s="4" t="s">
        <v>177</v>
      </c>
      <c r="C993" s="46" t="s">
        <v>8</v>
      </c>
      <c r="D993" s="46" t="s">
        <v>1606</v>
      </c>
      <c r="E993" s="46" t="s">
        <v>1606</v>
      </c>
      <c r="F993" s="58" t="s">
        <v>179</v>
      </c>
      <c r="G993" s="58">
        <v>0</v>
      </c>
      <c r="H993" s="58">
        <v>4184</v>
      </c>
      <c r="I993" s="58">
        <v>1</v>
      </c>
      <c r="J993" s="58">
        <v>0</v>
      </c>
    </row>
    <row r="994" spans="1:10" x14ac:dyDescent="0.2">
      <c r="A994" s="47"/>
      <c r="B994" s="5" t="s">
        <v>178</v>
      </c>
      <c r="C994" s="47"/>
      <c r="D994" s="47"/>
      <c r="E994" s="47"/>
      <c r="F994" s="59"/>
      <c r="G994" s="59"/>
      <c r="H994" s="59"/>
      <c r="I994" s="59"/>
      <c r="J994" s="59"/>
    </row>
    <row r="995" spans="1:10" x14ac:dyDescent="0.2">
      <c r="A995" s="46" t="s">
        <v>1607</v>
      </c>
      <c r="B995" s="4" t="s">
        <v>181</v>
      </c>
      <c r="C995" s="46" t="s">
        <v>8</v>
      </c>
      <c r="D995" s="46" t="s">
        <v>1608</v>
      </c>
      <c r="E995" s="46" t="s">
        <v>1608</v>
      </c>
      <c r="F995" s="58" t="s">
        <v>190</v>
      </c>
      <c r="G995" s="58">
        <v>0</v>
      </c>
      <c r="H995" s="58">
        <v>4184</v>
      </c>
      <c r="I995" s="58">
        <v>1</v>
      </c>
      <c r="J995" s="58">
        <v>0</v>
      </c>
    </row>
    <row r="996" spans="1:10" x14ac:dyDescent="0.2">
      <c r="A996" s="48"/>
      <c r="B996" s="6" t="s">
        <v>182</v>
      </c>
      <c r="C996" s="48"/>
      <c r="D996" s="48"/>
      <c r="E996" s="48"/>
      <c r="F996" s="60"/>
      <c r="G996" s="60"/>
      <c r="H996" s="60"/>
      <c r="I996" s="60"/>
      <c r="J996" s="60"/>
    </row>
    <row r="997" spans="1:10" x14ac:dyDescent="0.2">
      <c r="A997" s="48"/>
      <c r="B997" s="6" t="s">
        <v>183</v>
      </c>
      <c r="C997" s="48"/>
      <c r="D997" s="48"/>
      <c r="E997" s="48"/>
      <c r="F997" s="60"/>
      <c r="G997" s="60"/>
      <c r="H997" s="60"/>
      <c r="I997" s="60"/>
      <c r="J997" s="60"/>
    </row>
    <row r="998" spans="1:10" x14ac:dyDescent="0.2">
      <c r="A998" s="48"/>
      <c r="B998" s="6" t="s">
        <v>184</v>
      </c>
      <c r="C998" s="48"/>
      <c r="D998" s="48"/>
      <c r="E998" s="48"/>
      <c r="F998" s="60"/>
      <c r="G998" s="60"/>
      <c r="H998" s="60"/>
      <c r="I998" s="60"/>
      <c r="J998" s="60"/>
    </row>
    <row r="999" spans="1:10" x14ac:dyDescent="0.2">
      <c r="A999" s="48"/>
      <c r="B999" s="6" t="s">
        <v>185</v>
      </c>
      <c r="C999" s="48"/>
      <c r="D999" s="48"/>
      <c r="E999" s="48"/>
      <c r="F999" s="60"/>
      <c r="G999" s="60"/>
      <c r="H999" s="60"/>
      <c r="I999" s="60"/>
      <c r="J999" s="60"/>
    </row>
    <row r="1000" spans="1:10" x14ac:dyDescent="0.2">
      <c r="A1000" s="48"/>
      <c r="B1000" s="6" t="s">
        <v>186</v>
      </c>
      <c r="C1000" s="48"/>
      <c r="D1000" s="48"/>
      <c r="E1000" s="48"/>
      <c r="F1000" s="60"/>
      <c r="G1000" s="60"/>
      <c r="H1000" s="60"/>
      <c r="I1000" s="60"/>
      <c r="J1000" s="60"/>
    </row>
    <row r="1001" spans="1:10" x14ac:dyDescent="0.2">
      <c r="A1001" s="48"/>
      <c r="B1001" s="6" t="s">
        <v>187</v>
      </c>
      <c r="C1001" s="48"/>
      <c r="D1001" s="48"/>
      <c r="E1001" s="48"/>
      <c r="F1001" s="60"/>
      <c r="G1001" s="60"/>
      <c r="H1001" s="60"/>
      <c r="I1001" s="60"/>
      <c r="J1001" s="60"/>
    </row>
    <row r="1002" spans="1:10" x14ac:dyDescent="0.2">
      <c r="A1002" s="48"/>
      <c r="B1002" s="6" t="s">
        <v>188</v>
      </c>
      <c r="C1002" s="48"/>
      <c r="D1002" s="48"/>
      <c r="E1002" s="48"/>
      <c r="F1002" s="60"/>
      <c r="G1002" s="60"/>
      <c r="H1002" s="60"/>
      <c r="I1002" s="60"/>
      <c r="J1002" s="60"/>
    </row>
    <row r="1003" spans="1:10" x14ac:dyDescent="0.2">
      <c r="A1003" s="47"/>
      <c r="B1003" s="5" t="s">
        <v>189</v>
      </c>
      <c r="C1003" s="47"/>
      <c r="D1003" s="47"/>
      <c r="E1003" s="47"/>
      <c r="F1003" s="59"/>
      <c r="G1003" s="59"/>
      <c r="H1003" s="59"/>
      <c r="I1003" s="59"/>
      <c r="J1003" s="59"/>
    </row>
    <row r="1004" spans="1:10" x14ac:dyDescent="0.2">
      <c r="A1004" s="46" t="s">
        <v>1609</v>
      </c>
      <c r="B1004" s="4" t="s">
        <v>192</v>
      </c>
      <c r="C1004" s="46" t="s">
        <v>8</v>
      </c>
      <c r="D1004" s="46" t="s">
        <v>1610</v>
      </c>
      <c r="E1004" s="46"/>
      <c r="F1004" s="58" t="s">
        <v>195</v>
      </c>
      <c r="G1004" s="58">
        <v>0</v>
      </c>
      <c r="H1004" s="58">
        <v>4184</v>
      </c>
      <c r="I1004" s="58">
        <v>1</v>
      </c>
      <c r="J1004" s="58">
        <v>0</v>
      </c>
    </row>
    <row r="1005" spans="1:10" x14ac:dyDescent="0.2">
      <c r="A1005" s="48"/>
      <c r="B1005" s="6" t="s">
        <v>193</v>
      </c>
      <c r="C1005" s="48"/>
      <c r="D1005" s="48"/>
      <c r="E1005" s="48"/>
      <c r="F1005" s="60"/>
      <c r="G1005" s="60"/>
      <c r="H1005" s="60"/>
      <c r="I1005" s="60"/>
      <c r="J1005" s="60"/>
    </row>
    <row r="1006" spans="1:10" x14ac:dyDescent="0.2">
      <c r="A1006" s="47"/>
      <c r="B1006" s="5" t="s">
        <v>194</v>
      </c>
      <c r="C1006" s="47"/>
      <c r="D1006" s="47"/>
      <c r="E1006" s="47"/>
      <c r="F1006" s="59"/>
      <c r="G1006" s="59"/>
      <c r="H1006" s="59"/>
      <c r="I1006" s="59"/>
      <c r="J1006" s="59"/>
    </row>
    <row r="1007" spans="1:10" ht="28.5" x14ac:dyDescent="0.2">
      <c r="A1007" s="46" t="s">
        <v>1609</v>
      </c>
      <c r="B1007" s="4" t="s">
        <v>192</v>
      </c>
      <c r="C1007" s="46" t="s">
        <v>8</v>
      </c>
      <c r="D1007" s="4" t="s">
        <v>1611</v>
      </c>
      <c r="E1007" s="46"/>
      <c r="F1007" s="58" t="s">
        <v>195</v>
      </c>
      <c r="G1007" s="58">
        <v>0</v>
      </c>
      <c r="H1007" s="58">
        <v>4184000</v>
      </c>
      <c r="I1007" s="58">
        <v>1</v>
      </c>
      <c r="J1007" s="58">
        <v>0</v>
      </c>
    </row>
    <row r="1008" spans="1:10" ht="28.5" x14ac:dyDescent="0.2">
      <c r="A1008" s="48"/>
      <c r="B1008" s="6" t="s">
        <v>193</v>
      </c>
      <c r="C1008" s="48"/>
      <c r="D1008" s="6" t="s">
        <v>763</v>
      </c>
      <c r="E1008" s="48"/>
      <c r="F1008" s="60"/>
      <c r="G1008" s="60"/>
      <c r="H1008" s="60"/>
      <c r="I1008" s="60"/>
      <c r="J1008" s="60"/>
    </row>
    <row r="1009" spans="1:10" x14ac:dyDescent="0.2">
      <c r="A1009" s="47"/>
      <c r="B1009" s="5" t="s">
        <v>194</v>
      </c>
      <c r="C1009" s="47"/>
      <c r="D1009" s="5"/>
      <c r="E1009" s="47"/>
      <c r="F1009" s="59"/>
      <c r="G1009" s="59"/>
      <c r="H1009" s="59"/>
      <c r="I1009" s="59"/>
      <c r="J1009" s="59"/>
    </row>
    <row r="1010" spans="1:10" ht="28.5" x14ac:dyDescent="0.2">
      <c r="A1010" s="3" t="s">
        <v>1612</v>
      </c>
      <c r="B1010" s="3" t="s">
        <v>108</v>
      </c>
      <c r="C1010" s="3" t="s">
        <v>8</v>
      </c>
      <c r="D1010" s="3" t="s">
        <v>1613</v>
      </c>
      <c r="E1010" s="3" t="s">
        <v>1613</v>
      </c>
      <c r="F1010" s="1" t="s">
        <v>109</v>
      </c>
      <c r="G1010" s="1">
        <v>0</v>
      </c>
      <c r="H1010" s="1">
        <v>1000</v>
      </c>
      <c r="I1010" s="1">
        <v>1</v>
      </c>
      <c r="J1010" s="1">
        <v>0</v>
      </c>
    </row>
    <row r="1011" spans="1:10" ht="28.5" x14ac:dyDescent="0.2">
      <c r="A1011" s="3" t="s">
        <v>1614</v>
      </c>
      <c r="B1011" s="3" t="s">
        <v>378</v>
      </c>
      <c r="C1011" s="3" t="s">
        <v>8</v>
      </c>
      <c r="D1011" s="3" t="s">
        <v>1615</v>
      </c>
      <c r="E1011" s="3"/>
      <c r="F1011" s="1" t="s">
        <v>379</v>
      </c>
      <c r="G1011" s="1">
        <v>0</v>
      </c>
      <c r="H1011" s="1">
        <v>0.01</v>
      </c>
      <c r="I1011" s="1">
        <v>1</v>
      </c>
      <c r="J1011" s="1">
        <v>0</v>
      </c>
    </row>
    <row r="1012" spans="1:10" ht="42.75" x14ac:dyDescent="0.2">
      <c r="A1012" s="3" t="s">
        <v>1616</v>
      </c>
      <c r="B1012" s="3" t="s">
        <v>35</v>
      </c>
      <c r="C1012" s="3" t="s">
        <v>8</v>
      </c>
      <c r="D1012" s="3" t="s">
        <v>1617</v>
      </c>
      <c r="E1012" s="3"/>
      <c r="F1012" s="1" t="s">
        <v>38</v>
      </c>
      <c r="G1012" s="1">
        <v>0</v>
      </c>
      <c r="H1012" s="1">
        <v>1000</v>
      </c>
      <c r="I1012" s="1">
        <v>1</v>
      </c>
      <c r="J1012" s="1">
        <v>0</v>
      </c>
    </row>
    <row r="1013" spans="1:10" x14ac:dyDescent="0.2">
      <c r="A1013" s="46" t="s">
        <v>1618</v>
      </c>
      <c r="B1013" s="4" t="s">
        <v>166</v>
      </c>
      <c r="C1013" s="46" t="s">
        <v>8</v>
      </c>
      <c r="D1013" s="46" t="s">
        <v>1619</v>
      </c>
      <c r="E1013" s="46" t="s">
        <v>1619</v>
      </c>
      <c r="F1013" s="58" t="s">
        <v>168</v>
      </c>
      <c r="G1013" s="58">
        <v>0</v>
      </c>
      <c r="H1013" s="61">
        <v>1.6021773299999999E-16</v>
      </c>
      <c r="I1013" s="58">
        <v>1</v>
      </c>
      <c r="J1013" s="58">
        <v>0</v>
      </c>
    </row>
    <row r="1014" spans="1:10" x14ac:dyDescent="0.2">
      <c r="A1014" s="47"/>
      <c r="B1014" s="5" t="s">
        <v>167</v>
      </c>
      <c r="C1014" s="47"/>
      <c r="D1014" s="47"/>
      <c r="E1014" s="47"/>
      <c r="F1014" s="59"/>
      <c r="G1014" s="59"/>
      <c r="H1014" s="62"/>
      <c r="I1014" s="59"/>
      <c r="J1014" s="59"/>
    </row>
    <row r="1015" spans="1:10" x14ac:dyDescent="0.2">
      <c r="A1015" s="46" t="s">
        <v>1620</v>
      </c>
      <c r="B1015" s="4" t="s">
        <v>163</v>
      </c>
      <c r="C1015" s="46" t="s">
        <v>8</v>
      </c>
      <c r="D1015" s="46" t="s">
        <v>1621</v>
      </c>
      <c r="E1015" s="46"/>
      <c r="F1015" s="58" t="s">
        <v>168</v>
      </c>
      <c r="G1015" s="58">
        <v>0</v>
      </c>
      <c r="H1015" s="58">
        <v>1355818</v>
      </c>
      <c r="I1015" s="58">
        <v>1</v>
      </c>
      <c r="J1015" s="58">
        <v>0</v>
      </c>
    </row>
    <row r="1016" spans="1:10" x14ac:dyDescent="0.2">
      <c r="A1016" s="48"/>
      <c r="B1016" s="6" t="s">
        <v>164</v>
      </c>
      <c r="C1016" s="48"/>
      <c r="D1016" s="48"/>
      <c r="E1016" s="48"/>
      <c r="F1016" s="60"/>
      <c r="G1016" s="60"/>
      <c r="H1016" s="60"/>
      <c r="I1016" s="60"/>
      <c r="J1016" s="60"/>
    </row>
    <row r="1017" spans="1:10" x14ac:dyDescent="0.2">
      <c r="A1017" s="47"/>
      <c r="B1017" s="5" t="s">
        <v>165</v>
      </c>
      <c r="C1017" s="47"/>
      <c r="D1017" s="47"/>
      <c r="E1017" s="47"/>
      <c r="F1017" s="59"/>
      <c r="G1017" s="59"/>
      <c r="H1017" s="59"/>
      <c r="I1017" s="59"/>
      <c r="J1017" s="59"/>
    </row>
    <row r="1018" spans="1:10" ht="42.75" x14ac:dyDescent="0.2">
      <c r="A1018" s="3" t="s">
        <v>1622</v>
      </c>
      <c r="B1018" s="3" t="s">
        <v>296</v>
      </c>
      <c r="C1018" s="3" t="s">
        <v>8</v>
      </c>
      <c r="D1018" s="3" t="s">
        <v>1623</v>
      </c>
      <c r="E1018" s="3"/>
      <c r="F1018" s="1" t="s">
        <v>297</v>
      </c>
      <c r="G1018" s="1">
        <v>0</v>
      </c>
      <c r="H1018" s="1">
        <v>304.8</v>
      </c>
      <c r="I1018" s="1">
        <v>3600</v>
      </c>
      <c r="J1018" s="1">
        <v>0</v>
      </c>
    </row>
    <row r="1019" spans="1:10" ht="42.75" x14ac:dyDescent="0.2">
      <c r="A1019" s="3" t="s">
        <v>1624</v>
      </c>
      <c r="B1019" s="3" t="s">
        <v>296</v>
      </c>
      <c r="C1019" s="3" t="s">
        <v>8</v>
      </c>
      <c r="D1019" s="3" t="s">
        <v>1625</v>
      </c>
      <c r="E1019" s="3"/>
      <c r="F1019" s="1" t="s">
        <v>297</v>
      </c>
      <c r="G1019" s="1">
        <v>0</v>
      </c>
      <c r="H1019" s="1">
        <v>304.8</v>
      </c>
      <c r="I1019" s="1">
        <v>1</v>
      </c>
      <c r="J1019" s="1">
        <v>0</v>
      </c>
    </row>
    <row r="1020" spans="1:10" ht="71.25" x14ac:dyDescent="0.2">
      <c r="A1020" s="3" t="s">
        <v>1626</v>
      </c>
      <c r="B1020" s="3" t="s">
        <v>239</v>
      </c>
      <c r="C1020" s="3" t="s">
        <v>8</v>
      </c>
      <c r="D1020" s="3" t="s">
        <v>1627</v>
      </c>
      <c r="E1020" s="3" t="s">
        <v>1627</v>
      </c>
      <c r="F1020" s="1" t="s">
        <v>240</v>
      </c>
      <c r="G1020" s="1">
        <v>0</v>
      </c>
      <c r="H1020" s="1">
        <v>10000</v>
      </c>
      <c r="I1020" s="1">
        <v>1</v>
      </c>
      <c r="J1020" s="1">
        <v>0</v>
      </c>
    </row>
    <row r="1021" spans="1:10" ht="28.5" x14ac:dyDescent="0.2">
      <c r="A1021" s="3" t="s">
        <v>1628</v>
      </c>
      <c r="B1021" s="3" t="s">
        <v>257</v>
      </c>
      <c r="C1021" s="3" t="s">
        <v>8</v>
      </c>
      <c r="D1021" s="3" t="s">
        <v>1629</v>
      </c>
      <c r="E1021" s="3" t="s">
        <v>1629</v>
      </c>
      <c r="F1021" s="1" t="s">
        <v>258</v>
      </c>
      <c r="G1021" s="1">
        <v>0</v>
      </c>
      <c r="H1021" s="1">
        <v>1</v>
      </c>
      <c r="I1021" s="1">
        <v>86400</v>
      </c>
      <c r="J1021" s="1">
        <v>0</v>
      </c>
    </row>
    <row r="1022" spans="1:10" x14ac:dyDescent="0.2">
      <c r="A1022" s="46" t="s">
        <v>1630</v>
      </c>
      <c r="B1022" s="4" t="s">
        <v>249</v>
      </c>
      <c r="C1022" s="46" t="s">
        <v>8</v>
      </c>
      <c r="D1022" s="46" t="s">
        <v>1631</v>
      </c>
      <c r="E1022" s="46" t="s">
        <v>1631</v>
      </c>
      <c r="F1022" s="58" t="s">
        <v>252</v>
      </c>
      <c r="G1022" s="58">
        <v>0</v>
      </c>
      <c r="H1022" s="58">
        <v>1000</v>
      </c>
      <c r="I1022" s="58">
        <v>1</v>
      </c>
      <c r="J1022" s="58">
        <v>0</v>
      </c>
    </row>
    <row r="1023" spans="1:10" x14ac:dyDescent="0.2">
      <c r="A1023" s="48"/>
      <c r="B1023" s="6" t="s">
        <v>250</v>
      </c>
      <c r="C1023" s="48"/>
      <c r="D1023" s="48"/>
      <c r="E1023" s="48"/>
      <c r="F1023" s="60"/>
      <c r="G1023" s="60"/>
      <c r="H1023" s="60"/>
      <c r="I1023" s="60"/>
      <c r="J1023" s="60"/>
    </row>
    <row r="1024" spans="1:10" x14ac:dyDescent="0.2">
      <c r="A1024" s="47"/>
      <c r="B1024" s="5" t="s">
        <v>251</v>
      </c>
      <c r="C1024" s="47"/>
      <c r="D1024" s="47"/>
      <c r="E1024" s="47"/>
      <c r="F1024" s="59"/>
      <c r="G1024" s="59"/>
      <c r="H1024" s="59"/>
      <c r="I1024" s="59"/>
      <c r="J1024" s="59"/>
    </row>
    <row r="1025" spans="1:10" ht="42.75" x14ac:dyDescent="0.2">
      <c r="A1025" s="3" t="s">
        <v>1632</v>
      </c>
      <c r="B1025" s="3" t="s">
        <v>254</v>
      </c>
      <c r="C1025" s="3" t="s">
        <v>8</v>
      </c>
      <c r="D1025" s="3" t="s">
        <v>1633</v>
      </c>
      <c r="E1025" s="3" t="s">
        <v>1633</v>
      </c>
      <c r="F1025" s="1" t="s">
        <v>255</v>
      </c>
      <c r="G1025" s="1">
        <v>0</v>
      </c>
      <c r="H1025" s="1">
        <v>10000</v>
      </c>
      <c r="I1025" s="1">
        <v>1</v>
      </c>
      <c r="J1025" s="1">
        <v>0</v>
      </c>
    </row>
    <row r="1026" spans="1:10" ht="28.5" x14ac:dyDescent="0.2">
      <c r="A1026" s="3" t="s">
        <v>1634</v>
      </c>
      <c r="B1026" s="3" t="s">
        <v>257</v>
      </c>
      <c r="C1026" s="3" t="s">
        <v>8</v>
      </c>
      <c r="D1026" s="3" t="s">
        <v>1635</v>
      </c>
      <c r="E1026" s="3" t="s">
        <v>1635</v>
      </c>
      <c r="F1026" s="1" t="s">
        <v>258</v>
      </c>
      <c r="G1026" s="1">
        <v>0</v>
      </c>
      <c r="H1026" s="1">
        <v>1</v>
      </c>
      <c r="I1026" s="1">
        <v>3600</v>
      </c>
      <c r="J1026" s="1">
        <v>0</v>
      </c>
    </row>
    <row r="1027" spans="1:10" ht="28.5" x14ac:dyDescent="0.2">
      <c r="A1027" s="3" t="s">
        <v>1636</v>
      </c>
      <c r="B1027" s="3" t="s">
        <v>127</v>
      </c>
      <c r="C1027" s="3" t="s">
        <v>8</v>
      </c>
      <c r="D1027" s="3" t="s">
        <v>1637</v>
      </c>
      <c r="E1027" s="3" t="s">
        <v>1637</v>
      </c>
      <c r="F1027" s="1" t="s">
        <v>131</v>
      </c>
      <c r="G1027" s="1">
        <v>0</v>
      </c>
      <c r="H1027" s="1">
        <v>1</v>
      </c>
      <c r="I1027" s="1">
        <v>1</v>
      </c>
      <c r="J1027" s="1">
        <v>0</v>
      </c>
    </row>
    <row r="1028" spans="1:10" ht="42.75" x14ac:dyDescent="0.2">
      <c r="A1028" s="3" t="s">
        <v>1638</v>
      </c>
      <c r="B1028" s="3" t="s">
        <v>234</v>
      </c>
      <c r="C1028" s="3" t="s">
        <v>8</v>
      </c>
      <c r="D1028" s="3" t="s">
        <v>1639</v>
      </c>
      <c r="E1028" s="3" t="s">
        <v>1639</v>
      </c>
      <c r="F1028" s="1" t="s">
        <v>235</v>
      </c>
      <c r="G1028" s="1">
        <v>0</v>
      </c>
      <c r="H1028" s="1">
        <v>1</v>
      </c>
      <c r="I1028" s="1">
        <v>3600000</v>
      </c>
      <c r="J1028" s="1">
        <v>0</v>
      </c>
    </row>
    <row r="1029" spans="1:10" x14ac:dyDescent="0.2">
      <c r="A1029" s="46" t="s">
        <v>1640</v>
      </c>
      <c r="B1029" s="4" t="s">
        <v>249</v>
      </c>
      <c r="C1029" s="46" t="s">
        <v>8</v>
      </c>
      <c r="D1029" s="46" t="s">
        <v>1641</v>
      </c>
      <c r="E1029" s="46" t="s">
        <v>1641</v>
      </c>
      <c r="F1029" s="58" t="s">
        <v>252</v>
      </c>
      <c r="G1029" s="58">
        <v>0</v>
      </c>
      <c r="H1029" s="58">
        <v>1000</v>
      </c>
      <c r="I1029" s="58">
        <v>1</v>
      </c>
      <c r="J1029" s="58">
        <v>0</v>
      </c>
    </row>
    <row r="1030" spans="1:10" x14ac:dyDescent="0.2">
      <c r="A1030" s="48"/>
      <c r="B1030" s="6" t="s">
        <v>250</v>
      </c>
      <c r="C1030" s="48"/>
      <c r="D1030" s="48"/>
      <c r="E1030" s="48"/>
      <c r="F1030" s="60"/>
      <c r="G1030" s="60"/>
      <c r="H1030" s="60"/>
      <c r="I1030" s="60"/>
      <c r="J1030" s="60"/>
    </row>
    <row r="1031" spans="1:10" x14ac:dyDescent="0.2">
      <c r="A1031" s="47"/>
      <c r="B1031" s="5" t="s">
        <v>251</v>
      </c>
      <c r="C1031" s="47"/>
      <c r="D1031" s="47"/>
      <c r="E1031" s="47"/>
      <c r="F1031" s="59"/>
      <c r="G1031" s="59"/>
      <c r="H1031" s="59"/>
      <c r="I1031" s="59"/>
      <c r="J1031" s="59"/>
    </row>
    <row r="1032" spans="1:10" ht="42.75" x14ac:dyDescent="0.2">
      <c r="A1032" s="3" t="s">
        <v>1642</v>
      </c>
      <c r="B1032" s="3" t="s">
        <v>420</v>
      </c>
      <c r="C1032" s="3" t="s">
        <v>8</v>
      </c>
      <c r="D1032" s="3" t="s">
        <v>1643</v>
      </c>
      <c r="E1032" s="3" t="s">
        <v>1643</v>
      </c>
      <c r="F1032" s="1" t="s">
        <v>421</v>
      </c>
      <c r="G1032" s="1">
        <v>0</v>
      </c>
      <c r="H1032" s="1">
        <v>1</v>
      </c>
      <c r="I1032" s="1">
        <v>1</v>
      </c>
      <c r="J1032" s="1">
        <v>0</v>
      </c>
    </row>
    <row r="1033" spans="1:10" ht="28.5" x14ac:dyDescent="0.2">
      <c r="A1033" s="3" t="s">
        <v>1644</v>
      </c>
      <c r="B1033" s="3" t="s">
        <v>257</v>
      </c>
      <c r="C1033" s="3" t="s">
        <v>8</v>
      </c>
      <c r="D1033" s="3" t="s">
        <v>1645</v>
      </c>
      <c r="E1033" s="3" t="s">
        <v>1645</v>
      </c>
      <c r="F1033" s="1" t="s">
        <v>258</v>
      </c>
      <c r="G1033" s="1">
        <v>0</v>
      </c>
      <c r="H1033" s="1">
        <v>1</v>
      </c>
      <c r="I1033" s="1">
        <v>60</v>
      </c>
      <c r="J1033" s="1">
        <v>0</v>
      </c>
    </row>
    <row r="1034" spans="1:10" ht="42.75" x14ac:dyDescent="0.2">
      <c r="A1034" s="3" t="s">
        <v>1646</v>
      </c>
      <c r="B1034" s="3" t="s">
        <v>234</v>
      </c>
      <c r="C1034" s="3" t="s">
        <v>8</v>
      </c>
      <c r="D1034" s="3" t="s">
        <v>1647</v>
      </c>
      <c r="E1034" s="3" t="s">
        <v>1647</v>
      </c>
      <c r="F1034" s="1" t="s">
        <v>235</v>
      </c>
      <c r="G1034" s="1">
        <v>0</v>
      </c>
      <c r="H1034" s="1">
        <v>9.9999999999999995E-7</v>
      </c>
      <c r="I1034" s="1">
        <v>1</v>
      </c>
      <c r="J1034" s="1">
        <v>0</v>
      </c>
    </row>
    <row r="1035" spans="1:10" ht="57" x14ac:dyDescent="0.2">
      <c r="A1035" s="3" t="s">
        <v>1648</v>
      </c>
      <c r="B1035" s="3" t="s">
        <v>127</v>
      </c>
      <c r="C1035" s="3" t="s">
        <v>8</v>
      </c>
      <c r="D1035" s="3" t="s">
        <v>1649</v>
      </c>
      <c r="E1035" s="3"/>
      <c r="F1035" s="1" t="s">
        <v>131</v>
      </c>
      <c r="G1035" s="1">
        <v>0</v>
      </c>
      <c r="H1035" s="1">
        <v>1</v>
      </c>
      <c r="I1035" s="1">
        <v>42.637689999999999</v>
      </c>
      <c r="J1035" s="1">
        <v>0</v>
      </c>
    </row>
    <row r="1036" spans="1:10" ht="28.5" x14ac:dyDescent="0.2">
      <c r="A1036" s="3" t="s">
        <v>1650</v>
      </c>
      <c r="B1036" s="3" t="s">
        <v>378</v>
      </c>
      <c r="C1036" s="3" t="s">
        <v>8</v>
      </c>
      <c r="D1036" s="3" t="s">
        <v>1651</v>
      </c>
      <c r="E1036" s="3" t="s">
        <v>1651</v>
      </c>
      <c r="F1036" s="1" t="s">
        <v>379</v>
      </c>
      <c r="G1036" s="1">
        <v>0</v>
      </c>
      <c r="H1036" s="1">
        <v>9.8066499999999994</v>
      </c>
      <c r="I1036" s="1">
        <v>1</v>
      </c>
      <c r="J1036" s="1">
        <v>0</v>
      </c>
    </row>
    <row r="1037" spans="1:10" x14ac:dyDescent="0.2">
      <c r="A1037" s="46" t="s">
        <v>1652</v>
      </c>
      <c r="B1037" s="4" t="s">
        <v>163</v>
      </c>
      <c r="C1037" s="46" t="s">
        <v>8</v>
      </c>
      <c r="D1037" s="46" t="s">
        <v>1653</v>
      </c>
      <c r="E1037" s="46" t="s">
        <v>1653</v>
      </c>
      <c r="F1037" s="58" t="s">
        <v>168</v>
      </c>
      <c r="G1037" s="58">
        <v>0</v>
      </c>
      <c r="H1037" s="58">
        <v>9.8066499999999994</v>
      </c>
      <c r="I1037" s="58">
        <v>1</v>
      </c>
      <c r="J1037" s="58">
        <v>0</v>
      </c>
    </row>
    <row r="1038" spans="1:10" x14ac:dyDescent="0.2">
      <c r="A1038" s="48"/>
      <c r="B1038" s="6" t="s">
        <v>164</v>
      </c>
      <c r="C1038" s="48"/>
      <c r="D1038" s="48"/>
      <c r="E1038" s="48"/>
      <c r="F1038" s="60"/>
      <c r="G1038" s="60"/>
      <c r="H1038" s="60"/>
      <c r="I1038" s="60"/>
      <c r="J1038" s="60"/>
    </row>
    <row r="1039" spans="1:10" x14ac:dyDescent="0.2">
      <c r="A1039" s="47"/>
      <c r="B1039" s="5" t="s">
        <v>165</v>
      </c>
      <c r="C1039" s="47"/>
      <c r="D1039" s="47"/>
      <c r="E1039" s="47"/>
      <c r="F1039" s="59"/>
      <c r="G1039" s="59"/>
      <c r="H1039" s="59"/>
      <c r="I1039" s="59"/>
      <c r="J1039" s="59"/>
    </row>
    <row r="1040" spans="1:10" ht="85.5" x14ac:dyDescent="0.2">
      <c r="A1040" s="3" t="s">
        <v>1654</v>
      </c>
      <c r="B1040" s="3" t="s">
        <v>386</v>
      </c>
      <c r="C1040" s="3" t="s">
        <v>8</v>
      </c>
      <c r="D1040" s="3" t="s">
        <v>1655</v>
      </c>
      <c r="E1040" s="3" t="s">
        <v>1655</v>
      </c>
      <c r="F1040" s="1" t="s">
        <v>387</v>
      </c>
      <c r="G1040" s="1">
        <v>0</v>
      </c>
      <c r="H1040" s="1">
        <v>98066.5</v>
      </c>
      <c r="I1040" s="1">
        <v>1</v>
      </c>
      <c r="J1040" s="1">
        <v>0</v>
      </c>
    </row>
    <row r="1041" spans="1:10" ht="57" x14ac:dyDescent="0.2">
      <c r="A1041" s="3" t="s">
        <v>1656</v>
      </c>
      <c r="B1041" s="3" t="s">
        <v>1657</v>
      </c>
      <c r="C1041" s="3" t="s">
        <v>8</v>
      </c>
      <c r="D1041" s="3" t="s">
        <v>1658</v>
      </c>
      <c r="E1041" s="3" t="s">
        <v>1658</v>
      </c>
      <c r="F1041" s="1" t="s">
        <v>379</v>
      </c>
      <c r="G1041" s="1">
        <v>0</v>
      </c>
      <c r="H1041" s="1">
        <v>9.8066499999999994</v>
      </c>
      <c r="I1041" s="1">
        <v>1</v>
      </c>
      <c r="J1041" s="1">
        <v>0</v>
      </c>
    </row>
    <row r="1042" spans="1:10" ht="57" x14ac:dyDescent="0.2">
      <c r="A1042" s="3" t="s">
        <v>1659</v>
      </c>
      <c r="B1042" s="3" t="s">
        <v>382</v>
      </c>
      <c r="C1042" s="3" t="s">
        <v>8</v>
      </c>
      <c r="D1042" s="3" t="s">
        <v>1660</v>
      </c>
      <c r="E1042" s="3" t="s">
        <v>1660</v>
      </c>
      <c r="F1042" s="1" t="s">
        <v>383</v>
      </c>
      <c r="G1042" s="1">
        <v>0</v>
      </c>
      <c r="H1042" s="1">
        <v>9.8066499999999994</v>
      </c>
      <c r="I1042" s="1">
        <v>1</v>
      </c>
      <c r="J1042" s="1">
        <v>0</v>
      </c>
    </row>
    <row r="1043" spans="1:10" ht="71.25" x14ac:dyDescent="0.2">
      <c r="A1043" s="3" t="s">
        <v>1661</v>
      </c>
      <c r="B1043" s="3" t="s">
        <v>419</v>
      </c>
      <c r="C1043" s="3" t="s">
        <v>8</v>
      </c>
      <c r="D1043" s="3" t="s">
        <v>1662</v>
      </c>
      <c r="E1043" s="3" t="s">
        <v>1662</v>
      </c>
      <c r="F1043" s="1" t="s">
        <v>421</v>
      </c>
      <c r="G1043" s="1">
        <v>0</v>
      </c>
      <c r="H1043" s="1">
        <v>9.8066499999999994</v>
      </c>
      <c r="I1043" s="1">
        <v>1</v>
      </c>
      <c r="J1043" s="1">
        <v>0</v>
      </c>
    </row>
    <row r="1044" spans="1:10" ht="42.75" x14ac:dyDescent="0.2">
      <c r="A1044" s="3" t="s">
        <v>1663</v>
      </c>
      <c r="B1044" s="3" t="s">
        <v>385</v>
      </c>
      <c r="C1044" s="3" t="s">
        <v>8</v>
      </c>
      <c r="D1044" s="3" t="s">
        <v>1664</v>
      </c>
      <c r="E1044" s="3" t="s">
        <v>1664</v>
      </c>
      <c r="F1044" s="1" t="s">
        <v>387</v>
      </c>
      <c r="G1044" s="1">
        <v>0</v>
      </c>
      <c r="H1044" s="1">
        <v>9.8066499999999994</v>
      </c>
      <c r="I1044" s="1">
        <v>0.01</v>
      </c>
      <c r="J1044" s="1">
        <v>0</v>
      </c>
    </row>
    <row r="1045" spans="1:10" x14ac:dyDescent="0.2">
      <c r="A1045" s="46" t="s">
        <v>1665</v>
      </c>
      <c r="B1045" s="4" t="s">
        <v>414</v>
      </c>
      <c r="C1045" s="46" t="s">
        <v>8</v>
      </c>
      <c r="D1045" s="46" t="s">
        <v>1666</v>
      </c>
      <c r="E1045" s="46" t="s">
        <v>1666</v>
      </c>
      <c r="F1045" s="58" t="s">
        <v>416</v>
      </c>
      <c r="G1045" s="58">
        <v>0</v>
      </c>
      <c r="H1045" s="58">
        <v>9.8066499999999994</v>
      </c>
      <c r="I1045" s="58">
        <v>1E-4</v>
      </c>
      <c r="J1045" s="58">
        <v>0</v>
      </c>
    </row>
    <row r="1046" spans="1:10" x14ac:dyDescent="0.2">
      <c r="A1046" s="47"/>
      <c r="B1046" s="5" t="s">
        <v>415</v>
      </c>
      <c r="C1046" s="47"/>
      <c r="D1046" s="47"/>
      <c r="E1046" s="47"/>
      <c r="F1046" s="59"/>
      <c r="G1046" s="59"/>
      <c r="H1046" s="59"/>
      <c r="I1046" s="59"/>
      <c r="J1046" s="59"/>
    </row>
    <row r="1047" spans="1:10" ht="57" x14ac:dyDescent="0.2">
      <c r="A1047" s="3" t="s">
        <v>1667</v>
      </c>
      <c r="B1047" s="3" t="s">
        <v>584</v>
      </c>
      <c r="C1047" s="3" t="s">
        <v>8</v>
      </c>
      <c r="D1047" s="3" t="s">
        <v>1668</v>
      </c>
      <c r="E1047" s="3" t="s">
        <v>1668</v>
      </c>
      <c r="F1047" s="1" t="s">
        <v>131</v>
      </c>
      <c r="G1047" s="1">
        <v>0</v>
      </c>
      <c r="H1047" s="1">
        <v>1</v>
      </c>
      <c r="I1047" s="1">
        <v>1</v>
      </c>
      <c r="J1047" s="1">
        <v>0</v>
      </c>
    </row>
    <row r="1048" spans="1:10" x14ac:dyDescent="0.2">
      <c r="A1048" s="46" t="s">
        <v>1669</v>
      </c>
      <c r="B1048" s="4" t="s">
        <v>414</v>
      </c>
      <c r="C1048" s="46" t="s">
        <v>8</v>
      </c>
      <c r="D1048" s="46" t="s">
        <v>1670</v>
      </c>
      <c r="E1048" s="46" t="s">
        <v>1670</v>
      </c>
      <c r="F1048" s="58" t="s">
        <v>416</v>
      </c>
      <c r="G1048" s="58">
        <v>0</v>
      </c>
      <c r="H1048" s="58">
        <v>9.8066499999999994</v>
      </c>
      <c r="I1048" s="58">
        <v>9.9999999999999995E-7</v>
      </c>
      <c r="J1048" s="58">
        <v>0</v>
      </c>
    </row>
    <row r="1049" spans="1:10" x14ac:dyDescent="0.2">
      <c r="A1049" s="47"/>
      <c r="B1049" s="5" t="s">
        <v>415</v>
      </c>
      <c r="C1049" s="47"/>
      <c r="D1049" s="47"/>
      <c r="E1049" s="47"/>
      <c r="F1049" s="59"/>
      <c r="G1049" s="59"/>
      <c r="H1049" s="59"/>
      <c r="I1049" s="59"/>
      <c r="J1049" s="59"/>
    </row>
    <row r="1050" spans="1:10" x14ac:dyDescent="0.2">
      <c r="A1050" s="3" t="s">
        <v>1671</v>
      </c>
      <c r="B1050" s="3" t="s">
        <v>37</v>
      </c>
      <c r="C1050" s="3" t="s">
        <v>8</v>
      </c>
      <c r="D1050" s="3" t="s">
        <v>1672</v>
      </c>
      <c r="E1050" s="3" t="s">
        <v>1672</v>
      </c>
      <c r="F1050" s="19" t="s">
        <v>160</v>
      </c>
      <c r="G1050" s="1">
        <v>0</v>
      </c>
      <c r="H1050" s="19">
        <f>10^3</f>
        <v>1000</v>
      </c>
      <c r="I1050" s="1">
        <v>1</v>
      </c>
      <c r="J1050" s="1">
        <v>0</v>
      </c>
    </row>
    <row r="1051" spans="1:10" x14ac:dyDescent="0.2">
      <c r="A1051" s="46" t="s">
        <v>1673</v>
      </c>
      <c r="B1051" s="4" t="s">
        <v>166</v>
      </c>
      <c r="C1051" s="46" t="s">
        <v>8</v>
      </c>
      <c r="D1051" s="46" t="s">
        <v>1674</v>
      </c>
      <c r="E1051" s="46" t="s">
        <v>1674</v>
      </c>
      <c r="F1051" s="58" t="s">
        <v>168</v>
      </c>
      <c r="G1051" s="58">
        <v>0</v>
      </c>
      <c r="H1051" s="58">
        <v>1000</v>
      </c>
      <c r="I1051" s="58">
        <v>1</v>
      </c>
      <c r="J1051" s="58">
        <v>0</v>
      </c>
    </row>
    <row r="1052" spans="1:10" x14ac:dyDescent="0.2">
      <c r="A1052" s="47"/>
      <c r="B1052" s="5" t="s">
        <v>167</v>
      </c>
      <c r="C1052" s="47"/>
      <c r="D1052" s="47"/>
      <c r="E1052" s="47"/>
      <c r="F1052" s="59"/>
      <c r="G1052" s="59"/>
      <c r="H1052" s="59"/>
      <c r="I1052" s="59"/>
      <c r="J1052" s="59"/>
    </row>
    <row r="1053" spans="1:10" ht="71.25" x14ac:dyDescent="0.2">
      <c r="A1053" s="3" t="s">
        <v>1675</v>
      </c>
      <c r="B1053" s="3" t="s">
        <v>539</v>
      </c>
      <c r="C1053" s="3" t="s">
        <v>8</v>
      </c>
      <c r="D1053" s="3" t="s">
        <v>1676</v>
      </c>
      <c r="E1053" s="3" t="s">
        <v>1676</v>
      </c>
      <c r="F1053" s="1" t="s">
        <v>541</v>
      </c>
      <c r="G1053" s="1">
        <v>0</v>
      </c>
      <c r="H1053" s="1">
        <v>1</v>
      </c>
      <c r="I1053" s="1">
        <v>3.6</v>
      </c>
      <c r="J1053" s="1">
        <v>0</v>
      </c>
    </row>
    <row r="1054" spans="1:10" x14ac:dyDescent="0.2">
      <c r="A1054" s="46" t="s">
        <v>1677</v>
      </c>
      <c r="B1054" s="4" t="s">
        <v>181</v>
      </c>
      <c r="C1054" s="46" t="s">
        <v>8</v>
      </c>
      <c r="D1054" s="46" t="s">
        <v>1678</v>
      </c>
      <c r="E1054" s="46" t="s">
        <v>1678</v>
      </c>
      <c r="F1054" s="58" t="s">
        <v>190</v>
      </c>
      <c r="G1054" s="58">
        <v>0</v>
      </c>
      <c r="H1054" s="58">
        <v>1000000</v>
      </c>
      <c r="I1054" s="58">
        <v>1</v>
      </c>
      <c r="J1054" s="58">
        <v>0</v>
      </c>
    </row>
    <row r="1055" spans="1:10" x14ac:dyDescent="0.2">
      <c r="A1055" s="48"/>
      <c r="B1055" s="6" t="s">
        <v>182</v>
      </c>
      <c r="C1055" s="48"/>
      <c r="D1055" s="48"/>
      <c r="E1055" s="48"/>
      <c r="F1055" s="60"/>
      <c r="G1055" s="60"/>
      <c r="H1055" s="60"/>
      <c r="I1055" s="60"/>
      <c r="J1055" s="60"/>
    </row>
    <row r="1056" spans="1:10" x14ac:dyDescent="0.2">
      <c r="A1056" s="48"/>
      <c r="B1056" s="6" t="s">
        <v>183</v>
      </c>
      <c r="C1056" s="48"/>
      <c r="D1056" s="48"/>
      <c r="E1056" s="48"/>
      <c r="F1056" s="60"/>
      <c r="G1056" s="60"/>
      <c r="H1056" s="60"/>
      <c r="I1056" s="60"/>
      <c r="J1056" s="60"/>
    </row>
    <row r="1057" spans="1:10" x14ac:dyDescent="0.2">
      <c r="A1057" s="48"/>
      <c r="B1057" s="6" t="s">
        <v>184</v>
      </c>
      <c r="C1057" s="48"/>
      <c r="D1057" s="48"/>
      <c r="E1057" s="48"/>
      <c r="F1057" s="60"/>
      <c r="G1057" s="60"/>
      <c r="H1057" s="60"/>
      <c r="I1057" s="60"/>
      <c r="J1057" s="60"/>
    </row>
    <row r="1058" spans="1:10" x14ac:dyDescent="0.2">
      <c r="A1058" s="48"/>
      <c r="B1058" s="6" t="s">
        <v>185</v>
      </c>
      <c r="C1058" s="48"/>
      <c r="D1058" s="48"/>
      <c r="E1058" s="48"/>
      <c r="F1058" s="60"/>
      <c r="G1058" s="60"/>
      <c r="H1058" s="60"/>
      <c r="I1058" s="60"/>
      <c r="J1058" s="60"/>
    </row>
    <row r="1059" spans="1:10" x14ac:dyDescent="0.2">
      <c r="A1059" s="48"/>
      <c r="B1059" s="6" t="s">
        <v>186</v>
      </c>
      <c r="C1059" s="48"/>
      <c r="D1059" s="48"/>
      <c r="E1059" s="48"/>
      <c r="F1059" s="60"/>
      <c r="G1059" s="60"/>
      <c r="H1059" s="60"/>
      <c r="I1059" s="60"/>
      <c r="J1059" s="60"/>
    </row>
    <row r="1060" spans="1:10" x14ac:dyDescent="0.2">
      <c r="A1060" s="48"/>
      <c r="B1060" s="6" t="s">
        <v>187</v>
      </c>
      <c r="C1060" s="48"/>
      <c r="D1060" s="48"/>
      <c r="E1060" s="48"/>
      <c r="F1060" s="60"/>
      <c r="G1060" s="60"/>
      <c r="H1060" s="60"/>
      <c r="I1060" s="60"/>
      <c r="J1060" s="60"/>
    </row>
    <row r="1061" spans="1:10" x14ac:dyDescent="0.2">
      <c r="A1061" s="48"/>
      <c r="B1061" s="6" t="s">
        <v>188</v>
      </c>
      <c r="C1061" s="48"/>
      <c r="D1061" s="48"/>
      <c r="E1061" s="48"/>
      <c r="F1061" s="60"/>
      <c r="G1061" s="60"/>
      <c r="H1061" s="60"/>
      <c r="I1061" s="60"/>
      <c r="J1061" s="60"/>
    </row>
    <row r="1062" spans="1:10" x14ac:dyDescent="0.2">
      <c r="A1062" s="47"/>
      <c r="B1062" s="5" t="s">
        <v>189</v>
      </c>
      <c r="C1062" s="47"/>
      <c r="D1062" s="47"/>
      <c r="E1062" s="47"/>
      <c r="F1062" s="59"/>
      <c r="G1062" s="59"/>
      <c r="H1062" s="59"/>
      <c r="I1062" s="59"/>
      <c r="J1062" s="59"/>
    </row>
    <row r="1063" spans="1:10" ht="71.25" x14ac:dyDescent="0.2">
      <c r="A1063" s="3" t="s">
        <v>1679</v>
      </c>
      <c r="B1063" s="3" t="s">
        <v>553</v>
      </c>
      <c r="C1063" s="3" t="s">
        <v>8</v>
      </c>
      <c r="D1063" s="3" t="s">
        <v>1680</v>
      </c>
      <c r="E1063" s="3" t="s">
        <v>1680</v>
      </c>
      <c r="F1063" s="1" t="s">
        <v>554</v>
      </c>
      <c r="G1063" s="1">
        <v>0</v>
      </c>
      <c r="H1063" s="1">
        <v>1000</v>
      </c>
      <c r="I1063" s="1">
        <v>3600</v>
      </c>
      <c r="J1063" s="1">
        <v>0</v>
      </c>
    </row>
    <row r="1064" spans="1:10" ht="28.5" x14ac:dyDescent="0.2">
      <c r="A1064" s="3" t="s">
        <v>1681</v>
      </c>
      <c r="B1064" s="3" t="s">
        <v>174</v>
      </c>
      <c r="C1064" s="3" t="s">
        <v>8</v>
      </c>
      <c r="D1064" s="3" t="s">
        <v>1682</v>
      </c>
      <c r="E1064" s="3" t="s">
        <v>1682</v>
      </c>
      <c r="F1064" s="1" t="s">
        <v>175</v>
      </c>
      <c r="G1064" s="1">
        <v>0</v>
      </c>
      <c r="H1064" s="1">
        <v>1000</v>
      </c>
      <c r="I1064" s="1">
        <v>1</v>
      </c>
      <c r="J1064" s="1">
        <v>0</v>
      </c>
    </row>
    <row r="1065" spans="1:10" x14ac:dyDescent="0.2">
      <c r="A1065" s="46" t="s">
        <v>1683</v>
      </c>
      <c r="B1065" s="4" t="s">
        <v>177</v>
      </c>
      <c r="C1065" s="46" t="s">
        <v>8</v>
      </c>
      <c r="D1065" s="46" t="s">
        <v>1684</v>
      </c>
      <c r="E1065" s="46" t="s">
        <v>1684</v>
      </c>
      <c r="F1065" s="58" t="s">
        <v>179</v>
      </c>
      <c r="G1065" s="58">
        <v>0</v>
      </c>
      <c r="H1065" s="58">
        <v>1000</v>
      </c>
      <c r="I1065" s="58">
        <v>1</v>
      </c>
      <c r="J1065" s="58">
        <v>0</v>
      </c>
    </row>
    <row r="1066" spans="1:10" x14ac:dyDescent="0.2">
      <c r="A1066" s="47"/>
      <c r="B1066" s="5" t="s">
        <v>178</v>
      </c>
      <c r="C1066" s="47"/>
      <c r="D1066" s="47"/>
      <c r="E1066" s="47"/>
      <c r="F1066" s="59"/>
      <c r="G1066" s="59"/>
      <c r="H1066" s="59"/>
      <c r="I1066" s="59"/>
      <c r="J1066" s="59"/>
    </row>
    <row r="1067" spans="1:10" x14ac:dyDescent="0.2">
      <c r="A1067" s="46" t="s">
        <v>1685</v>
      </c>
      <c r="B1067" s="4" t="s">
        <v>181</v>
      </c>
      <c r="C1067" s="46" t="s">
        <v>8</v>
      </c>
      <c r="D1067" s="46" t="s">
        <v>1686</v>
      </c>
      <c r="E1067" s="46" t="s">
        <v>1686</v>
      </c>
      <c r="F1067" s="58" t="s">
        <v>190</v>
      </c>
      <c r="G1067" s="58">
        <v>0</v>
      </c>
      <c r="H1067" s="58">
        <v>1000</v>
      </c>
      <c r="I1067" s="58">
        <v>1</v>
      </c>
      <c r="J1067" s="58">
        <v>0</v>
      </c>
    </row>
    <row r="1068" spans="1:10" x14ac:dyDescent="0.2">
      <c r="A1068" s="48"/>
      <c r="B1068" s="6" t="s">
        <v>182</v>
      </c>
      <c r="C1068" s="48"/>
      <c r="D1068" s="48"/>
      <c r="E1068" s="48"/>
      <c r="F1068" s="60"/>
      <c r="G1068" s="60"/>
      <c r="H1068" s="60"/>
      <c r="I1068" s="60"/>
      <c r="J1068" s="60"/>
    </row>
    <row r="1069" spans="1:10" x14ac:dyDescent="0.2">
      <c r="A1069" s="48"/>
      <c r="B1069" s="6" t="s">
        <v>183</v>
      </c>
      <c r="C1069" s="48"/>
      <c r="D1069" s="48"/>
      <c r="E1069" s="48"/>
      <c r="F1069" s="60"/>
      <c r="G1069" s="60"/>
      <c r="H1069" s="60"/>
      <c r="I1069" s="60"/>
      <c r="J1069" s="60"/>
    </row>
    <row r="1070" spans="1:10" x14ac:dyDescent="0.2">
      <c r="A1070" s="48"/>
      <c r="B1070" s="6" t="s">
        <v>184</v>
      </c>
      <c r="C1070" s="48"/>
      <c r="D1070" s="48"/>
      <c r="E1070" s="48"/>
      <c r="F1070" s="60"/>
      <c r="G1070" s="60"/>
      <c r="H1070" s="60"/>
      <c r="I1070" s="60"/>
      <c r="J1070" s="60"/>
    </row>
    <row r="1071" spans="1:10" x14ac:dyDescent="0.2">
      <c r="A1071" s="48"/>
      <c r="B1071" s="6" t="s">
        <v>185</v>
      </c>
      <c r="C1071" s="48"/>
      <c r="D1071" s="48"/>
      <c r="E1071" s="48"/>
      <c r="F1071" s="60"/>
      <c r="G1071" s="60"/>
      <c r="H1071" s="60"/>
      <c r="I1071" s="60"/>
      <c r="J1071" s="60"/>
    </row>
    <row r="1072" spans="1:10" x14ac:dyDescent="0.2">
      <c r="A1072" s="48"/>
      <c r="B1072" s="6" t="s">
        <v>186</v>
      </c>
      <c r="C1072" s="48"/>
      <c r="D1072" s="48"/>
      <c r="E1072" s="48"/>
      <c r="F1072" s="60"/>
      <c r="G1072" s="60"/>
      <c r="H1072" s="60"/>
      <c r="I1072" s="60"/>
      <c r="J1072" s="60"/>
    </row>
    <row r="1073" spans="1:10" x14ac:dyDescent="0.2">
      <c r="A1073" s="48"/>
      <c r="B1073" s="6" t="s">
        <v>187</v>
      </c>
      <c r="C1073" s="48"/>
      <c r="D1073" s="48"/>
      <c r="E1073" s="48"/>
      <c r="F1073" s="60"/>
      <c r="G1073" s="60"/>
      <c r="H1073" s="60"/>
      <c r="I1073" s="60"/>
      <c r="J1073" s="60"/>
    </row>
    <row r="1074" spans="1:10" x14ac:dyDescent="0.2">
      <c r="A1074" s="48"/>
      <c r="B1074" s="6" t="s">
        <v>188</v>
      </c>
      <c r="C1074" s="48"/>
      <c r="D1074" s="48"/>
      <c r="E1074" s="48"/>
      <c r="F1074" s="60"/>
      <c r="G1074" s="60"/>
      <c r="H1074" s="60"/>
      <c r="I1074" s="60"/>
      <c r="J1074" s="60"/>
    </row>
    <row r="1075" spans="1:10" x14ac:dyDescent="0.2">
      <c r="A1075" s="47"/>
      <c r="B1075" s="5" t="s">
        <v>189</v>
      </c>
      <c r="C1075" s="47"/>
      <c r="D1075" s="47"/>
      <c r="E1075" s="47"/>
      <c r="F1075" s="59"/>
      <c r="G1075" s="59"/>
      <c r="H1075" s="59"/>
      <c r="I1075" s="59"/>
      <c r="J1075" s="59"/>
    </row>
    <row r="1076" spans="1:10" x14ac:dyDescent="0.2">
      <c r="A1076" s="46" t="s">
        <v>1687</v>
      </c>
      <c r="B1076" s="4" t="s">
        <v>192</v>
      </c>
      <c r="C1076" s="46" t="s">
        <v>8</v>
      </c>
      <c r="D1076" s="46" t="s">
        <v>1688</v>
      </c>
      <c r="E1076" s="46" t="s">
        <v>1689</v>
      </c>
      <c r="F1076" s="58" t="s">
        <v>195</v>
      </c>
      <c r="G1076" s="58">
        <v>0</v>
      </c>
      <c r="H1076" s="58">
        <v>1</v>
      </c>
      <c r="I1076" s="58">
        <v>1</v>
      </c>
      <c r="J1076" s="58">
        <v>0</v>
      </c>
    </row>
    <row r="1077" spans="1:10" x14ac:dyDescent="0.2">
      <c r="A1077" s="48"/>
      <c r="B1077" s="6" t="s">
        <v>193</v>
      </c>
      <c r="C1077" s="48"/>
      <c r="D1077" s="48"/>
      <c r="E1077" s="48"/>
      <c r="F1077" s="60"/>
      <c r="G1077" s="60"/>
      <c r="H1077" s="60"/>
      <c r="I1077" s="60"/>
      <c r="J1077" s="60"/>
    </row>
    <row r="1078" spans="1:10" x14ac:dyDescent="0.2">
      <c r="A1078" s="47"/>
      <c r="B1078" s="5" t="s">
        <v>194</v>
      </c>
      <c r="C1078" s="47"/>
      <c r="D1078" s="47"/>
      <c r="E1078" s="47"/>
      <c r="F1078" s="59"/>
      <c r="G1078" s="59"/>
      <c r="H1078" s="59"/>
      <c r="I1078" s="59"/>
      <c r="J1078" s="59"/>
    </row>
    <row r="1079" spans="1:10" ht="28.5" x14ac:dyDescent="0.2">
      <c r="A1079" s="46" t="s">
        <v>1687</v>
      </c>
      <c r="B1079" s="4" t="s">
        <v>192</v>
      </c>
      <c r="C1079" s="46" t="s">
        <v>8</v>
      </c>
      <c r="D1079" s="4" t="s">
        <v>1690</v>
      </c>
      <c r="E1079" s="46" t="s">
        <v>1689</v>
      </c>
      <c r="F1079" s="58" t="s">
        <v>195</v>
      </c>
      <c r="G1079" s="58">
        <v>0</v>
      </c>
      <c r="H1079" s="58">
        <v>1000</v>
      </c>
      <c r="I1079" s="58">
        <v>1</v>
      </c>
      <c r="J1079" s="58">
        <v>0</v>
      </c>
    </row>
    <row r="1080" spans="1:10" ht="28.5" x14ac:dyDescent="0.2">
      <c r="A1080" s="48"/>
      <c r="B1080" s="6" t="s">
        <v>193</v>
      </c>
      <c r="C1080" s="48"/>
      <c r="D1080" s="6" t="s">
        <v>763</v>
      </c>
      <c r="E1080" s="48"/>
      <c r="F1080" s="60"/>
      <c r="G1080" s="60"/>
      <c r="H1080" s="60"/>
      <c r="I1080" s="60"/>
      <c r="J1080" s="60"/>
    </row>
    <row r="1081" spans="1:10" x14ac:dyDescent="0.2">
      <c r="A1081" s="47"/>
      <c r="B1081" s="5" t="s">
        <v>194</v>
      </c>
      <c r="C1081" s="47"/>
      <c r="D1081" s="5"/>
      <c r="E1081" s="47"/>
      <c r="F1081" s="59"/>
      <c r="G1081" s="59"/>
      <c r="H1081" s="59"/>
      <c r="I1081" s="59"/>
      <c r="J1081" s="59"/>
    </row>
    <row r="1082" spans="1:10" x14ac:dyDescent="0.2">
      <c r="A1082" s="46" t="s">
        <v>1691</v>
      </c>
      <c r="B1082" s="4" t="s">
        <v>197</v>
      </c>
      <c r="C1082" s="46" t="s">
        <v>8</v>
      </c>
      <c r="D1082" s="46" t="s">
        <v>1692</v>
      </c>
      <c r="E1082" s="46" t="s">
        <v>1692</v>
      </c>
      <c r="F1082" s="58" t="s">
        <v>200</v>
      </c>
      <c r="G1082" s="58">
        <v>0</v>
      </c>
      <c r="H1082" s="58">
        <v>1</v>
      </c>
      <c r="I1082" s="58">
        <v>1</v>
      </c>
      <c r="J1082" s="58">
        <v>0</v>
      </c>
    </row>
    <row r="1083" spans="1:10" x14ac:dyDescent="0.2">
      <c r="A1083" s="48"/>
      <c r="B1083" s="6" t="s">
        <v>198</v>
      </c>
      <c r="C1083" s="48"/>
      <c r="D1083" s="48"/>
      <c r="E1083" s="48"/>
      <c r="F1083" s="60"/>
      <c r="G1083" s="60"/>
      <c r="H1083" s="60"/>
      <c r="I1083" s="60"/>
      <c r="J1083" s="60"/>
    </row>
    <row r="1084" spans="1:10" x14ac:dyDescent="0.2">
      <c r="A1084" s="47"/>
      <c r="B1084" s="5" t="s">
        <v>199</v>
      </c>
      <c r="C1084" s="47"/>
      <c r="D1084" s="47"/>
      <c r="E1084" s="47"/>
      <c r="F1084" s="59"/>
      <c r="G1084" s="59"/>
      <c r="H1084" s="59"/>
      <c r="I1084" s="59"/>
      <c r="J1084" s="59"/>
    </row>
    <row r="1085" spans="1:10" ht="28.5" x14ac:dyDescent="0.2">
      <c r="A1085" s="46" t="s">
        <v>1691</v>
      </c>
      <c r="B1085" s="4" t="s">
        <v>197</v>
      </c>
      <c r="C1085" s="46" t="s">
        <v>8</v>
      </c>
      <c r="D1085" s="4" t="s">
        <v>1693</v>
      </c>
      <c r="E1085" s="46" t="s">
        <v>1694</v>
      </c>
      <c r="F1085" s="58" t="s">
        <v>200</v>
      </c>
      <c r="G1085" s="58">
        <v>0</v>
      </c>
      <c r="H1085" s="58">
        <v>1000</v>
      </c>
      <c r="I1085" s="58">
        <v>1</v>
      </c>
      <c r="J1085" s="58">
        <v>0</v>
      </c>
    </row>
    <row r="1086" spans="1:10" ht="28.5" x14ac:dyDescent="0.2">
      <c r="A1086" s="48"/>
      <c r="B1086" s="6" t="s">
        <v>198</v>
      </c>
      <c r="C1086" s="48"/>
      <c r="D1086" s="6" t="s">
        <v>763</v>
      </c>
      <c r="E1086" s="48"/>
      <c r="F1086" s="60"/>
      <c r="G1086" s="60"/>
      <c r="H1086" s="60"/>
      <c r="I1086" s="60"/>
      <c r="J1086" s="60"/>
    </row>
    <row r="1087" spans="1:10" x14ac:dyDescent="0.2">
      <c r="A1087" s="47"/>
      <c r="B1087" s="5" t="s">
        <v>199</v>
      </c>
      <c r="C1087" s="47"/>
      <c r="D1087" s="5"/>
      <c r="E1087" s="47"/>
      <c r="F1087" s="59"/>
      <c r="G1087" s="59"/>
      <c r="H1087" s="59"/>
      <c r="I1087" s="59"/>
      <c r="J1087" s="59"/>
    </row>
    <row r="1088" spans="1:10" ht="42.75" x14ac:dyDescent="0.2">
      <c r="A1088" s="3" t="s">
        <v>1695</v>
      </c>
      <c r="B1088" s="3" t="s">
        <v>378</v>
      </c>
      <c r="C1088" s="3" t="s">
        <v>8</v>
      </c>
      <c r="D1088" s="3" t="s">
        <v>1696</v>
      </c>
      <c r="E1088" s="3"/>
      <c r="F1088" s="1" t="s">
        <v>379</v>
      </c>
      <c r="G1088" s="1">
        <v>0</v>
      </c>
      <c r="H1088" s="1">
        <v>4448.2219999999998</v>
      </c>
      <c r="I1088" s="1">
        <v>1</v>
      </c>
      <c r="J1088" s="1">
        <v>0</v>
      </c>
    </row>
    <row r="1089" spans="1:10" ht="42.75" x14ac:dyDescent="0.2">
      <c r="A1089" s="3" t="s">
        <v>1697</v>
      </c>
      <c r="B1089" s="3" t="s">
        <v>220</v>
      </c>
      <c r="C1089" s="3" t="s">
        <v>8</v>
      </c>
      <c r="D1089" s="3" t="s">
        <v>1698</v>
      </c>
      <c r="E1089" s="3"/>
      <c r="F1089" s="1" t="s">
        <v>221</v>
      </c>
      <c r="G1089" s="1">
        <v>0</v>
      </c>
      <c r="H1089" s="1">
        <v>453.5924</v>
      </c>
      <c r="I1089" s="1">
        <v>1</v>
      </c>
      <c r="J1089" s="1">
        <v>0</v>
      </c>
    </row>
    <row r="1090" spans="1:10" x14ac:dyDescent="0.2">
      <c r="A1090" s="46" t="s">
        <v>1699</v>
      </c>
      <c r="B1090" s="4" t="s">
        <v>239</v>
      </c>
      <c r="C1090" s="46" t="s">
        <v>8</v>
      </c>
      <c r="D1090" s="46" t="s">
        <v>1700</v>
      </c>
      <c r="E1090" s="46"/>
      <c r="F1090" s="58" t="s">
        <v>240</v>
      </c>
      <c r="G1090" s="58">
        <v>0</v>
      </c>
      <c r="H1090" s="58">
        <v>453.5924</v>
      </c>
      <c r="I1090" s="58">
        <v>2.5399999999999999E-2</v>
      </c>
      <c r="J1090" s="58">
        <v>0</v>
      </c>
    </row>
    <row r="1091" spans="1:10" x14ac:dyDescent="0.2">
      <c r="A1091" s="47"/>
      <c r="B1091" s="5" t="s">
        <v>237</v>
      </c>
      <c r="C1091" s="47"/>
      <c r="D1091" s="47"/>
      <c r="E1091" s="47"/>
      <c r="F1091" s="59"/>
      <c r="G1091" s="59"/>
      <c r="H1091" s="59"/>
      <c r="I1091" s="59"/>
      <c r="J1091" s="59"/>
    </row>
    <row r="1092" spans="1:10" x14ac:dyDescent="0.2">
      <c r="A1092" s="3" t="s">
        <v>1701</v>
      </c>
      <c r="B1092" s="3" t="s">
        <v>270</v>
      </c>
      <c r="C1092" s="3" t="s">
        <v>8</v>
      </c>
      <c r="D1092" s="3" t="s">
        <v>1702</v>
      </c>
      <c r="E1092" s="3" t="s">
        <v>1702</v>
      </c>
      <c r="F1092" s="1" t="s">
        <v>271</v>
      </c>
      <c r="G1092" s="1">
        <v>0</v>
      </c>
      <c r="H1092" s="1">
        <v>1000</v>
      </c>
      <c r="I1092" s="1">
        <v>1</v>
      </c>
      <c r="J1092" s="1">
        <v>0</v>
      </c>
    </row>
    <row r="1093" spans="1:10" x14ac:dyDescent="0.2">
      <c r="A1093" s="46" t="s">
        <v>1703</v>
      </c>
      <c r="B1093" s="4" t="s">
        <v>277</v>
      </c>
      <c r="C1093" s="46" t="s">
        <v>8</v>
      </c>
      <c r="D1093" s="46" t="s">
        <v>1704</v>
      </c>
      <c r="E1093" s="46" t="s">
        <v>1704</v>
      </c>
      <c r="F1093" s="58" t="s">
        <v>290</v>
      </c>
      <c r="G1093" s="58">
        <v>0</v>
      </c>
      <c r="H1093" s="58">
        <v>1000</v>
      </c>
      <c r="I1093" s="58">
        <v>1</v>
      </c>
      <c r="J1093" s="58">
        <v>0</v>
      </c>
    </row>
    <row r="1094" spans="1:10" x14ac:dyDescent="0.2">
      <c r="A1094" s="48"/>
      <c r="B1094" s="6" t="s">
        <v>278</v>
      </c>
      <c r="C1094" s="48"/>
      <c r="D1094" s="48"/>
      <c r="E1094" s="48"/>
      <c r="F1094" s="60"/>
      <c r="G1094" s="60"/>
      <c r="H1094" s="60"/>
      <c r="I1094" s="60"/>
      <c r="J1094" s="60"/>
    </row>
    <row r="1095" spans="1:10" x14ac:dyDescent="0.2">
      <c r="A1095" s="48"/>
      <c r="B1095" s="6" t="s">
        <v>279</v>
      </c>
      <c r="C1095" s="48"/>
      <c r="D1095" s="48"/>
      <c r="E1095" s="48"/>
      <c r="F1095" s="60"/>
      <c r="G1095" s="60"/>
      <c r="H1095" s="60"/>
      <c r="I1095" s="60"/>
      <c r="J1095" s="60"/>
    </row>
    <row r="1096" spans="1:10" x14ac:dyDescent="0.2">
      <c r="A1096" s="48"/>
      <c r="B1096" s="6" t="s">
        <v>281</v>
      </c>
      <c r="C1096" s="48"/>
      <c r="D1096" s="48"/>
      <c r="E1096" s="48"/>
      <c r="F1096" s="60"/>
      <c r="G1096" s="60"/>
      <c r="H1096" s="60"/>
      <c r="I1096" s="60"/>
      <c r="J1096" s="60"/>
    </row>
    <row r="1097" spans="1:10" x14ac:dyDescent="0.2">
      <c r="A1097" s="48"/>
      <c r="B1097" s="6" t="s">
        <v>282</v>
      </c>
      <c r="C1097" s="48"/>
      <c r="D1097" s="48"/>
      <c r="E1097" s="48"/>
      <c r="F1097" s="60"/>
      <c r="G1097" s="60"/>
      <c r="H1097" s="60"/>
      <c r="I1097" s="60"/>
      <c r="J1097" s="60"/>
    </row>
    <row r="1098" spans="1:10" x14ac:dyDescent="0.2">
      <c r="A1098" s="48"/>
      <c r="B1098" s="6" t="s">
        <v>283</v>
      </c>
      <c r="C1098" s="48"/>
      <c r="D1098" s="48"/>
      <c r="E1098" s="48"/>
      <c r="F1098" s="60"/>
      <c r="G1098" s="60"/>
      <c r="H1098" s="60"/>
      <c r="I1098" s="60"/>
      <c r="J1098" s="60"/>
    </row>
    <row r="1099" spans="1:10" x14ac:dyDescent="0.2">
      <c r="A1099" s="48"/>
      <c r="B1099" s="6" t="s">
        <v>284</v>
      </c>
      <c r="C1099" s="48"/>
      <c r="D1099" s="48"/>
      <c r="E1099" s="48"/>
      <c r="F1099" s="60"/>
      <c r="G1099" s="60"/>
      <c r="H1099" s="60"/>
      <c r="I1099" s="60"/>
      <c r="J1099" s="60"/>
    </row>
    <row r="1100" spans="1:10" x14ac:dyDescent="0.2">
      <c r="A1100" s="48"/>
      <c r="B1100" s="6" t="s">
        <v>285</v>
      </c>
      <c r="C1100" s="48"/>
      <c r="D1100" s="48"/>
      <c r="E1100" s="48"/>
      <c r="F1100" s="60"/>
      <c r="G1100" s="60"/>
      <c r="H1100" s="60"/>
      <c r="I1100" s="60"/>
      <c r="J1100" s="60"/>
    </row>
    <row r="1101" spans="1:10" x14ac:dyDescent="0.2">
      <c r="A1101" s="48"/>
      <c r="B1101" s="6" t="s">
        <v>286</v>
      </c>
      <c r="C1101" s="48"/>
      <c r="D1101" s="48"/>
      <c r="E1101" s="48"/>
      <c r="F1101" s="60"/>
      <c r="G1101" s="60"/>
      <c r="H1101" s="60"/>
      <c r="I1101" s="60"/>
      <c r="J1101" s="60"/>
    </row>
    <row r="1102" spans="1:10" x14ac:dyDescent="0.2">
      <c r="A1102" s="48"/>
      <c r="B1102" s="6" t="s">
        <v>287</v>
      </c>
      <c r="C1102" s="48"/>
      <c r="D1102" s="48"/>
      <c r="E1102" s="48"/>
      <c r="F1102" s="60"/>
      <c r="G1102" s="60"/>
      <c r="H1102" s="60"/>
      <c r="I1102" s="60"/>
      <c r="J1102" s="60"/>
    </row>
    <row r="1103" spans="1:10" x14ac:dyDescent="0.2">
      <c r="A1103" s="48"/>
      <c r="B1103" s="6" t="s">
        <v>288</v>
      </c>
      <c r="C1103" s="48"/>
      <c r="D1103" s="48"/>
      <c r="E1103" s="48"/>
      <c r="F1103" s="60"/>
      <c r="G1103" s="60"/>
      <c r="H1103" s="60"/>
      <c r="I1103" s="60"/>
      <c r="J1103" s="60"/>
    </row>
    <row r="1104" spans="1:10" x14ac:dyDescent="0.2">
      <c r="A1104" s="47"/>
      <c r="B1104" s="5" t="s">
        <v>289</v>
      </c>
      <c r="C1104" s="47"/>
      <c r="D1104" s="47"/>
      <c r="E1104" s="47"/>
      <c r="F1104" s="59"/>
      <c r="G1104" s="59"/>
      <c r="H1104" s="59"/>
      <c r="I1104" s="59"/>
      <c r="J1104" s="59"/>
    </row>
    <row r="1105" spans="1:10" x14ac:dyDescent="0.2">
      <c r="A1105" s="46" t="s">
        <v>1705</v>
      </c>
      <c r="B1105" s="4" t="s">
        <v>1204</v>
      </c>
      <c r="C1105" s="46" t="s">
        <v>8</v>
      </c>
      <c r="D1105" s="46" t="s">
        <v>1706</v>
      </c>
      <c r="E1105" s="46" t="s">
        <v>1706</v>
      </c>
      <c r="F1105" s="58" t="s">
        <v>131</v>
      </c>
      <c r="G1105" s="58">
        <v>0</v>
      </c>
      <c r="H1105" s="58">
        <v>100000</v>
      </c>
      <c r="I1105" s="58">
        <v>1</v>
      </c>
      <c r="J1105" s="58">
        <v>0</v>
      </c>
    </row>
    <row r="1106" spans="1:10" x14ac:dyDescent="0.2">
      <c r="A1106" s="47"/>
      <c r="B1106" s="5" t="s">
        <v>587</v>
      </c>
      <c r="C1106" s="47"/>
      <c r="D1106" s="47"/>
      <c r="E1106" s="47"/>
      <c r="F1106" s="59"/>
      <c r="G1106" s="59"/>
      <c r="H1106" s="59"/>
      <c r="I1106" s="59"/>
      <c r="J1106" s="59"/>
    </row>
    <row r="1107" spans="1:10" ht="42.75" x14ac:dyDescent="0.2">
      <c r="A1107" s="3" t="s">
        <v>1707</v>
      </c>
      <c r="B1107" s="3" t="s">
        <v>1208</v>
      </c>
      <c r="C1107" s="3" t="s">
        <v>8</v>
      </c>
      <c r="D1107" s="3" t="s">
        <v>1708</v>
      </c>
      <c r="E1107" s="3" t="s">
        <v>1708</v>
      </c>
      <c r="F1107" s="1" t="s">
        <v>23</v>
      </c>
      <c r="G1107" s="1">
        <v>0</v>
      </c>
      <c r="H1107" s="1">
        <v>1000000</v>
      </c>
      <c r="I1107" s="1">
        <v>1</v>
      </c>
      <c r="J1107" s="1">
        <v>0</v>
      </c>
    </row>
    <row r="1108" spans="1:10" ht="28.5" x14ac:dyDescent="0.2">
      <c r="A1108" s="3" t="s">
        <v>1709</v>
      </c>
      <c r="B1108" s="3" t="s">
        <v>296</v>
      </c>
      <c r="C1108" s="3" t="s">
        <v>8</v>
      </c>
      <c r="D1108" s="3" t="s">
        <v>1710</v>
      </c>
      <c r="E1108" s="3" t="s">
        <v>1710</v>
      </c>
      <c r="F1108" s="1" t="s">
        <v>297</v>
      </c>
      <c r="G1108" s="1">
        <v>0</v>
      </c>
      <c r="H1108" s="1">
        <v>1</v>
      </c>
      <c r="I1108" s="1">
        <v>3.6</v>
      </c>
      <c r="J1108" s="1">
        <v>0</v>
      </c>
    </row>
    <row r="1109" spans="1:10" ht="28.5" x14ac:dyDescent="0.2">
      <c r="A1109" s="3" t="s">
        <v>1711</v>
      </c>
      <c r="B1109" s="3" t="s">
        <v>1208</v>
      </c>
      <c r="C1109" s="3" t="s">
        <v>8</v>
      </c>
      <c r="D1109" s="3" t="s">
        <v>1712</v>
      </c>
      <c r="E1109" s="3" t="s">
        <v>1712</v>
      </c>
      <c r="F1109" s="1" t="s">
        <v>23</v>
      </c>
      <c r="G1109" s="1">
        <v>0</v>
      </c>
      <c r="H1109" s="1">
        <v>1000000</v>
      </c>
      <c r="I1109" s="1">
        <v>1</v>
      </c>
      <c r="J1109" s="1">
        <v>0</v>
      </c>
    </row>
    <row r="1110" spans="1:10" ht="42.75" x14ac:dyDescent="0.2">
      <c r="A1110" s="3" t="s">
        <v>1713</v>
      </c>
      <c r="B1110" s="3" t="s">
        <v>296</v>
      </c>
      <c r="C1110" s="3" t="s">
        <v>8</v>
      </c>
      <c r="D1110" s="3" t="s">
        <v>1714</v>
      </c>
      <c r="E1110" s="3" t="s">
        <v>1714</v>
      </c>
      <c r="F1110" s="1" t="s">
        <v>297</v>
      </c>
      <c r="G1110" s="1">
        <v>0</v>
      </c>
      <c r="H1110" s="1">
        <v>1000</v>
      </c>
      <c r="I1110" s="1">
        <v>1</v>
      </c>
      <c r="J1110" s="1">
        <v>0</v>
      </c>
    </row>
    <row r="1111" spans="1:10" ht="42.75" x14ac:dyDescent="0.2">
      <c r="A1111" s="3" t="s">
        <v>1715</v>
      </c>
      <c r="B1111" s="3" t="s">
        <v>302</v>
      </c>
      <c r="C1111" s="3" t="s">
        <v>8</v>
      </c>
      <c r="D1111" s="3" t="s">
        <v>1716</v>
      </c>
      <c r="E1111" s="3" t="s">
        <v>1716</v>
      </c>
      <c r="F1111" s="1" t="s">
        <v>303</v>
      </c>
      <c r="G1111" s="1">
        <v>0</v>
      </c>
      <c r="H1111" s="1">
        <v>1000000</v>
      </c>
      <c r="I1111" s="1">
        <v>1</v>
      </c>
      <c r="J1111" s="1">
        <v>0</v>
      </c>
    </row>
    <row r="1112" spans="1:10" ht="42.75" x14ac:dyDescent="0.2">
      <c r="A1112" s="3" t="s">
        <v>1717</v>
      </c>
      <c r="B1112" s="3" t="s">
        <v>321</v>
      </c>
      <c r="C1112" s="3" t="s">
        <v>8</v>
      </c>
      <c r="D1112" s="3" t="s">
        <v>1718</v>
      </c>
      <c r="E1112" s="3" t="s">
        <v>1718</v>
      </c>
      <c r="F1112" s="1" t="s">
        <v>322</v>
      </c>
      <c r="G1112" s="1">
        <v>0</v>
      </c>
      <c r="H1112" s="1">
        <v>1000000000</v>
      </c>
      <c r="I1112" s="1">
        <v>1</v>
      </c>
      <c r="J1112" s="1">
        <v>0</v>
      </c>
    </row>
    <row r="1113" spans="1:10" x14ac:dyDescent="0.2">
      <c r="A1113" s="3" t="s">
        <v>1719</v>
      </c>
      <c r="B1113" s="3" t="s">
        <v>361</v>
      </c>
      <c r="C1113" s="3" t="s">
        <v>8</v>
      </c>
      <c r="D1113" s="3" t="s">
        <v>1720</v>
      </c>
      <c r="E1113" s="3" t="s">
        <v>1720</v>
      </c>
      <c r="F1113" s="1" t="s">
        <v>362</v>
      </c>
      <c r="G1113" s="1">
        <v>0</v>
      </c>
      <c r="H1113" s="1">
        <v>1000</v>
      </c>
      <c r="I1113" s="1">
        <v>1</v>
      </c>
      <c r="J1113" s="1">
        <v>0</v>
      </c>
    </row>
    <row r="1114" spans="1:10" ht="28.5" x14ac:dyDescent="0.2">
      <c r="A1114" s="3" t="s">
        <v>1721</v>
      </c>
      <c r="B1114" s="3" t="s">
        <v>378</v>
      </c>
      <c r="C1114" s="3" t="s">
        <v>8</v>
      </c>
      <c r="D1114" s="3" t="s">
        <v>1722</v>
      </c>
      <c r="E1114" s="3" t="s">
        <v>1722</v>
      </c>
      <c r="F1114" s="1" t="s">
        <v>379</v>
      </c>
      <c r="G1114" s="1">
        <v>0</v>
      </c>
      <c r="H1114" s="1">
        <v>1000</v>
      </c>
      <c r="I1114" s="1">
        <v>1</v>
      </c>
      <c r="J1114" s="1">
        <v>0</v>
      </c>
    </row>
    <row r="1115" spans="1:10" x14ac:dyDescent="0.2">
      <c r="A1115" s="46" t="s">
        <v>1723</v>
      </c>
      <c r="B1115" s="4" t="s">
        <v>163</v>
      </c>
      <c r="C1115" s="46" t="s">
        <v>8</v>
      </c>
      <c r="D1115" s="46" t="s">
        <v>1724</v>
      </c>
      <c r="E1115" s="46" t="s">
        <v>1724</v>
      </c>
      <c r="F1115" s="58" t="s">
        <v>168</v>
      </c>
      <c r="G1115" s="58">
        <v>0</v>
      </c>
      <c r="H1115" s="58">
        <v>1000</v>
      </c>
      <c r="I1115" s="58">
        <v>1</v>
      </c>
      <c r="J1115" s="58">
        <v>0</v>
      </c>
    </row>
    <row r="1116" spans="1:10" x14ac:dyDescent="0.2">
      <c r="A1116" s="48"/>
      <c r="B1116" s="6" t="s">
        <v>164</v>
      </c>
      <c r="C1116" s="48"/>
      <c r="D1116" s="48"/>
      <c r="E1116" s="48"/>
      <c r="F1116" s="60"/>
      <c r="G1116" s="60"/>
      <c r="H1116" s="60"/>
      <c r="I1116" s="60"/>
      <c r="J1116" s="60"/>
    </row>
    <row r="1117" spans="1:10" x14ac:dyDescent="0.2">
      <c r="A1117" s="47"/>
      <c r="B1117" s="5" t="s">
        <v>165</v>
      </c>
      <c r="C1117" s="47"/>
      <c r="D1117" s="47"/>
      <c r="E1117" s="47"/>
      <c r="F1117" s="59"/>
      <c r="G1117" s="59"/>
      <c r="H1117" s="59"/>
      <c r="I1117" s="59"/>
      <c r="J1117" s="59"/>
    </row>
    <row r="1118" spans="1:10" ht="42.75" x14ac:dyDescent="0.2">
      <c r="A1118" s="3" t="s">
        <v>1725</v>
      </c>
      <c r="B1118" s="3" t="s">
        <v>382</v>
      </c>
      <c r="C1118" s="3" t="s">
        <v>8</v>
      </c>
      <c r="D1118" s="3" t="s">
        <v>1726</v>
      </c>
      <c r="E1118" s="3" t="s">
        <v>1726</v>
      </c>
      <c r="F1118" s="1" t="s">
        <v>383</v>
      </c>
      <c r="G1118" s="1">
        <v>0</v>
      </c>
      <c r="H1118" s="1">
        <v>1000</v>
      </c>
      <c r="I1118" s="1">
        <v>1</v>
      </c>
      <c r="J1118" s="1">
        <v>0</v>
      </c>
    </row>
    <row r="1119" spans="1:10" ht="28.5" x14ac:dyDescent="0.2">
      <c r="A1119" s="3" t="s">
        <v>1727</v>
      </c>
      <c r="B1119" s="3" t="s">
        <v>385</v>
      </c>
      <c r="C1119" s="3" t="s">
        <v>8</v>
      </c>
      <c r="D1119" s="3" t="s">
        <v>1728</v>
      </c>
      <c r="E1119" s="3" t="s">
        <v>1728</v>
      </c>
      <c r="F1119" s="1" t="s">
        <v>387</v>
      </c>
      <c r="G1119" s="1">
        <v>0</v>
      </c>
      <c r="H1119" s="1">
        <v>1000</v>
      </c>
      <c r="I1119" s="1">
        <v>1</v>
      </c>
      <c r="J1119" s="1">
        <v>0</v>
      </c>
    </row>
    <row r="1120" spans="1:10" x14ac:dyDescent="0.2">
      <c r="A1120" s="46" t="s">
        <v>1729</v>
      </c>
      <c r="B1120" s="4" t="s">
        <v>414</v>
      </c>
      <c r="C1120" s="46" t="s">
        <v>8</v>
      </c>
      <c r="D1120" s="46" t="s">
        <v>1730</v>
      </c>
      <c r="E1120" s="46" t="s">
        <v>1730</v>
      </c>
      <c r="F1120" s="58" t="s">
        <v>416</v>
      </c>
      <c r="G1120" s="58">
        <v>0</v>
      </c>
      <c r="H1120" s="58">
        <v>1000</v>
      </c>
      <c r="I1120" s="58">
        <v>1</v>
      </c>
      <c r="J1120" s="58">
        <v>0</v>
      </c>
    </row>
    <row r="1121" spans="1:10" x14ac:dyDescent="0.2">
      <c r="A1121" s="47"/>
      <c r="B1121" s="5" t="s">
        <v>415</v>
      </c>
      <c r="C1121" s="47"/>
      <c r="D1121" s="47"/>
      <c r="E1121" s="47"/>
      <c r="F1121" s="59"/>
      <c r="G1121" s="59"/>
      <c r="H1121" s="59"/>
      <c r="I1121" s="59"/>
      <c r="J1121" s="59"/>
    </row>
    <row r="1122" spans="1:10" x14ac:dyDescent="0.2">
      <c r="A1122" s="3" t="s">
        <v>1731</v>
      </c>
      <c r="B1122" s="3" t="s">
        <v>296</v>
      </c>
      <c r="C1122" s="3" t="s">
        <v>8</v>
      </c>
      <c r="D1122" s="3" t="s">
        <v>1732</v>
      </c>
      <c r="E1122" s="3"/>
      <c r="F1122" s="1" t="s">
        <v>297</v>
      </c>
      <c r="G1122" s="1">
        <v>0</v>
      </c>
      <c r="H1122" s="1">
        <v>1852</v>
      </c>
      <c r="I1122" s="1">
        <v>3600</v>
      </c>
      <c r="J1122" s="1">
        <v>0</v>
      </c>
    </row>
    <row r="1123" spans="1:10" x14ac:dyDescent="0.2">
      <c r="A1123" s="46" t="s">
        <v>1733</v>
      </c>
      <c r="B1123" s="4" t="s">
        <v>404</v>
      </c>
      <c r="C1123" s="46" t="s">
        <v>8</v>
      </c>
      <c r="D1123" s="46" t="s">
        <v>1734</v>
      </c>
      <c r="E1123" s="46" t="s">
        <v>1734</v>
      </c>
      <c r="F1123" s="58" t="s">
        <v>403</v>
      </c>
      <c r="G1123" s="58">
        <v>0</v>
      </c>
      <c r="H1123" s="58">
        <v>1000</v>
      </c>
      <c r="I1123" s="58">
        <v>1</v>
      </c>
      <c r="J1123" s="58">
        <v>0</v>
      </c>
    </row>
    <row r="1124" spans="1:10" x14ac:dyDescent="0.2">
      <c r="A1124" s="47"/>
      <c r="B1124" s="5" t="s">
        <v>405</v>
      </c>
      <c r="C1124" s="47"/>
      <c r="D1124" s="47"/>
      <c r="E1124" s="47"/>
      <c r="F1124" s="59"/>
      <c r="G1124" s="59"/>
      <c r="H1124" s="59"/>
      <c r="I1124" s="59"/>
      <c r="J1124" s="59"/>
    </row>
    <row r="1125" spans="1:10" ht="28.5" x14ac:dyDescent="0.2">
      <c r="A1125" s="3" t="s">
        <v>1735</v>
      </c>
      <c r="B1125" s="3" t="s">
        <v>408</v>
      </c>
      <c r="C1125" s="3" t="s">
        <v>8</v>
      </c>
      <c r="D1125" s="3" t="s">
        <v>1736</v>
      </c>
      <c r="E1125" s="3" t="s">
        <v>1736</v>
      </c>
      <c r="F1125" s="1" t="s">
        <v>409</v>
      </c>
      <c r="G1125" s="1">
        <v>0</v>
      </c>
      <c r="H1125" s="1">
        <v>1000</v>
      </c>
      <c r="I1125" s="1">
        <v>1</v>
      </c>
      <c r="J1125" s="1">
        <v>0</v>
      </c>
    </row>
    <row r="1126" spans="1:10" x14ac:dyDescent="0.2">
      <c r="A1126" s="46" t="s">
        <v>1737</v>
      </c>
      <c r="B1126" s="4" t="s">
        <v>414</v>
      </c>
      <c r="C1126" s="46" t="s">
        <v>8</v>
      </c>
      <c r="D1126" s="46" t="s">
        <v>1738</v>
      </c>
      <c r="E1126" s="46" t="s">
        <v>1738</v>
      </c>
      <c r="F1126" s="58" t="s">
        <v>416</v>
      </c>
      <c r="G1126" s="58">
        <v>0</v>
      </c>
      <c r="H1126" s="58">
        <v>1000</v>
      </c>
      <c r="I1126" s="58">
        <v>1</v>
      </c>
      <c r="J1126" s="58">
        <v>0</v>
      </c>
    </row>
    <row r="1127" spans="1:10" x14ac:dyDescent="0.2">
      <c r="A1127" s="47"/>
      <c r="B1127" s="5" t="s">
        <v>415</v>
      </c>
      <c r="C1127" s="47"/>
      <c r="D1127" s="47"/>
      <c r="E1127" s="47"/>
      <c r="F1127" s="59"/>
      <c r="G1127" s="59"/>
      <c r="H1127" s="59"/>
      <c r="I1127" s="59"/>
      <c r="J1127" s="59"/>
    </row>
    <row r="1128" spans="1:10" ht="42.75" x14ac:dyDescent="0.2">
      <c r="A1128" s="3" t="s">
        <v>1739</v>
      </c>
      <c r="B1128" s="3" t="s">
        <v>246</v>
      </c>
      <c r="C1128" s="3" t="s">
        <v>8</v>
      </c>
      <c r="D1128" s="3" t="s">
        <v>1740</v>
      </c>
      <c r="E1128" s="3" t="s">
        <v>1740</v>
      </c>
      <c r="F1128" s="1" t="s">
        <v>247</v>
      </c>
      <c r="G1128" s="1">
        <v>0</v>
      </c>
      <c r="H1128" s="1">
        <v>1000</v>
      </c>
      <c r="I1128" s="1">
        <v>1</v>
      </c>
      <c r="J1128" s="1">
        <v>0</v>
      </c>
    </row>
    <row r="1129" spans="1:10" x14ac:dyDescent="0.2">
      <c r="A1129" s="46" t="s">
        <v>1741</v>
      </c>
      <c r="B1129" s="4" t="s">
        <v>389</v>
      </c>
      <c r="C1129" s="46" t="s">
        <v>8</v>
      </c>
      <c r="D1129" s="46" t="s">
        <v>1742</v>
      </c>
      <c r="E1129" s="46" t="s">
        <v>1743</v>
      </c>
      <c r="F1129" s="58" t="s">
        <v>391</v>
      </c>
      <c r="G1129" s="58">
        <v>0</v>
      </c>
      <c r="H1129" s="58">
        <v>10</v>
      </c>
      <c r="I1129" s="58">
        <v>1</v>
      </c>
      <c r="J1129" s="58">
        <v>0</v>
      </c>
    </row>
    <row r="1130" spans="1:10" x14ac:dyDescent="0.2">
      <c r="A1130" s="47"/>
      <c r="B1130" s="5" t="s">
        <v>390</v>
      </c>
      <c r="C1130" s="47"/>
      <c r="D1130" s="47"/>
      <c r="E1130" s="47"/>
      <c r="F1130" s="59"/>
      <c r="G1130" s="59"/>
      <c r="H1130" s="59"/>
      <c r="I1130" s="59"/>
      <c r="J1130" s="59"/>
    </row>
    <row r="1131" spans="1:10" ht="28.5" x14ac:dyDescent="0.2">
      <c r="A1131" s="3" t="s">
        <v>1744</v>
      </c>
      <c r="B1131" s="3" t="s">
        <v>435</v>
      </c>
      <c r="C1131" s="3" t="s">
        <v>8</v>
      </c>
      <c r="D1131" s="3" t="s">
        <v>1745</v>
      </c>
      <c r="E1131" s="3" t="s">
        <v>1745</v>
      </c>
      <c r="F1131" s="1" t="s">
        <v>436</v>
      </c>
      <c r="G1131" s="1">
        <v>0</v>
      </c>
      <c r="H1131" s="1">
        <v>1000</v>
      </c>
      <c r="I1131" s="1">
        <v>3600</v>
      </c>
      <c r="J1131" s="1">
        <v>0</v>
      </c>
    </row>
    <row r="1132" spans="1:10" x14ac:dyDescent="0.2">
      <c r="A1132" s="46" t="s">
        <v>1746</v>
      </c>
      <c r="B1132" s="4" t="s">
        <v>389</v>
      </c>
      <c r="C1132" s="46" t="s">
        <v>8</v>
      </c>
      <c r="D1132" s="46" t="s">
        <v>1747</v>
      </c>
      <c r="E1132" s="46" t="s">
        <v>1747</v>
      </c>
      <c r="F1132" s="58" t="s">
        <v>391</v>
      </c>
      <c r="G1132" s="58">
        <v>0</v>
      </c>
      <c r="H1132" s="58">
        <v>1000</v>
      </c>
      <c r="I1132" s="58">
        <v>1</v>
      </c>
      <c r="J1132" s="58">
        <v>0</v>
      </c>
    </row>
    <row r="1133" spans="1:10" x14ac:dyDescent="0.2">
      <c r="A1133" s="47"/>
      <c r="B1133" s="5" t="s">
        <v>390</v>
      </c>
      <c r="C1133" s="47"/>
      <c r="D1133" s="47"/>
      <c r="E1133" s="47"/>
      <c r="F1133" s="59"/>
      <c r="G1133" s="59"/>
      <c r="H1133" s="59"/>
      <c r="I1133" s="59"/>
      <c r="J1133" s="59"/>
    </row>
    <row r="1134" spans="1:10" ht="28.5" x14ac:dyDescent="0.2">
      <c r="A1134" s="3" t="s">
        <v>1748</v>
      </c>
      <c r="B1134" s="3" t="s">
        <v>435</v>
      </c>
      <c r="C1134" s="3" t="s">
        <v>8</v>
      </c>
      <c r="D1134" s="3" t="s">
        <v>1749</v>
      </c>
      <c r="E1134" s="3" t="s">
        <v>1749</v>
      </c>
      <c r="F1134" s="1" t="s">
        <v>436</v>
      </c>
      <c r="G1134" s="1">
        <v>0</v>
      </c>
      <c r="H1134" s="1">
        <v>1000</v>
      </c>
      <c r="I1134" s="1">
        <v>60</v>
      </c>
      <c r="J1134" s="1">
        <v>0</v>
      </c>
    </row>
    <row r="1135" spans="1:10" ht="28.5" x14ac:dyDescent="0.2">
      <c r="A1135" s="3" t="s">
        <v>1750</v>
      </c>
      <c r="B1135" s="3" t="s">
        <v>438</v>
      </c>
      <c r="C1135" s="3" t="s">
        <v>8</v>
      </c>
      <c r="D1135" s="3" t="s">
        <v>1751</v>
      </c>
      <c r="E1135" s="3" t="s">
        <v>1751</v>
      </c>
      <c r="F1135" s="1" t="s">
        <v>439</v>
      </c>
      <c r="G1135" s="1">
        <v>0</v>
      </c>
      <c r="H1135" s="1">
        <v>1000000</v>
      </c>
      <c r="I1135" s="1">
        <v>1</v>
      </c>
      <c r="J1135" s="1">
        <v>0</v>
      </c>
    </row>
    <row r="1136" spans="1:10" ht="71.25" x14ac:dyDescent="0.2">
      <c r="A1136" s="3" t="s">
        <v>1752</v>
      </c>
      <c r="B1136" s="3" t="s">
        <v>736</v>
      </c>
      <c r="C1136" s="3" t="s">
        <v>8</v>
      </c>
      <c r="D1136" s="3" t="s">
        <v>1753</v>
      </c>
      <c r="E1136" s="3" t="s">
        <v>1753</v>
      </c>
      <c r="F1136" s="1" t="s">
        <v>436</v>
      </c>
      <c r="G1136" s="1">
        <v>0</v>
      </c>
      <c r="H1136" s="1">
        <v>1000000000</v>
      </c>
      <c r="I1136" s="1">
        <v>1</v>
      </c>
      <c r="J1136" s="1">
        <v>0</v>
      </c>
    </row>
    <row r="1137" spans="1:10" ht="85.5" x14ac:dyDescent="0.2">
      <c r="A1137" s="3" t="s">
        <v>1754</v>
      </c>
      <c r="B1137" s="3" t="s">
        <v>736</v>
      </c>
      <c r="C1137" s="3" t="s">
        <v>8</v>
      </c>
      <c r="D1137" s="3" t="s">
        <v>1755</v>
      </c>
      <c r="E1137" s="3"/>
      <c r="F1137" s="1" t="s">
        <v>436</v>
      </c>
      <c r="G1137" s="1">
        <v>0</v>
      </c>
      <c r="H1137" s="1">
        <v>1000000</v>
      </c>
      <c r="I1137" s="1">
        <v>1</v>
      </c>
      <c r="J1137" s="1">
        <v>0</v>
      </c>
    </row>
    <row r="1138" spans="1:10" x14ac:dyDescent="0.2">
      <c r="A1138" s="46" t="s">
        <v>1756</v>
      </c>
      <c r="B1138" s="4" t="s">
        <v>414</v>
      </c>
      <c r="C1138" s="46" t="s">
        <v>8</v>
      </c>
      <c r="D1138" s="46" t="s">
        <v>1757</v>
      </c>
      <c r="E1138" s="46"/>
      <c r="F1138" s="58" t="s">
        <v>416</v>
      </c>
      <c r="G1138" s="58">
        <v>0</v>
      </c>
      <c r="H1138" s="58">
        <v>6894757</v>
      </c>
      <c r="I1138" s="58">
        <v>1</v>
      </c>
      <c r="J1138" s="58">
        <v>0</v>
      </c>
    </row>
    <row r="1139" spans="1:10" x14ac:dyDescent="0.2">
      <c r="A1139" s="47"/>
      <c r="B1139" s="5" t="s">
        <v>415</v>
      </c>
      <c r="C1139" s="47"/>
      <c r="D1139" s="47"/>
      <c r="E1139" s="47"/>
      <c r="F1139" s="59"/>
      <c r="G1139" s="59"/>
      <c r="H1139" s="59"/>
      <c r="I1139" s="59"/>
      <c r="J1139" s="59"/>
    </row>
    <row r="1140" spans="1:10" ht="71.25" x14ac:dyDescent="0.2">
      <c r="A1140" s="3" t="s">
        <v>1758</v>
      </c>
      <c r="B1140" s="3" t="s">
        <v>438</v>
      </c>
      <c r="C1140" s="3" t="s">
        <v>8</v>
      </c>
      <c r="D1140" s="3" t="s">
        <v>1759</v>
      </c>
      <c r="E1140" s="3"/>
      <c r="F1140" s="1" t="s">
        <v>439</v>
      </c>
      <c r="G1140" s="1">
        <v>0</v>
      </c>
      <c r="H1140" s="1">
        <v>47537674000000</v>
      </c>
      <c r="I1140" s="1">
        <v>1</v>
      </c>
      <c r="J1140" s="1">
        <v>0</v>
      </c>
    </row>
    <row r="1141" spans="1:10" x14ac:dyDescent="0.2">
      <c r="A1141" s="3" t="s">
        <v>1760</v>
      </c>
      <c r="B1141" s="3" t="s">
        <v>443</v>
      </c>
      <c r="C1141" s="3" t="s">
        <v>8</v>
      </c>
      <c r="D1141" s="3" t="s">
        <v>1761</v>
      </c>
      <c r="E1141" s="3"/>
      <c r="F1141" s="1" t="s">
        <v>444</v>
      </c>
      <c r="G1141" s="1">
        <v>0</v>
      </c>
      <c r="H1141" s="1">
        <v>1000</v>
      </c>
      <c r="I1141" s="1">
        <v>1</v>
      </c>
      <c r="J1141" s="1">
        <v>0</v>
      </c>
    </row>
    <row r="1142" spans="1:10" x14ac:dyDescent="0.2">
      <c r="A1142" s="46" t="s">
        <v>1762</v>
      </c>
      <c r="B1142" s="4" t="s">
        <v>463</v>
      </c>
      <c r="C1142" s="46" t="s">
        <v>8</v>
      </c>
      <c r="D1142" s="46" t="s">
        <v>1763</v>
      </c>
      <c r="E1142" s="46" t="s">
        <v>1763</v>
      </c>
      <c r="F1142" s="58" t="s">
        <v>466</v>
      </c>
      <c r="G1142" s="58">
        <v>0</v>
      </c>
      <c r="H1142" s="58">
        <v>1000</v>
      </c>
      <c r="I1142" s="58">
        <v>1</v>
      </c>
      <c r="J1142" s="58">
        <v>0</v>
      </c>
    </row>
    <row r="1143" spans="1:10" x14ac:dyDescent="0.2">
      <c r="A1143" s="48"/>
      <c r="B1143" s="6" t="s">
        <v>464</v>
      </c>
      <c r="C1143" s="48"/>
      <c r="D1143" s="48"/>
      <c r="E1143" s="48"/>
      <c r="F1143" s="60"/>
      <c r="G1143" s="60"/>
      <c r="H1143" s="60"/>
      <c r="I1143" s="60"/>
      <c r="J1143" s="60"/>
    </row>
    <row r="1144" spans="1:10" x14ac:dyDescent="0.2">
      <c r="A1144" s="47"/>
      <c r="B1144" s="5" t="s">
        <v>465</v>
      </c>
      <c r="C1144" s="47"/>
      <c r="D1144" s="47"/>
      <c r="E1144" s="47"/>
      <c r="F1144" s="59"/>
      <c r="G1144" s="59"/>
      <c r="H1144" s="59"/>
      <c r="I1144" s="59"/>
      <c r="J1144" s="59"/>
    </row>
    <row r="1145" spans="1:10" ht="71.25" x14ac:dyDescent="0.2">
      <c r="A1145" s="3" t="s">
        <v>1764</v>
      </c>
      <c r="B1145" s="3" t="s">
        <v>484</v>
      </c>
      <c r="C1145" s="3" t="s">
        <v>8</v>
      </c>
      <c r="D1145" s="3" t="s">
        <v>1765</v>
      </c>
      <c r="E1145" s="3"/>
      <c r="F1145" s="1" t="s">
        <v>494</v>
      </c>
      <c r="G1145" s="1">
        <v>0</v>
      </c>
      <c r="H1145" s="1">
        <v>1000</v>
      </c>
      <c r="I1145" s="1">
        <v>1</v>
      </c>
      <c r="J1145" s="1">
        <v>0</v>
      </c>
    </row>
    <row r="1146" spans="1:10" ht="57" x14ac:dyDescent="0.2">
      <c r="A1146" s="3" t="s">
        <v>1766</v>
      </c>
      <c r="B1146" s="3" t="s">
        <v>501</v>
      </c>
      <c r="C1146" s="3" t="s">
        <v>8</v>
      </c>
      <c r="D1146" s="3" t="s">
        <v>1767</v>
      </c>
      <c r="E1146" s="3"/>
      <c r="F1146" s="1" t="s">
        <v>502</v>
      </c>
      <c r="G1146" s="1">
        <v>0</v>
      </c>
      <c r="H1146" s="1">
        <v>1000</v>
      </c>
      <c r="I1146" s="1">
        <v>86400</v>
      </c>
      <c r="J1146" s="1">
        <v>0</v>
      </c>
    </row>
    <row r="1147" spans="1:10" ht="71.25" x14ac:dyDescent="0.2">
      <c r="A1147" s="3" t="s">
        <v>1768</v>
      </c>
      <c r="B1147" s="3" t="s">
        <v>659</v>
      </c>
      <c r="C1147" s="3" t="s">
        <v>8</v>
      </c>
      <c r="D1147" s="3" t="s">
        <v>1769</v>
      </c>
      <c r="E1147" s="3"/>
      <c r="F1147" s="1" t="s">
        <v>131</v>
      </c>
      <c r="G1147" s="1">
        <v>0</v>
      </c>
      <c r="H1147" s="1">
        <v>1000</v>
      </c>
      <c r="I1147" s="1">
        <v>1</v>
      </c>
      <c r="J1147" s="1">
        <v>0</v>
      </c>
    </row>
    <row r="1148" spans="1:10" x14ac:dyDescent="0.2">
      <c r="A1148" s="3" t="s">
        <v>1770</v>
      </c>
      <c r="B1148" s="3" t="s">
        <v>521</v>
      </c>
      <c r="C1148" s="3" t="s">
        <v>8</v>
      </c>
      <c r="D1148" s="3" t="s">
        <v>1771</v>
      </c>
      <c r="E1148" s="3" t="s">
        <v>1771</v>
      </c>
      <c r="F1148" s="1" t="s">
        <v>522</v>
      </c>
      <c r="G1148" s="1">
        <v>0</v>
      </c>
      <c r="H1148" s="1">
        <v>1000</v>
      </c>
      <c r="I1148" s="1">
        <v>1</v>
      </c>
      <c r="J1148" s="1">
        <v>0</v>
      </c>
    </row>
    <row r="1149" spans="1:10" x14ac:dyDescent="0.2">
      <c r="A1149" s="46" t="s">
        <v>1772</v>
      </c>
      <c r="B1149" s="4" t="s">
        <v>531</v>
      </c>
      <c r="C1149" s="46" t="s">
        <v>8</v>
      </c>
      <c r="D1149" s="46" t="s">
        <v>1773</v>
      </c>
      <c r="E1149" s="46" t="s">
        <v>1773</v>
      </c>
      <c r="F1149" s="58" t="s">
        <v>533</v>
      </c>
      <c r="G1149" s="58">
        <v>0</v>
      </c>
      <c r="H1149" s="58">
        <v>1000</v>
      </c>
      <c r="I1149" s="58">
        <v>1</v>
      </c>
      <c r="J1149" s="58">
        <v>0</v>
      </c>
    </row>
    <row r="1150" spans="1:10" x14ac:dyDescent="0.2">
      <c r="A1150" s="47"/>
      <c r="B1150" s="5" t="s">
        <v>532</v>
      </c>
      <c r="C1150" s="47"/>
      <c r="D1150" s="47"/>
      <c r="E1150" s="47"/>
      <c r="F1150" s="59"/>
      <c r="G1150" s="59"/>
      <c r="H1150" s="59"/>
      <c r="I1150" s="59"/>
      <c r="J1150" s="59"/>
    </row>
    <row r="1151" spans="1:10" x14ac:dyDescent="0.2">
      <c r="A1151" s="46" t="s">
        <v>1774</v>
      </c>
      <c r="B1151" s="4" t="s">
        <v>166</v>
      </c>
      <c r="C1151" s="46" t="s">
        <v>8</v>
      </c>
      <c r="D1151" s="46" t="s">
        <v>1775</v>
      </c>
      <c r="E1151" s="46" t="s">
        <v>1775</v>
      </c>
      <c r="F1151" s="58" t="s">
        <v>168</v>
      </c>
      <c r="G1151" s="58">
        <v>0</v>
      </c>
      <c r="H1151" s="58">
        <v>3600000</v>
      </c>
      <c r="I1151" s="58">
        <v>1</v>
      </c>
      <c r="J1151" s="58">
        <v>0</v>
      </c>
    </row>
    <row r="1152" spans="1:10" x14ac:dyDescent="0.2">
      <c r="A1152" s="47"/>
      <c r="B1152" s="5" t="s">
        <v>167</v>
      </c>
      <c r="C1152" s="47"/>
      <c r="D1152" s="47"/>
      <c r="E1152" s="47"/>
      <c r="F1152" s="59"/>
      <c r="G1152" s="59"/>
      <c r="H1152" s="59"/>
      <c r="I1152" s="59"/>
      <c r="J1152" s="59"/>
    </row>
    <row r="1153" spans="1:10" x14ac:dyDescent="0.2">
      <c r="A1153" s="46" t="s">
        <v>1776</v>
      </c>
      <c r="B1153" s="4" t="s">
        <v>181</v>
      </c>
      <c r="C1153" s="46" t="s">
        <v>8</v>
      </c>
      <c r="D1153" s="46" t="s">
        <v>1777</v>
      </c>
      <c r="E1153" s="46" t="s">
        <v>1777</v>
      </c>
      <c r="F1153" s="58" t="s">
        <v>190</v>
      </c>
      <c r="G1153" s="58">
        <v>0</v>
      </c>
      <c r="H1153" s="58">
        <v>3600000</v>
      </c>
      <c r="I1153" s="58">
        <v>1E-3</v>
      </c>
      <c r="J1153" s="58">
        <v>0</v>
      </c>
    </row>
    <row r="1154" spans="1:10" x14ac:dyDescent="0.2">
      <c r="A1154" s="48"/>
      <c r="B1154" s="6" t="s">
        <v>182</v>
      </c>
      <c r="C1154" s="48"/>
      <c r="D1154" s="48"/>
      <c r="E1154" s="48"/>
      <c r="F1154" s="60"/>
      <c r="G1154" s="60"/>
      <c r="H1154" s="60"/>
      <c r="I1154" s="60"/>
      <c r="J1154" s="60"/>
    </row>
    <row r="1155" spans="1:10" x14ac:dyDescent="0.2">
      <c r="A1155" s="48"/>
      <c r="B1155" s="6" t="s">
        <v>183</v>
      </c>
      <c r="C1155" s="48"/>
      <c r="D1155" s="48"/>
      <c r="E1155" s="48"/>
      <c r="F1155" s="60"/>
      <c r="G1155" s="60"/>
      <c r="H1155" s="60"/>
      <c r="I1155" s="60"/>
      <c r="J1155" s="60"/>
    </row>
    <row r="1156" spans="1:10" x14ac:dyDescent="0.2">
      <c r="A1156" s="48"/>
      <c r="B1156" s="6" t="s">
        <v>184</v>
      </c>
      <c r="C1156" s="48"/>
      <c r="D1156" s="48"/>
      <c r="E1156" s="48"/>
      <c r="F1156" s="60"/>
      <c r="G1156" s="60"/>
      <c r="H1156" s="60"/>
      <c r="I1156" s="60"/>
      <c r="J1156" s="60"/>
    </row>
    <row r="1157" spans="1:10" x14ac:dyDescent="0.2">
      <c r="A1157" s="48"/>
      <c r="B1157" s="6" t="s">
        <v>185</v>
      </c>
      <c r="C1157" s="48"/>
      <c r="D1157" s="48"/>
      <c r="E1157" s="48"/>
      <c r="F1157" s="60"/>
      <c r="G1157" s="60"/>
      <c r="H1157" s="60"/>
      <c r="I1157" s="60"/>
      <c r="J1157" s="60"/>
    </row>
    <row r="1158" spans="1:10" x14ac:dyDescent="0.2">
      <c r="A1158" s="48"/>
      <c r="B1158" s="6" t="s">
        <v>186</v>
      </c>
      <c r="C1158" s="48"/>
      <c r="D1158" s="48"/>
      <c r="E1158" s="48"/>
      <c r="F1158" s="60"/>
      <c r="G1158" s="60"/>
      <c r="H1158" s="60"/>
      <c r="I1158" s="60"/>
      <c r="J1158" s="60"/>
    </row>
    <row r="1159" spans="1:10" x14ac:dyDescent="0.2">
      <c r="A1159" s="48"/>
      <c r="B1159" s="6" t="s">
        <v>187</v>
      </c>
      <c r="C1159" s="48"/>
      <c r="D1159" s="48"/>
      <c r="E1159" s="48"/>
      <c r="F1159" s="60"/>
      <c r="G1159" s="60"/>
      <c r="H1159" s="60"/>
      <c r="I1159" s="60"/>
      <c r="J1159" s="60"/>
    </row>
    <row r="1160" spans="1:10" x14ac:dyDescent="0.2">
      <c r="A1160" s="48"/>
      <c r="B1160" s="6" t="s">
        <v>188</v>
      </c>
      <c r="C1160" s="48"/>
      <c r="D1160" s="48"/>
      <c r="E1160" s="48"/>
      <c r="F1160" s="60"/>
      <c r="G1160" s="60"/>
      <c r="H1160" s="60"/>
      <c r="I1160" s="60"/>
      <c r="J1160" s="60"/>
    </row>
    <row r="1161" spans="1:10" x14ac:dyDescent="0.2">
      <c r="A1161" s="47"/>
      <c r="B1161" s="5" t="s">
        <v>189</v>
      </c>
      <c r="C1161" s="47"/>
      <c r="D1161" s="47"/>
      <c r="E1161" s="47"/>
      <c r="F1161" s="59"/>
      <c r="G1161" s="59"/>
      <c r="H1161" s="59"/>
      <c r="I1161" s="59"/>
      <c r="J1161" s="59"/>
    </row>
    <row r="1162" spans="1:10" ht="42.75" x14ac:dyDescent="0.2">
      <c r="A1162" s="3" t="s">
        <v>1778</v>
      </c>
      <c r="B1162" s="3" t="s">
        <v>174</v>
      </c>
      <c r="C1162" s="3" t="s">
        <v>8</v>
      </c>
      <c r="D1162" s="3" t="s">
        <v>1779</v>
      </c>
      <c r="E1162" s="3" t="s">
        <v>1779</v>
      </c>
      <c r="F1162" s="1" t="s">
        <v>175</v>
      </c>
      <c r="G1162" s="1">
        <v>0</v>
      </c>
      <c r="H1162" s="1">
        <v>3600000</v>
      </c>
      <c r="I1162" s="1">
        <v>1</v>
      </c>
      <c r="J1162" s="1">
        <v>0</v>
      </c>
    </row>
    <row r="1163" spans="1:10" x14ac:dyDescent="0.2">
      <c r="A1163" s="46" t="s">
        <v>1780</v>
      </c>
      <c r="B1163" s="4" t="s">
        <v>177</v>
      </c>
      <c r="C1163" s="46" t="s">
        <v>8</v>
      </c>
      <c r="D1163" s="46" t="s">
        <v>1781</v>
      </c>
      <c r="E1163" s="46" t="s">
        <v>1781</v>
      </c>
      <c r="F1163" s="58" t="s">
        <v>179</v>
      </c>
      <c r="G1163" s="58">
        <v>0</v>
      </c>
      <c r="H1163" s="58">
        <v>3600000</v>
      </c>
      <c r="I1163" s="58">
        <v>1</v>
      </c>
      <c r="J1163" s="58">
        <v>0</v>
      </c>
    </row>
    <row r="1164" spans="1:10" x14ac:dyDescent="0.2">
      <c r="A1164" s="47"/>
      <c r="B1164" s="5" t="s">
        <v>178</v>
      </c>
      <c r="C1164" s="47"/>
      <c r="D1164" s="47"/>
      <c r="E1164" s="47"/>
      <c r="F1164" s="59"/>
      <c r="G1164" s="59"/>
      <c r="H1164" s="59"/>
      <c r="I1164" s="59"/>
      <c r="J1164" s="59"/>
    </row>
    <row r="1165" spans="1:10" x14ac:dyDescent="0.2">
      <c r="A1165" s="46" t="s">
        <v>1782</v>
      </c>
      <c r="B1165" s="4" t="s">
        <v>181</v>
      </c>
      <c r="C1165" s="46" t="s">
        <v>8</v>
      </c>
      <c r="D1165" s="46" t="s">
        <v>1783</v>
      </c>
      <c r="E1165" s="46" t="s">
        <v>1783</v>
      </c>
      <c r="F1165" s="58" t="s">
        <v>190</v>
      </c>
      <c r="G1165" s="58">
        <v>0</v>
      </c>
      <c r="H1165" s="58">
        <v>3600000</v>
      </c>
      <c r="I1165" s="58">
        <v>1</v>
      </c>
      <c r="J1165" s="58">
        <v>0</v>
      </c>
    </row>
    <row r="1166" spans="1:10" x14ac:dyDescent="0.2">
      <c r="A1166" s="48"/>
      <c r="B1166" s="6" t="s">
        <v>182</v>
      </c>
      <c r="C1166" s="48"/>
      <c r="D1166" s="48"/>
      <c r="E1166" s="48"/>
      <c r="F1166" s="60"/>
      <c r="G1166" s="60"/>
      <c r="H1166" s="60"/>
      <c r="I1166" s="60"/>
      <c r="J1166" s="60"/>
    </row>
    <row r="1167" spans="1:10" x14ac:dyDescent="0.2">
      <c r="A1167" s="48"/>
      <c r="B1167" s="6" t="s">
        <v>183</v>
      </c>
      <c r="C1167" s="48"/>
      <c r="D1167" s="48"/>
      <c r="E1167" s="48"/>
      <c r="F1167" s="60"/>
      <c r="G1167" s="60"/>
      <c r="H1167" s="60"/>
      <c r="I1167" s="60"/>
      <c r="J1167" s="60"/>
    </row>
    <row r="1168" spans="1:10" x14ac:dyDescent="0.2">
      <c r="A1168" s="48"/>
      <c r="B1168" s="6" t="s">
        <v>184</v>
      </c>
      <c r="C1168" s="48"/>
      <c r="D1168" s="48"/>
      <c r="E1168" s="48"/>
      <c r="F1168" s="60"/>
      <c r="G1168" s="60"/>
      <c r="H1168" s="60"/>
      <c r="I1168" s="60"/>
      <c r="J1168" s="60"/>
    </row>
    <row r="1169" spans="1:10" x14ac:dyDescent="0.2">
      <c r="A1169" s="48"/>
      <c r="B1169" s="6" t="s">
        <v>185</v>
      </c>
      <c r="C1169" s="48"/>
      <c r="D1169" s="48"/>
      <c r="E1169" s="48"/>
      <c r="F1169" s="60"/>
      <c r="G1169" s="60"/>
      <c r="H1169" s="60"/>
      <c r="I1169" s="60"/>
      <c r="J1169" s="60"/>
    </row>
    <row r="1170" spans="1:10" x14ac:dyDescent="0.2">
      <c r="A1170" s="48"/>
      <c r="B1170" s="6" t="s">
        <v>186</v>
      </c>
      <c r="C1170" s="48"/>
      <c r="D1170" s="48"/>
      <c r="E1170" s="48"/>
      <c r="F1170" s="60"/>
      <c r="G1170" s="60"/>
      <c r="H1170" s="60"/>
      <c r="I1170" s="60"/>
      <c r="J1170" s="60"/>
    </row>
    <row r="1171" spans="1:10" x14ac:dyDescent="0.2">
      <c r="A1171" s="48"/>
      <c r="B1171" s="6" t="s">
        <v>187</v>
      </c>
      <c r="C1171" s="48"/>
      <c r="D1171" s="48"/>
      <c r="E1171" s="48"/>
      <c r="F1171" s="60"/>
      <c r="G1171" s="60"/>
      <c r="H1171" s="60"/>
      <c r="I1171" s="60"/>
      <c r="J1171" s="60"/>
    </row>
    <row r="1172" spans="1:10" x14ac:dyDescent="0.2">
      <c r="A1172" s="48"/>
      <c r="B1172" s="6" t="s">
        <v>188</v>
      </c>
      <c r="C1172" s="48"/>
      <c r="D1172" s="48"/>
      <c r="E1172" s="48"/>
      <c r="F1172" s="60"/>
      <c r="G1172" s="60"/>
      <c r="H1172" s="60"/>
      <c r="I1172" s="60"/>
      <c r="J1172" s="60"/>
    </row>
    <row r="1173" spans="1:10" x14ac:dyDescent="0.2">
      <c r="A1173" s="47"/>
      <c r="B1173" s="5" t="s">
        <v>189</v>
      </c>
      <c r="C1173" s="47"/>
      <c r="D1173" s="47"/>
      <c r="E1173" s="47"/>
      <c r="F1173" s="59"/>
      <c r="G1173" s="59"/>
      <c r="H1173" s="59"/>
      <c r="I1173" s="59"/>
      <c r="J1173" s="59"/>
    </row>
    <row r="1174" spans="1:10" x14ac:dyDescent="0.2">
      <c r="A1174" s="46" t="s">
        <v>1784</v>
      </c>
      <c r="B1174" s="4" t="s">
        <v>543</v>
      </c>
      <c r="C1174" s="46" t="s">
        <v>8</v>
      </c>
      <c r="D1174" s="46" t="s">
        <v>1785</v>
      </c>
      <c r="E1174" s="46" t="s">
        <v>1785</v>
      </c>
      <c r="F1174" s="58" t="s">
        <v>551</v>
      </c>
      <c r="G1174" s="58">
        <v>0</v>
      </c>
      <c r="H1174" s="58">
        <v>10000000</v>
      </c>
      <c r="I1174" s="58">
        <v>1</v>
      </c>
      <c r="J1174" s="58">
        <v>0</v>
      </c>
    </row>
    <row r="1175" spans="1:10" x14ac:dyDescent="0.2">
      <c r="A1175" s="48"/>
      <c r="B1175" s="6" t="s">
        <v>544</v>
      </c>
      <c r="C1175" s="48"/>
      <c r="D1175" s="48"/>
      <c r="E1175" s="48"/>
      <c r="F1175" s="60"/>
      <c r="G1175" s="60"/>
      <c r="H1175" s="60"/>
      <c r="I1175" s="60"/>
      <c r="J1175" s="60"/>
    </row>
    <row r="1176" spans="1:10" x14ac:dyDescent="0.2">
      <c r="A1176" s="48"/>
      <c r="B1176" s="6" t="s">
        <v>545</v>
      </c>
      <c r="C1176" s="48"/>
      <c r="D1176" s="48"/>
      <c r="E1176" s="48"/>
      <c r="F1176" s="60"/>
      <c r="G1176" s="60"/>
      <c r="H1176" s="60"/>
      <c r="I1176" s="60"/>
      <c r="J1176" s="60"/>
    </row>
    <row r="1177" spans="1:10" x14ac:dyDescent="0.2">
      <c r="A1177" s="48"/>
      <c r="B1177" s="6" t="s">
        <v>546</v>
      </c>
      <c r="C1177" s="48"/>
      <c r="D1177" s="48"/>
      <c r="E1177" s="48"/>
      <c r="F1177" s="60"/>
      <c r="G1177" s="60"/>
      <c r="H1177" s="60"/>
      <c r="I1177" s="60"/>
      <c r="J1177" s="60"/>
    </row>
    <row r="1178" spans="1:10" x14ac:dyDescent="0.2">
      <c r="A1178" s="48"/>
      <c r="B1178" s="6" t="s">
        <v>547</v>
      </c>
      <c r="C1178" s="48"/>
      <c r="D1178" s="48"/>
      <c r="E1178" s="48"/>
      <c r="F1178" s="60"/>
      <c r="G1178" s="60"/>
      <c r="H1178" s="60"/>
      <c r="I1178" s="60"/>
      <c r="J1178" s="60"/>
    </row>
    <row r="1179" spans="1:10" x14ac:dyDescent="0.2">
      <c r="A1179" s="48"/>
      <c r="B1179" s="6" t="s">
        <v>548</v>
      </c>
      <c r="C1179" s="48"/>
      <c r="D1179" s="48"/>
      <c r="E1179" s="48"/>
      <c r="F1179" s="60"/>
      <c r="G1179" s="60"/>
      <c r="H1179" s="60"/>
      <c r="I1179" s="60"/>
      <c r="J1179" s="60"/>
    </row>
    <row r="1180" spans="1:10" x14ac:dyDescent="0.2">
      <c r="A1180" s="48"/>
      <c r="B1180" s="6" t="s">
        <v>549</v>
      </c>
      <c r="C1180" s="48"/>
      <c r="D1180" s="48"/>
      <c r="E1180" s="48"/>
      <c r="F1180" s="60"/>
      <c r="G1180" s="60"/>
      <c r="H1180" s="60"/>
      <c r="I1180" s="60"/>
      <c r="J1180" s="60"/>
    </row>
    <row r="1181" spans="1:10" x14ac:dyDescent="0.2">
      <c r="A1181" s="47"/>
      <c r="B1181" s="5" t="s">
        <v>550</v>
      </c>
      <c r="C1181" s="47"/>
      <c r="D1181" s="47"/>
      <c r="E1181" s="47"/>
      <c r="F1181" s="59"/>
      <c r="G1181" s="59"/>
      <c r="H1181" s="59"/>
      <c r="I1181" s="59"/>
      <c r="J1181" s="59"/>
    </row>
    <row r="1182" spans="1:10" x14ac:dyDescent="0.2">
      <c r="A1182" s="46" t="s">
        <v>1786</v>
      </c>
      <c r="B1182" s="4" t="s">
        <v>543</v>
      </c>
      <c r="C1182" s="46" t="s">
        <v>8</v>
      </c>
      <c r="D1182" s="46" t="s">
        <v>1787</v>
      </c>
      <c r="E1182" s="46" t="s">
        <v>1787</v>
      </c>
      <c r="F1182" s="58" t="s">
        <v>551</v>
      </c>
      <c r="G1182" s="58">
        <v>0</v>
      </c>
      <c r="H1182" s="58">
        <v>1000</v>
      </c>
      <c r="I1182" s="58">
        <v>1</v>
      </c>
      <c r="J1182" s="58">
        <v>0</v>
      </c>
    </row>
    <row r="1183" spans="1:10" x14ac:dyDescent="0.2">
      <c r="A1183" s="48"/>
      <c r="B1183" s="6" t="s">
        <v>544</v>
      </c>
      <c r="C1183" s="48"/>
      <c r="D1183" s="48"/>
      <c r="E1183" s="48"/>
      <c r="F1183" s="60"/>
      <c r="G1183" s="60"/>
      <c r="H1183" s="60"/>
      <c r="I1183" s="60"/>
      <c r="J1183" s="60"/>
    </row>
    <row r="1184" spans="1:10" x14ac:dyDescent="0.2">
      <c r="A1184" s="48"/>
      <c r="B1184" s="6" t="s">
        <v>545</v>
      </c>
      <c r="C1184" s="48"/>
      <c r="D1184" s="48"/>
      <c r="E1184" s="48"/>
      <c r="F1184" s="60"/>
      <c r="G1184" s="60"/>
      <c r="H1184" s="60"/>
      <c r="I1184" s="60"/>
      <c r="J1184" s="60"/>
    </row>
    <row r="1185" spans="1:10" x14ac:dyDescent="0.2">
      <c r="A1185" s="48"/>
      <c r="B1185" s="6" t="s">
        <v>546</v>
      </c>
      <c r="C1185" s="48"/>
      <c r="D1185" s="48"/>
      <c r="E1185" s="48"/>
      <c r="F1185" s="60"/>
      <c r="G1185" s="60"/>
      <c r="H1185" s="60"/>
      <c r="I1185" s="60"/>
      <c r="J1185" s="60"/>
    </row>
    <row r="1186" spans="1:10" x14ac:dyDescent="0.2">
      <c r="A1186" s="48"/>
      <c r="B1186" s="6" t="s">
        <v>547</v>
      </c>
      <c r="C1186" s="48"/>
      <c r="D1186" s="48"/>
      <c r="E1186" s="48"/>
      <c r="F1186" s="60"/>
      <c r="G1186" s="60"/>
      <c r="H1186" s="60"/>
      <c r="I1186" s="60"/>
      <c r="J1186" s="60"/>
    </row>
    <row r="1187" spans="1:10" x14ac:dyDescent="0.2">
      <c r="A1187" s="48"/>
      <c r="B1187" s="6" t="s">
        <v>548</v>
      </c>
      <c r="C1187" s="48"/>
      <c r="D1187" s="48"/>
      <c r="E1187" s="48"/>
      <c r="F1187" s="60"/>
      <c r="G1187" s="60"/>
      <c r="H1187" s="60"/>
      <c r="I1187" s="60"/>
      <c r="J1187" s="60"/>
    </row>
    <row r="1188" spans="1:10" x14ac:dyDescent="0.2">
      <c r="A1188" s="48"/>
      <c r="B1188" s="6" t="s">
        <v>549</v>
      </c>
      <c r="C1188" s="48"/>
      <c r="D1188" s="48"/>
      <c r="E1188" s="48"/>
      <c r="F1188" s="60"/>
      <c r="G1188" s="60"/>
      <c r="H1188" s="60"/>
      <c r="I1188" s="60"/>
      <c r="J1188" s="60"/>
    </row>
    <row r="1189" spans="1:10" x14ac:dyDescent="0.2">
      <c r="A1189" s="47"/>
      <c r="B1189" s="5" t="s">
        <v>550</v>
      </c>
      <c r="C1189" s="47"/>
      <c r="D1189" s="47"/>
      <c r="E1189" s="47"/>
      <c r="F1189" s="59"/>
      <c r="G1189" s="59"/>
      <c r="H1189" s="59"/>
      <c r="I1189" s="59"/>
      <c r="J1189" s="59"/>
    </row>
    <row r="1190" spans="1:10" ht="71.25" x14ac:dyDescent="0.2">
      <c r="A1190" s="3" t="s">
        <v>1788</v>
      </c>
      <c r="B1190" s="3" t="s">
        <v>553</v>
      </c>
      <c r="C1190" s="3" t="s">
        <v>8</v>
      </c>
      <c r="D1190" s="3" t="s">
        <v>1789</v>
      </c>
      <c r="E1190" s="3" t="s">
        <v>1789</v>
      </c>
      <c r="F1190" s="1" t="s">
        <v>554</v>
      </c>
      <c r="G1190" s="1">
        <v>0</v>
      </c>
      <c r="H1190" s="1">
        <v>1000</v>
      </c>
      <c r="I1190" s="1">
        <v>1</v>
      </c>
      <c r="J1190" s="1">
        <v>0</v>
      </c>
    </row>
    <row r="1191" spans="1:10" ht="42.75" x14ac:dyDescent="0.2">
      <c r="A1191" s="3" t="s">
        <v>1790</v>
      </c>
      <c r="B1191" s="3" t="s">
        <v>559</v>
      </c>
      <c r="C1191" s="3" t="s">
        <v>8</v>
      </c>
      <c r="D1191" s="3" t="s">
        <v>1791</v>
      </c>
      <c r="E1191" s="3" t="s">
        <v>1791</v>
      </c>
      <c r="F1191" s="1" t="s">
        <v>560</v>
      </c>
      <c r="G1191" s="1">
        <v>0</v>
      </c>
      <c r="H1191" s="1">
        <v>1000</v>
      </c>
      <c r="I1191" s="1">
        <v>1</v>
      </c>
      <c r="J1191" s="1">
        <v>0</v>
      </c>
    </row>
    <row r="1192" spans="1:10" ht="71.25" x14ac:dyDescent="0.2">
      <c r="A1192" s="3" t="s">
        <v>1792</v>
      </c>
      <c r="B1192" s="3" t="s">
        <v>562</v>
      </c>
      <c r="C1192" s="3" t="s">
        <v>8</v>
      </c>
      <c r="D1192" s="3" t="s">
        <v>1793</v>
      </c>
      <c r="E1192" s="3" t="s">
        <v>1793</v>
      </c>
      <c r="F1192" s="1" t="s">
        <v>563</v>
      </c>
      <c r="G1192" s="1">
        <v>0</v>
      </c>
      <c r="H1192" s="1">
        <v>1000</v>
      </c>
      <c r="I1192" s="1">
        <v>1</v>
      </c>
      <c r="J1192" s="1">
        <v>0</v>
      </c>
    </row>
    <row r="1193" spans="1:10" x14ac:dyDescent="0.2">
      <c r="A1193" s="46" t="s">
        <v>1794</v>
      </c>
      <c r="B1193" s="46" t="s">
        <v>321</v>
      </c>
      <c r="C1193" s="46" t="s">
        <v>8</v>
      </c>
      <c r="D1193" s="46" t="s">
        <v>1104</v>
      </c>
      <c r="E1193" s="4" t="s">
        <v>1104</v>
      </c>
      <c r="F1193" s="58" t="s">
        <v>322</v>
      </c>
      <c r="G1193" s="58">
        <v>0</v>
      </c>
      <c r="H1193" s="58">
        <v>1E-3</v>
      </c>
      <c r="I1193" s="58">
        <v>1</v>
      </c>
      <c r="J1193" s="58">
        <v>0</v>
      </c>
    </row>
    <row r="1194" spans="1:10" x14ac:dyDescent="0.2">
      <c r="A1194" s="47"/>
      <c r="B1194" s="47"/>
      <c r="C1194" s="47"/>
      <c r="D1194" s="47"/>
      <c r="E1194" s="5" t="s">
        <v>1103</v>
      </c>
      <c r="F1194" s="59"/>
      <c r="G1194" s="59"/>
      <c r="H1194" s="59"/>
      <c r="I1194" s="59"/>
      <c r="J1194" s="59"/>
    </row>
    <row r="1195" spans="1:10" x14ac:dyDescent="0.2">
      <c r="A1195" s="46" t="s">
        <v>1795</v>
      </c>
      <c r="B1195" s="4" t="s">
        <v>327</v>
      </c>
      <c r="C1195" s="46" t="s">
        <v>8</v>
      </c>
      <c r="D1195" s="46" t="s">
        <v>1796</v>
      </c>
      <c r="E1195" s="46"/>
      <c r="F1195" s="58" t="s">
        <v>329</v>
      </c>
      <c r="G1195" s="58">
        <v>0</v>
      </c>
      <c r="H1195" s="58">
        <v>1.0000000000000001E-5</v>
      </c>
      <c r="I1195" s="58">
        <v>1</v>
      </c>
      <c r="J1195" s="58">
        <v>0</v>
      </c>
    </row>
    <row r="1196" spans="1:10" x14ac:dyDescent="0.2">
      <c r="A1196" s="47"/>
      <c r="B1196" s="5" t="s">
        <v>328</v>
      </c>
      <c r="C1196" s="47"/>
      <c r="D1196" s="47"/>
      <c r="E1196" s="47"/>
      <c r="F1196" s="59"/>
      <c r="G1196" s="59"/>
      <c r="H1196" s="59"/>
      <c r="I1196" s="59"/>
      <c r="J1196" s="59"/>
    </row>
    <row r="1197" spans="1:10" ht="42.75" x14ac:dyDescent="0.2">
      <c r="A1197" s="3" t="s">
        <v>1797</v>
      </c>
      <c r="B1197" s="3" t="s">
        <v>767</v>
      </c>
      <c r="C1197" s="3" t="s">
        <v>8</v>
      </c>
      <c r="D1197" s="3" t="s">
        <v>1798</v>
      </c>
      <c r="E1197" s="3"/>
      <c r="F1197" s="1" t="s">
        <v>303</v>
      </c>
      <c r="G1197" s="1">
        <v>0</v>
      </c>
      <c r="H1197" s="1">
        <v>1.0000000000000001E-9</v>
      </c>
      <c r="I1197" s="1">
        <v>1</v>
      </c>
      <c r="J1197" s="1">
        <v>0</v>
      </c>
    </row>
    <row r="1198" spans="1:10" ht="28.5" x14ac:dyDescent="0.2">
      <c r="A1198" s="3" t="s">
        <v>1799</v>
      </c>
      <c r="B1198" s="3" t="s">
        <v>659</v>
      </c>
      <c r="C1198" s="3" t="s">
        <v>8</v>
      </c>
      <c r="D1198" s="3" t="s">
        <v>1800</v>
      </c>
      <c r="E1198" s="3"/>
      <c r="F1198" s="1" t="s">
        <v>131</v>
      </c>
      <c r="G1198" s="1">
        <v>0</v>
      </c>
      <c r="H1198" s="1">
        <v>1E-3</v>
      </c>
      <c r="I1198" s="1">
        <v>1.5898730000000001</v>
      </c>
      <c r="J1198" s="1">
        <v>0</v>
      </c>
    </row>
    <row r="1199" spans="1:10" ht="42.75" x14ac:dyDescent="0.2">
      <c r="A1199" s="3" t="s">
        <v>1801</v>
      </c>
      <c r="B1199" s="3" t="s">
        <v>334</v>
      </c>
      <c r="C1199" s="3" t="s">
        <v>8</v>
      </c>
      <c r="D1199" s="3" t="s">
        <v>1802</v>
      </c>
      <c r="E1199" s="3" t="s">
        <v>1803</v>
      </c>
      <c r="F1199" s="1" t="s">
        <v>335</v>
      </c>
      <c r="G1199" s="1">
        <v>0</v>
      </c>
      <c r="H1199" s="1">
        <v>1E-3</v>
      </c>
      <c r="I1199" s="1">
        <v>6000000</v>
      </c>
      <c r="J1199" s="1">
        <v>0</v>
      </c>
    </row>
    <row r="1200" spans="1:10" ht="28.5" x14ac:dyDescent="0.2">
      <c r="A1200" s="3" t="s">
        <v>1804</v>
      </c>
      <c r="B1200" s="3" t="s">
        <v>343</v>
      </c>
      <c r="C1200" s="3" t="s">
        <v>8</v>
      </c>
      <c r="D1200" s="3" t="s">
        <v>1805</v>
      </c>
      <c r="E1200" s="3" t="s">
        <v>1805</v>
      </c>
      <c r="F1200" s="1" t="s">
        <v>344</v>
      </c>
      <c r="G1200" s="1">
        <v>0</v>
      </c>
      <c r="H1200" s="1">
        <v>1E-3</v>
      </c>
      <c r="I1200" s="1">
        <v>3600</v>
      </c>
      <c r="J1200" s="1">
        <v>0</v>
      </c>
    </row>
    <row r="1201" spans="1:10" x14ac:dyDescent="0.2">
      <c r="A1201" s="46" t="s">
        <v>1806</v>
      </c>
      <c r="B1201" s="4" t="s">
        <v>327</v>
      </c>
      <c r="C1201" s="46" t="s">
        <v>8</v>
      </c>
      <c r="D1201" s="46" t="s">
        <v>1807</v>
      </c>
      <c r="E1201" s="46" t="s">
        <v>1807</v>
      </c>
      <c r="F1201" s="58" t="s">
        <v>329</v>
      </c>
      <c r="G1201" s="58">
        <v>0</v>
      </c>
      <c r="H1201" s="58">
        <v>1E-3</v>
      </c>
      <c r="I1201" s="58">
        <v>1</v>
      </c>
      <c r="J1201" s="58">
        <v>0</v>
      </c>
    </row>
    <row r="1202" spans="1:10" x14ac:dyDescent="0.2">
      <c r="A1202" s="47"/>
      <c r="B1202" s="5" t="s">
        <v>328</v>
      </c>
      <c r="C1202" s="47"/>
      <c r="D1202" s="47"/>
      <c r="E1202" s="47"/>
      <c r="F1202" s="59"/>
      <c r="G1202" s="59"/>
      <c r="H1202" s="59"/>
      <c r="I1202" s="59"/>
      <c r="J1202" s="59"/>
    </row>
    <row r="1203" spans="1:10" ht="28.5" x14ac:dyDescent="0.2">
      <c r="A1203" s="46" t="s">
        <v>1797</v>
      </c>
      <c r="B1203" s="46" t="s">
        <v>767</v>
      </c>
      <c r="C1203" s="46" t="s">
        <v>8</v>
      </c>
      <c r="D1203" s="4" t="s">
        <v>1808</v>
      </c>
      <c r="E1203" s="46"/>
      <c r="F1203" s="58" t="s">
        <v>303</v>
      </c>
      <c r="G1203" s="58">
        <v>0</v>
      </c>
      <c r="H1203" s="58">
        <v>1.0000000000000001E-9</v>
      </c>
      <c r="I1203" s="58">
        <v>1</v>
      </c>
      <c r="J1203" s="58">
        <v>0</v>
      </c>
    </row>
    <row r="1204" spans="1:10" ht="28.5" x14ac:dyDescent="0.2">
      <c r="A1204" s="47"/>
      <c r="B1204" s="47"/>
      <c r="C1204" s="47"/>
      <c r="D1204" s="5" t="s">
        <v>763</v>
      </c>
      <c r="E1204" s="47"/>
      <c r="F1204" s="59"/>
      <c r="G1204" s="59"/>
      <c r="H1204" s="59"/>
      <c r="I1204" s="59"/>
      <c r="J1204" s="59"/>
    </row>
    <row r="1205" spans="1:10" ht="28.5" x14ac:dyDescent="0.2">
      <c r="A1205" s="3" t="s">
        <v>1809</v>
      </c>
      <c r="B1205" s="3" t="s">
        <v>767</v>
      </c>
      <c r="C1205" s="3" t="s">
        <v>8</v>
      </c>
      <c r="D1205" s="3" t="s">
        <v>1810</v>
      </c>
      <c r="E1205" s="3" t="s">
        <v>1810</v>
      </c>
      <c r="F1205" s="1" t="s">
        <v>303</v>
      </c>
      <c r="G1205" s="1">
        <v>0</v>
      </c>
      <c r="H1205" s="1">
        <v>1E-3</v>
      </c>
      <c r="I1205" s="1">
        <v>1</v>
      </c>
      <c r="J1205" s="1">
        <v>0</v>
      </c>
    </row>
    <row r="1206" spans="1:10" ht="28.5" x14ac:dyDescent="0.2">
      <c r="A1206" s="3" t="s">
        <v>1811</v>
      </c>
      <c r="B1206" s="3" t="s">
        <v>659</v>
      </c>
      <c r="C1206" s="3" t="s">
        <v>8</v>
      </c>
      <c r="D1206" s="3" t="s">
        <v>1812</v>
      </c>
      <c r="E1206" s="3" t="s">
        <v>1812</v>
      </c>
      <c r="F1206" s="1" t="s">
        <v>131</v>
      </c>
      <c r="G1206" s="1">
        <v>0</v>
      </c>
      <c r="H1206" s="1">
        <v>1E-3</v>
      </c>
      <c r="I1206" s="1">
        <v>1</v>
      </c>
      <c r="J1206" s="1">
        <v>0</v>
      </c>
    </row>
    <row r="1207" spans="1:10" ht="28.5" x14ac:dyDescent="0.2">
      <c r="A1207" s="3" t="s">
        <v>1813</v>
      </c>
      <c r="B1207" s="3" t="s">
        <v>343</v>
      </c>
      <c r="C1207" s="3" t="s">
        <v>8</v>
      </c>
      <c r="D1207" s="3" t="s">
        <v>1814</v>
      </c>
      <c r="E1207" s="3" t="s">
        <v>1814</v>
      </c>
      <c r="F1207" s="1" t="s">
        <v>344</v>
      </c>
      <c r="G1207" s="1">
        <v>0</v>
      </c>
      <c r="H1207" s="1">
        <v>1E-3</v>
      </c>
      <c r="I1207" s="1">
        <v>60</v>
      </c>
      <c r="J1207" s="1">
        <v>0</v>
      </c>
    </row>
    <row r="1208" spans="1:10" ht="28.5" x14ac:dyDescent="0.2">
      <c r="A1208" s="3" t="s">
        <v>1815</v>
      </c>
      <c r="B1208" s="3" t="s">
        <v>331</v>
      </c>
      <c r="C1208" s="3" t="s">
        <v>8</v>
      </c>
      <c r="D1208" s="3" t="s">
        <v>1816</v>
      </c>
      <c r="E1208" s="3"/>
      <c r="F1208" s="1" t="s">
        <v>332</v>
      </c>
      <c r="G1208" s="1">
        <v>0</v>
      </c>
      <c r="H1208" s="1">
        <v>1E-3</v>
      </c>
      <c r="I1208" s="1">
        <v>1</v>
      </c>
      <c r="J1208" s="1">
        <v>0</v>
      </c>
    </row>
    <row r="1209" spans="1:10" x14ac:dyDescent="0.2">
      <c r="A1209" s="46" t="s">
        <v>1815</v>
      </c>
      <c r="B1209" s="46" t="s">
        <v>331</v>
      </c>
      <c r="C1209" s="46" t="s">
        <v>8</v>
      </c>
      <c r="D1209" s="4" t="s">
        <v>1817</v>
      </c>
      <c r="E1209" s="46"/>
      <c r="F1209" s="58" t="s">
        <v>332</v>
      </c>
      <c r="G1209" s="58">
        <v>0</v>
      </c>
      <c r="H1209" s="58">
        <v>1</v>
      </c>
      <c r="I1209" s="58">
        <v>1</v>
      </c>
      <c r="J1209" s="58">
        <v>0</v>
      </c>
    </row>
    <row r="1210" spans="1:10" ht="28.5" x14ac:dyDescent="0.2">
      <c r="A1210" s="47"/>
      <c r="B1210" s="47"/>
      <c r="C1210" s="47"/>
      <c r="D1210" s="5" t="s">
        <v>763</v>
      </c>
      <c r="E1210" s="47"/>
      <c r="F1210" s="59"/>
      <c r="G1210" s="59"/>
      <c r="H1210" s="59"/>
      <c r="I1210" s="59"/>
      <c r="J1210" s="59"/>
    </row>
    <row r="1211" spans="1:10" ht="42.75" x14ac:dyDescent="0.2">
      <c r="A1211" s="3" t="s">
        <v>1818</v>
      </c>
      <c r="B1211" s="3" t="s">
        <v>331</v>
      </c>
      <c r="C1211" s="3" t="s">
        <v>8</v>
      </c>
      <c r="D1211" s="3" t="s">
        <v>1819</v>
      </c>
      <c r="E1211" s="3" t="s">
        <v>1816</v>
      </c>
      <c r="F1211" s="1" t="s">
        <v>332</v>
      </c>
      <c r="G1211" s="1">
        <v>0</v>
      </c>
      <c r="H1211" s="1">
        <v>9.9999999999999995E-7</v>
      </c>
      <c r="I1211" s="1">
        <v>1</v>
      </c>
      <c r="J1211" s="1">
        <v>0</v>
      </c>
    </row>
    <row r="1212" spans="1:10" x14ac:dyDescent="0.2">
      <c r="A1212" s="46" t="s">
        <v>1818</v>
      </c>
      <c r="B1212" s="46" t="s">
        <v>331</v>
      </c>
      <c r="C1212" s="46" t="s">
        <v>8</v>
      </c>
      <c r="D1212" s="4" t="s">
        <v>1820</v>
      </c>
      <c r="E1212" s="46" t="s">
        <v>1816</v>
      </c>
      <c r="F1212" s="58" t="s">
        <v>332</v>
      </c>
      <c r="G1212" s="58">
        <v>0</v>
      </c>
      <c r="H1212" s="58">
        <v>1E-3</v>
      </c>
      <c r="I1212" s="58">
        <v>1</v>
      </c>
      <c r="J1212" s="58">
        <v>0</v>
      </c>
    </row>
    <row r="1213" spans="1:10" ht="28.5" x14ac:dyDescent="0.2">
      <c r="A1213" s="47"/>
      <c r="B1213" s="47"/>
      <c r="C1213" s="47"/>
      <c r="D1213" s="5" t="s">
        <v>763</v>
      </c>
      <c r="E1213" s="47"/>
      <c r="F1213" s="59"/>
      <c r="G1213" s="59"/>
      <c r="H1213" s="59"/>
      <c r="I1213" s="59"/>
      <c r="J1213" s="59"/>
    </row>
    <row r="1214" spans="1:10" ht="28.5" x14ac:dyDescent="0.2">
      <c r="A1214" s="3" t="s">
        <v>1821</v>
      </c>
      <c r="B1214" s="3" t="s">
        <v>343</v>
      </c>
      <c r="C1214" s="3" t="s">
        <v>8</v>
      </c>
      <c r="D1214" s="3" t="s">
        <v>1822</v>
      </c>
      <c r="E1214" s="3" t="s">
        <v>1822</v>
      </c>
      <c r="F1214" s="1" t="s">
        <v>344</v>
      </c>
      <c r="G1214" s="1">
        <v>0</v>
      </c>
      <c r="H1214" s="1">
        <v>1E-3</v>
      </c>
      <c r="I1214" s="1">
        <v>1</v>
      </c>
      <c r="J1214" s="1">
        <v>0</v>
      </c>
    </row>
    <row r="1215" spans="1:10" ht="42.75" x14ac:dyDescent="0.2">
      <c r="A1215" s="3" t="s">
        <v>1823</v>
      </c>
      <c r="B1215" s="3" t="s">
        <v>346</v>
      </c>
      <c r="C1215" s="3" t="s">
        <v>8</v>
      </c>
      <c r="D1215" s="3" t="s">
        <v>1824</v>
      </c>
      <c r="E1215" s="3" t="s">
        <v>1824</v>
      </c>
      <c r="F1215" s="1" t="s">
        <v>347</v>
      </c>
      <c r="G1215" s="1">
        <v>0</v>
      </c>
      <c r="H1215" s="1">
        <v>1E-3</v>
      </c>
      <c r="I1215" s="1">
        <v>1</v>
      </c>
      <c r="J1215" s="1">
        <v>0</v>
      </c>
    </row>
    <row r="1216" spans="1:10" x14ac:dyDescent="0.2">
      <c r="A1216" s="46" t="s">
        <v>1825</v>
      </c>
      <c r="B1216" s="4" t="s">
        <v>327</v>
      </c>
      <c r="C1216" s="46" t="s">
        <v>8</v>
      </c>
      <c r="D1216" s="46" t="s">
        <v>1826</v>
      </c>
      <c r="E1216" s="46" t="s">
        <v>1826</v>
      </c>
      <c r="F1216" s="58" t="s">
        <v>329</v>
      </c>
      <c r="G1216" s="58">
        <v>0</v>
      </c>
      <c r="H1216" s="58">
        <v>9.9999999999999995E-7</v>
      </c>
      <c r="I1216" s="58">
        <v>1</v>
      </c>
      <c r="J1216" s="58">
        <v>0</v>
      </c>
    </row>
    <row r="1217" spans="1:10" x14ac:dyDescent="0.2">
      <c r="A1217" s="47"/>
      <c r="B1217" s="5" t="s">
        <v>328</v>
      </c>
      <c r="C1217" s="47"/>
      <c r="D1217" s="47"/>
      <c r="E1217" s="47"/>
      <c r="F1217" s="59"/>
      <c r="G1217" s="59"/>
      <c r="H1217" s="59"/>
      <c r="I1217" s="59"/>
      <c r="J1217" s="59"/>
    </row>
    <row r="1218" spans="1:10" x14ac:dyDescent="0.2">
      <c r="A1218" s="46" t="s">
        <v>1827</v>
      </c>
      <c r="B1218" s="4" t="s">
        <v>327</v>
      </c>
      <c r="C1218" s="46" t="s">
        <v>8</v>
      </c>
      <c r="D1218" s="46" t="s">
        <v>1828</v>
      </c>
      <c r="E1218" s="46" t="s">
        <v>1828</v>
      </c>
      <c r="F1218" s="58" t="s">
        <v>329</v>
      </c>
      <c r="G1218" s="58">
        <v>0</v>
      </c>
      <c r="H1218" s="58">
        <v>1E-3</v>
      </c>
      <c r="I1218" s="58">
        <v>1016.047</v>
      </c>
      <c r="J1218" s="58">
        <v>0</v>
      </c>
    </row>
    <row r="1219" spans="1:10" x14ac:dyDescent="0.2">
      <c r="A1219" s="47"/>
      <c r="B1219" s="5" t="s">
        <v>328</v>
      </c>
      <c r="C1219" s="47"/>
      <c r="D1219" s="47"/>
      <c r="E1219" s="47"/>
      <c r="F1219" s="59"/>
      <c r="G1219" s="59"/>
      <c r="H1219" s="59"/>
      <c r="I1219" s="59"/>
      <c r="J1219" s="59"/>
    </row>
    <row r="1220" spans="1:10" ht="28.5" x14ac:dyDescent="0.2">
      <c r="A1220" s="3" t="s">
        <v>1829</v>
      </c>
      <c r="B1220" s="3" t="s">
        <v>378</v>
      </c>
      <c r="C1220" s="3" t="s">
        <v>8</v>
      </c>
      <c r="D1220" s="3" t="s">
        <v>1830</v>
      </c>
      <c r="E1220" s="3" t="s">
        <v>1830</v>
      </c>
      <c r="F1220" s="1" t="s">
        <v>379</v>
      </c>
      <c r="G1220" s="1">
        <v>0</v>
      </c>
      <c r="H1220" s="1">
        <v>4.4482220000000003</v>
      </c>
      <c r="I1220" s="1">
        <v>1</v>
      </c>
      <c r="J1220" s="1">
        <v>0</v>
      </c>
    </row>
    <row r="1221" spans="1:10" x14ac:dyDescent="0.2">
      <c r="A1221" s="46" t="s">
        <v>1189</v>
      </c>
      <c r="B1221" s="4" t="s">
        <v>163</v>
      </c>
      <c r="C1221" s="46" t="s">
        <v>8</v>
      </c>
      <c r="D1221" s="46" t="s">
        <v>1831</v>
      </c>
      <c r="E1221" s="46" t="s">
        <v>1831</v>
      </c>
      <c r="F1221" s="58" t="s">
        <v>168</v>
      </c>
      <c r="G1221" s="58">
        <v>0</v>
      </c>
      <c r="H1221" s="58">
        <v>1.355818</v>
      </c>
      <c r="I1221" s="58">
        <v>1</v>
      </c>
      <c r="J1221" s="58">
        <v>0</v>
      </c>
    </row>
    <row r="1222" spans="1:10" x14ac:dyDescent="0.2">
      <c r="A1222" s="48"/>
      <c r="B1222" s="6" t="s">
        <v>164</v>
      </c>
      <c r="C1222" s="48"/>
      <c r="D1222" s="48"/>
      <c r="E1222" s="48"/>
      <c r="F1222" s="60"/>
      <c r="G1222" s="60"/>
      <c r="H1222" s="60"/>
      <c r="I1222" s="60"/>
      <c r="J1222" s="60"/>
    </row>
    <row r="1223" spans="1:10" x14ac:dyDescent="0.2">
      <c r="A1223" s="47"/>
      <c r="B1223" s="5" t="s">
        <v>165</v>
      </c>
      <c r="C1223" s="47"/>
      <c r="D1223" s="47"/>
      <c r="E1223" s="47"/>
      <c r="F1223" s="59"/>
      <c r="G1223" s="59"/>
      <c r="H1223" s="59"/>
      <c r="I1223" s="59"/>
      <c r="J1223" s="59"/>
    </row>
    <row r="1224" spans="1:10" x14ac:dyDescent="0.2">
      <c r="A1224" s="46" t="s">
        <v>1191</v>
      </c>
      <c r="B1224" s="4" t="s">
        <v>181</v>
      </c>
      <c r="C1224" s="46" t="s">
        <v>8</v>
      </c>
      <c r="D1224" s="46" t="s">
        <v>1832</v>
      </c>
      <c r="E1224" s="46" t="s">
        <v>1832</v>
      </c>
      <c r="F1224" s="58" t="s">
        <v>190</v>
      </c>
      <c r="G1224" s="58">
        <v>0</v>
      </c>
      <c r="H1224" s="58">
        <v>1.355818</v>
      </c>
      <c r="I1224" s="58">
        <v>0.1589873</v>
      </c>
      <c r="J1224" s="58">
        <v>0</v>
      </c>
    </row>
    <row r="1225" spans="1:10" x14ac:dyDescent="0.2">
      <c r="A1225" s="48"/>
      <c r="B1225" s="6" t="s">
        <v>182</v>
      </c>
      <c r="C1225" s="48"/>
      <c r="D1225" s="48"/>
      <c r="E1225" s="48"/>
      <c r="F1225" s="60"/>
      <c r="G1225" s="60"/>
      <c r="H1225" s="60"/>
      <c r="I1225" s="60"/>
      <c r="J1225" s="60"/>
    </row>
    <row r="1226" spans="1:10" x14ac:dyDescent="0.2">
      <c r="A1226" s="48"/>
      <c r="B1226" s="6" t="s">
        <v>183</v>
      </c>
      <c r="C1226" s="48"/>
      <c r="D1226" s="48"/>
      <c r="E1226" s="48"/>
      <c r="F1226" s="60"/>
      <c r="G1226" s="60"/>
      <c r="H1226" s="60"/>
      <c r="I1226" s="60"/>
      <c r="J1226" s="60"/>
    </row>
    <row r="1227" spans="1:10" x14ac:dyDescent="0.2">
      <c r="A1227" s="48"/>
      <c r="B1227" s="6" t="s">
        <v>184</v>
      </c>
      <c r="C1227" s="48"/>
      <c r="D1227" s="48"/>
      <c r="E1227" s="48"/>
      <c r="F1227" s="60"/>
      <c r="G1227" s="60"/>
      <c r="H1227" s="60"/>
      <c r="I1227" s="60"/>
      <c r="J1227" s="60"/>
    </row>
    <row r="1228" spans="1:10" x14ac:dyDescent="0.2">
      <c r="A1228" s="48"/>
      <c r="B1228" s="6" t="s">
        <v>185</v>
      </c>
      <c r="C1228" s="48"/>
      <c r="D1228" s="48"/>
      <c r="E1228" s="48"/>
      <c r="F1228" s="60"/>
      <c r="G1228" s="60"/>
      <c r="H1228" s="60"/>
      <c r="I1228" s="60"/>
      <c r="J1228" s="60"/>
    </row>
    <row r="1229" spans="1:10" x14ac:dyDescent="0.2">
      <c r="A1229" s="48"/>
      <c r="B1229" s="6" t="s">
        <v>186</v>
      </c>
      <c r="C1229" s="48"/>
      <c r="D1229" s="48"/>
      <c r="E1229" s="48"/>
      <c r="F1229" s="60"/>
      <c r="G1229" s="60"/>
      <c r="H1229" s="60"/>
      <c r="I1229" s="60"/>
      <c r="J1229" s="60"/>
    </row>
    <row r="1230" spans="1:10" x14ac:dyDescent="0.2">
      <c r="A1230" s="48"/>
      <c r="B1230" s="6" t="s">
        <v>187</v>
      </c>
      <c r="C1230" s="48"/>
      <c r="D1230" s="48"/>
      <c r="E1230" s="48"/>
      <c r="F1230" s="60"/>
      <c r="G1230" s="60"/>
      <c r="H1230" s="60"/>
      <c r="I1230" s="60"/>
      <c r="J1230" s="60"/>
    </row>
    <row r="1231" spans="1:10" x14ac:dyDescent="0.2">
      <c r="A1231" s="48"/>
      <c r="B1231" s="6" t="s">
        <v>188</v>
      </c>
      <c r="C1231" s="48"/>
      <c r="D1231" s="48"/>
      <c r="E1231" s="48"/>
      <c r="F1231" s="60"/>
      <c r="G1231" s="60"/>
      <c r="H1231" s="60"/>
      <c r="I1231" s="60"/>
      <c r="J1231" s="60"/>
    </row>
    <row r="1232" spans="1:10" x14ac:dyDescent="0.2">
      <c r="A1232" s="47"/>
      <c r="B1232" s="5" t="s">
        <v>189</v>
      </c>
      <c r="C1232" s="47"/>
      <c r="D1232" s="47"/>
      <c r="E1232" s="47"/>
      <c r="F1232" s="59"/>
      <c r="G1232" s="59"/>
      <c r="H1232" s="59"/>
      <c r="I1232" s="59"/>
      <c r="J1232" s="59"/>
    </row>
    <row r="1233" spans="1:10" ht="42.75" x14ac:dyDescent="0.2">
      <c r="A1233" s="3" t="s">
        <v>1833</v>
      </c>
      <c r="B1233" s="3" t="s">
        <v>1657</v>
      </c>
      <c r="C1233" s="3" t="s">
        <v>8</v>
      </c>
      <c r="D1233" s="3" t="s">
        <v>1834</v>
      </c>
      <c r="E1233" s="3" t="s">
        <v>1834</v>
      </c>
      <c r="F1233" s="1" t="s">
        <v>379</v>
      </c>
      <c r="G1233" s="1">
        <v>0</v>
      </c>
      <c r="H1233" s="1">
        <v>1.355818</v>
      </c>
      <c r="I1233" s="1">
        <v>2.5399999999999999E-2</v>
      </c>
      <c r="J1233" s="1">
        <v>0</v>
      </c>
    </row>
    <row r="1234" spans="1:10" ht="57" x14ac:dyDescent="0.2">
      <c r="A1234" s="3" t="s">
        <v>1835</v>
      </c>
      <c r="B1234" s="3" t="s">
        <v>386</v>
      </c>
      <c r="C1234" s="3" t="s">
        <v>8</v>
      </c>
      <c r="D1234" s="3" t="s">
        <v>1836</v>
      </c>
      <c r="E1234" s="3" t="s">
        <v>1836</v>
      </c>
      <c r="F1234" s="1" t="s">
        <v>387</v>
      </c>
      <c r="G1234" s="1">
        <v>0</v>
      </c>
      <c r="H1234" s="1">
        <v>2101.5219999999999</v>
      </c>
      <c r="I1234" s="1">
        <v>1</v>
      </c>
      <c r="J1234" s="1">
        <v>0</v>
      </c>
    </row>
    <row r="1235" spans="1:10" ht="57" x14ac:dyDescent="0.2">
      <c r="A1235" s="3" t="s">
        <v>1195</v>
      </c>
      <c r="B1235" s="3" t="s">
        <v>174</v>
      </c>
      <c r="C1235" s="3" t="s">
        <v>8</v>
      </c>
      <c r="D1235" s="3" t="s">
        <v>1837</v>
      </c>
      <c r="E1235" s="3" t="s">
        <v>1837</v>
      </c>
      <c r="F1235" s="1" t="s">
        <v>175</v>
      </c>
      <c r="G1235" s="1">
        <v>0</v>
      </c>
      <c r="H1235" s="1">
        <v>1.355818</v>
      </c>
      <c r="I1235" s="1">
        <v>0.45359240000000001</v>
      </c>
      <c r="J1235" s="1">
        <v>0</v>
      </c>
    </row>
    <row r="1236" spans="1:10" x14ac:dyDescent="0.2">
      <c r="A1236" s="46" t="s">
        <v>1838</v>
      </c>
      <c r="B1236" s="4" t="s">
        <v>163</v>
      </c>
      <c r="C1236" s="46" t="s">
        <v>8</v>
      </c>
      <c r="D1236" s="46" t="s">
        <v>1839</v>
      </c>
      <c r="E1236" s="46" t="s">
        <v>1839</v>
      </c>
      <c r="F1236" s="58" t="s">
        <v>168</v>
      </c>
      <c r="G1236" s="58">
        <v>0</v>
      </c>
      <c r="H1236" s="58">
        <v>0.1129848</v>
      </c>
      <c r="I1236" s="58">
        <v>1</v>
      </c>
      <c r="J1236" s="58">
        <v>0</v>
      </c>
    </row>
    <row r="1237" spans="1:10" x14ac:dyDescent="0.2">
      <c r="A1237" s="48"/>
      <c r="B1237" s="6" t="s">
        <v>164</v>
      </c>
      <c r="C1237" s="48"/>
      <c r="D1237" s="48"/>
      <c r="E1237" s="48"/>
      <c r="F1237" s="60"/>
      <c r="G1237" s="60"/>
      <c r="H1237" s="60"/>
      <c r="I1237" s="60"/>
      <c r="J1237" s="60"/>
    </row>
    <row r="1238" spans="1:10" x14ac:dyDescent="0.2">
      <c r="A1238" s="47"/>
      <c r="B1238" s="5" t="s">
        <v>165</v>
      </c>
      <c r="C1238" s="47"/>
      <c r="D1238" s="47"/>
      <c r="E1238" s="47"/>
      <c r="F1238" s="59"/>
      <c r="G1238" s="59"/>
      <c r="H1238" s="59"/>
      <c r="I1238" s="59"/>
      <c r="J1238" s="59"/>
    </row>
    <row r="1239" spans="1:10" ht="57" x14ac:dyDescent="0.2">
      <c r="A1239" s="3" t="s">
        <v>1840</v>
      </c>
      <c r="B1239" s="3" t="s">
        <v>1657</v>
      </c>
      <c r="C1239" s="3" t="s">
        <v>8</v>
      </c>
      <c r="D1239" s="3" t="s">
        <v>1841</v>
      </c>
      <c r="E1239" s="3" t="s">
        <v>1841</v>
      </c>
      <c r="F1239" s="1" t="s">
        <v>379</v>
      </c>
      <c r="G1239" s="1">
        <v>0</v>
      </c>
      <c r="H1239" s="1">
        <v>4.4482220000000003</v>
      </c>
      <c r="I1239" s="1">
        <v>1</v>
      </c>
      <c r="J1239" s="1">
        <v>0</v>
      </c>
    </row>
    <row r="1240" spans="1:10" ht="57" x14ac:dyDescent="0.2">
      <c r="A1240" s="3" t="s">
        <v>1842</v>
      </c>
      <c r="B1240" s="3" t="s">
        <v>382</v>
      </c>
      <c r="C1240" s="3" t="s">
        <v>8</v>
      </c>
      <c r="D1240" s="3" t="s">
        <v>1843</v>
      </c>
      <c r="E1240" s="3" t="s">
        <v>1843</v>
      </c>
      <c r="F1240" s="1" t="s">
        <v>383</v>
      </c>
      <c r="G1240" s="1">
        <v>0</v>
      </c>
      <c r="H1240" s="1">
        <v>2.869815E-3</v>
      </c>
      <c r="I1240" s="1">
        <v>1</v>
      </c>
      <c r="J1240" s="1">
        <v>0</v>
      </c>
    </row>
    <row r="1241" spans="1:10" ht="71.25" x14ac:dyDescent="0.2">
      <c r="A1241" s="3" t="s">
        <v>1844</v>
      </c>
      <c r="B1241" s="3" t="s">
        <v>419</v>
      </c>
      <c r="C1241" s="3" t="s">
        <v>8</v>
      </c>
      <c r="D1241" s="3" t="s">
        <v>1845</v>
      </c>
      <c r="E1241" s="3" t="s">
        <v>1845</v>
      </c>
      <c r="F1241" s="1" t="s">
        <v>421</v>
      </c>
      <c r="G1241" s="1">
        <v>0</v>
      </c>
      <c r="H1241" s="1">
        <v>47.88026</v>
      </c>
      <c r="I1241" s="1">
        <v>1</v>
      </c>
      <c r="J1241" s="1">
        <v>0</v>
      </c>
    </row>
    <row r="1242" spans="1:10" ht="71.25" x14ac:dyDescent="0.2">
      <c r="A1242" s="3" t="s">
        <v>1846</v>
      </c>
      <c r="B1242" s="3" t="s">
        <v>419</v>
      </c>
      <c r="C1242" s="3" t="s">
        <v>8</v>
      </c>
      <c r="D1242" s="3" t="s">
        <v>1847</v>
      </c>
      <c r="E1242" s="3" t="s">
        <v>1847</v>
      </c>
      <c r="F1242" s="1" t="s">
        <v>421</v>
      </c>
      <c r="G1242" s="1">
        <v>0</v>
      </c>
      <c r="H1242" s="1">
        <v>6894.7569999999996</v>
      </c>
      <c r="I1242" s="1">
        <v>1</v>
      </c>
      <c r="J1242" s="1">
        <v>0</v>
      </c>
    </row>
    <row r="1243" spans="1:10" ht="57" x14ac:dyDescent="0.2">
      <c r="A1243" s="3" t="s">
        <v>1848</v>
      </c>
      <c r="B1243" s="3" t="s">
        <v>385</v>
      </c>
      <c r="C1243" s="3" t="s">
        <v>8</v>
      </c>
      <c r="D1243" s="3" t="s">
        <v>1849</v>
      </c>
      <c r="E1243" s="3"/>
      <c r="F1243" s="1" t="s">
        <v>387</v>
      </c>
      <c r="G1243" s="1">
        <v>0</v>
      </c>
      <c r="H1243" s="1">
        <v>4.4482220000000003</v>
      </c>
      <c r="I1243" s="1">
        <v>30.48</v>
      </c>
      <c r="J1243" s="1">
        <v>0</v>
      </c>
    </row>
    <row r="1244" spans="1:10" x14ac:dyDescent="0.2">
      <c r="A1244" s="46" t="s">
        <v>1850</v>
      </c>
      <c r="B1244" s="4" t="s">
        <v>414</v>
      </c>
      <c r="C1244" s="46" t="s">
        <v>8</v>
      </c>
      <c r="D1244" s="46" t="s">
        <v>1851</v>
      </c>
      <c r="E1244" s="46"/>
      <c r="F1244" s="58" t="s">
        <v>416</v>
      </c>
      <c r="G1244" s="58">
        <v>0</v>
      </c>
      <c r="H1244" s="58">
        <v>0.47880260000000002</v>
      </c>
      <c r="I1244" s="58">
        <v>1</v>
      </c>
      <c r="J1244" s="58">
        <v>0</v>
      </c>
    </row>
    <row r="1245" spans="1:10" x14ac:dyDescent="0.2">
      <c r="A1245" s="47"/>
      <c r="B1245" s="5" t="s">
        <v>415</v>
      </c>
      <c r="C1245" s="47"/>
      <c r="D1245" s="47"/>
      <c r="E1245" s="47"/>
      <c r="F1245" s="59"/>
      <c r="G1245" s="59"/>
      <c r="H1245" s="59"/>
      <c r="I1245" s="59"/>
      <c r="J1245" s="59"/>
    </row>
    <row r="1246" spans="1:10" ht="57" x14ac:dyDescent="0.2">
      <c r="A1246" s="3" t="s">
        <v>1852</v>
      </c>
      <c r="B1246" s="3" t="s">
        <v>385</v>
      </c>
      <c r="C1246" s="3" t="s">
        <v>8</v>
      </c>
      <c r="D1246" s="3" t="s">
        <v>1853</v>
      </c>
      <c r="E1246" s="3"/>
      <c r="F1246" s="1" t="s">
        <v>387</v>
      </c>
      <c r="G1246" s="1">
        <v>0</v>
      </c>
      <c r="H1246" s="1">
        <v>4.4482220000000003</v>
      </c>
      <c r="I1246" s="1">
        <v>30</v>
      </c>
      <c r="J1246" s="1">
        <v>0</v>
      </c>
    </row>
    <row r="1247" spans="1:10" ht="42.75" x14ac:dyDescent="0.2">
      <c r="A1247" s="3" t="s">
        <v>1854</v>
      </c>
      <c r="B1247" s="3" t="s">
        <v>385</v>
      </c>
      <c r="C1247" s="3" t="s">
        <v>8</v>
      </c>
      <c r="D1247" s="3" t="s">
        <v>1855</v>
      </c>
      <c r="E1247" s="3" t="s">
        <v>1855</v>
      </c>
      <c r="F1247" s="1" t="s">
        <v>387</v>
      </c>
      <c r="G1247" s="1">
        <v>0</v>
      </c>
      <c r="H1247" s="1">
        <v>4.4482220000000003</v>
      </c>
      <c r="I1247" s="1">
        <v>0.30480000000000002</v>
      </c>
      <c r="J1247" s="1">
        <v>0</v>
      </c>
    </row>
    <row r="1248" spans="1:10" x14ac:dyDescent="0.2">
      <c r="A1248" s="46" t="s">
        <v>1856</v>
      </c>
      <c r="B1248" s="4" t="s">
        <v>414</v>
      </c>
      <c r="C1248" s="46" t="s">
        <v>8</v>
      </c>
      <c r="D1248" s="46" t="s">
        <v>1857</v>
      </c>
      <c r="E1248" s="46" t="s">
        <v>1857</v>
      </c>
      <c r="F1248" s="58" t="s">
        <v>416</v>
      </c>
      <c r="G1248" s="58">
        <v>0</v>
      </c>
      <c r="H1248" s="58">
        <v>47.88026</v>
      </c>
      <c r="I1248" s="58">
        <v>1</v>
      </c>
      <c r="J1248" s="58">
        <v>0</v>
      </c>
    </row>
    <row r="1249" spans="1:10" x14ac:dyDescent="0.2">
      <c r="A1249" s="47"/>
      <c r="B1249" s="5" t="s">
        <v>415</v>
      </c>
      <c r="C1249" s="47"/>
      <c r="D1249" s="47"/>
      <c r="E1249" s="47"/>
      <c r="F1249" s="59"/>
      <c r="G1249" s="59"/>
      <c r="H1249" s="59"/>
      <c r="I1249" s="59"/>
      <c r="J1249" s="59"/>
    </row>
    <row r="1250" spans="1:10" ht="28.5" x14ac:dyDescent="0.2">
      <c r="A1250" s="46" t="s">
        <v>1850</v>
      </c>
      <c r="B1250" s="4" t="s">
        <v>414</v>
      </c>
      <c r="C1250" s="46" t="s">
        <v>8</v>
      </c>
      <c r="D1250" s="4" t="s">
        <v>1858</v>
      </c>
      <c r="E1250" s="46"/>
      <c r="F1250" s="58" t="s">
        <v>416</v>
      </c>
      <c r="G1250" s="58">
        <v>0</v>
      </c>
      <c r="H1250" s="58">
        <v>0.47880260000000002</v>
      </c>
      <c r="I1250" s="58">
        <v>1</v>
      </c>
      <c r="J1250" s="58">
        <v>0</v>
      </c>
    </row>
    <row r="1251" spans="1:10" ht="28.5" x14ac:dyDescent="0.2">
      <c r="A1251" s="47"/>
      <c r="B1251" s="5" t="s">
        <v>415</v>
      </c>
      <c r="C1251" s="47"/>
      <c r="D1251" s="5" t="s">
        <v>763</v>
      </c>
      <c r="E1251" s="47"/>
      <c r="F1251" s="59"/>
      <c r="G1251" s="59"/>
      <c r="H1251" s="59"/>
      <c r="I1251" s="59"/>
      <c r="J1251" s="59"/>
    </row>
    <row r="1252" spans="1:10" x14ac:dyDescent="0.2">
      <c r="A1252" s="46" t="s">
        <v>1859</v>
      </c>
      <c r="B1252" s="4" t="s">
        <v>389</v>
      </c>
      <c r="C1252" s="46" t="s">
        <v>8</v>
      </c>
      <c r="D1252" s="46" t="s">
        <v>1860</v>
      </c>
      <c r="E1252" s="46" t="s">
        <v>1860</v>
      </c>
      <c r="F1252" s="58" t="s">
        <v>391</v>
      </c>
      <c r="G1252" s="58">
        <v>0</v>
      </c>
      <c r="H1252" s="58">
        <v>4.4482220000000003</v>
      </c>
      <c r="I1252" s="58">
        <v>2.8316850000000001E-2</v>
      </c>
      <c r="J1252" s="58">
        <v>0</v>
      </c>
    </row>
    <row r="1253" spans="1:10" x14ac:dyDescent="0.2">
      <c r="A1253" s="47"/>
      <c r="B1253" s="5" t="s">
        <v>390</v>
      </c>
      <c r="C1253" s="47"/>
      <c r="D1253" s="47"/>
      <c r="E1253" s="47"/>
      <c r="F1253" s="59"/>
      <c r="G1253" s="59"/>
      <c r="H1253" s="59"/>
      <c r="I1253" s="59"/>
      <c r="J1253" s="59"/>
    </row>
    <row r="1254" spans="1:10" x14ac:dyDescent="0.2">
      <c r="A1254" s="46" t="s">
        <v>1861</v>
      </c>
      <c r="B1254" s="4" t="s">
        <v>389</v>
      </c>
      <c r="C1254" s="46" t="s">
        <v>8</v>
      </c>
      <c r="D1254" s="46" t="s">
        <v>1862</v>
      </c>
      <c r="E1254" s="46" t="s">
        <v>1862</v>
      </c>
      <c r="F1254" s="58" t="s">
        <v>391</v>
      </c>
      <c r="G1254" s="58">
        <v>0</v>
      </c>
      <c r="H1254" s="58">
        <v>4.4482220000000003</v>
      </c>
      <c r="I1254" s="58">
        <v>3.7854120000000002E-3</v>
      </c>
      <c r="J1254" s="58">
        <v>0</v>
      </c>
    </row>
    <row r="1255" spans="1:10" x14ac:dyDescent="0.2">
      <c r="A1255" s="47"/>
      <c r="B1255" s="5" t="s">
        <v>390</v>
      </c>
      <c r="C1255" s="47"/>
      <c r="D1255" s="47"/>
      <c r="E1255" s="47"/>
      <c r="F1255" s="59"/>
      <c r="G1255" s="59"/>
      <c r="H1255" s="59"/>
      <c r="I1255" s="59"/>
      <c r="J1255" s="59"/>
    </row>
    <row r="1256" spans="1:10" ht="28.5" x14ac:dyDescent="0.2">
      <c r="A1256" s="3" t="s">
        <v>1863</v>
      </c>
      <c r="B1256" s="3" t="s">
        <v>385</v>
      </c>
      <c r="C1256" s="3" t="s">
        <v>8</v>
      </c>
      <c r="D1256" s="3" t="s">
        <v>1864</v>
      </c>
      <c r="E1256" s="3" t="s">
        <v>1864</v>
      </c>
      <c r="F1256" s="1" t="s">
        <v>387</v>
      </c>
      <c r="G1256" s="1">
        <v>0</v>
      </c>
      <c r="H1256" s="1">
        <v>4.4482220000000003</v>
      </c>
      <c r="I1256" s="1">
        <v>2.5399999999999999E-2</v>
      </c>
      <c r="J1256" s="1">
        <v>0</v>
      </c>
    </row>
    <row r="1257" spans="1:10" x14ac:dyDescent="0.2">
      <c r="A1257" s="46" t="s">
        <v>1865</v>
      </c>
      <c r="B1257" s="4" t="s">
        <v>414</v>
      </c>
      <c r="C1257" s="46" t="s">
        <v>8</v>
      </c>
      <c r="D1257" s="46" t="s">
        <v>1866</v>
      </c>
      <c r="E1257" s="46" t="s">
        <v>1866</v>
      </c>
      <c r="F1257" s="58" t="s">
        <v>416</v>
      </c>
      <c r="G1257" s="58">
        <v>0</v>
      </c>
      <c r="H1257" s="58">
        <v>6894.7569999999996</v>
      </c>
      <c r="I1257" s="58">
        <v>1</v>
      </c>
      <c r="J1257" s="58">
        <v>0</v>
      </c>
    </row>
    <row r="1258" spans="1:10" x14ac:dyDescent="0.2">
      <c r="A1258" s="47"/>
      <c r="B1258" s="5" t="s">
        <v>415</v>
      </c>
      <c r="C1258" s="47"/>
      <c r="D1258" s="47"/>
      <c r="E1258" s="47"/>
      <c r="F1258" s="59"/>
      <c r="G1258" s="59"/>
      <c r="H1258" s="59"/>
      <c r="I1258" s="59"/>
      <c r="J1258" s="59"/>
    </row>
    <row r="1259" spans="1:10" ht="57" x14ac:dyDescent="0.2">
      <c r="A1259" s="3" t="s">
        <v>1867</v>
      </c>
      <c r="B1259" s="3" t="s">
        <v>584</v>
      </c>
      <c r="C1259" s="3" t="s">
        <v>8</v>
      </c>
      <c r="D1259" s="3" t="s">
        <v>1868</v>
      </c>
      <c r="E1259" s="3" t="s">
        <v>1868</v>
      </c>
      <c r="F1259" s="1" t="s">
        <v>131</v>
      </c>
      <c r="G1259" s="1">
        <v>0</v>
      </c>
      <c r="H1259" s="1">
        <v>1</v>
      </c>
      <c r="I1259" s="1">
        <v>1</v>
      </c>
      <c r="J1259" s="1">
        <v>0</v>
      </c>
    </row>
    <row r="1260" spans="1:10" ht="28.5" x14ac:dyDescent="0.2">
      <c r="A1260" s="3" t="s">
        <v>1869</v>
      </c>
      <c r="B1260" s="3" t="s">
        <v>220</v>
      </c>
      <c r="C1260" s="3" t="s">
        <v>8</v>
      </c>
      <c r="D1260" s="3" t="s">
        <v>1870</v>
      </c>
      <c r="E1260" s="3" t="s">
        <v>1870</v>
      </c>
      <c r="F1260" s="1" t="s">
        <v>221</v>
      </c>
      <c r="G1260" s="1">
        <v>0</v>
      </c>
      <c r="H1260" s="1">
        <v>0.45359240000000001</v>
      </c>
      <c r="I1260" s="1">
        <v>1</v>
      </c>
      <c r="J1260" s="1">
        <v>0</v>
      </c>
    </row>
    <row r="1261" spans="1:10" x14ac:dyDescent="0.2">
      <c r="A1261" s="46" t="s">
        <v>1871</v>
      </c>
      <c r="B1261" s="4" t="s">
        <v>227</v>
      </c>
      <c r="C1261" s="46" t="s">
        <v>8</v>
      </c>
      <c r="D1261" s="46" t="s">
        <v>1872</v>
      </c>
      <c r="E1261" s="46" t="s">
        <v>1872</v>
      </c>
      <c r="F1261" s="58" t="s">
        <v>229</v>
      </c>
      <c r="G1261" s="58">
        <v>0</v>
      </c>
      <c r="H1261" s="58">
        <v>0.13825499999999999</v>
      </c>
      <c r="I1261" s="58">
        <v>1</v>
      </c>
      <c r="J1261" s="58">
        <v>0</v>
      </c>
    </row>
    <row r="1262" spans="1:10" x14ac:dyDescent="0.2">
      <c r="A1262" s="47"/>
      <c r="B1262" s="5" t="s">
        <v>228</v>
      </c>
      <c r="C1262" s="47"/>
      <c r="D1262" s="47"/>
      <c r="E1262" s="47"/>
      <c r="F1262" s="59"/>
      <c r="G1262" s="59"/>
      <c r="H1262" s="59"/>
      <c r="I1262" s="59"/>
      <c r="J1262" s="59"/>
    </row>
    <row r="1263" spans="1:10" ht="57" x14ac:dyDescent="0.2">
      <c r="A1263" s="3" t="s">
        <v>1873</v>
      </c>
      <c r="B1263" s="3" t="s">
        <v>231</v>
      </c>
      <c r="C1263" s="3" t="s">
        <v>8</v>
      </c>
      <c r="D1263" s="3" t="s">
        <v>1874</v>
      </c>
      <c r="E1263" s="3" t="s">
        <v>1874</v>
      </c>
      <c r="F1263" s="1" t="s">
        <v>232</v>
      </c>
      <c r="G1263" s="1">
        <v>0</v>
      </c>
      <c r="H1263" s="1">
        <v>4.2140110000000001E-2</v>
      </c>
      <c r="I1263" s="1">
        <v>1</v>
      </c>
      <c r="J1263" s="1">
        <v>0</v>
      </c>
    </row>
    <row r="1264" spans="1:10" x14ac:dyDescent="0.2">
      <c r="A1264" s="46" t="s">
        <v>1875</v>
      </c>
      <c r="B1264" s="4" t="s">
        <v>163</v>
      </c>
      <c r="C1264" s="46" t="s">
        <v>8</v>
      </c>
      <c r="D1264" s="46" t="s">
        <v>1876</v>
      </c>
      <c r="E1264" s="46" t="s">
        <v>1876</v>
      </c>
      <c r="F1264" s="58" t="s">
        <v>168</v>
      </c>
      <c r="G1264" s="58">
        <v>0</v>
      </c>
      <c r="H1264" s="58">
        <v>4.2140110000000001E-2</v>
      </c>
      <c r="I1264" s="58">
        <v>1</v>
      </c>
      <c r="J1264" s="58">
        <v>0</v>
      </c>
    </row>
    <row r="1265" spans="1:10" x14ac:dyDescent="0.2">
      <c r="A1265" s="48"/>
      <c r="B1265" s="6" t="s">
        <v>164</v>
      </c>
      <c r="C1265" s="48"/>
      <c r="D1265" s="48"/>
      <c r="E1265" s="48"/>
      <c r="F1265" s="60"/>
      <c r="G1265" s="60"/>
      <c r="H1265" s="60"/>
      <c r="I1265" s="60"/>
      <c r="J1265" s="60"/>
    </row>
    <row r="1266" spans="1:10" x14ac:dyDescent="0.2">
      <c r="A1266" s="47"/>
      <c r="B1266" s="5" t="s">
        <v>165</v>
      </c>
      <c r="C1266" s="47"/>
      <c r="D1266" s="47"/>
      <c r="E1266" s="47"/>
      <c r="F1266" s="59"/>
      <c r="G1266" s="59"/>
      <c r="H1266" s="59"/>
      <c r="I1266" s="59"/>
      <c r="J1266" s="59"/>
    </row>
    <row r="1267" spans="1:10" ht="28.5" x14ac:dyDescent="0.2">
      <c r="A1267" s="46" t="s">
        <v>1877</v>
      </c>
      <c r="B1267" s="46" t="s">
        <v>257</v>
      </c>
      <c r="C1267" s="46" t="s">
        <v>8</v>
      </c>
      <c r="D1267" s="4" t="s">
        <v>1878</v>
      </c>
      <c r="E1267" s="46"/>
      <c r="F1267" s="58" t="s">
        <v>258</v>
      </c>
      <c r="G1267" s="58">
        <v>0</v>
      </c>
      <c r="H1267" s="58">
        <v>453592.4</v>
      </c>
      <c r="I1267" s="58">
        <v>31558150</v>
      </c>
      <c r="J1267" s="58">
        <v>0</v>
      </c>
    </row>
    <row r="1268" spans="1:10" ht="28.5" x14ac:dyDescent="0.2">
      <c r="A1268" s="47"/>
      <c r="B1268" s="47"/>
      <c r="C1268" s="47"/>
      <c r="D1268" s="5" t="s">
        <v>763</v>
      </c>
      <c r="E1268" s="47"/>
      <c r="F1268" s="59"/>
      <c r="G1268" s="59"/>
      <c r="H1268" s="59"/>
      <c r="I1268" s="59"/>
      <c r="J1268" s="59"/>
    </row>
    <row r="1269" spans="1:10" x14ac:dyDescent="0.2">
      <c r="A1269" s="46" t="s">
        <v>1879</v>
      </c>
      <c r="B1269" s="4" t="s">
        <v>249</v>
      </c>
      <c r="C1269" s="46" t="s">
        <v>8</v>
      </c>
      <c r="D1269" s="46" t="s">
        <v>1880</v>
      </c>
      <c r="E1269" s="46"/>
      <c r="F1269" s="58" t="s">
        <v>252</v>
      </c>
      <c r="G1269" s="58">
        <v>0</v>
      </c>
      <c r="H1269" s="58">
        <v>99.776330000000002</v>
      </c>
      <c r="I1269" s="58">
        <v>1000</v>
      </c>
      <c r="J1269" s="58">
        <v>0</v>
      </c>
    </row>
    <row r="1270" spans="1:10" x14ac:dyDescent="0.2">
      <c r="A1270" s="48"/>
      <c r="B1270" s="6" t="s">
        <v>250</v>
      </c>
      <c r="C1270" s="48"/>
      <c r="D1270" s="48"/>
      <c r="E1270" s="48"/>
      <c r="F1270" s="60"/>
      <c r="G1270" s="60"/>
      <c r="H1270" s="60"/>
      <c r="I1270" s="60"/>
      <c r="J1270" s="60"/>
    </row>
    <row r="1271" spans="1:10" x14ac:dyDescent="0.2">
      <c r="A1271" s="47"/>
      <c r="B1271" s="5" t="s">
        <v>251</v>
      </c>
      <c r="C1271" s="47"/>
      <c r="D1271" s="47"/>
      <c r="E1271" s="47"/>
      <c r="F1271" s="59"/>
      <c r="G1271" s="59"/>
      <c r="H1271" s="59"/>
      <c r="I1271" s="59"/>
      <c r="J1271" s="59"/>
    </row>
    <row r="1272" spans="1:10" x14ac:dyDescent="0.2">
      <c r="A1272" s="46" t="s">
        <v>1881</v>
      </c>
      <c r="B1272" s="4" t="s">
        <v>249</v>
      </c>
      <c r="C1272" s="46" t="s">
        <v>8</v>
      </c>
      <c r="D1272" s="46" t="s">
        <v>1882</v>
      </c>
      <c r="E1272" s="46"/>
      <c r="F1272" s="58" t="s">
        <v>252</v>
      </c>
      <c r="G1272" s="58">
        <v>0</v>
      </c>
      <c r="H1272" s="58">
        <v>119.82640000000001</v>
      </c>
      <c r="I1272" s="58">
        <v>1000</v>
      </c>
      <c r="J1272" s="58">
        <v>0</v>
      </c>
    </row>
    <row r="1273" spans="1:10" x14ac:dyDescent="0.2">
      <c r="A1273" s="48"/>
      <c r="B1273" s="6" t="s">
        <v>250</v>
      </c>
      <c r="C1273" s="48"/>
      <c r="D1273" s="48"/>
      <c r="E1273" s="48"/>
      <c r="F1273" s="60"/>
      <c r="G1273" s="60"/>
      <c r="H1273" s="60"/>
      <c r="I1273" s="60"/>
      <c r="J1273" s="60"/>
    </row>
    <row r="1274" spans="1:10" x14ac:dyDescent="0.2">
      <c r="A1274" s="47"/>
      <c r="B1274" s="5" t="s">
        <v>251</v>
      </c>
      <c r="C1274" s="47"/>
      <c r="D1274" s="47"/>
      <c r="E1274" s="47"/>
      <c r="F1274" s="59"/>
      <c r="G1274" s="59"/>
      <c r="H1274" s="59"/>
      <c r="I1274" s="59"/>
      <c r="J1274" s="59"/>
    </row>
    <row r="1275" spans="1:10" x14ac:dyDescent="0.2">
      <c r="A1275" s="46" t="s">
        <v>1883</v>
      </c>
      <c r="B1275" s="4" t="s">
        <v>242</v>
      </c>
      <c r="C1275" s="46" t="s">
        <v>8</v>
      </c>
      <c r="D1275" s="46" t="s">
        <v>1884</v>
      </c>
      <c r="E1275" s="46"/>
      <c r="F1275" s="58" t="s">
        <v>244</v>
      </c>
      <c r="G1275" s="58">
        <v>0</v>
      </c>
      <c r="H1275" s="58">
        <v>4.882428</v>
      </c>
      <c r="I1275" s="58">
        <v>100</v>
      </c>
      <c r="J1275" s="58">
        <v>0</v>
      </c>
    </row>
    <row r="1276" spans="1:10" x14ac:dyDescent="0.2">
      <c r="A1276" s="47"/>
      <c r="B1276" s="5" t="s">
        <v>243</v>
      </c>
      <c r="C1276" s="47"/>
      <c r="D1276" s="47"/>
      <c r="E1276" s="47"/>
      <c r="F1276" s="59"/>
      <c r="G1276" s="59"/>
      <c r="H1276" s="59"/>
      <c r="I1276" s="59"/>
      <c r="J1276" s="59"/>
    </row>
    <row r="1277" spans="1:10" x14ac:dyDescent="0.2">
      <c r="A1277" s="46" t="s">
        <v>1885</v>
      </c>
      <c r="B1277" s="4" t="s">
        <v>249</v>
      </c>
      <c r="C1277" s="46" t="s">
        <v>8</v>
      </c>
      <c r="D1277" s="46" t="s">
        <v>1886</v>
      </c>
      <c r="E1277" s="46"/>
      <c r="F1277" s="58" t="s">
        <v>252</v>
      </c>
      <c r="G1277" s="58">
        <v>0</v>
      </c>
      <c r="H1277" s="58">
        <v>0.45359240000000001</v>
      </c>
      <c r="I1277" s="58">
        <v>1.5898730000000001</v>
      </c>
      <c r="J1277" s="58">
        <v>0</v>
      </c>
    </row>
    <row r="1278" spans="1:10" x14ac:dyDescent="0.2">
      <c r="A1278" s="48"/>
      <c r="B1278" s="6" t="s">
        <v>250</v>
      </c>
      <c r="C1278" s="48"/>
      <c r="D1278" s="48"/>
      <c r="E1278" s="48"/>
      <c r="F1278" s="60"/>
      <c r="G1278" s="60"/>
      <c r="H1278" s="60"/>
      <c r="I1278" s="60"/>
      <c r="J1278" s="60"/>
    </row>
    <row r="1279" spans="1:10" x14ac:dyDescent="0.2">
      <c r="A1279" s="47"/>
      <c r="B1279" s="5" t="s">
        <v>251</v>
      </c>
      <c r="C1279" s="47"/>
      <c r="D1279" s="47"/>
      <c r="E1279" s="47"/>
      <c r="F1279" s="59"/>
      <c r="G1279" s="59"/>
      <c r="H1279" s="59"/>
      <c r="I1279" s="59"/>
      <c r="J1279" s="59"/>
    </row>
    <row r="1280" spans="1:10" x14ac:dyDescent="0.2">
      <c r="A1280" s="46" t="s">
        <v>1887</v>
      </c>
      <c r="B1280" s="4" t="s">
        <v>249</v>
      </c>
      <c r="C1280" s="46" t="s">
        <v>8</v>
      </c>
      <c r="D1280" s="46" t="s">
        <v>1888</v>
      </c>
      <c r="E1280" s="46" t="s">
        <v>1888</v>
      </c>
      <c r="F1280" s="58" t="s">
        <v>252</v>
      </c>
      <c r="G1280" s="58">
        <v>0</v>
      </c>
      <c r="H1280" s="58">
        <v>0.45359240000000001</v>
      </c>
      <c r="I1280" s="58">
        <v>0.1589873</v>
      </c>
      <c r="J1280" s="58">
        <v>0</v>
      </c>
    </row>
    <row r="1281" spans="1:10" x14ac:dyDescent="0.2">
      <c r="A1281" s="48"/>
      <c r="B1281" s="6" t="s">
        <v>250</v>
      </c>
      <c r="C1281" s="48"/>
      <c r="D1281" s="48"/>
      <c r="E1281" s="48"/>
      <c r="F1281" s="60"/>
      <c r="G1281" s="60"/>
      <c r="H1281" s="60"/>
      <c r="I1281" s="60"/>
      <c r="J1281" s="60"/>
    </row>
    <row r="1282" spans="1:10" x14ac:dyDescent="0.2">
      <c r="A1282" s="47"/>
      <c r="B1282" s="5" t="s">
        <v>251</v>
      </c>
      <c r="C1282" s="47"/>
      <c r="D1282" s="47"/>
      <c r="E1282" s="47"/>
      <c r="F1282" s="59"/>
      <c r="G1282" s="59"/>
      <c r="H1282" s="59"/>
      <c r="I1282" s="59"/>
      <c r="J1282" s="59"/>
    </row>
    <row r="1283" spans="1:10" ht="42.75" x14ac:dyDescent="0.2">
      <c r="A1283" s="3" t="s">
        <v>1889</v>
      </c>
      <c r="B1283" s="3" t="s">
        <v>257</v>
      </c>
      <c r="C1283" s="3" t="s">
        <v>8</v>
      </c>
      <c r="D1283" s="3" t="s">
        <v>1890</v>
      </c>
      <c r="E1283" s="3" t="s">
        <v>1890</v>
      </c>
      <c r="F1283" s="1" t="s">
        <v>258</v>
      </c>
      <c r="G1283" s="1">
        <v>0</v>
      </c>
      <c r="H1283" s="1">
        <v>0.45359240000000001</v>
      </c>
      <c r="I1283" s="1">
        <v>86400</v>
      </c>
      <c r="J1283" s="1">
        <v>0</v>
      </c>
    </row>
    <row r="1284" spans="1:10" x14ac:dyDescent="0.2">
      <c r="A1284" s="46" t="s">
        <v>1891</v>
      </c>
      <c r="B1284" s="4" t="s">
        <v>239</v>
      </c>
      <c r="C1284" s="46" t="s">
        <v>8</v>
      </c>
      <c r="D1284" s="46" t="s">
        <v>1892</v>
      </c>
      <c r="E1284" s="46" t="s">
        <v>1892</v>
      </c>
      <c r="F1284" s="58" t="s">
        <v>240</v>
      </c>
      <c r="G1284" s="58">
        <v>0</v>
      </c>
      <c r="H1284" s="58">
        <v>0.45359240000000001</v>
      </c>
      <c r="I1284" s="58">
        <v>0.30480000000000002</v>
      </c>
      <c r="J1284" s="58">
        <v>0</v>
      </c>
    </row>
    <row r="1285" spans="1:10" x14ac:dyDescent="0.2">
      <c r="A1285" s="47"/>
      <c r="B1285" s="5" t="s">
        <v>237</v>
      </c>
      <c r="C1285" s="47"/>
      <c r="D1285" s="47"/>
      <c r="E1285" s="47"/>
      <c r="F1285" s="59"/>
      <c r="G1285" s="59"/>
      <c r="H1285" s="59"/>
      <c r="I1285" s="59"/>
      <c r="J1285" s="59"/>
    </row>
    <row r="1286" spans="1:10" x14ac:dyDescent="0.2">
      <c r="A1286" s="46" t="s">
        <v>1893</v>
      </c>
      <c r="B1286" s="46" t="s">
        <v>420</v>
      </c>
      <c r="C1286" s="46" t="s">
        <v>8</v>
      </c>
      <c r="D1286" s="4" t="s">
        <v>1894</v>
      </c>
      <c r="E1286" s="46" t="s">
        <v>1895</v>
      </c>
      <c r="F1286" s="58" t="s">
        <v>421</v>
      </c>
      <c r="G1286" s="58">
        <v>0</v>
      </c>
      <c r="H1286" s="58">
        <v>4.1337889999999998E-4</v>
      </c>
      <c r="I1286" s="58">
        <v>1</v>
      </c>
      <c r="J1286" s="58">
        <v>0</v>
      </c>
    </row>
    <row r="1287" spans="1:10" ht="28.5" x14ac:dyDescent="0.2">
      <c r="A1287" s="47"/>
      <c r="B1287" s="47"/>
      <c r="C1287" s="47"/>
      <c r="D1287" s="5" t="s">
        <v>763</v>
      </c>
      <c r="E1287" s="47"/>
      <c r="F1287" s="59"/>
      <c r="G1287" s="59"/>
      <c r="H1287" s="59"/>
      <c r="I1287" s="59"/>
      <c r="J1287" s="59"/>
    </row>
    <row r="1288" spans="1:10" x14ac:dyDescent="0.2">
      <c r="A1288" s="46" t="s">
        <v>1896</v>
      </c>
      <c r="B1288" s="46" t="s">
        <v>420</v>
      </c>
      <c r="C1288" s="46" t="s">
        <v>8</v>
      </c>
      <c r="D1288" s="4" t="s">
        <v>1897</v>
      </c>
      <c r="E1288" s="46" t="s">
        <v>1898</v>
      </c>
      <c r="F1288" s="58" t="s">
        <v>421</v>
      </c>
      <c r="G1288" s="58">
        <v>0</v>
      </c>
      <c r="H1288" s="58">
        <v>1.488164</v>
      </c>
      <c r="I1288" s="58">
        <v>1</v>
      </c>
      <c r="J1288" s="58">
        <v>0</v>
      </c>
    </row>
    <row r="1289" spans="1:10" ht="28.5" x14ac:dyDescent="0.2">
      <c r="A1289" s="47"/>
      <c r="B1289" s="47"/>
      <c r="C1289" s="47"/>
      <c r="D1289" s="5" t="s">
        <v>763</v>
      </c>
      <c r="E1289" s="47"/>
      <c r="F1289" s="59"/>
      <c r="G1289" s="59"/>
      <c r="H1289" s="59"/>
      <c r="I1289" s="59"/>
      <c r="J1289" s="59"/>
    </row>
    <row r="1290" spans="1:10" x14ac:dyDescent="0.2">
      <c r="A1290" s="46" t="s">
        <v>1899</v>
      </c>
      <c r="B1290" s="4" t="s">
        <v>242</v>
      </c>
      <c r="C1290" s="46" t="s">
        <v>8</v>
      </c>
      <c r="D1290" s="46" t="s">
        <v>1900</v>
      </c>
      <c r="E1290" s="46" t="s">
        <v>1900</v>
      </c>
      <c r="F1290" s="58" t="s">
        <v>244</v>
      </c>
      <c r="G1290" s="58">
        <v>0</v>
      </c>
      <c r="H1290" s="58">
        <v>4.882428</v>
      </c>
      <c r="I1290" s="58">
        <v>1</v>
      </c>
      <c r="J1290" s="58">
        <v>0</v>
      </c>
    </row>
    <row r="1291" spans="1:10" x14ac:dyDescent="0.2">
      <c r="A1291" s="47"/>
      <c r="B1291" s="5" t="s">
        <v>243</v>
      </c>
      <c r="C1291" s="47"/>
      <c r="D1291" s="47"/>
      <c r="E1291" s="47"/>
      <c r="F1291" s="59"/>
      <c r="G1291" s="59"/>
      <c r="H1291" s="59"/>
      <c r="I1291" s="59"/>
      <c r="J1291" s="59"/>
    </row>
    <row r="1292" spans="1:10" x14ac:dyDescent="0.2">
      <c r="A1292" s="46" t="s">
        <v>1901</v>
      </c>
      <c r="B1292" s="4" t="s">
        <v>249</v>
      </c>
      <c r="C1292" s="46" t="s">
        <v>8</v>
      </c>
      <c r="D1292" s="46" t="s">
        <v>1902</v>
      </c>
      <c r="E1292" s="46" t="s">
        <v>1902</v>
      </c>
      <c r="F1292" s="58" t="s">
        <v>252</v>
      </c>
      <c r="G1292" s="58">
        <v>0</v>
      </c>
      <c r="H1292" s="58">
        <v>16.018460000000001</v>
      </c>
      <c r="I1292" s="58">
        <v>1</v>
      </c>
      <c r="J1292" s="58">
        <v>0</v>
      </c>
    </row>
    <row r="1293" spans="1:10" x14ac:dyDescent="0.2">
      <c r="A1293" s="48"/>
      <c r="B1293" s="6" t="s">
        <v>250</v>
      </c>
      <c r="C1293" s="48"/>
      <c r="D1293" s="48"/>
      <c r="E1293" s="48"/>
      <c r="F1293" s="60"/>
      <c r="G1293" s="60"/>
      <c r="H1293" s="60"/>
      <c r="I1293" s="60"/>
      <c r="J1293" s="60"/>
    </row>
    <row r="1294" spans="1:10" x14ac:dyDescent="0.2">
      <c r="A1294" s="47"/>
      <c r="B1294" s="5" t="s">
        <v>251</v>
      </c>
      <c r="C1294" s="47"/>
      <c r="D1294" s="47"/>
      <c r="E1294" s="47"/>
      <c r="F1294" s="59"/>
      <c r="G1294" s="59"/>
      <c r="H1294" s="59"/>
      <c r="I1294" s="59"/>
      <c r="J1294" s="59"/>
    </row>
    <row r="1295" spans="1:10" ht="42.75" x14ac:dyDescent="0.2">
      <c r="A1295" s="3" t="s">
        <v>1903</v>
      </c>
      <c r="B1295" s="3" t="s">
        <v>254</v>
      </c>
      <c r="C1295" s="3" t="s">
        <v>8</v>
      </c>
      <c r="D1295" s="3" t="s">
        <v>1904</v>
      </c>
      <c r="E1295" s="3" t="s">
        <v>1904</v>
      </c>
      <c r="F1295" s="1" t="s">
        <v>255</v>
      </c>
      <c r="G1295" s="1">
        <v>0</v>
      </c>
      <c r="H1295" s="1">
        <v>16.018460000000001</v>
      </c>
      <c r="I1295" s="1">
        <v>0.30480000000000002</v>
      </c>
      <c r="J1295" s="1">
        <v>0</v>
      </c>
    </row>
    <row r="1296" spans="1:10" x14ac:dyDescent="0.2">
      <c r="A1296" s="46" t="s">
        <v>1905</v>
      </c>
      <c r="B1296" s="4" t="s">
        <v>249</v>
      </c>
      <c r="C1296" s="46" t="s">
        <v>8</v>
      </c>
      <c r="D1296" s="46" t="s">
        <v>1906</v>
      </c>
      <c r="E1296" s="46" t="s">
        <v>1906</v>
      </c>
      <c r="F1296" s="58" t="s">
        <v>252</v>
      </c>
      <c r="G1296" s="58">
        <v>0</v>
      </c>
      <c r="H1296" s="58">
        <v>99.776330000000002</v>
      </c>
      <c r="I1296" s="58">
        <v>1</v>
      </c>
      <c r="J1296" s="58">
        <v>0</v>
      </c>
    </row>
    <row r="1297" spans="1:10" x14ac:dyDescent="0.2">
      <c r="A1297" s="48"/>
      <c r="B1297" s="6" t="s">
        <v>250</v>
      </c>
      <c r="C1297" s="48"/>
      <c r="D1297" s="48"/>
      <c r="E1297" s="48"/>
      <c r="F1297" s="60"/>
      <c r="G1297" s="60"/>
      <c r="H1297" s="60"/>
      <c r="I1297" s="60"/>
      <c r="J1297" s="60"/>
    </row>
    <row r="1298" spans="1:10" x14ac:dyDescent="0.2">
      <c r="A1298" s="47"/>
      <c r="B1298" s="5" t="s">
        <v>251</v>
      </c>
      <c r="C1298" s="47"/>
      <c r="D1298" s="47"/>
      <c r="E1298" s="47"/>
      <c r="F1298" s="59"/>
      <c r="G1298" s="59"/>
      <c r="H1298" s="59"/>
      <c r="I1298" s="59"/>
      <c r="J1298" s="59"/>
    </row>
    <row r="1299" spans="1:10" ht="57" x14ac:dyDescent="0.2">
      <c r="A1299" s="3" t="s">
        <v>1907</v>
      </c>
      <c r="B1299" s="3" t="s">
        <v>254</v>
      </c>
      <c r="C1299" s="3" t="s">
        <v>8</v>
      </c>
      <c r="D1299" s="3" t="s">
        <v>1908</v>
      </c>
      <c r="E1299" s="3" t="s">
        <v>1908</v>
      </c>
      <c r="F1299" s="1" t="s">
        <v>255</v>
      </c>
      <c r="G1299" s="1">
        <v>0</v>
      </c>
      <c r="H1299" s="1">
        <v>99.776330000000002</v>
      </c>
      <c r="I1299" s="1">
        <v>0.30480000000000002</v>
      </c>
      <c r="J1299" s="1">
        <v>0</v>
      </c>
    </row>
    <row r="1300" spans="1:10" ht="28.5" x14ac:dyDescent="0.2">
      <c r="A1300" s="46" t="s">
        <v>1879</v>
      </c>
      <c r="B1300" s="4" t="s">
        <v>249</v>
      </c>
      <c r="C1300" s="46" t="s">
        <v>8</v>
      </c>
      <c r="D1300" s="4" t="s">
        <v>1909</v>
      </c>
      <c r="E1300" s="46"/>
      <c r="F1300" s="58" t="s">
        <v>252</v>
      </c>
      <c r="G1300" s="58">
        <v>0</v>
      </c>
      <c r="H1300" s="58">
        <v>99.776330000000002</v>
      </c>
      <c r="I1300" s="58">
        <v>1000</v>
      </c>
      <c r="J1300" s="58">
        <v>0</v>
      </c>
    </row>
    <row r="1301" spans="1:10" ht="28.5" x14ac:dyDescent="0.2">
      <c r="A1301" s="48"/>
      <c r="B1301" s="6" t="s">
        <v>250</v>
      </c>
      <c r="C1301" s="48"/>
      <c r="D1301" s="6" t="s">
        <v>763</v>
      </c>
      <c r="E1301" s="48"/>
      <c r="F1301" s="60"/>
      <c r="G1301" s="60"/>
      <c r="H1301" s="60"/>
      <c r="I1301" s="60"/>
      <c r="J1301" s="60"/>
    </row>
    <row r="1302" spans="1:10" x14ac:dyDescent="0.2">
      <c r="A1302" s="47"/>
      <c r="B1302" s="5" t="s">
        <v>251</v>
      </c>
      <c r="C1302" s="47"/>
      <c r="D1302" s="5"/>
      <c r="E1302" s="47"/>
      <c r="F1302" s="59"/>
      <c r="G1302" s="59"/>
      <c r="H1302" s="59"/>
      <c r="I1302" s="59"/>
      <c r="J1302" s="59"/>
    </row>
    <row r="1303" spans="1:10" x14ac:dyDescent="0.2">
      <c r="A1303" s="46" t="s">
        <v>1910</v>
      </c>
      <c r="B1303" s="4" t="s">
        <v>249</v>
      </c>
      <c r="C1303" s="46" t="s">
        <v>8</v>
      </c>
      <c r="D1303" s="46" t="s">
        <v>1911</v>
      </c>
      <c r="E1303" s="46" t="s">
        <v>1911</v>
      </c>
      <c r="F1303" s="58" t="s">
        <v>252</v>
      </c>
      <c r="G1303" s="58">
        <v>0</v>
      </c>
      <c r="H1303" s="58">
        <v>119.82640000000001</v>
      </c>
      <c r="I1303" s="58">
        <v>1</v>
      </c>
      <c r="J1303" s="58">
        <v>0</v>
      </c>
    </row>
    <row r="1304" spans="1:10" x14ac:dyDescent="0.2">
      <c r="A1304" s="48"/>
      <c r="B1304" s="6" t="s">
        <v>250</v>
      </c>
      <c r="C1304" s="48"/>
      <c r="D1304" s="48"/>
      <c r="E1304" s="48"/>
      <c r="F1304" s="60"/>
      <c r="G1304" s="60"/>
      <c r="H1304" s="60"/>
      <c r="I1304" s="60"/>
      <c r="J1304" s="60"/>
    </row>
    <row r="1305" spans="1:10" x14ac:dyDescent="0.2">
      <c r="A1305" s="47"/>
      <c r="B1305" s="5" t="s">
        <v>251</v>
      </c>
      <c r="C1305" s="47"/>
      <c r="D1305" s="47"/>
      <c r="E1305" s="47"/>
      <c r="F1305" s="59"/>
      <c r="G1305" s="59"/>
      <c r="H1305" s="59"/>
      <c r="I1305" s="59"/>
      <c r="J1305" s="59"/>
    </row>
    <row r="1306" spans="1:10" ht="57" x14ac:dyDescent="0.2">
      <c r="A1306" s="3" t="s">
        <v>1912</v>
      </c>
      <c r="B1306" s="3" t="s">
        <v>254</v>
      </c>
      <c r="C1306" s="3" t="s">
        <v>8</v>
      </c>
      <c r="D1306" s="3" t="s">
        <v>1913</v>
      </c>
      <c r="E1306" s="3" t="s">
        <v>1913</v>
      </c>
      <c r="F1306" s="1" t="s">
        <v>255</v>
      </c>
      <c r="G1306" s="1">
        <v>0</v>
      </c>
      <c r="H1306" s="1">
        <v>119.82640000000001</v>
      </c>
      <c r="I1306" s="1">
        <v>0.30480000000000002</v>
      </c>
      <c r="J1306" s="1">
        <v>0</v>
      </c>
    </row>
    <row r="1307" spans="1:10" ht="28.5" x14ac:dyDescent="0.2">
      <c r="A1307" s="46" t="s">
        <v>1881</v>
      </c>
      <c r="B1307" s="4" t="s">
        <v>249</v>
      </c>
      <c r="C1307" s="46" t="s">
        <v>8</v>
      </c>
      <c r="D1307" s="4" t="s">
        <v>1914</v>
      </c>
      <c r="E1307" s="46"/>
      <c r="F1307" s="58" t="s">
        <v>252</v>
      </c>
      <c r="G1307" s="58">
        <v>0</v>
      </c>
      <c r="H1307" s="58">
        <v>119.82640000000001</v>
      </c>
      <c r="I1307" s="58">
        <v>1000</v>
      </c>
      <c r="J1307" s="58">
        <v>0</v>
      </c>
    </row>
    <row r="1308" spans="1:10" ht="28.5" x14ac:dyDescent="0.2">
      <c r="A1308" s="48"/>
      <c r="B1308" s="6" t="s">
        <v>250</v>
      </c>
      <c r="C1308" s="48"/>
      <c r="D1308" s="6" t="s">
        <v>763</v>
      </c>
      <c r="E1308" s="48"/>
      <c r="F1308" s="60"/>
      <c r="G1308" s="60"/>
      <c r="H1308" s="60"/>
      <c r="I1308" s="60"/>
      <c r="J1308" s="60"/>
    </row>
    <row r="1309" spans="1:10" x14ac:dyDescent="0.2">
      <c r="A1309" s="47"/>
      <c r="B1309" s="5" t="s">
        <v>251</v>
      </c>
      <c r="C1309" s="47"/>
      <c r="D1309" s="5"/>
      <c r="E1309" s="47"/>
      <c r="F1309" s="59"/>
      <c r="G1309" s="59"/>
      <c r="H1309" s="59"/>
      <c r="I1309" s="59"/>
      <c r="J1309" s="59"/>
    </row>
    <row r="1310" spans="1:10" ht="42.75" x14ac:dyDescent="0.2">
      <c r="A1310" s="3" t="s">
        <v>1915</v>
      </c>
      <c r="B1310" s="3" t="s">
        <v>257</v>
      </c>
      <c r="C1310" s="3" t="s">
        <v>8</v>
      </c>
      <c r="D1310" s="3" t="s">
        <v>1916</v>
      </c>
      <c r="E1310" s="3" t="s">
        <v>1916</v>
      </c>
      <c r="F1310" s="1" t="s">
        <v>258</v>
      </c>
      <c r="G1310" s="1">
        <v>0</v>
      </c>
      <c r="H1310" s="1">
        <v>0.45359240000000001</v>
      </c>
      <c r="I1310" s="1">
        <v>3600</v>
      </c>
      <c r="J1310" s="1">
        <v>0</v>
      </c>
    </row>
    <row r="1311" spans="1:10" ht="42.75" x14ac:dyDescent="0.2">
      <c r="A1311" s="3" t="s">
        <v>1917</v>
      </c>
      <c r="B1311" s="3" t="s">
        <v>420</v>
      </c>
      <c r="C1311" s="3" t="s">
        <v>8</v>
      </c>
      <c r="D1311" s="3" t="s">
        <v>1895</v>
      </c>
      <c r="E1311" s="3" t="s">
        <v>1895</v>
      </c>
      <c r="F1311" s="1" t="s">
        <v>421</v>
      </c>
      <c r="G1311" s="1">
        <v>0</v>
      </c>
      <c r="H1311" s="1">
        <v>4.1337889999999998E-4</v>
      </c>
      <c r="I1311" s="1">
        <v>1</v>
      </c>
      <c r="J1311" s="1">
        <v>0</v>
      </c>
    </row>
    <row r="1312" spans="1:10" ht="57" x14ac:dyDescent="0.2">
      <c r="A1312" s="3" t="s">
        <v>1918</v>
      </c>
      <c r="B1312" s="3" t="s">
        <v>246</v>
      </c>
      <c r="C1312" s="3" t="s">
        <v>8</v>
      </c>
      <c r="D1312" s="3" t="s">
        <v>1919</v>
      </c>
      <c r="E1312" s="3" t="s">
        <v>1919</v>
      </c>
      <c r="F1312" s="1" t="s">
        <v>247</v>
      </c>
      <c r="G1312" s="1">
        <v>0</v>
      </c>
      <c r="H1312" s="1">
        <v>1.3562299999999999E-3</v>
      </c>
      <c r="I1312" s="1">
        <v>1</v>
      </c>
      <c r="J1312" s="1">
        <v>0</v>
      </c>
    </row>
    <row r="1313" spans="1:10" ht="57" x14ac:dyDescent="0.2">
      <c r="A1313" s="3" t="s">
        <v>1920</v>
      </c>
      <c r="B1313" s="3" t="s">
        <v>234</v>
      </c>
      <c r="C1313" s="3" t="s">
        <v>8</v>
      </c>
      <c r="D1313" s="3" t="s">
        <v>1921</v>
      </c>
      <c r="E1313" s="3" t="s">
        <v>1921</v>
      </c>
      <c r="F1313" s="1" t="s">
        <v>235</v>
      </c>
      <c r="G1313" s="1">
        <v>0</v>
      </c>
      <c r="H1313" s="1">
        <v>1.6896589999999999E-7</v>
      </c>
      <c r="I1313" s="1">
        <v>1</v>
      </c>
      <c r="J1313" s="1">
        <v>0</v>
      </c>
    </row>
    <row r="1314" spans="1:10" x14ac:dyDescent="0.2">
      <c r="A1314" s="46" t="s">
        <v>1922</v>
      </c>
      <c r="B1314" s="4" t="s">
        <v>249</v>
      </c>
      <c r="C1314" s="46" t="s">
        <v>8</v>
      </c>
      <c r="D1314" s="46" t="s">
        <v>1923</v>
      </c>
      <c r="E1314" s="46" t="s">
        <v>1923</v>
      </c>
      <c r="F1314" s="58" t="s">
        <v>252</v>
      </c>
      <c r="G1314" s="58">
        <v>0</v>
      </c>
      <c r="H1314" s="58">
        <v>0.45359240000000001</v>
      </c>
      <c r="I1314" s="58">
        <v>1.6387063999999999E-5</v>
      </c>
      <c r="J1314" s="58">
        <v>0</v>
      </c>
    </row>
    <row r="1315" spans="1:10" x14ac:dyDescent="0.2">
      <c r="A1315" s="48"/>
      <c r="B1315" s="6" t="s">
        <v>250</v>
      </c>
      <c r="C1315" s="48"/>
      <c r="D1315" s="48"/>
      <c r="E1315" s="48"/>
      <c r="F1315" s="60"/>
      <c r="G1315" s="60"/>
      <c r="H1315" s="60"/>
      <c r="I1315" s="60"/>
      <c r="J1315" s="60"/>
    </row>
    <row r="1316" spans="1:10" x14ac:dyDescent="0.2">
      <c r="A1316" s="47"/>
      <c r="B1316" s="5" t="s">
        <v>251</v>
      </c>
      <c r="C1316" s="47"/>
      <c r="D1316" s="47"/>
      <c r="E1316" s="47"/>
      <c r="F1316" s="59"/>
      <c r="G1316" s="59"/>
      <c r="H1316" s="59"/>
      <c r="I1316" s="59"/>
      <c r="J1316" s="59"/>
    </row>
    <row r="1317" spans="1:10" x14ac:dyDescent="0.2">
      <c r="A1317" s="46" t="s">
        <v>1924</v>
      </c>
      <c r="B1317" s="4" t="s">
        <v>249</v>
      </c>
      <c r="C1317" s="46" t="s">
        <v>8</v>
      </c>
      <c r="D1317" s="46" t="s">
        <v>1925</v>
      </c>
      <c r="E1317" s="46"/>
      <c r="F1317" s="58" t="s">
        <v>252</v>
      </c>
      <c r="G1317" s="58">
        <v>0</v>
      </c>
      <c r="H1317" s="58">
        <v>2.85301E-3</v>
      </c>
      <c r="I1317" s="58">
        <v>1</v>
      </c>
      <c r="J1317" s="58">
        <v>0</v>
      </c>
    </row>
    <row r="1318" spans="1:10" x14ac:dyDescent="0.2">
      <c r="A1318" s="48"/>
      <c r="B1318" s="6" t="s">
        <v>250</v>
      </c>
      <c r="C1318" s="48"/>
      <c r="D1318" s="48"/>
      <c r="E1318" s="48"/>
      <c r="F1318" s="60"/>
      <c r="G1318" s="60"/>
      <c r="H1318" s="60"/>
      <c r="I1318" s="60"/>
      <c r="J1318" s="60"/>
    </row>
    <row r="1319" spans="1:10" x14ac:dyDescent="0.2">
      <c r="A1319" s="47"/>
      <c r="B1319" s="5" t="s">
        <v>251</v>
      </c>
      <c r="C1319" s="47"/>
      <c r="D1319" s="47"/>
      <c r="E1319" s="47"/>
      <c r="F1319" s="59"/>
      <c r="G1319" s="59"/>
      <c r="H1319" s="59"/>
      <c r="I1319" s="59"/>
      <c r="J1319" s="59"/>
    </row>
    <row r="1320" spans="1:10" ht="42.75" x14ac:dyDescent="0.2">
      <c r="A1320" s="3" t="s">
        <v>1926</v>
      </c>
      <c r="B1320" s="3" t="s">
        <v>257</v>
      </c>
      <c r="C1320" s="3" t="s">
        <v>8</v>
      </c>
      <c r="D1320" s="3" t="s">
        <v>1927</v>
      </c>
      <c r="E1320" s="3" t="s">
        <v>1927</v>
      </c>
      <c r="F1320" s="1" t="s">
        <v>258</v>
      </c>
      <c r="G1320" s="1">
        <v>0</v>
      </c>
      <c r="H1320" s="1">
        <v>0.45359240000000001</v>
      </c>
      <c r="I1320" s="1">
        <v>60</v>
      </c>
      <c r="J1320" s="1">
        <v>0</v>
      </c>
    </row>
    <row r="1321" spans="1:10" ht="42.75" x14ac:dyDescent="0.2">
      <c r="A1321" s="3" t="s">
        <v>1928</v>
      </c>
      <c r="B1321" s="3" t="s">
        <v>257</v>
      </c>
      <c r="C1321" s="3" t="s">
        <v>8</v>
      </c>
      <c r="D1321" s="3" t="s">
        <v>1929</v>
      </c>
      <c r="E1321" s="3" t="s">
        <v>1929</v>
      </c>
      <c r="F1321" s="1" t="s">
        <v>258</v>
      </c>
      <c r="G1321" s="1">
        <v>0</v>
      </c>
      <c r="H1321" s="1">
        <v>0.45359240000000001</v>
      </c>
      <c r="I1321" s="1">
        <v>1</v>
      </c>
      <c r="J1321" s="1">
        <v>0</v>
      </c>
    </row>
    <row r="1322" spans="1:10" ht="42.75" x14ac:dyDescent="0.2">
      <c r="A1322" s="3" t="s">
        <v>1930</v>
      </c>
      <c r="B1322" s="3" t="s">
        <v>420</v>
      </c>
      <c r="C1322" s="3" t="s">
        <v>8</v>
      </c>
      <c r="D1322" s="3" t="s">
        <v>1898</v>
      </c>
      <c r="E1322" s="3" t="s">
        <v>1898</v>
      </c>
      <c r="F1322" s="1" t="s">
        <v>421</v>
      </c>
      <c r="G1322" s="1">
        <v>0</v>
      </c>
      <c r="H1322" s="1">
        <v>1.488164</v>
      </c>
      <c r="I1322" s="1">
        <v>1</v>
      </c>
      <c r="J1322" s="1">
        <v>0</v>
      </c>
    </row>
    <row r="1323" spans="1:10" ht="71.25" x14ac:dyDescent="0.2">
      <c r="A1323" s="3" t="s">
        <v>1931</v>
      </c>
      <c r="B1323" s="3" t="s">
        <v>246</v>
      </c>
      <c r="C1323" s="3" t="s">
        <v>8</v>
      </c>
      <c r="D1323" s="3" t="s">
        <v>1932</v>
      </c>
      <c r="E1323" s="3" t="s">
        <v>1932</v>
      </c>
      <c r="F1323" s="1" t="s">
        <v>247</v>
      </c>
      <c r="G1323" s="1">
        <v>0</v>
      </c>
      <c r="H1323" s="1">
        <v>4.882428</v>
      </c>
      <c r="I1323" s="1">
        <v>1</v>
      </c>
      <c r="J1323" s="1">
        <v>0</v>
      </c>
    </row>
    <row r="1324" spans="1:10" x14ac:dyDescent="0.2">
      <c r="A1324" s="46" t="s">
        <v>1933</v>
      </c>
      <c r="B1324" s="4" t="s">
        <v>277</v>
      </c>
      <c r="C1324" s="46" t="s">
        <v>8</v>
      </c>
      <c r="D1324" s="46" t="s">
        <v>1934</v>
      </c>
      <c r="E1324" s="46"/>
      <c r="F1324" s="58" t="s">
        <v>290</v>
      </c>
      <c r="G1324" s="58">
        <v>0</v>
      </c>
      <c r="H1324" s="58">
        <v>0.201167824</v>
      </c>
      <c r="I1324" s="58">
        <v>1</v>
      </c>
      <c r="J1324" s="58">
        <v>0</v>
      </c>
    </row>
    <row r="1325" spans="1:10" x14ac:dyDescent="0.2">
      <c r="A1325" s="48"/>
      <c r="B1325" s="6" t="s">
        <v>280</v>
      </c>
      <c r="C1325" s="48"/>
      <c r="D1325" s="48"/>
      <c r="E1325" s="48"/>
      <c r="F1325" s="60"/>
      <c r="G1325" s="60"/>
      <c r="H1325" s="60"/>
      <c r="I1325" s="60"/>
      <c r="J1325" s="60"/>
    </row>
    <row r="1326" spans="1:10" x14ac:dyDescent="0.2">
      <c r="A1326" s="48"/>
      <c r="B1326" s="6" t="s">
        <v>284</v>
      </c>
      <c r="C1326" s="48"/>
      <c r="D1326" s="48"/>
      <c r="E1326" s="48"/>
      <c r="F1326" s="60"/>
      <c r="G1326" s="60"/>
      <c r="H1326" s="60"/>
      <c r="I1326" s="60"/>
      <c r="J1326" s="60"/>
    </row>
    <row r="1327" spans="1:10" x14ac:dyDescent="0.2">
      <c r="A1327" s="47"/>
      <c r="B1327" s="5" t="s">
        <v>287</v>
      </c>
      <c r="C1327" s="47"/>
      <c r="D1327" s="47"/>
      <c r="E1327" s="47"/>
      <c r="F1327" s="59"/>
      <c r="G1327" s="59"/>
      <c r="H1327" s="59"/>
      <c r="I1327" s="59"/>
      <c r="J1327" s="59"/>
    </row>
    <row r="1328" spans="1:10" x14ac:dyDescent="0.2">
      <c r="A1328" s="46" t="s">
        <v>1935</v>
      </c>
      <c r="B1328" s="4" t="s">
        <v>277</v>
      </c>
      <c r="C1328" s="46" t="s">
        <v>8</v>
      </c>
      <c r="D1328" s="46" t="s">
        <v>1936</v>
      </c>
      <c r="E1328" s="46"/>
      <c r="F1328" s="58" t="s">
        <v>290</v>
      </c>
      <c r="G1328" s="58">
        <v>0</v>
      </c>
      <c r="H1328" s="58">
        <v>7.92</v>
      </c>
      <c r="I1328" s="58">
        <v>39.370113000000003</v>
      </c>
      <c r="J1328" s="58">
        <v>0</v>
      </c>
    </row>
    <row r="1329" spans="1:10" x14ac:dyDescent="0.2">
      <c r="A1329" s="48"/>
      <c r="B1329" s="6" t="s">
        <v>280</v>
      </c>
      <c r="C1329" s="48"/>
      <c r="D1329" s="48"/>
      <c r="E1329" s="48"/>
      <c r="F1329" s="60"/>
      <c r="G1329" s="60"/>
      <c r="H1329" s="60"/>
      <c r="I1329" s="60"/>
      <c r="J1329" s="60"/>
    </row>
    <row r="1330" spans="1:10" x14ac:dyDescent="0.2">
      <c r="A1330" s="48"/>
      <c r="B1330" s="6" t="s">
        <v>284</v>
      </c>
      <c r="C1330" s="48"/>
      <c r="D1330" s="48"/>
      <c r="E1330" s="48"/>
      <c r="F1330" s="60"/>
      <c r="G1330" s="60"/>
      <c r="H1330" s="60"/>
      <c r="I1330" s="60"/>
      <c r="J1330" s="60"/>
    </row>
    <row r="1331" spans="1:10" x14ac:dyDescent="0.2">
      <c r="A1331" s="47"/>
      <c r="B1331" s="5" t="s">
        <v>287</v>
      </c>
      <c r="C1331" s="47"/>
      <c r="D1331" s="47"/>
      <c r="E1331" s="47"/>
      <c r="F1331" s="59"/>
      <c r="G1331" s="59"/>
      <c r="H1331" s="59"/>
      <c r="I1331" s="59"/>
      <c r="J1331" s="59"/>
    </row>
    <row r="1332" spans="1:10" x14ac:dyDescent="0.2">
      <c r="A1332" s="46" t="s">
        <v>1937</v>
      </c>
      <c r="B1332" s="4" t="s">
        <v>277</v>
      </c>
      <c r="C1332" s="46" t="s">
        <v>8</v>
      </c>
      <c r="D1332" s="46" t="s">
        <v>1938</v>
      </c>
      <c r="E1332" s="46"/>
      <c r="F1332" s="58" t="s">
        <v>290</v>
      </c>
      <c r="G1332" s="58">
        <v>0</v>
      </c>
      <c r="H1332" s="58">
        <v>7.92</v>
      </c>
      <c r="I1332" s="58">
        <v>39.370432000000001</v>
      </c>
      <c r="J1332" s="58">
        <v>0</v>
      </c>
    </row>
    <row r="1333" spans="1:10" x14ac:dyDescent="0.2">
      <c r="A1333" s="48"/>
      <c r="B1333" s="6" t="s">
        <v>280</v>
      </c>
      <c r="C1333" s="48"/>
      <c r="D1333" s="48"/>
      <c r="E1333" s="48"/>
      <c r="F1333" s="60"/>
      <c r="G1333" s="60"/>
      <c r="H1333" s="60"/>
      <c r="I1333" s="60"/>
      <c r="J1333" s="60"/>
    </row>
    <row r="1334" spans="1:10" x14ac:dyDescent="0.2">
      <c r="A1334" s="48"/>
      <c r="B1334" s="6" t="s">
        <v>284</v>
      </c>
      <c r="C1334" s="48"/>
      <c r="D1334" s="48"/>
      <c r="E1334" s="48"/>
      <c r="F1334" s="60"/>
      <c r="G1334" s="60"/>
      <c r="H1334" s="60"/>
      <c r="I1334" s="60"/>
      <c r="J1334" s="60"/>
    </row>
    <row r="1335" spans="1:10" x14ac:dyDescent="0.2">
      <c r="A1335" s="47"/>
      <c r="B1335" s="5" t="s">
        <v>287</v>
      </c>
      <c r="C1335" s="47"/>
      <c r="D1335" s="47"/>
      <c r="E1335" s="47"/>
      <c r="F1335" s="59"/>
      <c r="G1335" s="59"/>
      <c r="H1335" s="59"/>
      <c r="I1335" s="59"/>
      <c r="J1335" s="59"/>
    </row>
    <row r="1336" spans="1:10" x14ac:dyDescent="0.2">
      <c r="A1336" s="46" t="s">
        <v>1939</v>
      </c>
      <c r="B1336" s="4" t="s">
        <v>277</v>
      </c>
      <c r="C1336" s="46" t="s">
        <v>8</v>
      </c>
      <c r="D1336" s="46" t="s">
        <v>1940</v>
      </c>
      <c r="E1336" s="46"/>
      <c r="F1336" s="58" t="s">
        <v>290</v>
      </c>
      <c r="G1336" s="58">
        <v>0</v>
      </c>
      <c r="H1336" s="58">
        <v>7.92</v>
      </c>
      <c r="I1336" s="58">
        <v>39.370147000000003</v>
      </c>
      <c r="J1336" s="58">
        <v>0</v>
      </c>
    </row>
    <row r="1337" spans="1:10" x14ac:dyDescent="0.2">
      <c r="A1337" s="48"/>
      <c r="B1337" s="6" t="s">
        <v>280</v>
      </c>
      <c r="C1337" s="48"/>
      <c r="D1337" s="48"/>
      <c r="E1337" s="48"/>
      <c r="F1337" s="60"/>
      <c r="G1337" s="60"/>
      <c r="H1337" s="60"/>
      <c r="I1337" s="60"/>
      <c r="J1337" s="60"/>
    </row>
    <row r="1338" spans="1:10" x14ac:dyDescent="0.2">
      <c r="A1338" s="48"/>
      <c r="B1338" s="6" t="s">
        <v>284</v>
      </c>
      <c r="C1338" s="48"/>
      <c r="D1338" s="48"/>
      <c r="E1338" s="48"/>
      <c r="F1338" s="60"/>
      <c r="G1338" s="60"/>
      <c r="H1338" s="60"/>
      <c r="I1338" s="60"/>
      <c r="J1338" s="60"/>
    </row>
    <row r="1339" spans="1:10" x14ac:dyDescent="0.2">
      <c r="A1339" s="47"/>
      <c r="B1339" s="5" t="s">
        <v>287</v>
      </c>
      <c r="C1339" s="47"/>
      <c r="D1339" s="47"/>
      <c r="E1339" s="47"/>
      <c r="F1339" s="59"/>
      <c r="G1339" s="59"/>
      <c r="H1339" s="59"/>
      <c r="I1339" s="59"/>
      <c r="J1339" s="59"/>
    </row>
    <row r="1340" spans="1:10" x14ac:dyDescent="0.2">
      <c r="A1340" s="46" t="s">
        <v>1941</v>
      </c>
      <c r="B1340" s="4" t="s">
        <v>277</v>
      </c>
      <c r="C1340" s="46" t="s">
        <v>8</v>
      </c>
      <c r="D1340" s="46" t="s">
        <v>1942</v>
      </c>
      <c r="E1340" s="46"/>
      <c r="F1340" s="58" t="s">
        <v>290</v>
      </c>
      <c r="G1340" s="58">
        <v>0</v>
      </c>
      <c r="H1340" s="58">
        <v>7.92</v>
      </c>
      <c r="I1340" s="58">
        <v>39.369999999999997</v>
      </c>
      <c r="J1340" s="58">
        <v>0</v>
      </c>
    </row>
    <row r="1341" spans="1:10" x14ac:dyDescent="0.2">
      <c r="A1341" s="48"/>
      <c r="B1341" s="6" t="s">
        <v>280</v>
      </c>
      <c r="C1341" s="48"/>
      <c r="D1341" s="48"/>
      <c r="E1341" s="48"/>
      <c r="F1341" s="60"/>
      <c r="G1341" s="60"/>
      <c r="H1341" s="60"/>
      <c r="I1341" s="60"/>
      <c r="J1341" s="60"/>
    </row>
    <row r="1342" spans="1:10" x14ac:dyDescent="0.2">
      <c r="A1342" s="48"/>
      <c r="B1342" s="6" t="s">
        <v>284</v>
      </c>
      <c r="C1342" s="48"/>
      <c r="D1342" s="48"/>
      <c r="E1342" s="48"/>
      <c r="F1342" s="60"/>
      <c r="G1342" s="60"/>
      <c r="H1342" s="60"/>
      <c r="I1342" s="60"/>
      <c r="J1342" s="60"/>
    </row>
    <row r="1343" spans="1:10" x14ac:dyDescent="0.2">
      <c r="A1343" s="47"/>
      <c r="B1343" s="5" t="s">
        <v>287</v>
      </c>
      <c r="C1343" s="47"/>
      <c r="D1343" s="47"/>
      <c r="E1343" s="47"/>
      <c r="F1343" s="59"/>
      <c r="G1343" s="59"/>
      <c r="H1343" s="59"/>
      <c r="I1343" s="59"/>
      <c r="J1343" s="59"/>
    </row>
    <row r="1344" spans="1:10" x14ac:dyDescent="0.2">
      <c r="A1344" s="46" t="s">
        <v>1943</v>
      </c>
      <c r="B1344" s="46" t="s">
        <v>1944</v>
      </c>
      <c r="C1344" s="46" t="s">
        <v>8</v>
      </c>
      <c r="D1344" s="46" t="s">
        <v>1945</v>
      </c>
      <c r="E1344" s="4" t="s">
        <v>1945</v>
      </c>
      <c r="F1344" s="58" t="s">
        <v>271</v>
      </c>
      <c r="G1344" s="58">
        <v>0</v>
      </c>
      <c r="H1344" s="58">
        <v>1</v>
      </c>
      <c r="I1344" s="58">
        <v>1</v>
      </c>
      <c r="J1344" s="58">
        <v>0</v>
      </c>
    </row>
    <row r="1345" spans="1:10" x14ac:dyDescent="0.2">
      <c r="A1345" s="47"/>
      <c r="B1345" s="47"/>
      <c r="C1345" s="47"/>
      <c r="D1345" s="47"/>
      <c r="E1345" s="5" t="s">
        <v>1945</v>
      </c>
      <c r="F1345" s="59"/>
      <c r="G1345" s="59"/>
      <c r="H1345" s="59"/>
      <c r="I1345" s="59"/>
      <c r="J1345" s="59"/>
    </row>
    <row r="1346" spans="1:10" ht="28.5" x14ac:dyDescent="0.2">
      <c r="A1346" s="3" t="s">
        <v>1946</v>
      </c>
      <c r="B1346" s="3" t="s">
        <v>321</v>
      </c>
      <c r="C1346" s="3" t="s">
        <v>8</v>
      </c>
      <c r="D1346" s="3" t="s">
        <v>1947</v>
      </c>
      <c r="E1346" s="3"/>
      <c r="F1346" s="1" t="s">
        <v>322</v>
      </c>
      <c r="G1346" s="1">
        <v>0</v>
      </c>
      <c r="H1346" s="1">
        <v>28316.846592000002</v>
      </c>
      <c r="I1346" s="1">
        <v>1</v>
      </c>
      <c r="J1346" s="1">
        <v>0</v>
      </c>
    </row>
    <row r="1347" spans="1:10" ht="57" x14ac:dyDescent="0.2">
      <c r="A1347" s="3" t="s">
        <v>1948</v>
      </c>
      <c r="B1347" s="3" t="s">
        <v>659</v>
      </c>
      <c r="C1347" s="3" t="s">
        <v>8</v>
      </c>
      <c r="D1347" s="3" t="s">
        <v>1949</v>
      </c>
      <c r="E1347" s="3"/>
      <c r="F1347" s="1" t="s">
        <v>131</v>
      </c>
      <c r="G1347" s="1">
        <v>0</v>
      </c>
      <c r="H1347" s="1">
        <v>1000000</v>
      </c>
      <c r="I1347" s="1">
        <v>43560</v>
      </c>
      <c r="J1347" s="1">
        <v>0</v>
      </c>
    </row>
    <row r="1348" spans="1:10" ht="42.75" x14ac:dyDescent="0.2">
      <c r="A1348" s="3" t="s">
        <v>1950</v>
      </c>
      <c r="B1348" s="3" t="s">
        <v>343</v>
      </c>
      <c r="C1348" s="3" t="s">
        <v>8</v>
      </c>
      <c r="D1348" s="3" t="s">
        <v>1951</v>
      </c>
      <c r="E1348" s="3"/>
      <c r="F1348" s="1" t="s">
        <v>344</v>
      </c>
      <c r="G1348" s="1">
        <v>0</v>
      </c>
      <c r="H1348" s="1">
        <v>28316.85</v>
      </c>
      <c r="I1348" s="1">
        <v>86400</v>
      </c>
      <c r="J1348" s="1">
        <v>0</v>
      </c>
    </row>
    <row r="1349" spans="1:10" ht="42.75" x14ac:dyDescent="0.2">
      <c r="A1349" s="3" t="s">
        <v>1952</v>
      </c>
      <c r="B1349" s="3" t="s">
        <v>321</v>
      </c>
      <c r="C1349" s="3" t="s">
        <v>8</v>
      </c>
      <c r="D1349" s="3" t="s">
        <v>1953</v>
      </c>
      <c r="E1349" s="3"/>
      <c r="F1349" s="1" t="s">
        <v>322</v>
      </c>
      <c r="G1349" s="1">
        <v>0</v>
      </c>
      <c r="H1349" s="1">
        <v>1.0000000000000001E-9</v>
      </c>
      <c r="I1349" s="1">
        <v>1</v>
      </c>
      <c r="J1349" s="1">
        <v>0</v>
      </c>
    </row>
    <row r="1350" spans="1:10" ht="57" x14ac:dyDescent="0.2">
      <c r="A1350" s="3" t="s">
        <v>1954</v>
      </c>
      <c r="B1350" s="3" t="s">
        <v>343</v>
      </c>
      <c r="C1350" s="3" t="s">
        <v>8</v>
      </c>
      <c r="D1350" s="3" t="s">
        <v>1955</v>
      </c>
      <c r="E1350" s="3"/>
      <c r="F1350" s="1" t="s">
        <v>344</v>
      </c>
      <c r="G1350" s="1">
        <v>0</v>
      </c>
      <c r="H1350" s="1">
        <v>1000000</v>
      </c>
      <c r="I1350" s="1">
        <v>86400</v>
      </c>
      <c r="J1350" s="1">
        <v>0</v>
      </c>
    </row>
    <row r="1351" spans="1:10" x14ac:dyDescent="0.2">
      <c r="A1351" s="46" t="s">
        <v>1956</v>
      </c>
      <c r="B1351" s="4" t="s">
        <v>128</v>
      </c>
      <c r="C1351" s="46" t="s">
        <v>8</v>
      </c>
      <c r="D1351" s="46" t="s">
        <v>1957</v>
      </c>
      <c r="E1351" s="46"/>
      <c r="F1351" s="58" t="s">
        <v>131</v>
      </c>
      <c r="G1351" s="58">
        <v>0</v>
      </c>
      <c r="H1351" s="58">
        <v>1</v>
      </c>
      <c r="I1351" s="58">
        <v>30</v>
      </c>
      <c r="J1351" s="58">
        <v>0</v>
      </c>
    </row>
    <row r="1352" spans="1:10" x14ac:dyDescent="0.2">
      <c r="A1352" s="48"/>
      <c r="B1352" s="6" t="s">
        <v>585</v>
      </c>
      <c r="C1352" s="48"/>
      <c r="D1352" s="48"/>
      <c r="E1352" s="48"/>
      <c r="F1352" s="60"/>
      <c r="G1352" s="60"/>
      <c r="H1352" s="60"/>
      <c r="I1352" s="60"/>
      <c r="J1352" s="60"/>
    </row>
    <row r="1353" spans="1:10" x14ac:dyDescent="0.2">
      <c r="A1353" s="48"/>
      <c r="B1353" s="6" t="s">
        <v>1204</v>
      </c>
      <c r="C1353" s="48"/>
      <c r="D1353" s="48"/>
      <c r="E1353" s="48"/>
      <c r="F1353" s="60"/>
      <c r="G1353" s="60"/>
      <c r="H1353" s="60"/>
      <c r="I1353" s="60"/>
      <c r="J1353" s="60"/>
    </row>
    <row r="1354" spans="1:10" x14ac:dyDescent="0.2">
      <c r="A1354" s="48"/>
      <c r="B1354" s="6" t="s">
        <v>1205</v>
      </c>
      <c r="C1354" s="48"/>
      <c r="D1354" s="48"/>
      <c r="E1354" s="48"/>
      <c r="F1354" s="60"/>
      <c r="G1354" s="60"/>
      <c r="H1354" s="60"/>
      <c r="I1354" s="60"/>
      <c r="J1354" s="60"/>
    </row>
    <row r="1355" spans="1:10" x14ac:dyDescent="0.2">
      <c r="A1355" s="47"/>
      <c r="B1355" s="5" t="s">
        <v>587</v>
      </c>
      <c r="C1355" s="47"/>
      <c r="D1355" s="47"/>
      <c r="E1355" s="47"/>
      <c r="F1355" s="59"/>
      <c r="G1355" s="59"/>
      <c r="H1355" s="59"/>
      <c r="I1355" s="59"/>
      <c r="J1355" s="59"/>
    </row>
    <row r="1356" spans="1:10" x14ac:dyDescent="0.2">
      <c r="A1356" s="46" t="s">
        <v>1958</v>
      </c>
      <c r="B1356" s="4" t="s">
        <v>1204</v>
      </c>
      <c r="C1356" s="46" t="s">
        <v>8</v>
      </c>
      <c r="D1356" s="46" t="s">
        <v>1959</v>
      </c>
      <c r="E1356" s="46" t="s">
        <v>1959</v>
      </c>
      <c r="F1356" s="58" t="s">
        <v>131</v>
      </c>
      <c r="G1356" s="58">
        <v>0</v>
      </c>
      <c r="H1356" s="58">
        <v>100</v>
      </c>
      <c r="I1356" s="58">
        <v>1</v>
      </c>
      <c r="J1356" s="58">
        <v>0</v>
      </c>
    </row>
    <row r="1357" spans="1:10" x14ac:dyDescent="0.2">
      <c r="A1357" s="47"/>
      <c r="B1357" s="5" t="s">
        <v>587</v>
      </c>
      <c r="C1357" s="47"/>
      <c r="D1357" s="47"/>
      <c r="E1357" s="47"/>
      <c r="F1357" s="59"/>
      <c r="G1357" s="59"/>
      <c r="H1357" s="59"/>
      <c r="I1357" s="59"/>
      <c r="J1357" s="59"/>
    </row>
    <row r="1358" spans="1:10" ht="28.5" x14ac:dyDescent="0.2">
      <c r="A1358" s="3" t="s">
        <v>1960</v>
      </c>
      <c r="B1358" s="3" t="s">
        <v>296</v>
      </c>
      <c r="C1358" s="3" t="s">
        <v>8</v>
      </c>
      <c r="D1358" s="3" t="s">
        <v>1961</v>
      </c>
      <c r="E1358" s="3" t="s">
        <v>1961</v>
      </c>
      <c r="F1358" s="1" t="s">
        <v>297</v>
      </c>
      <c r="G1358" s="1">
        <v>0</v>
      </c>
      <c r="H1358" s="1">
        <v>1</v>
      </c>
      <c r="I1358" s="1">
        <v>86400</v>
      </c>
      <c r="J1358" s="1">
        <v>0</v>
      </c>
    </row>
    <row r="1359" spans="1:10" ht="28.5" x14ac:dyDescent="0.2">
      <c r="A1359" s="3" t="s">
        <v>1962</v>
      </c>
      <c r="B1359" s="3" t="s">
        <v>296</v>
      </c>
      <c r="C1359" s="3" t="s">
        <v>8</v>
      </c>
      <c r="D1359" s="3" t="s">
        <v>1963</v>
      </c>
      <c r="E1359" s="3" t="s">
        <v>1963</v>
      </c>
      <c r="F1359" s="1" t="s">
        <v>297</v>
      </c>
      <c r="G1359" s="1">
        <v>0</v>
      </c>
      <c r="H1359" s="1">
        <v>1</v>
      </c>
      <c r="I1359" s="1">
        <v>3600</v>
      </c>
      <c r="J1359" s="1">
        <v>0</v>
      </c>
    </row>
    <row r="1360" spans="1:10" x14ac:dyDescent="0.2">
      <c r="A1360" s="46" t="s">
        <v>1964</v>
      </c>
      <c r="B1360" s="4" t="s">
        <v>128</v>
      </c>
      <c r="C1360" s="46" t="s">
        <v>8</v>
      </c>
      <c r="D1360" s="46" t="s">
        <v>1965</v>
      </c>
      <c r="E1360" s="46" t="s">
        <v>1965</v>
      </c>
      <c r="F1360" s="58" t="s">
        <v>131</v>
      </c>
      <c r="G1360" s="58">
        <v>0</v>
      </c>
      <c r="H1360" s="58">
        <v>1E-3</v>
      </c>
      <c r="I1360" s="58">
        <v>1</v>
      </c>
      <c r="J1360" s="58">
        <v>0</v>
      </c>
    </row>
    <row r="1361" spans="1:10" x14ac:dyDescent="0.2">
      <c r="A1361" s="48"/>
      <c r="B1361" s="6" t="s">
        <v>585</v>
      </c>
      <c r="C1361" s="48"/>
      <c r="D1361" s="48"/>
      <c r="E1361" s="48"/>
      <c r="F1361" s="60"/>
      <c r="G1361" s="60"/>
      <c r="H1361" s="60"/>
      <c r="I1361" s="60"/>
      <c r="J1361" s="60"/>
    </row>
    <row r="1362" spans="1:10" x14ac:dyDescent="0.2">
      <c r="A1362" s="48"/>
      <c r="B1362" s="6" t="s">
        <v>1204</v>
      </c>
      <c r="C1362" s="48"/>
      <c r="D1362" s="48"/>
      <c r="E1362" s="48"/>
      <c r="F1362" s="60"/>
      <c r="G1362" s="60"/>
      <c r="H1362" s="60"/>
      <c r="I1362" s="60"/>
      <c r="J1362" s="60"/>
    </row>
    <row r="1363" spans="1:10" x14ac:dyDescent="0.2">
      <c r="A1363" s="48"/>
      <c r="B1363" s="6" t="s">
        <v>1205</v>
      </c>
      <c r="C1363" s="48"/>
      <c r="D1363" s="48"/>
      <c r="E1363" s="48"/>
      <c r="F1363" s="60"/>
      <c r="G1363" s="60"/>
      <c r="H1363" s="60"/>
      <c r="I1363" s="60"/>
      <c r="J1363" s="60"/>
    </row>
    <row r="1364" spans="1:10" x14ac:dyDescent="0.2">
      <c r="A1364" s="47"/>
      <c r="B1364" s="5" t="s">
        <v>587</v>
      </c>
      <c r="C1364" s="47"/>
      <c r="D1364" s="47"/>
      <c r="E1364" s="47"/>
      <c r="F1364" s="59"/>
      <c r="G1364" s="59"/>
      <c r="H1364" s="59"/>
      <c r="I1364" s="59"/>
      <c r="J1364" s="59"/>
    </row>
    <row r="1365" spans="1:10" x14ac:dyDescent="0.2">
      <c r="A1365" s="46" t="s">
        <v>1966</v>
      </c>
      <c r="B1365" s="4" t="s">
        <v>128</v>
      </c>
      <c r="C1365" s="46" t="s">
        <v>8</v>
      </c>
      <c r="D1365" s="46" t="s">
        <v>1967</v>
      </c>
      <c r="E1365" s="46" t="s">
        <v>1967</v>
      </c>
      <c r="F1365" s="58" t="s">
        <v>131</v>
      </c>
      <c r="G1365" s="58">
        <v>0</v>
      </c>
      <c r="H1365" s="58">
        <v>1</v>
      </c>
      <c r="I1365" s="58">
        <v>1</v>
      </c>
      <c r="J1365" s="58">
        <v>0</v>
      </c>
    </row>
    <row r="1366" spans="1:10" x14ac:dyDescent="0.2">
      <c r="A1366" s="48"/>
      <c r="B1366" s="6" t="s">
        <v>585</v>
      </c>
      <c r="C1366" s="48"/>
      <c r="D1366" s="48"/>
      <c r="E1366" s="48"/>
      <c r="F1366" s="60"/>
      <c r="G1366" s="60"/>
      <c r="H1366" s="60"/>
      <c r="I1366" s="60"/>
      <c r="J1366" s="60"/>
    </row>
    <row r="1367" spans="1:10" x14ac:dyDescent="0.2">
      <c r="A1367" s="48"/>
      <c r="B1367" s="6" t="s">
        <v>1204</v>
      </c>
      <c r="C1367" s="48"/>
      <c r="D1367" s="48"/>
      <c r="E1367" s="48"/>
      <c r="F1367" s="60"/>
      <c r="G1367" s="60"/>
      <c r="H1367" s="60"/>
      <c r="I1367" s="60"/>
      <c r="J1367" s="60"/>
    </row>
    <row r="1368" spans="1:10" x14ac:dyDescent="0.2">
      <c r="A1368" s="48"/>
      <c r="B1368" s="6" t="s">
        <v>1205</v>
      </c>
      <c r="C1368" s="48"/>
      <c r="D1368" s="48"/>
      <c r="E1368" s="48"/>
      <c r="F1368" s="60"/>
      <c r="G1368" s="60"/>
      <c r="H1368" s="60"/>
      <c r="I1368" s="60"/>
      <c r="J1368" s="60"/>
    </row>
    <row r="1369" spans="1:10" x14ac:dyDescent="0.2">
      <c r="A1369" s="47"/>
      <c r="B1369" s="5" t="s">
        <v>587</v>
      </c>
      <c r="C1369" s="47"/>
      <c r="D1369" s="47"/>
      <c r="E1369" s="47"/>
      <c r="F1369" s="59"/>
      <c r="G1369" s="59"/>
      <c r="H1369" s="59"/>
      <c r="I1369" s="59"/>
      <c r="J1369" s="59"/>
    </row>
    <row r="1370" spans="1:10" ht="42.75" x14ac:dyDescent="0.2">
      <c r="A1370" s="3" t="s">
        <v>1968</v>
      </c>
      <c r="B1370" s="3" t="s">
        <v>12</v>
      </c>
      <c r="C1370" s="3" t="s">
        <v>8</v>
      </c>
      <c r="D1370" s="3" t="s">
        <v>1969</v>
      </c>
      <c r="E1370" s="3" t="s">
        <v>1969</v>
      </c>
      <c r="F1370" s="1" t="s">
        <v>13</v>
      </c>
      <c r="G1370" s="1">
        <v>0</v>
      </c>
      <c r="H1370" s="1">
        <v>1</v>
      </c>
      <c r="I1370" s="1">
        <v>1</v>
      </c>
      <c r="J1370" s="1">
        <v>0</v>
      </c>
    </row>
    <row r="1371" spans="1:10" ht="42.75" x14ac:dyDescent="0.2">
      <c r="A1371" s="3" t="s">
        <v>1970</v>
      </c>
      <c r="B1371" s="3" t="s">
        <v>1208</v>
      </c>
      <c r="C1371" s="3" t="s">
        <v>8</v>
      </c>
      <c r="D1371" s="3" t="s">
        <v>1971</v>
      </c>
      <c r="E1371" s="3" t="s">
        <v>1971</v>
      </c>
      <c r="F1371" s="1" t="s">
        <v>23</v>
      </c>
      <c r="G1371" s="1">
        <v>0</v>
      </c>
      <c r="H1371" s="1">
        <v>1</v>
      </c>
      <c r="I1371" s="1">
        <v>1</v>
      </c>
      <c r="J1371" s="1">
        <v>0</v>
      </c>
    </row>
    <row r="1372" spans="1:10" ht="28.5" x14ac:dyDescent="0.2">
      <c r="A1372" s="3" t="s">
        <v>1972</v>
      </c>
      <c r="B1372" s="3" t="s">
        <v>296</v>
      </c>
      <c r="C1372" s="3" t="s">
        <v>8</v>
      </c>
      <c r="D1372" s="3" t="s">
        <v>1973</v>
      </c>
      <c r="E1372" s="3" t="s">
        <v>1973</v>
      </c>
      <c r="F1372" s="1" t="s">
        <v>297</v>
      </c>
      <c r="G1372" s="1">
        <v>0</v>
      </c>
      <c r="H1372" s="1">
        <v>1</v>
      </c>
      <c r="I1372" s="1">
        <v>60</v>
      </c>
      <c r="J1372" s="1">
        <v>0</v>
      </c>
    </row>
    <row r="1373" spans="1:10" ht="28.5" x14ac:dyDescent="0.2">
      <c r="A1373" s="3" t="s">
        <v>1974</v>
      </c>
      <c r="B1373" s="3" t="s">
        <v>296</v>
      </c>
      <c r="C1373" s="3" t="s">
        <v>8</v>
      </c>
      <c r="D1373" s="3" t="s">
        <v>1975</v>
      </c>
      <c r="E1373" s="3" t="s">
        <v>1975</v>
      </c>
      <c r="F1373" s="1" t="s">
        <v>297</v>
      </c>
      <c r="G1373" s="1">
        <v>0</v>
      </c>
      <c r="H1373" s="1">
        <v>1000</v>
      </c>
      <c r="I1373" s="1">
        <v>1</v>
      </c>
      <c r="J1373" s="1">
        <v>0</v>
      </c>
    </row>
    <row r="1374" spans="1:10" ht="71.25" x14ac:dyDescent="0.2">
      <c r="A1374" s="3" t="s">
        <v>1976</v>
      </c>
      <c r="B1374" s="3" t="s">
        <v>722</v>
      </c>
      <c r="C1374" s="3" t="s">
        <v>8</v>
      </c>
      <c r="D1374" s="3" t="s">
        <v>1977</v>
      </c>
      <c r="E1374" s="3" t="s">
        <v>1977</v>
      </c>
      <c r="F1374" s="1" t="s">
        <v>20</v>
      </c>
      <c r="G1374" s="1">
        <v>0</v>
      </c>
      <c r="H1374" s="1">
        <v>1000000</v>
      </c>
      <c r="I1374" s="1">
        <v>1</v>
      </c>
      <c r="J1374" s="1">
        <v>0</v>
      </c>
    </row>
    <row r="1375" spans="1:10" ht="71.25" x14ac:dyDescent="0.2">
      <c r="A1375" s="3" t="s">
        <v>1978</v>
      </c>
      <c r="B1375" s="3" t="s">
        <v>311</v>
      </c>
      <c r="C1375" s="3" t="s">
        <v>8</v>
      </c>
      <c r="D1375" s="3" t="s">
        <v>1979</v>
      </c>
      <c r="E1375" s="3" t="s">
        <v>1979</v>
      </c>
      <c r="F1375" s="1" t="s">
        <v>313</v>
      </c>
      <c r="G1375" s="1">
        <v>0</v>
      </c>
      <c r="H1375" s="1">
        <v>1</v>
      </c>
      <c r="I1375" s="1">
        <v>86400000</v>
      </c>
      <c r="J1375" s="1">
        <v>0</v>
      </c>
    </row>
    <row r="1376" spans="1:10" ht="42.75" x14ac:dyDescent="0.2">
      <c r="A1376" s="3" t="s">
        <v>1980</v>
      </c>
      <c r="B1376" s="3" t="s">
        <v>305</v>
      </c>
      <c r="C1376" s="3" t="s">
        <v>8</v>
      </c>
      <c r="D1376" s="3" t="s">
        <v>1981</v>
      </c>
      <c r="E1376" s="3" t="s">
        <v>1981</v>
      </c>
      <c r="F1376" s="1" t="s">
        <v>306</v>
      </c>
      <c r="G1376" s="1">
        <v>0</v>
      </c>
      <c r="H1376" s="1">
        <v>1000</v>
      </c>
      <c r="I1376" s="1">
        <v>1</v>
      </c>
      <c r="J1376" s="1">
        <v>0</v>
      </c>
    </row>
    <row r="1377" spans="1:10" x14ac:dyDescent="0.2">
      <c r="A1377" s="46" t="s">
        <v>1982</v>
      </c>
      <c r="B1377" s="4" t="s">
        <v>315</v>
      </c>
      <c r="C1377" s="46" t="s">
        <v>8</v>
      </c>
      <c r="D1377" s="46" t="s">
        <v>1983</v>
      </c>
      <c r="E1377" s="46" t="s">
        <v>1983</v>
      </c>
      <c r="F1377" s="58" t="s">
        <v>319</v>
      </c>
      <c r="G1377" s="58">
        <v>0</v>
      </c>
      <c r="H1377" s="58">
        <v>1</v>
      </c>
      <c r="I1377" s="58">
        <v>3600</v>
      </c>
      <c r="J1377" s="58">
        <v>0</v>
      </c>
    </row>
    <row r="1378" spans="1:10" x14ac:dyDescent="0.2">
      <c r="A1378" s="48"/>
      <c r="B1378" s="6" t="s">
        <v>316</v>
      </c>
      <c r="C1378" s="48"/>
      <c r="D1378" s="48"/>
      <c r="E1378" s="48"/>
      <c r="F1378" s="60"/>
      <c r="G1378" s="60"/>
      <c r="H1378" s="60"/>
      <c r="I1378" s="60"/>
      <c r="J1378" s="60"/>
    </row>
    <row r="1379" spans="1:10" x14ac:dyDescent="0.2">
      <c r="A1379" s="47"/>
      <c r="B1379" s="5" t="s">
        <v>318</v>
      </c>
      <c r="C1379" s="47"/>
      <c r="D1379" s="47"/>
      <c r="E1379" s="47"/>
      <c r="F1379" s="59"/>
      <c r="G1379" s="59"/>
      <c r="H1379" s="59"/>
      <c r="I1379" s="59"/>
      <c r="J1379" s="59"/>
    </row>
    <row r="1380" spans="1:10" x14ac:dyDescent="0.2">
      <c r="A1380" s="46" t="s">
        <v>1984</v>
      </c>
      <c r="B1380" s="4" t="s">
        <v>583</v>
      </c>
      <c r="C1380" s="46" t="s">
        <v>8</v>
      </c>
      <c r="D1380" s="46" t="s">
        <v>1985</v>
      </c>
      <c r="E1380" s="46" t="s">
        <v>1985</v>
      </c>
      <c r="F1380" s="58" t="s">
        <v>131</v>
      </c>
      <c r="G1380" s="58">
        <v>0</v>
      </c>
      <c r="H1380" s="58">
        <v>1</v>
      </c>
      <c r="I1380" s="58">
        <v>1</v>
      </c>
      <c r="J1380" s="58">
        <v>0</v>
      </c>
    </row>
    <row r="1381" spans="1:10" x14ac:dyDescent="0.2">
      <c r="A1381" s="47"/>
      <c r="B1381" s="5" t="s">
        <v>129</v>
      </c>
      <c r="C1381" s="47"/>
      <c r="D1381" s="47"/>
      <c r="E1381" s="47"/>
      <c r="F1381" s="59"/>
      <c r="G1381" s="59"/>
      <c r="H1381" s="59"/>
      <c r="I1381" s="59"/>
      <c r="J1381" s="59"/>
    </row>
    <row r="1382" spans="1:10" ht="57" x14ac:dyDescent="0.2">
      <c r="A1382" s="3" t="s">
        <v>1986</v>
      </c>
      <c r="B1382" s="3" t="s">
        <v>722</v>
      </c>
      <c r="C1382" s="3" t="s">
        <v>8</v>
      </c>
      <c r="D1382" s="3" t="s">
        <v>1987</v>
      </c>
      <c r="E1382" s="3" t="s">
        <v>1987</v>
      </c>
      <c r="F1382" s="1" t="s">
        <v>20</v>
      </c>
      <c r="G1382" s="1">
        <v>0</v>
      </c>
      <c r="H1382" s="1">
        <v>1</v>
      </c>
      <c r="I1382" s="1">
        <v>1</v>
      </c>
      <c r="J1382" s="1">
        <v>0</v>
      </c>
    </row>
    <row r="1383" spans="1:10" ht="28.5" x14ac:dyDescent="0.2">
      <c r="A1383" s="46" t="s">
        <v>1988</v>
      </c>
      <c r="B1383" s="46" t="s">
        <v>361</v>
      </c>
      <c r="C1383" s="46" t="s">
        <v>8</v>
      </c>
      <c r="D1383" s="4" t="s">
        <v>1989</v>
      </c>
      <c r="E1383" s="46"/>
      <c r="F1383" s="58" t="s">
        <v>362</v>
      </c>
      <c r="G1383" s="58">
        <v>0</v>
      </c>
      <c r="H1383" s="58">
        <v>4.4615799999999997E-2</v>
      </c>
      <c r="I1383" s="58">
        <v>1</v>
      </c>
      <c r="J1383" s="58">
        <v>0</v>
      </c>
    </row>
    <row r="1384" spans="1:10" ht="28.5" x14ac:dyDescent="0.2">
      <c r="A1384" s="47"/>
      <c r="B1384" s="47"/>
      <c r="C1384" s="47"/>
      <c r="D1384" s="5" t="s">
        <v>763</v>
      </c>
      <c r="E1384" s="47"/>
      <c r="F1384" s="59"/>
      <c r="G1384" s="59"/>
      <c r="H1384" s="59"/>
      <c r="I1384" s="59"/>
      <c r="J1384" s="59"/>
    </row>
    <row r="1385" spans="1:10" ht="28.5" x14ac:dyDescent="0.2">
      <c r="A1385" s="46" t="s">
        <v>1990</v>
      </c>
      <c r="B1385" s="46" t="s">
        <v>361</v>
      </c>
      <c r="C1385" s="46" t="s">
        <v>8</v>
      </c>
      <c r="D1385" s="4" t="s">
        <v>1991</v>
      </c>
      <c r="E1385" s="46"/>
      <c r="F1385" s="58" t="s">
        <v>362</v>
      </c>
      <c r="G1385" s="58">
        <v>0</v>
      </c>
      <c r="H1385" s="58">
        <v>4.2293200000000003E-2</v>
      </c>
      <c r="I1385" s="58">
        <v>1</v>
      </c>
      <c r="J1385" s="58">
        <v>0</v>
      </c>
    </row>
    <row r="1386" spans="1:10" ht="28.5" x14ac:dyDescent="0.2">
      <c r="A1386" s="47"/>
      <c r="B1386" s="47"/>
      <c r="C1386" s="47"/>
      <c r="D1386" s="5" t="s">
        <v>763</v>
      </c>
      <c r="E1386" s="47"/>
      <c r="F1386" s="59"/>
      <c r="G1386" s="59"/>
      <c r="H1386" s="59"/>
      <c r="I1386" s="59"/>
      <c r="J1386" s="59"/>
    </row>
    <row r="1387" spans="1:10" x14ac:dyDescent="0.2">
      <c r="A1387" s="46" t="s">
        <v>1992</v>
      </c>
      <c r="B1387" s="46" t="s">
        <v>334</v>
      </c>
      <c r="C1387" s="46" t="s">
        <v>8</v>
      </c>
      <c r="D1387" s="46" t="s">
        <v>1993</v>
      </c>
      <c r="E1387" s="4" t="s">
        <v>1993</v>
      </c>
      <c r="F1387" s="58" t="s">
        <v>335</v>
      </c>
      <c r="G1387" s="58">
        <v>0</v>
      </c>
      <c r="H1387" s="58">
        <v>1</v>
      </c>
      <c r="I1387" s="58">
        <v>8640000000</v>
      </c>
      <c r="J1387" s="58">
        <v>0</v>
      </c>
    </row>
    <row r="1388" spans="1:10" ht="28.5" x14ac:dyDescent="0.2">
      <c r="A1388" s="48"/>
      <c r="B1388" s="48"/>
      <c r="C1388" s="48"/>
      <c r="D1388" s="48"/>
      <c r="E1388" s="6" t="s">
        <v>1994</v>
      </c>
      <c r="F1388" s="60"/>
      <c r="G1388" s="60"/>
      <c r="H1388" s="60"/>
      <c r="I1388" s="60"/>
      <c r="J1388" s="60"/>
    </row>
    <row r="1389" spans="1:10" x14ac:dyDescent="0.2">
      <c r="A1389" s="47"/>
      <c r="B1389" s="47"/>
      <c r="C1389" s="47"/>
      <c r="D1389" s="47"/>
      <c r="E1389" s="5" t="s">
        <v>1993</v>
      </c>
      <c r="F1389" s="59"/>
      <c r="G1389" s="59"/>
      <c r="H1389" s="59"/>
      <c r="I1389" s="59"/>
      <c r="J1389" s="59"/>
    </row>
    <row r="1390" spans="1:10" x14ac:dyDescent="0.2">
      <c r="A1390" s="46" t="s">
        <v>1995</v>
      </c>
      <c r="B1390" s="46" t="s">
        <v>334</v>
      </c>
      <c r="C1390" s="46" t="s">
        <v>8</v>
      </c>
      <c r="D1390" s="46" t="s">
        <v>1996</v>
      </c>
      <c r="E1390" s="4" t="s">
        <v>1997</v>
      </c>
      <c r="F1390" s="58" t="s">
        <v>335</v>
      </c>
      <c r="G1390" s="58">
        <v>0</v>
      </c>
      <c r="H1390" s="58">
        <v>1</v>
      </c>
      <c r="I1390" s="58">
        <v>360000000</v>
      </c>
      <c r="J1390" s="58">
        <v>0</v>
      </c>
    </row>
    <row r="1391" spans="1:10" ht="28.5" x14ac:dyDescent="0.2">
      <c r="A1391" s="48"/>
      <c r="B1391" s="48"/>
      <c r="C1391" s="48"/>
      <c r="D1391" s="48"/>
      <c r="E1391" s="6" t="s">
        <v>1998</v>
      </c>
      <c r="F1391" s="60"/>
      <c r="G1391" s="60"/>
      <c r="H1391" s="60"/>
      <c r="I1391" s="60"/>
      <c r="J1391" s="60"/>
    </row>
    <row r="1392" spans="1:10" x14ac:dyDescent="0.2">
      <c r="A1392" s="47"/>
      <c r="B1392" s="47"/>
      <c r="C1392" s="47"/>
      <c r="D1392" s="47"/>
      <c r="E1392" s="5" t="s">
        <v>1996</v>
      </c>
      <c r="F1392" s="59"/>
      <c r="G1392" s="59"/>
      <c r="H1392" s="59"/>
      <c r="I1392" s="59"/>
      <c r="J1392" s="59"/>
    </row>
    <row r="1393" spans="1:10" ht="28.5" x14ac:dyDescent="0.2">
      <c r="A1393" s="46" t="s">
        <v>1999</v>
      </c>
      <c r="B1393" s="46" t="s">
        <v>334</v>
      </c>
      <c r="C1393" s="46" t="s">
        <v>8</v>
      </c>
      <c r="D1393" s="46" t="s">
        <v>2000</v>
      </c>
      <c r="E1393" s="4" t="s">
        <v>2000</v>
      </c>
      <c r="F1393" s="58" t="s">
        <v>335</v>
      </c>
      <c r="G1393" s="58">
        <v>0</v>
      </c>
      <c r="H1393" s="58">
        <v>1</v>
      </c>
      <c r="I1393" s="58">
        <v>6000000</v>
      </c>
      <c r="J1393" s="58">
        <v>0</v>
      </c>
    </row>
    <row r="1394" spans="1:10" ht="28.5" x14ac:dyDescent="0.2">
      <c r="A1394" s="48"/>
      <c r="B1394" s="48"/>
      <c r="C1394" s="48"/>
      <c r="D1394" s="48"/>
      <c r="E1394" s="6" t="s">
        <v>2001</v>
      </c>
      <c r="F1394" s="60"/>
      <c r="G1394" s="60"/>
      <c r="H1394" s="60"/>
      <c r="I1394" s="60"/>
      <c r="J1394" s="60"/>
    </row>
    <row r="1395" spans="1:10" ht="28.5" x14ac:dyDescent="0.2">
      <c r="A1395" s="47"/>
      <c r="B1395" s="47"/>
      <c r="C1395" s="47"/>
      <c r="D1395" s="47"/>
      <c r="E1395" s="5" t="s">
        <v>2000</v>
      </c>
      <c r="F1395" s="59"/>
      <c r="G1395" s="59"/>
      <c r="H1395" s="59"/>
      <c r="I1395" s="59"/>
      <c r="J1395" s="59"/>
    </row>
    <row r="1396" spans="1:10" ht="85.5" x14ac:dyDescent="0.2">
      <c r="A1396" s="3" t="s">
        <v>2002</v>
      </c>
      <c r="B1396" s="3" t="s">
        <v>340</v>
      </c>
      <c r="C1396" s="3" t="s">
        <v>8</v>
      </c>
      <c r="D1396" s="3" t="s">
        <v>2003</v>
      </c>
      <c r="E1396" s="3" t="s">
        <v>2003</v>
      </c>
      <c r="F1396" s="1" t="s">
        <v>341</v>
      </c>
      <c r="G1396" s="1">
        <v>0</v>
      </c>
      <c r="H1396" s="1">
        <v>1</v>
      </c>
      <c r="I1396" s="1">
        <v>86400</v>
      </c>
      <c r="J1396" s="1">
        <v>0</v>
      </c>
    </row>
    <row r="1397" spans="1:10" ht="71.25" x14ac:dyDescent="0.2">
      <c r="A1397" s="3" t="s">
        <v>2004</v>
      </c>
      <c r="B1397" s="3" t="s">
        <v>340</v>
      </c>
      <c r="C1397" s="3" t="s">
        <v>8</v>
      </c>
      <c r="D1397" s="3" t="s">
        <v>2005</v>
      </c>
      <c r="E1397" s="3" t="s">
        <v>2005</v>
      </c>
      <c r="F1397" s="1" t="s">
        <v>341</v>
      </c>
      <c r="G1397" s="1">
        <v>0</v>
      </c>
      <c r="H1397" s="1">
        <v>1000</v>
      </c>
      <c r="I1397" s="1">
        <v>1</v>
      </c>
      <c r="J1397" s="1">
        <v>0</v>
      </c>
    </row>
    <row r="1398" spans="1:10" ht="42.75" x14ac:dyDescent="0.2">
      <c r="A1398" s="3" t="s">
        <v>2006</v>
      </c>
      <c r="B1398" s="3" t="s">
        <v>343</v>
      </c>
      <c r="C1398" s="3" t="s">
        <v>8</v>
      </c>
      <c r="D1398" s="3" t="s">
        <v>2007</v>
      </c>
      <c r="E1398" s="3" t="s">
        <v>2007</v>
      </c>
      <c r="F1398" s="1" t="s">
        <v>344</v>
      </c>
      <c r="G1398" s="1">
        <v>0</v>
      </c>
      <c r="H1398" s="1">
        <v>1</v>
      </c>
      <c r="I1398" s="1">
        <v>86400</v>
      </c>
      <c r="J1398" s="1">
        <v>0</v>
      </c>
    </row>
    <row r="1399" spans="1:10" x14ac:dyDescent="0.2">
      <c r="A1399" s="46" t="s">
        <v>2008</v>
      </c>
      <c r="B1399" s="46" t="s">
        <v>334</v>
      </c>
      <c r="C1399" s="46" t="s">
        <v>8</v>
      </c>
      <c r="D1399" s="4" t="s">
        <v>2009</v>
      </c>
      <c r="E1399" s="4" t="s">
        <v>2009</v>
      </c>
      <c r="F1399" s="58" t="s">
        <v>335</v>
      </c>
      <c r="G1399" s="58">
        <v>0</v>
      </c>
      <c r="H1399" s="58">
        <v>1</v>
      </c>
      <c r="I1399" s="58">
        <v>86400000</v>
      </c>
      <c r="J1399" s="58">
        <v>0</v>
      </c>
    </row>
    <row r="1400" spans="1:10" ht="28.5" x14ac:dyDescent="0.2">
      <c r="A1400" s="48"/>
      <c r="B1400" s="48"/>
      <c r="C1400" s="48"/>
      <c r="D1400" s="6" t="s">
        <v>763</v>
      </c>
      <c r="E1400" s="6" t="s">
        <v>2009</v>
      </c>
      <c r="F1400" s="60"/>
      <c r="G1400" s="60"/>
      <c r="H1400" s="60"/>
      <c r="I1400" s="60"/>
      <c r="J1400" s="60"/>
    </row>
    <row r="1401" spans="1:10" ht="28.5" x14ac:dyDescent="0.2">
      <c r="A1401" s="47"/>
      <c r="B1401" s="47"/>
      <c r="C1401" s="47"/>
      <c r="D1401" s="5"/>
      <c r="E1401" s="5" t="s">
        <v>2010</v>
      </c>
      <c r="F1401" s="59"/>
      <c r="G1401" s="59"/>
      <c r="H1401" s="59"/>
      <c r="I1401" s="59"/>
      <c r="J1401" s="59"/>
    </row>
    <row r="1402" spans="1:10" x14ac:dyDescent="0.2">
      <c r="A1402" s="46" t="s">
        <v>2011</v>
      </c>
      <c r="B1402" s="46" t="s">
        <v>664</v>
      </c>
      <c r="C1402" s="46" t="s">
        <v>8</v>
      </c>
      <c r="D1402" s="46" t="s">
        <v>2012</v>
      </c>
      <c r="E1402" s="4" t="s">
        <v>2012</v>
      </c>
      <c r="F1402" s="58" t="s">
        <v>319</v>
      </c>
      <c r="G1402" s="58">
        <v>0</v>
      </c>
      <c r="H1402" s="58">
        <v>1</v>
      </c>
      <c r="I1402" s="58">
        <v>86400</v>
      </c>
      <c r="J1402" s="58">
        <v>0</v>
      </c>
    </row>
    <row r="1403" spans="1:10" x14ac:dyDescent="0.2">
      <c r="A1403" s="47"/>
      <c r="B1403" s="47"/>
      <c r="C1403" s="47"/>
      <c r="D1403" s="47"/>
      <c r="E1403" s="5" t="s">
        <v>2013</v>
      </c>
      <c r="F1403" s="59"/>
      <c r="G1403" s="59"/>
      <c r="H1403" s="59"/>
      <c r="I1403" s="59"/>
      <c r="J1403" s="59"/>
    </row>
    <row r="1404" spans="1:10" ht="42.75" x14ac:dyDescent="0.2">
      <c r="A1404" s="3" t="s">
        <v>2014</v>
      </c>
      <c r="B1404" s="3" t="s">
        <v>346</v>
      </c>
      <c r="C1404" s="3" t="s">
        <v>8</v>
      </c>
      <c r="D1404" s="3" t="s">
        <v>2015</v>
      </c>
      <c r="E1404" s="3" t="s">
        <v>2015</v>
      </c>
      <c r="F1404" s="1" t="s">
        <v>347</v>
      </c>
      <c r="G1404" s="1">
        <v>0</v>
      </c>
      <c r="H1404" s="1">
        <v>1</v>
      </c>
      <c r="I1404" s="1">
        <v>7464960000</v>
      </c>
      <c r="J1404" s="1">
        <v>0</v>
      </c>
    </row>
    <row r="1405" spans="1:10" x14ac:dyDescent="0.2">
      <c r="A1405" s="46" t="s">
        <v>2016</v>
      </c>
      <c r="B1405" s="4" t="s">
        <v>327</v>
      </c>
      <c r="C1405" s="46" t="s">
        <v>8</v>
      </c>
      <c r="D1405" s="46" t="s">
        <v>2017</v>
      </c>
      <c r="E1405" s="46" t="s">
        <v>2017</v>
      </c>
      <c r="F1405" s="58" t="s">
        <v>329</v>
      </c>
      <c r="G1405" s="58">
        <v>0</v>
      </c>
      <c r="H1405" s="58">
        <v>1000</v>
      </c>
      <c r="I1405" s="58">
        <v>1</v>
      </c>
      <c r="J1405" s="58">
        <v>0</v>
      </c>
    </row>
    <row r="1406" spans="1:10" x14ac:dyDescent="0.2">
      <c r="A1406" s="47"/>
      <c r="B1406" s="5" t="s">
        <v>328</v>
      </c>
      <c r="C1406" s="47"/>
      <c r="D1406" s="47"/>
      <c r="E1406" s="47"/>
      <c r="F1406" s="59"/>
      <c r="G1406" s="59"/>
      <c r="H1406" s="59"/>
      <c r="I1406" s="59"/>
      <c r="J1406" s="59"/>
    </row>
    <row r="1407" spans="1:10" ht="42.75" x14ac:dyDescent="0.2">
      <c r="A1407" s="3" t="s">
        <v>2018</v>
      </c>
      <c r="B1407" s="3" t="s">
        <v>343</v>
      </c>
      <c r="C1407" s="3" t="s">
        <v>8</v>
      </c>
      <c r="D1407" s="3" t="s">
        <v>2019</v>
      </c>
      <c r="E1407" s="3" t="s">
        <v>2019</v>
      </c>
      <c r="F1407" s="1" t="s">
        <v>344</v>
      </c>
      <c r="G1407" s="1">
        <v>0</v>
      </c>
      <c r="H1407" s="1">
        <v>1</v>
      </c>
      <c r="I1407" s="1">
        <v>3600</v>
      </c>
      <c r="J1407" s="1">
        <v>0</v>
      </c>
    </row>
    <row r="1408" spans="1:10" x14ac:dyDescent="0.2">
      <c r="A1408" s="46" t="s">
        <v>2020</v>
      </c>
      <c r="B1408" s="46" t="s">
        <v>664</v>
      </c>
      <c r="C1408" s="46" t="s">
        <v>8</v>
      </c>
      <c r="D1408" s="46" t="s">
        <v>2021</v>
      </c>
      <c r="E1408" s="4" t="s">
        <v>2021</v>
      </c>
      <c r="F1408" s="58" t="s">
        <v>319</v>
      </c>
      <c r="G1408" s="58">
        <v>0</v>
      </c>
      <c r="H1408" s="58">
        <v>1</v>
      </c>
      <c r="I1408" s="58">
        <v>3600</v>
      </c>
      <c r="J1408" s="58">
        <v>0</v>
      </c>
    </row>
    <row r="1409" spans="1:10" x14ac:dyDescent="0.2">
      <c r="A1409" s="47"/>
      <c r="B1409" s="47"/>
      <c r="C1409" s="47"/>
      <c r="D1409" s="47"/>
      <c r="E1409" s="5" t="s">
        <v>2022</v>
      </c>
      <c r="F1409" s="59"/>
      <c r="G1409" s="59"/>
      <c r="H1409" s="59"/>
      <c r="I1409" s="59"/>
      <c r="J1409" s="59"/>
    </row>
    <row r="1410" spans="1:10" ht="57" x14ac:dyDescent="0.2">
      <c r="A1410" s="3" t="s">
        <v>2023</v>
      </c>
      <c r="B1410" s="3" t="s">
        <v>659</v>
      </c>
      <c r="C1410" s="3" t="s">
        <v>8</v>
      </c>
      <c r="D1410" s="3" t="s">
        <v>2024</v>
      </c>
      <c r="E1410" s="3" t="s">
        <v>2024</v>
      </c>
      <c r="F1410" s="1" t="s">
        <v>131</v>
      </c>
      <c r="G1410" s="1">
        <v>0</v>
      </c>
      <c r="H1410" s="1">
        <v>1E-4</v>
      </c>
      <c r="I1410" s="1">
        <v>1</v>
      </c>
      <c r="J1410" s="1">
        <v>0</v>
      </c>
    </row>
    <row r="1411" spans="1:10" ht="42.75" x14ac:dyDescent="0.2">
      <c r="A1411" s="3" t="s">
        <v>2025</v>
      </c>
      <c r="B1411" s="3" t="s">
        <v>767</v>
      </c>
      <c r="C1411" s="3" t="s">
        <v>8</v>
      </c>
      <c r="D1411" s="3" t="s">
        <v>2026</v>
      </c>
      <c r="E1411" s="3" t="s">
        <v>2026</v>
      </c>
      <c r="F1411" s="1" t="s">
        <v>303</v>
      </c>
      <c r="G1411" s="1">
        <v>0</v>
      </c>
      <c r="H1411" s="1">
        <v>1E-3</v>
      </c>
      <c r="I1411" s="1">
        <v>1</v>
      </c>
      <c r="J1411" s="1">
        <v>0</v>
      </c>
    </row>
    <row r="1412" spans="1:10" x14ac:dyDescent="0.2">
      <c r="A1412" s="46" t="s">
        <v>2027</v>
      </c>
      <c r="B1412" s="46" t="s">
        <v>334</v>
      </c>
      <c r="C1412" s="46" t="s">
        <v>8</v>
      </c>
      <c r="D1412" s="46" t="s">
        <v>2028</v>
      </c>
      <c r="E1412" s="4" t="s">
        <v>2028</v>
      </c>
      <c r="F1412" s="58" t="s">
        <v>335</v>
      </c>
      <c r="G1412" s="58">
        <v>0</v>
      </c>
      <c r="H1412" s="58">
        <v>1</v>
      </c>
      <c r="I1412" s="58">
        <v>86400000</v>
      </c>
      <c r="J1412" s="58">
        <v>0</v>
      </c>
    </row>
    <row r="1413" spans="1:10" ht="28.5" x14ac:dyDescent="0.2">
      <c r="A1413" s="48"/>
      <c r="B1413" s="48"/>
      <c r="C1413" s="48"/>
      <c r="D1413" s="48"/>
      <c r="E1413" s="6" t="s">
        <v>2010</v>
      </c>
      <c r="F1413" s="60"/>
      <c r="G1413" s="60"/>
      <c r="H1413" s="60"/>
      <c r="I1413" s="60"/>
      <c r="J1413" s="60"/>
    </row>
    <row r="1414" spans="1:10" x14ac:dyDescent="0.2">
      <c r="A1414" s="47"/>
      <c r="B1414" s="47"/>
      <c r="C1414" s="47"/>
      <c r="D1414" s="47"/>
      <c r="E1414" s="5" t="s">
        <v>2029</v>
      </c>
      <c r="F1414" s="59"/>
      <c r="G1414" s="59"/>
      <c r="H1414" s="59"/>
      <c r="I1414" s="59"/>
      <c r="J1414" s="59"/>
    </row>
    <row r="1415" spans="1:10" x14ac:dyDescent="0.2">
      <c r="A1415" s="46" t="s">
        <v>2030</v>
      </c>
      <c r="B1415" s="46" t="s">
        <v>334</v>
      </c>
      <c r="C1415" s="46" t="s">
        <v>8</v>
      </c>
      <c r="D1415" s="46" t="s">
        <v>2031</v>
      </c>
      <c r="E1415" s="4" t="s">
        <v>2031</v>
      </c>
      <c r="F1415" s="58" t="s">
        <v>335</v>
      </c>
      <c r="G1415" s="58">
        <v>0</v>
      </c>
      <c r="H1415" s="58">
        <v>1</v>
      </c>
      <c r="I1415" s="58">
        <v>3600000</v>
      </c>
      <c r="J1415" s="58">
        <v>0</v>
      </c>
    </row>
    <row r="1416" spans="1:10" ht="28.5" x14ac:dyDescent="0.2">
      <c r="A1416" s="47"/>
      <c r="B1416" s="47"/>
      <c r="C1416" s="47"/>
      <c r="D1416" s="47"/>
      <c r="E1416" s="5" t="s">
        <v>2032</v>
      </c>
      <c r="F1416" s="59"/>
      <c r="G1416" s="59"/>
      <c r="H1416" s="59"/>
      <c r="I1416" s="59"/>
      <c r="J1416" s="59"/>
    </row>
    <row r="1417" spans="1:10" ht="57" x14ac:dyDescent="0.2">
      <c r="A1417" s="3" t="s">
        <v>2033</v>
      </c>
      <c r="B1417" s="3" t="s">
        <v>324</v>
      </c>
      <c r="C1417" s="3" t="s">
        <v>8</v>
      </c>
      <c r="D1417" s="3" t="s">
        <v>2034</v>
      </c>
      <c r="E1417" s="3" t="s">
        <v>2034</v>
      </c>
      <c r="F1417" s="1" t="s">
        <v>325</v>
      </c>
      <c r="G1417" s="1">
        <v>0</v>
      </c>
      <c r="H1417" s="1">
        <v>1</v>
      </c>
      <c r="I1417" s="1">
        <v>3600000</v>
      </c>
      <c r="J1417" s="1">
        <v>0</v>
      </c>
    </row>
    <row r="1418" spans="1:10" ht="42.75" x14ac:dyDescent="0.2">
      <c r="A1418" s="3" t="s">
        <v>2035</v>
      </c>
      <c r="B1418" s="3" t="s">
        <v>767</v>
      </c>
      <c r="C1418" s="3" t="s">
        <v>8</v>
      </c>
      <c r="D1418" s="3" t="s">
        <v>2036</v>
      </c>
      <c r="E1418" s="3" t="s">
        <v>2036</v>
      </c>
      <c r="F1418" s="1" t="s">
        <v>303</v>
      </c>
      <c r="G1418" s="1">
        <v>0</v>
      </c>
      <c r="H1418" s="1">
        <v>1</v>
      </c>
      <c r="I1418" s="1">
        <v>1</v>
      </c>
      <c r="J1418" s="1">
        <v>0</v>
      </c>
    </row>
    <row r="1419" spans="1:10" ht="57" x14ac:dyDescent="0.2">
      <c r="A1419" s="3" t="s">
        <v>2037</v>
      </c>
      <c r="B1419" s="3" t="s">
        <v>743</v>
      </c>
      <c r="C1419" s="3" t="s">
        <v>8</v>
      </c>
      <c r="D1419" s="3" t="s">
        <v>2038</v>
      </c>
      <c r="E1419" s="3" t="s">
        <v>2038</v>
      </c>
      <c r="F1419" s="1" t="s">
        <v>290</v>
      </c>
      <c r="G1419" s="1">
        <v>0</v>
      </c>
      <c r="H1419" s="1">
        <v>1</v>
      </c>
      <c r="I1419" s="1">
        <v>1</v>
      </c>
      <c r="J1419" s="1">
        <v>0</v>
      </c>
    </row>
    <row r="1420" spans="1:10" ht="57" x14ac:dyDescent="0.2">
      <c r="A1420" s="3" t="s">
        <v>2039</v>
      </c>
      <c r="B1420" s="3" t="s">
        <v>659</v>
      </c>
      <c r="C1420" s="3" t="s">
        <v>8</v>
      </c>
      <c r="D1420" s="3" t="s">
        <v>2040</v>
      </c>
      <c r="E1420" s="3" t="s">
        <v>2040</v>
      </c>
      <c r="F1420" s="1" t="s">
        <v>131</v>
      </c>
      <c r="G1420" s="1">
        <v>0</v>
      </c>
      <c r="H1420" s="1">
        <v>1</v>
      </c>
      <c r="I1420" s="1">
        <v>1</v>
      </c>
      <c r="J1420" s="1">
        <v>0</v>
      </c>
    </row>
    <row r="1421" spans="1:10" ht="42.75" x14ac:dyDescent="0.2">
      <c r="A1421" s="3" t="s">
        <v>2041</v>
      </c>
      <c r="B1421" s="3" t="s">
        <v>343</v>
      </c>
      <c r="C1421" s="3" t="s">
        <v>8</v>
      </c>
      <c r="D1421" s="3" t="s">
        <v>2042</v>
      </c>
      <c r="E1421" s="3" t="s">
        <v>2042</v>
      </c>
      <c r="F1421" s="1" t="s">
        <v>344</v>
      </c>
      <c r="G1421" s="1">
        <v>0</v>
      </c>
      <c r="H1421" s="1">
        <v>1</v>
      </c>
      <c r="I1421" s="1">
        <v>60</v>
      </c>
      <c r="J1421" s="1">
        <v>0</v>
      </c>
    </row>
    <row r="1422" spans="1:10" ht="28.5" x14ac:dyDescent="0.2">
      <c r="A1422" s="46" t="s">
        <v>2043</v>
      </c>
      <c r="B1422" s="46" t="s">
        <v>331</v>
      </c>
      <c r="C1422" s="46" t="s">
        <v>8</v>
      </c>
      <c r="D1422" s="46" t="s">
        <v>2044</v>
      </c>
      <c r="E1422" s="4" t="s">
        <v>2045</v>
      </c>
      <c r="F1422" s="58" t="s">
        <v>332</v>
      </c>
      <c r="G1422" s="58">
        <v>0</v>
      </c>
      <c r="H1422" s="58">
        <v>1E-3</v>
      </c>
      <c r="I1422" s="58">
        <v>1</v>
      </c>
      <c r="J1422" s="58">
        <v>0</v>
      </c>
    </row>
    <row r="1423" spans="1:10" x14ac:dyDescent="0.2">
      <c r="A1423" s="47"/>
      <c r="B1423" s="47"/>
      <c r="C1423" s="47"/>
      <c r="D1423" s="47"/>
      <c r="E1423" s="5" t="s">
        <v>332</v>
      </c>
      <c r="F1423" s="59"/>
      <c r="G1423" s="59"/>
      <c r="H1423" s="59"/>
      <c r="I1423" s="59"/>
      <c r="J1423" s="59"/>
    </row>
    <row r="1424" spans="1:10" ht="28.5" x14ac:dyDescent="0.2">
      <c r="A1424" s="46" t="s">
        <v>2043</v>
      </c>
      <c r="B1424" s="46" t="s">
        <v>331</v>
      </c>
      <c r="C1424" s="46" t="s">
        <v>8</v>
      </c>
      <c r="D1424" s="4" t="s">
        <v>2045</v>
      </c>
      <c r="E1424" s="4" t="s">
        <v>2045</v>
      </c>
      <c r="F1424" s="58" t="s">
        <v>332</v>
      </c>
      <c r="G1424" s="58">
        <v>0</v>
      </c>
      <c r="H1424" s="58">
        <v>1</v>
      </c>
      <c r="I1424" s="58">
        <v>1</v>
      </c>
      <c r="J1424" s="58">
        <v>0</v>
      </c>
    </row>
    <row r="1425" spans="1:10" ht="28.5" x14ac:dyDescent="0.2">
      <c r="A1425" s="47"/>
      <c r="B1425" s="47"/>
      <c r="C1425" s="47"/>
      <c r="D1425" s="5" t="s">
        <v>763</v>
      </c>
      <c r="E1425" s="5" t="s">
        <v>332</v>
      </c>
      <c r="F1425" s="59"/>
      <c r="G1425" s="59"/>
      <c r="H1425" s="59"/>
      <c r="I1425" s="59"/>
      <c r="J1425" s="59"/>
    </row>
    <row r="1426" spans="1:10" x14ac:dyDescent="0.2">
      <c r="A1426" s="46" t="s">
        <v>2046</v>
      </c>
      <c r="B1426" s="46" t="s">
        <v>334</v>
      </c>
      <c r="C1426" s="46" t="s">
        <v>8</v>
      </c>
      <c r="D1426" s="46" t="s">
        <v>2047</v>
      </c>
      <c r="E1426" s="4" t="s">
        <v>2047</v>
      </c>
      <c r="F1426" s="58" t="s">
        <v>335</v>
      </c>
      <c r="G1426" s="58">
        <v>0</v>
      </c>
      <c r="H1426" s="58">
        <v>1</v>
      </c>
      <c r="I1426" s="58">
        <v>595707004.79999995</v>
      </c>
      <c r="J1426" s="58">
        <v>0</v>
      </c>
    </row>
    <row r="1427" spans="1:10" ht="28.5" x14ac:dyDescent="0.2">
      <c r="A1427" s="47"/>
      <c r="B1427" s="47"/>
      <c r="C1427" s="47"/>
      <c r="D1427" s="47"/>
      <c r="E1427" s="5" t="s">
        <v>2048</v>
      </c>
      <c r="F1427" s="59"/>
      <c r="G1427" s="59"/>
      <c r="H1427" s="59"/>
      <c r="I1427" s="59"/>
      <c r="J1427" s="59"/>
    </row>
    <row r="1428" spans="1:10" x14ac:dyDescent="0.2">
      <c r="A1428" s="46" t="s">
        <v>2049</v>
      </c>
      <c r="B1428" s="46" t="s">
        <v>664</v>
      </c>
      <c r="C1428" s="46" t="s">
        <v>8</v>
      </c>
      <c r="D1428" s="46" t="s">
        <v>2050</v>
      </c>
      <c r="E1428" s="4" t="s">
        <v>2050</v>
      </c>
      <c r="F1428" s="58" t="s">
        <v>319</v>
      </c>
      <c r="G1428" s="58">
        <v>0</v>
      </c>
      <c r="H1428" s="58">
        <v>1</v>
      </c>
      <c r="I1428" s="58">
        <v>0.30480000000000002</v>
      </c>
      <c r="J1428" s="58">
        <v>0</v>
      </c>
    </row>
    <row r="1429" spans="1:10" x14ac:dyDescent="0.2">
      <c r="A1429" s="47"/>
      <c r="B1429" s="47"/>
      <c r="C1429" s="47"/>
      <c r="D1429" s="47"/>
      <c r="E1429" s="5" t="s">
        <v>2051</v>
      </c>
      <c r="F1429" s="59"/>
      <c r="G1429" s="59"/>
      <c r="H1429" s="59"/>
      <c r="I1429" s="59"/>
      <c r="J1429" s="59"/>
    </row>
    <row r="1430" spans="1:10" ht="57" x14ac:dyDescent="0.2">
      <c r="A1430" s="3" t="s">
        <v>2052</v>
      </c>
      <c r="B1430" s="3" t="s">
        <v>664</v>
      </c>
      <c r="C1430" s="3" t="s">
        <v>8</v>
      </c>
      <c r="D1430" s="3" t="s">
        <v>2053</v>
      </c>
      <c r="E1430" s="3" t="s">
        <v>2053</v>
      </c>
      <c r="F1430" s="1" t="s">
        <v>319</v>
      </c>
      <c r="G1430" s="1">
        <v>0</v>
      </c>
      <c r="H1430" s="1">
        <v>1</v>
      </c>
      <c r="I1430" s="1">
        <v>1</v>
      </c>
      <c r="J1430" s="1">
        <v>0</v>
      </c>
    </row>
    <row r="1431" spans="1:10" ht="71.25" x14ac:dyDescent="0.2">
      <c r="A1431" s="3" t="s">
        <v>2054</v>
      </c>
      <c r="B1431" s="3" t="s">
        <v>1271</v>
      </c>
      <c r="C1431" s="3" t="s">
        <v>8</v>
      </c>
      <c r="D1431" s="3" t="s">
        <v>2055</v>
      </c>
      <c r="E1431" s="3" t="s">
        <v>2055</v>
      </c>
      <c r="F1431" s="1" t="s">
        <v>297</v>
      </c>
      <c r="G1431" s="1">
        <v>0</v>
      </c>
      <c r="H1431" s="1">
        <v>1</v>
      </c>
      <c r="I1431" s="1">
        <v>1</v>
      </c>
      <c r="J1431" s="1">
        <v>0</v>
      </c>
    </row>
    <row r="1432" spans="1:10" x14ac:dyDescent="0.2">
      <c r="A1432" s="46" t="s">
        <v>2056</v>
      </c>
      <c r="B1432" s="4" t="s">
        <v>327</v>
      </c>
      <c r="C1432" s="46" t="s">
        <v>8</v>
      </c>
      <c r="D1432" s="46" t="s">
        <v>2057</v>
      </c>
      <c r="E1432" s="46" t="s">
        <v>2057</v>
      </c>
      <c r="F1432" s="58" t="s">
        <v>329</v>
      </c>
      <c r="G1432" s="58">
        <v>0</v>
      </c>
      <c r="H1432" s="58">
        <v>1E-3</v>
      </c>
      <c r="I1432" s="58">
        <v>1</v>
      </c>
      <c r="J1432" s="58">
        <v>0</v>
      </c>
    </row>
    <row r="1433" spans="1:10" x14ac:dyDescent="0.2">
      <c r="A1433" s="47"/>
      <c r="B1433" s="5" t="s">
        <v>328</v>
      </c>
      <c r="C1433" s="47"/>
      <c r="D1433" s="47"/>
      <c r="E1433" s="47"/>
      <c r="F1433" s="59"/>
      <c r="G1433" s="59"/>
      <c r="H1433" s="59"/>
      <c r="I1433" s="59"/>
      <c r="J1433" s="59"/>
    </row>
    <row r="1434" spans="1:10" x14ac:dyDescent="0.2">
      <c r="A1434" s="46" t="s">
        <v>2058</v>
      </c>
      <c r="B1434" s="4" t="s">
        <v>327</v>
      </c>
      <c r="C1434" s="46" t="s">
        <v>8</v>
      </c>
      <c r="D1434" s="46" t="s">
        <v>2059</v>
      </c>
      <c r="E1434" s="46" t="s">
        <v>2059</v>
      </c>
      <c r="F1434" s="58" t="s">
        <v>329</v>
      </c>
      <c r="G1434" s="58">
        <v>0</v>
      </c>
      <c r="H1434" s="58">
        <v>1</v>
      </c>
      <c r="I1434" s="58">
        <v>1016.047</v>
      </c>
      <c r="J1434" s="58">
        <v>0</v>
      </c>
    </row>
    <row r="1435" spans="1:10" x14ac:dyDescent="0.2">
      <c r="A1435" s="47"/>
      <c r="B1435" s="5" t="s">
        <v>328</v>
      </c>
      <c r="C1435" s="47"/>
      <c r="D1435" s="47"/>
      <c r="E1435" s="47"/>
      <c r="F1435" s="59"/>
      <c r="G1435" s="59"/>
      <c r="H1435" s="59"/>
      <c r="I1435" s="59"/>
      <c r="J1435" s="59"/>
    </row>
    <row r="1436" spans="1:10" x14ac:dyDescent="0.2">
      <c r="A1436" s="46" t="s">
        <v>2060</v>
      </c>
      <c r="B1436" s="4" t="s">
        <v>327</v>
      </c>
      <c r="C1436" s="46" t="s">
        <v>8</v>
      </c>
      <c r="D1436" s="46" t="s">
        <v>2061</v>
      </c>
      <c r="E1436" s="46" t="s">
        <v>2061</v>
      </c>
      <c r="F1436" s="58" t="s">
        <v>329</v>
      </c>
      <c r="G1436" s="58">
        <v>0</v>
      </c>
      <c r="H1436" s="58">
        <v>1</v>
      </c>
      <c r="I1436" s="58">
        <v>907.18470000000002</v>
      </c>
      <c r="J1436" s="58">
        <v>0</v>
      </c>
    </row>
    <row r="1437" spans="1:10" x14ac:dyDescent="0.2">
      <c r="A1437" s="47"/>
      <c r="B1437" s="5" t="s">
        <v>328</v>
      </c>
      <c r="C1437" s="47"/>
      <c r="D1437" s="47"/>
      <c r="E1437" s="47"/>
      <c r="F1437" s="59"/>
      <c r="G1437" s="59"/>
      <c r="H1437" s="59"/>
      <c r="I1437" s="59"/>
      <c r="J1437" s="59"/>
    </row>
    <row r="1438" spans="1:10" x14ac:dyDescent="0.2">
      <c r="A1438" s="46" t="s">
        <v>2062</v>
      </c>
      <c r="B1438" s="4" t="s">
        <v>43</v>
      </c>
      <c r="C1438" s="46" t="s">
        <v>8</v>
      </c>
      <c r="D1438" s="46" t="s">
        <v>2063</v>
      </c>
      <c r="E1438" s="46" t="s">
        <v>2063</v>
      </c>
      <c r="F1438" s="58" t="s">
        <v>46</v>
      </c>
      <c r="G1438" s="58">
        <v>0</v>
      </c>
      <c r="H1438" s="58">
        <v>1E-3</v>
      </c>
      <c r="I1438" s="58">
        <v>1</v>
      </c>
      <c r="J1438" s="58">
        <v>0</v>
      </c>
    </row>
    <row r="1439" spans="1:10" x14ac:dyDescent="0.2">
      <c r="A1439" s="48"/>
      <c r="B1439" s="6" t="s">
        <v>44</v>
      </c>
      <c r="C1439" s="48"/>
      <c r="D1439" s="48"/>
      <c r="E1439" s="48"/>
      <c r="F1439" s="60"/>
      <c r="G1439" s="60"/>
      <c r="H1439" s="60"/>
      <c r="I1439" s="60"/>
      <c r="J1439" s="60"/>
    </row>
    <row r="1440" spans="1:10" x14ac:dyDescent="0.2">
      <c r="A1440" s="47"/>
      <c r="B1440" s="5" t="s">
        <v>45</v>
      </c>
      <c r="C1440" s="47"/>
      <c r="D1440" s="47"/>
      <c r="E1440" s="47"/>
      <c r="F1440" s="59"/>
      <c r="G1440" s="59"/>
      <c r="H1440" s="59"/>
      <c r="I1440" s="59"/>
      <c r="J1440" s="59"/>
    </row>
    <row r="1441" spans="1:10" ht="28.5" x14ac:dyDescent="0.2">
      <c r="A1441" s="3" t="s">
        <v>2064</v>
      </c>
      <c r="B1441" s="3" t="s">
        <v>469</v>
      </c>
      <c r="C1441" s="3" t="s">
        <v>8</v>
      </c>
      <c r="D1441" s="3" t="s">
        <v>2065</v>
      </c>
      <c r="E1441" s="3" t="s">
        <v>2065</v>
      </c>
      <c r="F1441" s="1" t="s">
        <v>470</v>
      </c>
      <c r="G1441" s="1">
        <v>0</v>
      </c>
      <c r="H1441" s="1">
        <v>31558150000000</v>
      </c>
      <c r="I1441" s="1">
        <v>1</v>
      </c>
      <c r="J1441" s="1">
        <v>0</v>
      </c>
    </row>
    <row r="1442" spans="1:10" x14ac:dyDescent="0.2">
      <c r="A1442" s="46" t="s">
        <v>2066</v>
      </c>
      <c r="B1442" s="4" t="s">
        <v>43</v>
      </c>
      <c r="C1442" s="46" t="s">
        <v>8</v>
      </c>
      <c r="D1442" s="46" t="s">
        <v>2067</v>
      </c>
      <c r="E1442" s="46" t="s">
        <v>2067</v>
      </c>
      <c r="F1442" s="58" t="s">
        <v>46</v>
      </c>
      <c r="G1442" s="58">
        <v>0</v>
      </c>
      <c r="H1442" s="58">
        <v>1000000</v>
      </c>
      <c r="I1442" s="58">
        <v>1</v>
      </c>
      <c r="J1442" s="58">
        <v>0</v>
      </c>
    </row>
    <row r="1443" spans="1:10" x14ac:dyDescent="0.2">
      <c r="A1443" s="48"/>
      <c r="B1443" s="6" t="s">
        <v>44</v>
      </c>
      <c r="C1443" s="48"/>
      <c r="D1443" s="48"/>
      <c r="E1443" s="48"/>
      <c r="F1443" s="60"/>
      <c r="G1443" s="60"/>
      <c r="H1443" s="60"/>
      <c r="I1443" s="60"/>
      <c r="J1443" s="60"/>
    </row>
    <row r="1444" spans="1:10" x14ac:dyDescent="0.2">
      <c r="A1444" s="47"/>
      <c r="B1444" s="5" t="s">
        <v>45</v>
      </c>
      <c r="C1444" s="47"/>
      <c r="D1444" s="47"/>
      <c r="E1444" s="47"/>
      <c r="F1444" s="59"/>
      <c r="G1444" s="59"/>
      <c r="H1444" s="59"/>
      <c r="I1444" s="59"/>
      <c r="J1444" s="59"/>
    </row>
    <row r="1445" spans="1:10" ht="71.25" x14ac:dyDescent="0.2">
      <c r="A1445" s="3" t="s">
        <v>2068</v>
      </c>
      <c r="B1445" s="3" t="s">
        <v>57</v>
      </c>
      <c r="C1445" s="3" t="s">
        <v>8</v>
      </c>
      <c r="D1445" s="3" t="s">
        <v>2069</v>
      </c>
      <c r="E1445" s="3" t="s">
        <v>2069</v>
      </c>
      <c r="F1445" s="1" t="s">
        <v>58</v>
      </c>
      <c r="G1445" s="1">
        <v>0</v>
      </c>
      <c r="H1445" s="1">
        <v>10</v>
      </c>
      <c r="I1445" s="1">
        <v>1</v>
      </c>
      <c r="J1445" s="1">
        <v>0</v>
      </c>
    </row>
    <row r="1446" spans="1:10" ht="57" x14ac:dyDescent="0.2">
      <c r="A1446" s="3" t="s">
        <v>2070</v>
      </c>
      <c r="B1446" s="3" t="s">
        <v>57</v>
      </c>
      <c r="C1446" s="3" t="s">
        <v>8</v>
      </c>
      <c r="D1446" s="3" t="s">
        <v>2071</v>
      </c>
      <c r="E1446" s="3" t="s">
        <v>2071</v>
      </c>
      <c r="F1446" s="1" t="s">
        <v>58</v>
      </c>
      <c r="G1446" s="1">
        <v>0</v>
      </c>
      <c r="H1446" s="1">
        <v>1E-3</v>
      </c>
      <c r="I1446" s="1">
        <v>9.2903040000000006E-2</v>
      </c>
      <c r="J1446" s="1">
        <v>0</v>
      </c>
    </row>
    <row r="1447" spans="1:10" x14ac:dyDescent="0.2">
      <c r="A1447" s="46" t="s">
        <v>2072</v>
      </c>
      <c r="B1447" s="4" t="s">
        <v>414</v>
      </c>
      <c r="C1447" s="46" t="s">
        <v>8</v>
      </c>
      <c r="D1447" s="46" t="s">
        <v>2073</v>
      </c>
      <c r="E1447" s="46" t="s">
        <v>2073</v>
      </c>
      <c r="F1447" s="58" t="s">
        <v>416</v>
      </c>
      <c r="G1447" s="58">
        <v>0</v>
      </c>
      <c r="H1447" s="58">
        <v>100</v>
      </c>
      <c r="I1447" s="58">
        <v>1</v>
      </c>
      <c r="J1447" s="58">
        <v>0</v>
      </c>
    </row>
    <row r="1448" spans="1:10" x14ac:dyDescent="0.2">
      <c r="A1448" s="47"/>
      <c r="B1448" s="5" t="s">
        <v>415</v>
      </c>
      <c r="C1448" s="47"/>
      <c r="D1448" s="47"/>
      <c r="E1448" s="47"/>
      <c r="F1448" s="59"/>
      <c r="G1448" s="59"/>
      <c r="H1448" s="59"/>
      <c r="I1448" s="59"/>
      <c r="J1448" s="59"/>
    </row>
    <row r="1449" spans="1:10" ht="28.5" x14ac:dyDescent="0.2">
      <c r="A1449" s="3" t="s">
        <v>2074</v>
      </c>
      <c r="B1449" s="3" t="s">
        <v>321</v>
      </c>
      <c r="C1449" s="3" t="s">
        <v>8</v>
      </c>
      <c r="D1449" s="3" t="s">
        <v>2075</v>
      </c>
      <c r="E1449" s="3" t="s">
        <v>2075</v>
      </c>
      <c r="F1449" s="1" t="s">
        <v>322</v>
      </c>
      <c r="G1449" s="1">
        <v>0</v>
      </c>
      <c r="H1449" s="1">
        <v>158.9873</v>
      </c>
      <c r="I1449" s="1">
        <v>1</v>
      </c>
      <c r="J1449" s="1">
        <v>0</v>
      </c>
    </row>
    <row r="1450" spans="1:10" ht="42.75" x14ac:dyDescent="0.2">
      <c r="A1450" s="3" t="s">
        <v>2076</v>
      </c>
      <c r="B1450" s="3" t="s">
        <v>358</v>
      </c>
      <c r="C1450" s="3" t="s">
        <v>8</v>
      </c>
      <c r="D1450" s="3" t="s">
        <v>2077</v>
      </c>
      <c r="E1450" s="3" t="s">
        <v>2077</v>
      </c>
      <c r="F1450" s="1" t="s">
        <v>359</v>
      </c>
      <c r="G1450" s="1">
        <v>0</v>
      </c>
      <c r="H1450" s="1">
        <v>48.459330000000001</v>
      </c>
      <c r="I1450" s="1">
        <v>86400</v>
      </c>
      <c r="J1450" s="1">
        <v>0</v>
      </c>
    </row>
    <row r="1451" spans="1:10" ht="42.75" x14ac:dyDescent="0.2">
      <c r="A1451" s="3" t="s">
        <v>2078</v>
      </c>
      <c r="B1451" s="3" t="s">
        <v>343</v>
      </c>
      <c r="C1451" s="3" t="s">
        <v>8</v>
      </c>
      <c r="D1451" s="3" t="s">
        <v>2079</v>
      </c>
      <c r="E1451" s="3"/>
      <c r="F1451" s="1" t="s">
        <v>344</v>
      </c>
      <c r="G1451" s="1">
        <v>0</v>
      </c>
      <c r="H1451" s="1">
        <v>158.9873</v>
      </c>
      <c r="I1451" s="1">
        <v>86400</v>
      </c>
      <c r="J1451" s="1">
        <v>0</v>
      </c>
    </row>
    <row r="1452" spans="1:10" ht="28.5" x14ac:dyDescent="0.2">
      <c r="A1452" s="3" t="s">
        <v>2080</v>
      </c>
      <c r="B1452" s="3" t="s">
        <v>80</v>
      </c>
      <c r="C1452" s="3" t="s">
        <v>8</v>
      </c>
      <c r="D1452" s="3" t="s">
        <v>2081</v>
      </c>
      <c r="E1452" s="3" t="s">
        <v>2081</v>
      </c>
      <c r="F1452" s="1" t="s">
        <v>81</v>
      </c>
      <c r="G1452" s="1">
        <v>0</v>
      </c>
      <c r="H1452" s="1">
        <v>1000000</v>
      </c>
      <c r="I1452" s="1">
        <v>1</v>
      </c>
      <c r="J1452" s="1">
        <v>0</v>
      </c>
    </row>
    <row r="1453" spans="1:10" ht="28.5" x14ac:dyDescent="0.2">
      <c r="A1453" s="3" t="s">
        <v>807</v>
      </c>
      <c r="B1453" s="3" t="s">
        <v>532</v>
      </c>
      <c r="C1453" s="3" t="s">
        <v>8</v>
      </c>
      <c r="D1453" s="3" t="s">
        <v>2082</v>
      </c>
      <c r="E1453" s="3"/>
      <c r="F1453" s="1" t="s">
        <v>533</v>
      </c>
      <c r="G1453" s="1">
        <v>0</v>
      </c>
      <c r="H1453" s="1">
        <v>293071.09999999998</v>
      </c>
      <c r="I1453" s="1">
        <v>1</v>
      </c>
      <c r="J1453" s="1">
        <v>0</v>
      </c>
    </row>
    <row r="1454" spans="1:10" x14ac:dyDescent="0.2">
      <c r="A1454" s="3" t="s">
        <v>2083</v>
      </c>
      <c r="B1454" s="3" t="s">
        <v>87</v>
      </c>
      <c r="C1454" s="3" t="s">
        <v>8</v>
      </c>
      <c r="D1454" s="3" t="s">
        <v>2084</v>
      </c>
      <c r="E1454" s="3" t="s">
        <v>2084</v>
      </c>
      <c r="F1454" s="1" t="s">
        <v>86</v>
      </c>
      <c r="G1454" s="1">
        <v>0</v>
      </c>
      <c r="H1454" s="1">
        <v>1048576</v>
      </c>
      <c r="I1454" s="1">
        <v>1</v>
      </c>
      <c r="J1454" s="1">
        <v>0</v>
      </c>
    </row>
    <row r="1455" spans="1:10" x14ac:dyDescent="0.2">
      <c r="A1455" s="46" t="s">
        <v>2085</v>
      </c>
      <c r="B1455" s="4" t="s">
        <v>90</v>
      </c>
      <c r="C1455" s="46" t="s">
        <v>8</v>
      </c>
      <c r="D1455" s="46" t="s">
        <v>2086</v>
      </c>
      <c r="E1455" s="46" t="s">
        <v>2086</v>
      </c>
      <c r="F1455" s="58" t="s">
        <v>93</v>
      </c>
      <c r="G1455" s="58">
        <v>0</v>
      </c>
      <c r="H1455" s="58">
        <v>1E-3</v>
      </c>
      <c r="I1455" s="58">
        <v>1</v>
      </c>
      <c r="J1455" s="58">
        <v>0</v>
      </c>
    </row>
    <row r="1456" spans="1:10" x14ac:dyDescent="0.2">
      <c r="A1456" s="48"/>
      <c r="B1456" s="6" t="s">
        <v>91</v>
      </c>
      <c r="C1456" s="48"/>
      <c r="D1456" s="48"/>
      <c r="E1456" s="48"/>
      <c r="F1456" s="60"/>
      <c r="G1456" s="60"/>
      <c r="H1456" s="60"/>
      <c r="I1456" s="60"/>
      <c r="J1456" s="60"/>
    </row>
    <row r="1457" spans="1:10" x14ac:dyDescent="0.2">
      <c r="A1457" s="47"/>
      <c r="B1457" s="5" t="s">
        <v>92</v>
      </c>
      <c r="C1457" s="47"/>
      <c r="D1457" s="47"/>
      <c r="E1457" s="47"/>
      <c r="F1457" s="59"/>
      <c r="G1457" s="59"/>
      <c r="H1457" s="59"/>
      <c r="I1457" s="59"/>
      <c r="J1457" s="59"/>
    </row>
    <row r="1458" spans="1:10" ht="42.75" x14ac:dyDescent="0.2">
      <c r="A1458" s="3" t="s">
        <v>2087</v>
      </c>
      <c r="B1458" s="3" t="s">
        <v>102</v>
      </c>
      <c r="C1458" s="3" t="s">
        <v>8</v>
      </c>
      <c r="D1458" s="3" t="s">
        <v>2088</v>
      </c>
      <c r="E1458" s="3" t="s">
        <v>2088</v>
      </c>
      <c r="F1458" s="1" t="s">
        <v>103</v>
      </c>
      <c r="G1458" s="1">
        <v>0</v>
      </c>
      <c r="H1458" s="1">
        <v>1E-3</v>
      </c>
      <c r="I1458" s="1">
        <v>1</v>
      </c>
      <c r="J1458" s="1">
        <v>0</v>
      </c>
    </row>
    <row r="1459" spans="1:10" ht="28.5" x14ac:dyDescent="0.2">
      <c r="A1459" s="3" t="s">
        <v>656</v>
      </c>
      <c r="B1459" s="3" t="s">
        <v>321</v>
      </c>
      <c r="C1459" s="3" t="s">
        <v>8</v>
      </c>
      <c r="D1459" s="3" t="s">
        <v>2089</v>
      </c>
      <c r="E1459" s="3"/>
      <c r="F1459" s="1" t="s">
        <v>322</v>
      </c>
      <c r="G1459" s="1">
        <v>0</v>
      </c>
      <c r="H1459" s="1">
        <v>28.316846592000001</v>
      </c>
      <c r="I1459" s="1">
        <v>1</v>
      </c>
      <c r="J1459" s="1">
        <v>0</v>
      </c>
    </row>
    <row r="1460" spans="1:10" x14ac:dyDescent="0.2">
      <c r="A1460" s="3"/>
      <c r="B1460" s="3" t="s">
        <v>80</v>
      </c>
      <c r="C1460" s="3" t="s">
        <v>8</v>
      </c>
      <c r="D1460" s="3" t="s">
        <v>2090</v>
      </c>
      <c r="E1460" s="3" t="s">
        <v>2090</v>
      </c>
      <c r="F1460" s="1" t="s">
        <v>81</v>
      </c>
      <c r="G1460" s="1">
        <v>0</v>
      </c>
      <c r="H1460" s="1">
        <v>37000000</v>
      </c>
      <c r="I1460" s="1">
        <v>1</v>
      </c>
      <c r="J1460" s="1">
        <v>0</v>
      </c>
    </row>
    <row r="1461" spans="1:10" x14ac:dyDescent="0.2">
      <c r="A1461" s="46" t="s">
        <v>2091</v>
      </c>
      <c r="B1461" s="46" t="s">
        <v>80</v>
      </c>
      <c r="C1461" s="46" t="s">
        <v>8</v>
      </c>
      <c r="D1461" s="4" t="s">
        <v>2092</v>
      </c>
      <c r="E1461" s="46"/>
      <c r="F1461" s="58" t="s">
        <v>81</v>
      </c>
      <c r="G1461" s="58">
        <v>0</v>
      </c>
      <c r="H1461" s="58">
        <v>37000</v>
      </c>
      <c r="I1461" s="58">
        <v>1</v>
      </c>
      <c r="J1461" s="58">
        <v>0</v>
      </c>
    </row>
    <row r="1462" spans="1:10" ht="28.5" x14ac:dyDescent="0.2">
      <c r="A1462" s="47"/>
      <c r="B1462" s="47"/>
      <c r="C1462" s="47"/>
      <c r="D1462" s="5" t="s">
        <v>763</v>
      </c>
      <c r="E1462" s="47"/>
      <c r="F1462" s="59"/>
      <c r="G1462" s="59"/>
      <c r="H1462" s="59"/>
      <c r="I1462" s="59"/>
      <c r="J1462" s="59"/>
    </row>
    <row r="1463" spans="1:10" x14ac:dyDescent="0.2">
      <c r="A1463" s="3" t="s">
        <v>2093</v>
      </c>
      <c r="B1463" s="3" t="s">
        <v>1001</v>
      </c>
      <c r="C1463" s="3" t="s">
        <v>8</v>
      </c>
      <c r="D1463" s="3" t="s">
        <v>2094</v>
      </c>
      <c r="E1463" s="3" t="s">
        <v>2094</v>
      </c>
      <c r="F1463" s="1" t="s">
        <v>303</v>
      </c>
      <c r="G1463" s="1">
        <v>0</v>
      </c>
      <c r="H1463" s="11">
        <v>9.8693200000000008E-16</v>
      </c>
      <c r="I1463" s="1">
        <v>1</v>
      </c>
      <c r="J1463" s="1">
        <v>0</v>
      </c>
    </row>
    <row r="1464" spans="1:10" ht="28.5" x14ac:dyDescent="0.2">
      <c r="A1464" s="3" t="s">
        <v>2095</v>
      </c>
      <c r="B1464" s="3" t="s">
        <v>1005</v>
      </c>
      <c r="C1464" s="3" t="s">
        <v>8</v>
      </c>
      <c r="D1464" s="3" t="s">
        <v>2096</v>
      </c>
      <c r="E1464" s="3" t="s">
        <v>2096</v>
      </c>
      <c r="F1464" s="1" t="s">
        <v>322</v>
      </c>
      <c r="G1464" s="1">
        <v>0</v>
      </c>
      <c r="H1464" s="11">
        <v>3.008141E-16</v>
      </c>
      <c r="I1464" s="1">
        <v>1</v>
      </c>
      <c r="J1464" s="1">
        <v>0</v>
      </c>
    </row>
    <row r="1465" spans="1:10" ht="71.25" x14ac:dyDescent="0.2">
      <c r="A1465" s="3" t="s">
        <v>2097</v>
      </c>
      <c r="B1465" s="3" t="s">
        <v>312</v>
      </c>
      <c r="C1465" s="3" t="s">
        <v>8</v>
      </c>
      <c r="D1465" s="3" t="s">
        <v>2098</v>
      </c>
      <c r="E1465" s="3" t="s">
        <v>2098</v>
      </c>
      <c r="F1465" s="1" t="s">
        <v>313</v>
      </c>
      <c r="G1465" s="1">
        <v>0</v>
      </c>
      <c r="H1465" s="11">
        <v>9.8693200000000008E-16</v>
      </c>
      <c r="I1465" s="1">
        <v>47.88026</v>
      </c>
      <c r="J1465" s="1">
        <v>0</v>
      </c>
    </row>
    <row r="1466" spans="1:10" ht="71.25" x14ac:dyDescent="0.2">
      <c r="A1466" s="3" t="s">
        <v>2099</v>
      </c>
      <c r="B1466" s="3" t="s">
        <v>312</v>
      </c>
      <c r="C1466" s="3" t="s">
        <v>8</v>
      </c>
      <c r="D1466" s="3" t="s">
        <v>2100</v>
      </c>
      <c r="E1466" s="3" t="s">
        <v>2100</v>
      </c>
      <c r="F1466" s="1" t="s">
        <v>313</v>
      </c>
      <c r="G1466" s="1">
        <v>0</v>
      </c>
      <c r="H1466" s="11">
        <v>9.8693200000000008E-16</v>
      </c>
      <c r="I1466" s="1">
        <v>6894.7569999999996</v>
      </c>
      <c r="J1466" s="1">
        <v>0</v>
      </c>
    </row>
    <row r="1467" spans="1:10" ht="28.5" x14ac:dyDescent="0.2">
      <c r="A1467" s="3" t="s">
        <v>2101</v>
      </c>
      <c r="B1467" s="3" t="s">
        <v>1005</v>
      </c>
      <c r="C1467" s="3" t="s">
        <v>8</v>
      </c>
      <c r="D1467" s="3" t="s">
        <v>2102</v>
      </c>
      <c r="E1467" s="3" t="s">
        <v>2102</v>
      </c>
      <c r="F1467" s="1" t="s">
        <v>322</v>
      </c>
      <c r="G1467" s="1">
        <v>0</v>
      </c>
      <c r="H1467" s="11">
        <v>9.8693200000000008E-16</v>
      </c>
      <c r="I1467" s="1">
        <v>1</v>
      </c>
      <c r="J1467" s="1">
        <v>0</v>
      </c>
    </row>
    <row r="1468" spans="1:10" ht="42.75" x14ac:dyDescent="0.2">
      <c r="A1468" s="3" t="s">
        <v>2103</v>
      </c>
      <c r="B1468" s="3" t="s">
        <v>312</v>
      </c>
      <c r="C1468" s="3" t="s">
        <v>8</v>
      </c>
      <c r="D1468" s="3" t="s">
        <v>2104</v>
      </c>
      <c r="E1468" s="3" t="s">
        <v>2104</v>
      </c>
      <c r="F1468" s="1" t="s">
        <v>313</v>
      </c>
      <c r="G1468" s="1">
        <v>0</v>
      </c>
      <c r="H1468" s="11">
        <v>9.8693200000000008E-16</v>
      </c>
      <c r="I1468" s="1">
        <v>1E-3</v>
      </c>
      <c r="J1468" s="1">
        <v>0</v>
      </c>
    </row>
    <row r="1469" spans="1:10" ht="42.75" x14ac:dyDescent="0.2">
      <c r="A1469" s="3" t="s">
        <v>2105</v>
      </c>
      <c r="B1469" s="3" t="s">
        <v>312</v>
      </c>
      <c r="C1469" s="3" t="s">
        <v>8</v>
      </c>
      <c r="D1469" s="3" t="s">
        <v>2106</v>
      </c>
      <c r="E1469" s="3" t="s">
        <v>2106</v>
      </c>
      <c r="F1469" s="1" t="s">
        <v>313</v>
      </c>
      <c r="G1469" s="1">
        <v>0</v>
      </c>
      <c r="H1469" s="11">
        <v>9.8693200000000008E-16</v>
      </c>
      <c r="I1469" s="1">
        <v>1</v>
      </c>
      <c r="J1469" s="1">
        <v>0</v>
      </c>
    </row>
    <row r="1470" spans="1:10" ht="28.5" x14ac:dyDescent="0.2">
      <c r="A1470" s="3" t="s">
        <v>2107</v>
      </c>
      <c r="B1470" s="3" t="s">
        <v>115</v>
      </c>
      <c r="C1470" s="3" t="s">
        <v>8</v>
      </c>
      <c r="D1470" s="3" t="s">
        <v>2108</v>
      </c>
      <c r="E1470" s="3" t="s">
        <v>2108</v>
      </c>
      <c r="F1470" s="1" t="s">
        <v>116</v>
      </c>
      <c r="G1470" s="1">
        <v>0</v>
      </c>
      <c r="H1470" s="1">
        <v>1E-3</v>
      </c>
      <c r="I1470" s="1">
        <v>1</v>
      </c>
      <c r="J1470" s="1">
        <v>0</v>
      </c>
    </row>
    <row r="1471" spans="1:10" ht="57" x14ac:dyDescent="0.2">
      <c r="A1471" s="3" t="s">
        <v>2109</v>
      </c>
      <c r="B1471" s="3" t="s">
        <v>119</v>
      </c>
      <c r="C1471" s="3" t="s">
        <v>8</v>
      </c>
      <c r="D1471" s="3" t="s">
        <v>2110</v>
      </c>
      <c r="E1471" s="3"/>
      <c r="F1471" s="1" t="s">
        <v>120</v>
      </c>
      <c r="G1471" s="1">
        <v>0</v>
      </c>
      <c r="H1471" s="1">
        <v>100</v>
      </c>
      <c r="I1471" s="1">
        <v>1</v>
      </c>
      <c r="J1471" s="1">
        <v>0</v>
      </c>
    </row>
    <row r="1472" spans="1:10" ht="71.25" x14ac:dyDescent="0.2">
      <c r="A1472" s="3" t="s">
        <v>2111</v>
      </c>
      <c r="B1472" s="3" t="s">
        <v>122</v>
      </c>
      <c r="C1472" s="3" t="s">
        <v>8</v>
      </c>
      <c r="D1472" s="3" t="s">
        <v>2112</v>
      </c>
      <c r="E1472" s="3" t="s">
        <v>2112</v>
      </c>
      <c r="F1472" s="1" t="s">
        <v>123</v>
      </c>
      <c r="G1472" s="1">
        <v>0</v>
      </c>
      <c r="H1472" s="1">
        <v>1000</v>
      </c>
      <c r="I1472" s="1">
        <v>1</v>
      </c>
      <c r="J1472" s="1">
        <v>0</v>
      </c>
    </row>
    <row r="1473" spans="1:10" ht="42.75" x14ac:dyDescent="0.2">
      <c r="A1473" s="3" t="s">
        <v>2113</v>
      </c>
      <c r="B1473" s="3" t="s">
        <v>119</v>
      </c>
      <c r="C1473" s="3" t="s">
        <v>8</v>
      </c>
      <c r="D1473" s="3" t="s">
        <v>2114</v>
      </c>
      <c r="E1473" s="3" t="s">
        <v>2114</v>
      </c>
      <c r="F1473" s="1" t="s">
        <v>120</v>
      </c>
      <c r="G1473" s="1">
        <v>0</v>
      </c>
      <c r="H1473" s="1">
        <v>1</v>
      </c>
      <c r="I1473" s="1">
        <v>1</v>
      </c>
      <c r="J1473" s="1">
        <v>0</v>
      </c>
    </row>
    <row r="1474" spans="1:10" x14ac:dyDescent="0.2">
      <c r="A1474" s="46" t="s">
        <v>2115</v>
      </c>
      <c r="B1474" s="4" t="s">
        <v>125</v>
      </c>
      <c r="C1474" s="46" t="s">
        <v>8</v>
      </c>
      <c r="D1474" s="46" t="s">
        <v>2116</v>
      </c>
      <c r="E1474" s="46" t="s">
        <v>2117</v>
      </c>
      <c r="F1474" s="58" t="s">
        <v>131</v>
      </c>
      <c r="G1474" s="58">
        <v>0</v>
      </c>
      <c r="H1474" s="58">
        <v>1E-3</v>
      </c>
      <c r="I1474" s="58">
        <v>1</v>
      </c>
      <c r="J1474" s="58">
        <v>0</v>
      </c>
    </row>
    <row r="1475" spans="1:10" x14ac:dyDescent="0.2">
      <c r="A1475" s="47"/>
      <c r="B1475" s="5" t="s">
        <v>130</v>
      </c>
      <c r="C1475" s="47"/>
      <c r="D1475" s="47"/>
      <c r="E1475" s="47"/>
      <c r="F1475" s="59"/>
      <c r="G1475" s="59"/>
      <c r="H1475" s="59"/>
      <c r="I1475" s="59"/>
      <c r="J1475" s="59"/>
    </row>
    <row r="1476" spans="1:10" x14ac:dyDescent="0.2">
      <c r="A1476" s="46" t="s">
        <v>2118</v>
      </c>
      <c r="B1476" s="4" t="s">
        <v>166</v>
      </c>
      <c r="C1476" s="46" t="s">
        <v>8</v>
      </c>
      <c r="D1476" s="46" t="s">
        <v>2119</v>
      </c>
      <c r="E1476" s="46" t="s">
        <v>2119</v>
      </c>
      <c r="F1476" s="58" t="s">
        <v>168</v>
      </c>
      <c r="G1476" s="58">
        <v>0</v>
      </c>
      <c r="H1476" s="58">
        <v>1.60219E-13</v>
      </c>
      <c r="I1476" s="58">
        <v>1</v>
      </c>
      <c r="J1476" s="58">
        <v>0</v>
      </c>
    </row>
    <row r="1477" spans="1:10" x14ac:dyDescent="0.2">
      <c r="A1477" s="47"/>
      <c r="B1477" s="5" t="s">
        <v>167</v>
      </c>
      <c r="C1477" s="47"/>
      <c r="D1477" s="47"/>
      <c r="E1477" s="47"/>
      <c r="F1477" s="59"/>
      <c r="G1477" s="59"/>
      <c r="H1477" s="59"/>
      <c r="I1477" s="59"/>
      <c r="J1477" s="59"/>
    </row>
    <row r="1478" spans="1:10" ht="28.5" x14ac:dyDescent="0.2">
      <c r="A1478" s="3" t="s">
        <v>2120</v>
      </c>
      <c r="B1478" s="3" t="s">
        <v>36</v>
      </c>
      <c r="C1478" s="3" t="s">
        <v>8</v>
      </c>
      <c r="D1478" s="3" t="s">
        <v>2121</v>
      </c>
      <c r="E1478" s="3"/>
      <c r="F1478" s="1" t="s">
        <v>38</v>
      </c>
      <c r="G1478" s="1">
        <v>0</v>
      </c>
      <c r="H1478" s="1">
        <v>1000000</v>
      </c>
      <c r="I1478" s="1">
        <v>1</v>
      </c>
      <c r="J1478" s="1">
        <v>0</v>
      </c>
    </row>
    <row r="1479" spans="1:10" ht="28.5" x14ac:dyDescent="0.2">
      <c r="A1479" s="3" t="s">
        <v>2122</v>
      </c>
      <c r="B1479" s="3" t="s">
        <v>220</v>
      </c>
      <c r="C1479" s="3" t="s">
        <v>8</v>
      </c>
      <c r="D1479" s="3" t="s">
        <v>2123</v>
      </c>
      <c r="E1479" s="3" t="s">
        <v>2123</v>
      </c>
      <c r="F1479" s="1" t="s">
        <v>221</v>
      </c>
      <c r="G1479" s="1">
        <v>0</v>
      </c>
      <c r="H1479" s="1">
        <v>1000</v>
      </c>
      <c r="I1479" s="1">
        <v>1</v>
      </c>
      <c r="J1479" s="1">
        <v>0</v>
      </c>
    </row>
    <row r="1480" spans="1:10" x14ac:dyDescent="0.2">
      <c r="A1480" s="3" t="s">
        <v>2124</v>
      </c>
      <c r="B1480" s="3" t="s">
        <v>220</v>
      </c>
      <c r="C1480" s="3" t="s">
        <v>8</v>
      </c>
      <c r="D1480" s="3" t="s">
        <v>2125</v>
      </c>
      <c r="E1480" s="3" t="s">
        <v>2125</v>
      </c>
      <c r="F1480" s="1" t="s">
        <v>221</v>
      </c>
      <c r="G1480" s="1">
        <v>0</v>
      </c>
      <c r="H1480" s="1">
        <v>9.9999999999999995E-7</v>
      </c>
      <c r="I1480" s="1">
        <v>1</v>
      </c>
      <c r="J1480" s="1">
        <v>0</v>
      </c>
    </row>
    <row r="1481" spans="1:10" ht="28.5" x14ac:dyDescent="0.2">
      <c r="A1481" s="3" t="s">
        <v>2126</v>
      </c>
      <c r="B1481" s="3" t="s">
        <v>257</v>
      </c>
      <c r="C1481" s="3" t="s">
        <v>8</v>
      </c>
      <c r="D1481" s="3" t="s">
        <v>2127</v>
      </c>
      <c r="E1481" s="3" t="s">
        <v>2127</v>
      </c>
      <c r="F1481" s="1" t="s">
        <v>258</v>
      </c>
      <c r="G1481" s="1">
        <v>0</v>
      </c>
      <c r="H1481" s="1">
        <v>1000</v>
      </c>
      <c r="I1481" s="1">
        <v>31558150</v>
      </c>
      <c r="J1481" s="1">
        <v>0</v>
      </c>
    </row>
    <row r="1482" spans="1:10" ht="28.5" x14ac:dyDescent="0.2">
      <c r="A1482" s="3" t="s">
        <v>2128</v>
      </c>
      <c r="B1482" s="3" t="s">
        <v>257</v>
      </c>
      <c r="C1482" s="3" t="s">
        <v>8</v>
      </c>
      <c r="D1482" s="3" t="s">
        <v>2129</v>
      </c>
      <c r="E1482" s="3" t="s">
        <v>2129</v>
      </c>
      <c r="F1482" s="1" t="s">
        <v>258</v>
      </c>
      <c r="G1482" s="1">
        <v>0</v>
      </c>
      <c r="H1482" s="1">
        <v>1000</v>
      </c>
      <c r="I1482" s="1">
        <v>86400</v>
      </c>
      <c r="J1482" s="1">
        <v>0</v>
      </c>
    </row>
    <row r="1483" spans="1:10" x14ac:dyDescent="0.2">
      <c r="A1483" s="46" t="s">
        <v>2130</v>
      </c>
      <c r="B1483" s="4" t="s">
        <v>249</v>
      </c>
      <c r="C1483" s="46" t="s">
        <v>8</v>
      </c>
      <c r="D1483" s="46" t="s">
        <v>2131</v>
      </c>
      <c r="E1483" s="46" t="s">
        <v>2131</v>
      </c>
      <c r="F1483" s="58" t="s">
        <v>252</v>
      </c>
      <c r="G1483" s="58">
        <v>0</v>
      </c>
      <c r="H1483" s="58">
        <v>1E-3</v>
      </c>
      <c r="I1483" s="58">
        <v>1</v>
      </c>
      <c r="J1483" s="58">
        <v>0</v>
      </c>
    </row>
    <row r="1484" spans="1:10" x14ac:dyDescent="0.2">
      <c r="A1484" s="48"/>
      <c r="B1484" s="6" t="s">
        <v>250</v>
      </c>
      <c r="C1484" s="48"/>
      <c r="D1484" s="48"/>
      <c r="E1484" s="48"/>
      <c r="F1484" s="60"/>
      <c r="G1484" s="60"/>
      <c r="H1484" s="60"/>
      <c r="I1484" s="60"/>
      <c r="J1484" s="60"/>
    </row>
    <row r="1485" spans="1:10" x14ac:dyDescent="0.2">
      <c r="A1485" s="47"/>
      <c r="B1485" s="5" t="s">
        <v>251</v>
      </c>
      <c r="C1485" s="47"/>
      <c r="D1485" s="47"/>
      <c r="E1485" s="47"/>
      <c r="F1485" s="59"/>
      <c r="G1485" s="59"/>
      <c r="H1485" s="59"/>
      <c r="I1485" s="59"/>
      <c r="J1485" s="59"/>
    </row>
    <row r="1486" spans="1:10" x14ac:dyDescent="0.2">
      <c r="A1486" s="46" t="s">
        <v>2132</v>
      </c>
      <c r="B1486" s="4" t="s">
        <v>249</v>
      </c>
      <c r="C1486" s="46" t="s">
        <v>8</v>
      </c>
      <c r="D1486" s="46" t="s">
        <v>2133</v>
      </c>
      <c r="E1486" s="46" t="s">
        <v>2133</v>
      </c>
      <c r="F1486" s="58" t="s">
        <v>252</v>
      </c>
      <c r="G1486" s="58">
        <v>0</v>
      </c>
      <c r="H1486" s="58">
        <v>2.6417200000000002E-4</v>
      </c>
      <c r="I1486" s="58">
        <v>1</v>
      </c>
      <c r="J1486" s="58">
        <v>0</v>
      </c>
    </row>
    <row r="1487" spans="1:10" x14ac:dyDescent="0.2">
      <c r="A1487" s="48"/>
      <c r="B1487" s="6" t="s">
        <v>250</v>
      </c>
      <c r="C1487" s="48"/>
      <c r="D1487" s="48"/>
      <c r="E1487" s="48"/>
      <c r="F1487" s="60"/>
      <c r="G1487" s="60"/>
      <c r="H1487" s="60"/>
      <c r="I1487" s="60"/>
      <c r="J1487" s="60"/>
    </row>
    <row r="1488" spans="1:10" x14ac:dyDescent="0.2">
      <c r="A1488" s="47"/>
      <c r="B1488" s="5" t="s">
        <v>251</v>
      </c>
      <c r="C1488" s="47"/>
      <c r="D1488" s="47"/>
      <c r="E1488" s="47"/>
      <c r="F1488" s="59"/>
      <c r="G1488" s="59"/>
      <c r="H1488" s="59"/>
      <c r="I1488" s="59"/>
      <c r="J1488" s="59"/>
    </row>
    <row r="1489" spans="1:10" ht="28.5" x14ac:dyDescent="0.2">
      <c r="A1489" s="3" t="s">
        <v>2134</v>
      </c>
      <c r="B1489" s="3" t="s">
        <v>257</v>
      </c>
      <c r="C1489" s="3" t="s">
        <v>8</v>
      </c>
      <c r="D1489" s="3" t="s">
        <v>2135</v>
      </c>
      <c r="E1489" s="3" t="s">
        <v>2135</v>
      </c>
      <c r="F1489" s="1" t="s">
        <v>258</v>
      </c>
      <c r="G1489" s="1">
        <v>0</v>
      </c>
      <c r="H1489" s="1">
        <v>1</v>
      </c>
      <c r="I1489" s="1">
        <v>3.6</v>
      </c>
      <c r="J1489" s="1">
        <v>0</v>
      </c>
    </row>
    <row r="1490" spans="1:10" x14ac:dyDescent="0.2">
      <c r="A1490" s="46" t="s">
        <v>2136</v>
      </c>
      <c r="B1490" s="4" t="s">
        <v>239</v>
      </c>
      <c r="C1490" s="46" t="s">
        <v>8</v>
      </c>
      <c r="D1490" s="46" t="s">
        <v>2137</v>
      </c>
      <c r="E1490" s="46" t="s">
        <v>2137</v>
      </c>
      <c r="F1490" s="58" t="s">
        <v>240</v>
      </c>
      <c r="G1490" s="58">
        <v>0</v>
      </c>
      <c r="H1490" s="58">
        <v>1000</v>
      </c>
      <c r="I1490" s="58">
        <v>2.5399999999999999E-2</v>
      </c>
      <c r="J1490" s="58">
        <v>0</v>
      </c>
    </row>
    <row r="1491" spans="1:10" x14ac:dyDescent="0.2">
      <c r="A1491" s="47"/>
      <c r="B1491" s="5" t="s">
        <v>237</v>
      </c>
      <c r="C1491" s="47"/>
      <c r="D1491" s="47"/>
      <c r="E1491" s="47"/>
      <c r="F1491" s="59"/>
      <c r="G1491" s="59"/>
      <c r="H1491" s="59"/>
      <c r="I1491" s="59"/>
      <c r="J1491" s="59"/>
    </row>
    <row r="1492" spans="1:10" ht="28.5" x14ac:dyDescent="0.2">
      <c r="A1492" s="3" t="s">
        <v>2138</v>
      </c>
      <c r="B1492" s="3" t="s">
        <v>234</v>
      </c>
      <c r="C1492" s="3" t="s">
        <v>8</v>
      </c>
      <c r="D1492" s="3" t="s">
        <v>2139</v>
      </c>
      <c r="E1492" s="3" t="s">
        <v>2139</v>
      </c>
      <c r="F1492" s="1" t="s">
        <v>235</v>
      </c>
      <c r="G1492" s="1">
        <v>0</v>
      </c>
      <c r="H1492" s="1">
        <v>9.9999999999999995E-7</v>
      </c>
      <c r="I1492" s="1">
        <v>1</v>
      </c>
      <c r="J1492" s="1">
        <v>0</v>
      </c>
    </row>
    <row r="1493" spans="1:10" ht="42.75" x14ac:dyDescent="0.2">
      <c r="A1493" s="3" t="s">
        <v>2140</v>
      </c>
      <c r="B1493" s="3" t="s">
        <v>127</v>
      </c>
      <c r="C1493" s="3" t="s">
        <v>8</v>
      </c>
      <c r="D1493" s="3" t="s">
        <v>2141</v>
      </c>
      <c r="E1493" s="3" t="s">
        <v>2141</v>
      </c>
      <c r="F1493" s="1" t="s">
        <v>131</v>
      </c>
      <c r="G1493" s="1">
        <v>0</v>
      </c>
      <c r="H1493" s="1">
        <v>9.9999999999999995E-7</v>
      </c>
      <c r="I1493" s="1">
        <v>1</v>
      </c>
      <c r="J1493" s="1">
        <v>0</v>
      </c>
    </row>
    <row r="1494" spans="1:10" x14ac:dyDescent="0.2">
      <c r="A1494" s="46" t="s">
        <v>2142</v>
      </c>
      <c r="B1494" s="4" t="s">
        <v>249</v>
      </c>
      <c r="C1494" s="46" t="s">
        <v>8</v>
      </c>
      <c r="D1494" s="46" t="s">
        <v>2143</v>
      </c>
      <c r="E1494" s="46" t="s">
        <v>2143</v>
      </c>
      <c r="F1494" s="58" t="s">
        <v>252</v>
      </c>
      <c r="G1494" s="58">
        <v>0</v>
      </c>
      <c r="H1494" s="58">
        <v>1E-3</v>
      </c>
      <c r="I1494" s="58">
        <v>1</v>
      </c>
      <c r="J1494" s="58">
        <v>0</v>
      </c>
    </row>
    <row r="1495" spans="1:10" x14ac:dyDescent="0.2">
      <c r="A1495" s="48"/>
      <c r="B1495" s="6" t="s">
        <v>250</v>
      </c>
      <c r="C1495" s="48"/>
      <c r="D1495" s="48"/>
      <c r="E1495" s="48"/>
      <c r="F1495" s="60"/>
      <c r="G1495" s="60"/>
      <c r="H1495" s="60"/>
      <c r="I1495" s="60"/>
      <c r="J1495" s="60"/>
    </row>
    <row r="1496" spans="1:10" x14ac:dyDescent="0.2">
      <c r="A1496" s="47"/>
      <c r="B1496" s="5" t="s">
        <v>251</v>
      </c>
      <c r="C1496" s="47"/>
      <c r="D1496" s="47"/>
      <c r="E1496" s="47"/>
      <c r="F1496" s="59"/>
      <c r="G1496" s="59"/>
      <c r="H1496" s="59"/>
      <c r="I1496" s="59"/>
      <c r="J1496" s="59"/>
    </row>
    <row r="1497" spans="1:10" x14ac:dyDescent="0.2">
      <c r="A1497" s="46" t="s">
        <v>2144</v>
      </c>
      <c r="B1497" s="4" t="s">
        <v>242</v>
      </c>
      <c r="C1497" s="46" t="s">
        <v>8</v>
      </c>
      <c r="D1497" s="46" t="s">
        <v>2145</v>
      </c>
      <c r="E1497" s="46" t="s">
        <v>2145</v>
      </c>
      <c r="F1497" s="58" t="s">
        <v>244</v>
      </c>
      <c r="G1497" s="58">
        <v>0</v>
      </c>
      <c r="H1497" s="58">
        <v>1000</v>
      </c>
      <c r="I1497" s="58">
        <v>1</v>
      </c>
      <c r="J1497" s="58">
        <v>0</v>
      </c>
    </row>
    <row r="1498" spans="1:10" x14ac:dyDescent="0.2">
      <c r="A1498" s="47"/>
      <c r="B1498" s="5" t="s">
        <v>243</v>
      </c>
      <c r="C1498" s="47"/>
      <c r="D1498" s="47"/>
      <c r="E1498" s="47"/>
      <c r="F1498" s="59"/>
      <c r="G1498" s="59"/>
      <c r="H1498" s="59"/>
      <c r="I1498" s="59"/>
      <c r="J1498" s="59"/>
    </row>
    <row r="1499" spans="1:10" x14ac:dyDescent="0.2">
      <c r="A1499" s="46" t="s">
        <v>2146</v>
      </c>
      <c r="B1499" s="4" t="s">
        <v>249</v>
      </c>
      <c r="C1499" s="46" t="s">
        <v>8</v>
      </c>
      <c r="D1499" s="46" t="s">
        <v>2147</v>
      </c>
      <c r="E1499" s="46" t="s">
        <v>2147</v>
      </c>
      <c r="F1499" s="58" t="s">
        <v>252</v>
      </c>
      <c r="G1499" s="58">
        <v>0</v>
      </c>
      <c r="H1499" s="58">
        <v>9.9999999999999995E-7</v>
      </c>
      <c r="I1499" s="58">
        <v>1</v>
      </c>
      <c r="J1499" s="58">
        <v>0</v>
      </c>
    </row>
    <row r="1500" spans="1:10" x14ac:dyDescent="0.2">
      <c r="A1500" s="48"/>
      <c r="B1500" s="6" t="s">
        <v>250</v>
      </c>
      <c r="C1500" s="48"/>
      <c r="D1500" s="48"/>
      <c r="E1500" s="48"/>
      <c r="F1500" s="60"/>
      <c r="G1500" s="60"/>
      <c r="H1500" s="60"/>
      <c r="I1500" s="60"/>
      <c r="J1500" s="60"/>
    </row>
    <row r="1501" spans="1:10" x14ac:dyDescent="0.2">
      <c r="A1501" s="47"/>
      <c r="B1501" s="5" t="s">
        <v>251</v>
      </c>
      <c r="C1501" s="47"/>
      <c r="D1501" s="47"/>
      <c r="E1501" s="47"/>
      <c r="F1501" s="59"/>
      <c r="G1501" s="59"/>
      <c r="H1501" s="59"/>
      <c r="I1501" s="59"/>
      <c r="J1501" s="59"/>
    </row>
    <row r="1502" spans="1:10" x14ac:dyDescent="0.2">
      <c r="A1502" s="46" t="s">
        <v>2148</v>
      </c>
      <c r="B1502" s="4" t="s">
        <v>249</v>
      </c>
      <c r="C1502" s="46" t="s">
        <v>8</v>
      </c>
      <c r="D1502" s="46" t="s">
        <v>2149</v>
      </c>
      <c r="E1502" s="46" t="s">
        <v>2149</v>
      </c>
      <c r="F1502" s="58" t="s">
        <v>252</v>
      </c>
      <c r="G1502" s="58">
        <v>0</v>
      </c>
      <c r="H1502" s="58">
        <v>1000000</v>
      </c>
      <c r="I1502" s="58">
        <v>1</v>
      </c>
      <c r="J1502" s="58">
        <v>0</v>
      </c>
    </row>
    <row r="1503" spans="1:10" x14ac:dyDescent="0.2">
      <c r="A1503" s="48"/>
      <c r="B1503" s="6" t="s">
        <v>250</v>
      </c>
      <c r="C1503" s="48"/>
      <c r="D1503" s="48"/>
      <c r="E1503" s="48"/>
      <c r="F1503" s="60"/>
      <c r="G1503" s="60"/>
      <c r="H1503" s="60"/>
      <c r="I1503" s="60"/>
      <c r="J1503" s="60"/>
    </row>
    <row r="1504" spans="1:10" x14ac:dyDescent="0.2">
      <c r="A1504" s="47"/>
      <c r="B1504" s="5" t="s">
        <v>251</v>
      </c>
      <c r="C1504" s="47"/>
      <c r="D1504" s="47"/>
      <c r="E1504" s="47"/>
      <c r="F1504" s="59"/>
      <c r="G1504" s="59"/>
      <c r="H1504" s="59"/>
      <c r="I1504" s="59"/>
      <c r="J1504" s="59"/>
    </row>
    <row r="1505" spans="1:10" ht="28.5" x14ac:dyDescent="0.2">
      <c r="A1505" s="3" t="s">
        <v>2150</v>
      </c>
      <c r="B1505" s="3" t="s">
        <v>299</v>
      </c>
      <c r="C1505" s="3" t="s">
        <v>8</v>
      </c>
      <c r="D1505" s="3" t="s">
        <v>2151</v>
      </c>
      <c r="E1505" s="3" t="s">
        <v>2151</v>
      </c>
      <c r="F1505" s="1" t="s">
        <v>300</v>
      </c>
      <c r="G1505" s="1">
        <v>0</v>
      </c>
      <c r="H1505" s="1">
        <v>1.0000000000000001E-5</v>
      </c>
      <c r="I1505" s="1">
        <v>1</v>
      </c>
      <c r="J1505" s="1">
        <v>0</v>
      </c>
    </row>
    <row r="1506" spans="1:10" x14ac:dyDescent="0.2">
      <c r="A1506" s="46" t="s">
        <v>2152</v>
      </c>
      <c r="B1506" s="4" t="s">
        <v>516</v>
      </c>
      <c r="C1506" s="46" t="s">
        <v>8</v>
      </c>
      <c r="D1506" s="46" t="s">
        <v>2153</v>
      </c>
      <c r="E1506" s="46"/>
      <c r="F1506" s="58" t="s">
        <v>518</v>
      </c>
      <c r="G1506" s="58">
        <v>0</v>
      </c>
      <c r="H1506" s="58">
        <v>9.9999999999999995E-8</v>
      </c>
      <c r="I1506" s="58">
        <v>1</v>
      </c>
      <c r="J1506" s="58">
        <v>0</v>
      </c>
    </row>
    <row r="1507" spans="1:10" x14ac:dyDescent="0.2">
      <c r="A1507" s="47"/>
      <c r="B1507" s="5" t="s">
        <v>517</v>
      </c>
      <c r="C1507" s="47"/>
      <c r="D1507" s="47"/>
      <c r="E1507" s="47"/>
      <c r="F1507" s="59"/>
      <c r="G1507" s="59"/>
      <c r="H1507" s="59"/>
      <c r="I1507" s="59"/>
      <c r="J1507" s="59"/>
    </row>
    <row r="1508" spans="1:10" x14ac:dyDescent="0.2">
      <c r="A1508" s="46" t="s">
        <v>2154</v>
      </c>
      <c r="B1508" s="4" t="s">
        <v>277</v>
      </c>
      <c r="C1508" s="46" t="s">
        <v>8</v>
      </c>
      <c r="D1508" s="46" t="s">
        <v>2155</v>
      </c>
      <c r="E1508" s="46"/>
      <c r="F1508" s="58" t="s">
        <v>290</v>
      </c>
      <c r="G1508" s="58">
        <v>0</v>
      </c>
      <c r="H1508" s="58">
        <v>1.000014</v>
      </c>
      <c r="I1508" s="58">
        <v>1</v>
      </c>
      <c r="J1508" s="58">
        <v>0</v>
      </c>
    </row>
    <row r="1509" spans="1:10" x14ac:dyDescent="0.2">
      <c r="A1509" s="48"/>
      <c r="B1509" s="6" t="s">
        <v>280</v>
      </c>
      <c r="C1509" s="48"/>
      <c r="D1509" s="48"/>
      <c r="E1509" s="48"/>
      <c r="F1509" s="60"/>
      <c r="G1509" s="60"/>
      <c r="H1509" s="60"/>
      <c r="I1509" s="60"/>
      <c r="J1509" s="60"/>
    </row>
    <row r="1510" spans="1:10" x14ac:dyDescent="0.2">
      <c r="A1510" s="48"/>
      <c r="B1510" s="6" t="s">
        <v>284</v>
      </c>
      <c r="C1510" s="48"/>
      <c r="D1510" s="48"/>
      <c r="E1510" s="48"/>
      <c r="F1510" s="60"/>
      <c r="G1510" s="60"/>
      <c r="H1510" s="60"/>
      <c r="I1510" s="60"/>
      <c r="J1510" s="60"/>
    </row>
    <row r="1511" spans="1:10" x14ac:dyDescent="0.2">
      <c r="A1511" s="47"/>
      <c r="B1511" s="5" t="s">
        <v>287</v>
      </c>
      <c r="C1511" s="47"/>
      <c r="D1511" s="47"/>
      <c r="E1511" s="47"/>
      <c r="F1511" s="59"/>
      <c r="G1511" s="59"/>
      <c r="H1511" s="59"/>
      <c r="I1511" s="59"/>
      <c r="J1511" s="59"/>
    </row>
    <row r="1512" spans="1:10" ht="42.75" x14ac:dyDescent="0.2">
      <c r="A1512" s="3" t="s">
        <v>2156</v>
      </c>
      <c r="B1512" s="3" t="s">
        <v>378</v>
      </c>
      <c r="C1512" s="3" t="s">
        <v>8</v>
      </c>
      <c r="D1512" s="3" t="s">
        <v>2157</v>
      </c>
      <c r="E1512" s="3"/>
      <c r="F1512" s="1" t="s">
        <v>379</v>
      </c>
      <c r="G1512" s="1">
        <v>0</v>
      </c>
      <c r="H1512" s="1">
        <v>4448222</v>
      </c>
      <c r="I1512" s="1">
        <v>1</v>
      </c>
      <c r="J1512" s="1">
        <v>0</v>
      </c>
    </row>
    <row r="1513" spans="1:10" ht="28.5" x14ac:dyDescent="0.2">
      <c r="A1513" s="3" t="s">
        <v>2158</v>
      </c>
      <c r="B1513" s="3" t="s">
        <v>299</v>
      </c>
      <c r="C1513" s="3" t="s">
        <v>8</v>
      </c>
      <c r="D1513" s="3" t="s">
        <v>2159</v>
      </c>
      <c r="E1513" s="3" t="s">
        <v>2159</v>
      </c>
      <c r="F1513" s="1" t="s">
        <v>300</v>
      </c>
      <c r="G1513" s="1">
        <v>0</v>
      </c>
      <c r="H1513" s="1">
        <v>9.8066500000000001E-3</v>
      </c>
      <c r="I1513" s="1">
        <v>1</v>
      </c>
      <c r="J1513" s="1">
        <v>0</v>
      </c>
    </row>
    <row r="1514" spans="1:10" x14ac:dyDescent="0.2">
      <c r="A1514" s="3" t="s">
        <v>2160</v>
      </c>
      <c r="B1514" s="3" t="s">
        <v>148</v>
      </c>
      <c r="C1514" s="3" t="s">
        <v>8</v>
      </c>
      <c r="D1514" s="3" t="s">
        <v>2161</v>
      </c>
      <c r="E1514" s="3" t="s">
        <v>2161</v>
      </c>
      <c r="F1514" s="1" t="s">
        <v>149</v>
      </c>
      <c r="G1514" s="1">
        <v>0</v>
      </c>
      <c r="H1514" s="1">
        <v>1E-3</v>
      </c>
      <c r="I1514" s="1">
        <v>1</v>
      </c>
      <c r="J1514" s="1">
        <v>0</v>
      </c>
    </row>
    <row r="1515" spans="1:10" x14ac:dyDescent="0.2">
      <c r="A1515" s="46" t="s">
        <v>2162</v>
      </c>
      <c r="B1515" s="4" t="s">
        <v>152</v>
      </c>
      <c r="C1515" s="46" t="s">
        <v>8</v>
      </c>
      <c r="D1515" s="46" t="s">
        <v>2163</v>
      </c>
      <c r="E1515" s="46" t="s">
        <v>2163</v>
      </c>
      <c r="F1515" s="58" t="s">
        <v>154</v>
      </c>
      <c r="G1515" s="58">
        <v>0</v>
      </c>
      <c r="H1515" s="58">
        <v>1E-3</v>
      </c>
      <c r="I1515" s="58">
        <v>1</v>
      </c>
      <c r="J1515" s="58">
        <v>0</v>
      </c>
    </row>
    <row r="1516" spans="1:10" x14ac:dyDescent="0.2">
      <c r="A1516" s="47"/>
      <c r="B1516" s="5" t="s">
        <v>153</v>
      </c>
      <c r="C1516" s="47"/>
      <c r="D1516" s="47"/>
      <c r="E1516" s="47"/>
      <c r="F1516" s="59"/>
      <c r="G1516" s="59"/>
      <c r="H1516" s="59"/>
      <c r="I1516" s="59"/>
      <c r="J1516" s="59"/>
    </row>
    <row r="1517" spans="1:10" x14ac:dyDescent="0.2">
      <c r="A1517" s="46" t="s">
        <v>2164</v>
      </c>
      <c r="B1517" s="4" t="s">
        <v>463</v>
      </c>
      <c r="C1517" s="46" t="s">
        <v>8</v>
      </c>
      <c r="D1517" s="46" t="s">
        <v>2165</v>
      </c>
      <c r="E1517" s="46" t="s">
        <v>2165</v>
      </c>
      <c r="F1517" s="58" t="s">
        <v>466</v>
      </c>
      <c r="G1517" s="58">
        <v>0</v>
      </c>
      <c r="H1517" s="58">
        <v>1</v>
      </c>
      <c r="I1517" s="58">
        <v>1</v>
      </c>
      <c r="J1517" s="58">
        <v>0</v>
      </c>
    </row>
    <row r="1518" spans="1:10" x14ac:dyDescent="0.2">
      <c r="A1518" s="48"/>
      <c r="B1518" s="6" t="s">
        <v>464</v>
      </c>
      <c r="C1518" s="48"/>
      <c r="D1518" s="48"/>
      <c r="E1518" s="48"/>
      <c r="F1518" s="60"/>
      <c r="G1518" s="60"/>
      <c r="H1518" s="60"/>
      <c r="I1518" s="60"/>
      <c r="J1518" s="60"/>
    </row>
    <row r="1519" spans="1:10" x14ac:dyDescent="0.2">
      <c r="A1519" s="47"/>
      <c r="B1519" s="5" t="s">
        <v>465</v>
      </c>
      <c r="C1519" s="47"/>
      <c r="D1519" s="47"/>
      <c r="E1519" s="47"/>
      <c r="F1519" s="59"/>
      <c r="G1519" s="59"/>
      <c r="H1519" s="59"/>
      <c r="I1519" s="59"/>
      <c r="J1519" s="59"/>
    </row>
    <row r="1520" spans="1:10" ht="28.5" x14ac:dyDescent="0.2">
      <c r="A1520" s="3" t="s">
        <v>2166</v>
      </c>
      <c r="B1520" s="3" t="s">
        <v>473</v>
      </c>
      <c r="C1520" s="3" t="s">
        <v>8</v>
      </c>
      <c r="D1520" s="3" t="s">
        <v>2167</v>
      </c>
      <c r="E1520" s="3" t="s">
        <v>2167</v>
      </c>
      <c r="F1520" s="1" t="s">
        <v>474</v>
      </c>
      <c r="G1520" s="1">
        <v>0</v>
      </c>
      <c r="H1520" s="1">
        <v>1</v>
      </c>
      <c r="I1520" s="1">
        <v>1</v>
      </c>
      <c r="J1520" s="1">
        <v>0</v>
      </c>
    </row>
    <row r="1521" spans="1:10" ht="28.5" x14ac:dyDescent="0.2">
      <c r="A1521" s="3" t="s">
        <v>2168</v>
      </c>
      <c r="B1521" s="3" t="s">
        <v>37</v>
      </c>
      <c r="C1521" s="3" t="s">
        <v>8</v>
      </c>
      <c r="D1521" s="3" t="s">
        <v>2169</v>
      </c>
      <c r="E1521" s="3" t="s">
        <v>2169</v>
      </c>
      <c r="F1521" s="19" t="s">
        <v>160</v>
      </c>
      <c r="G1521" s="1">
        <v>0</v>
      </c>
      <c r="H1521" s="19">
        <f>10^6</f>
        <v>1000000</v>
      </c>
      <c r="I1521" s="1">
        <v>1</v>
      </c>
      <c r="J1521" s="1">
        <v>0</v>
      </c>
    </row>
    <row r="1522" spans="1:10" x14ac:dyDescent="0.2">
      <c r="A1522" s="3" t="s">
        <v>2170</v>
      </c>
      <c r="B1522" s="3" t="s">
        <v>37</v>
      </c>
      <c r="C1522" s="3" t="s">
        <v>8</v>
      </c>
      <c r="D1522" s="3" t="s">
        <v>2171</v>
      </c>
      <c r="E1522" s="3" t="s">
        <v>2171</v>
      </c>
      <c r="F1522" s="19" t="s">
        <v>160</v>
      </c>
      <c r="G1522" s="1">
        <v>0</v>
      </c>
      <c r="H1522" s="1">
        <f>10^-3</f>
        <v>1E-3</v>
      </c>
      <c r="I1522" s="1">
        <v>1</v>
      </c>
      <c r="J1522" s="1">
        <v>0</v>
      </c>
    </row>
    <row r="1523" spans="1:10" x14ac:dyDescent="0.2">
      <c r="A1523" s="46" t="s">
        <v>2172</v>
      </c>
      <c r="B1523" s="4" t="s">
        <v>277</v>
      </c>
      <c r="C1523" s="46" t="s">
        <v>8</v>
      </c>
      <c r="D1523" s="46" t="s">
        <v>2173</v>
      </c>
      <c r="E1523" s="46" t="s">
        <v>2173</v>
      </c>
      <c r="F1523" s="58" t="s">
        <v>290</v>
      </c>
      <c r="G1523" s="58">
        <v>0</v>
      </c>
      <c r="H1523" s="58">
        <v>1609.3440000000001</v>
      </c>
      <c r="I1523" s="58">
        <v>1</v>
      </c>
      <c r="J1523" s="58">
        <v>0</v>
      </c>
    </row>
    <row r="1524" spans="1:10" x14ac:dyDescent="0.2">
      <c r="A1524" s="48"/>
      <c r="B1524" s="6" t="s">
        <v>278</v>
      </c>
      <c r="C1524" s="48"/>
      <c r="D1524" s="48"/>
      <c r="E1524" s="48"/>
      <c r="F1524" s="60"/>
      <c r="G1524" s="60"/>
      <c r="H1524" s="60"/>
      <c r="I1524" s="60"/>
      <c r="J1524" s="60"/>
    </row>
    <row r="1525" spans="1:10" x14ac:dyDescent="0.2">
      <c r="A1525" s="48"/>
      <c r="B1525" s="6" t="s">
        <v>279</v>
      </c>
      <c r="C1525" s="48"/>
      <c r="D1525" s="48"/>
      <c r="E1525" s="48"/>
      <c r="F1525" s="60"/>
      <c r="G1525" s="60"/>
      <c r="H1525" s="60"/>
      <c r="I1525" s="60"/>
      <c r="J1525" s="60"/>
    </row>
    <row r="1526" spans="1:10" x14ac:dyDescent="0.2">
      <c r="A1526" s="48"/>
      <c r="B1526" s="6" t="s">
        <v>281</v>
      </c>
      <c r="C1526" s="48"/>
      <c r="D1526" s="48"/>
      <c r="E1526" s="48"/>
      <c r="F1526" s="60"/>
      <c r="G1526" s="60"/>
      <c r="H1526" s="60"/>
      <c r="I1526" s="60"/>
      <c r="J1526" s="60"/>
    </row>
    <row r="1527" spans="1:10" x14ac:dyDescent="0.2">
      <c r="A1527" s="48"/>
      <c r="B1527" s="6" t="s">
        <v>282</v>
      </c>
      <c r="C1527" s="48"/>
      <c r="D1527" s="48"/>
      <c r="E1527" s="48"/>
      <c r="F1527" s="60"/>
      <c r="G1527" s="60"/>
      <c r="H1527" s="60"/>
      <c r="I1527" s="60"/>
      <c r="J1527" s="60"/>
    </row>
    <row r="1528" spans="1:10" x14ac:dyDescent="0.2">
      <c r="A1528" s="48"/>
      <c r="B1528" s="6" t="s">
        <v>283</v>
      </c>
      <c r="C1528" s="48"/>
      <c r="D1528" s="48"/>
      <c r="E1528" s="48"/>
      <c r="F1528" s="60"/>
      <c r="G1528" s="60"/>
      <c r="H1528" s="60"/>
      <c r="I1528" s="60"/>
      <c r="J1528" s="60"/>
    </row>
    <row r="1529" spans="1:10" x14ac:dyDescent="0.2">
      <c r="A1529" s="48"/>
      <c r="B1529" s="6" t="s">
        <v>284</v>
      </c>
      <c r="C1529" s="48"/>
      <c r="D1529" s="48"/>
      <c r="E1529" s="48"/>
      <c r="F1529" s="60"/>
      <c r="G1529" s="60"/>
      <c r="H1529" s="60"/>
      <c r="I1529" s="60"/>
      <c r="J1529" s="60"/>
    </row>
    <row r="1530" spans="1:10" x14ac:dyDescent="0.2">
      <c r="A1530" s="48"/>
      <c r="B1530" s="6" t="s">
        <v>285</v>
      </c>
      <c r="C1530" s="48"/>
      <c r="D1530" s="48"/>
      <c r="E1530" s="48"/>
      <c r="F1530" s="60"/>
      <c r="G1530" s="60"/>
      <c r="H1530" s="60"/>
      <c r="I1530" s="60"/>
      <c r="J1530" s="60"/>
    </row>
    <row r="1531" spans="1:10" x14ac:dyDescent="0.2">
      <c r="A1531" s="48"/>
      <c r="B1531" s="6" t="s">
        <v>286</v>
      </c>
      <c r="C1531" s="48"/>
      <c r="D1531" s="48"/>
      <c r="E1531" s="48"/>
      <c r="F1531" s="60"/>
      <c r="G1531" s="60"/>
      <c r="H1531" s="60"/>
      <c r="I1531" s="60"/>
      <c r="J1531" s="60"/>
    </row>
    <row r="1532" spans="1:10" x14ac:dyDescent="0.2">
      <c r="A1532" s="48"/>
      <c r="B1532" s="6" t="s">
        <v>287</v>
      </c>
      <c r="C1532" s="48"/>
      <c r="D1532" s="48"/>
      <c r="E1532" s="48"/>
      <c r="F1532" s="60"/>
      <c r="G1532" s="60"/>
      <c r="H1532" s="60"/>
      <c r="I1532" s="60"/>
      <c r="J1532" s="60"/>
    </row>
    <row r="1533" spans="1:10" x14ac:dyDescent="0.2">
      <c r="A1533" s="47"/>
      <c r="B1533" s="5" t="s">
        <v>288</v>
      </c>
      <c r="C1533" s="47"/>
      <c r="D1533" s="47"/>
      <c r="E1533" s="47"/>
      <c r="F1533" s="59"/>
      <c r="G1533" s="59"/>
      <c r="H1533" s="59"/>
      <c r="I1533" s="59"/>
      <c r="J1533" s="59"/>
    </row>
    <row r="1534" spans="1:10" ht="28.5" x14ac:dyDescent="0.2">
      <c r="A1534" s="3" t="s">
        <v>2174</v>
      </c>
      <c r="B1534" s="3" t="s">
        <v>1208</v>
      </c>
      <c r="C1534" s="3" t="s">
        <v>8</v>
      </c>
      <c r="D1534" s="3" t="s">
        <v>2175</v>
      </c>
      <c r="E1534" s="3" t="s">
        <v>2175</v>
      </c>
      <c r="F1534" s="1" t="s">
        <v>23</v>
      </c>
      <c r="G1534" s="1">
        <v>0</v>
      </c>
      <c r="H1534" s="1">
        <v>1609.3440000000001</v>
      </c>
      <c r="I1534" s="1">
        <v>4.5460919999999998E-3</v>
      </c>
      <c r="J1534" s="1">
        <v>0</v>
      </c>
    </row>
    <row r="1535" spans="1:10" ht="28.5" x14ac:dyDescent="0.2">
      <c r="A1535" s="3" t="s">
        <v>2176</v>
      </c>
      <c r="B1535" s="3" t="s">
        <v>1208</v>
      </c>
      <c r="C1535" s="3" t="s">
        <v>8</v>
      </c>
      <c r="D1535" s="3" t="s">
        <v>2177</v>
      </c>
      <c r="E1535" s="3" t="s">
        <v>2177</v>
      </c>
      <c r="F1535" s="1" t="s">
        <v>23</v>
      </c>
      <c r="G1535" s="1">
        <v>0</v>
      </c>
      <c r="H1535" s="1">
        <v>1609.3440000000001</v>
      </c>
      <c r="I1535" s="1">
        <v>3.7854120000000002E-3</v>
      </c>
      <c r="J1535" s="1">
        <v>0</v>
      </c>
    </row>
    <row r="1536" spans="1:10" ht="28.5" x14ac:dyDescent="0.2">
      <c r="A1536" s="3" t="s">
        <v>2178</v>
      </c>
      <c r="B1536" s="3" t="s">
        <v>296</v>
      </c>
      <c r="C1536" s="3" t="s">
        <v>8</v>
      </c>
      <c r="D1536" s="3" t="s">
        <v>2179</v>
      </c>
      <c r="E1536" s="3" t="s">
        <v>2179</v>
      </c>
      <c r="F1536" s="1" t="s">
        <v>297</v>
      </c>
      <c r="G1536" s="1">
        <v>0</v>
      </c>
      <c r="H1536" s="1">
        <v>1609.3440000000001</v>
      </c>
      <c r="I1536" s="1">
        <v>3600</v>
      </c>
      <c r="J1536" s="1">
        <v>0</v>
      </c>
    </row>
    <row r="1537" spans="1:10" x14ac:dyDescent="0.2">
      <c r="A1537" s="46" t="s">
        <v>2180</v>
      </c>
      <c r="B1537" s="4" t="s">
        <v>1204</v>
      </c>
      <c r="C1537" s="46" t="s">
        <v>8</v>
      </c>
      <c r="D1537" s="46" t="s">
        <v>2181</v>
      </c>
      <c r="E1537" s="46" t="s">
        <v>2181</v>
      </c>
      <c r="F1537" s="58" t="s">
        <v>131</v>
      </c>
      <c r="G1537" s="58">
        <v>0</v>
      </c>
      <c r="H1537" s="58">
        <v>63360</v>
      </c>
      <c r="I1537" s="58">
        <v>1</v>
      </c>
      <c r="J1537" s="58">
        <v>0</v>
      </c>
    </row>
    <row r="1538" spans="1:10" x14ac:dyDescent="0.2">
      <c r="A1538" s="47"/>
      <c r="B1538" s="5" t="s">
        <v>587</v>
      </c>
      <c r="C1538" s="47"/>
      <c r="D1538" s="47"/>
      <c r="E1538" s="47"/>
      <c r="F1538" s="59"/>
      <c r="G1538" s="59"/>
      <c r="H1538" s="59"/>
      <c r="I1538" s="59"/>
      <c r="J1538" s="59"/>
    </row>
    <row r="1539" spans="1:10" ht="28.5" x14ac:dyDescent="0.2">
      <c r="A1539" s="3" t="s">
        <v>2182</v>
      </c>
      <c r="B1539" s="3" t="s">
        <v>302</v>
      </c>
      <c r="C1539" s="3" t="s">
        <v>8</v>
      </c>
      <c r="D1539" s="3" t="s">
        <v>2183</v>
      </c>
      <c r="E1539" s="3" t="s">
        <v>2183</v>
      </c>
      <c r="F1539" s="1" t="s">
        <v>303</v>
      </c>
      <c r="G1539" s="1">
        <v>0</v>
      </c>
      <c r="H1539" s="1">
        <v>2589988</v>
      </c>
      <c r="I1539" s="1">
        <v>1</v>
      </c>
      <c r="J1539" s="1">
        <v>0</v>
      </c>
    </row>
    <row r="1540" spans="1:10" ht="28.5" x14ac:dyDescent="0.2">
      <c r="A1540" s="3" t="s">
        <v>989</v>
      </c>
      <c r="B1540" s="3" t="s">
        <v>321</v>
      </c>
      <c r="C1540" s="3" t="s">
        <v>8</v>
      </c>
      <c r="D1540" s="3" t="s">
        <v>991</v>
      </c>
      <c r="E1540" s="3" t="s">
        <v>991</v>
      </c>
      <c r="F1540" s="1" t="s">
        <v>322</v>
      </c>
      <c r="G1540" s="1">
        <v>0</v>
      </c>
      <c r="H1540" s="1">
        <v>4168182000</v>
      </c>
      <c r="I1540" s="1">
        <v>1</v>
      </c>
      <c r="J1540" s="1">
        <v>0</v>
      </c>
    </row>
    <row r="1541" spans="1:10" x14ac:dyDescent="0.2">
      <c r="A1541" s="46" t="s">
        <v>2184</v>
      </c>
      <c r="B1541" s="4" t="s">
        <v>277</v>
      </c>
      <c r="C1541" s="46" t="s">
        <v>8</v>
      </c>
      <c r="D1541" s="46" t="s">
        <v>2185</v>
      </c>
      <c r="E1541" s="46"/>
      <c r="F1541" s="58" t="s">
        <v>290</v>
      </c>
      <c r="G1541" s="58">
        <v>0</v>
      </c>
      <c r="H1541" s="58">
        <v>2.5400000000000001E-5</v>
      </c>
      <c r="I1541" s="58">
        <v>1</v>
      </c>
      <c r="J1541" s="58">
        <v>0</v>
      </c>
    </row>
    <row r="1542" spans="1:10" x14ac:dyDescent="0.2">
      <c r="A1542" s="48"/>
      <c r="B1542" s="6" t="s">
        <v>278</v>
      </c>
      <c r="C1542" s="48"/>
      <c r="D1542" s="48"/>
      <c r="E1542" s="48"/>
      <c r="F1542" s="60"/>
      <c r="G1542" s="60"/>
      <c r="H1542" s="60"/>
      <c r="I1542" s="60"/>
      <c r="J1542" s="60"/>
    </row>
    <row r="1543" spans="1:10" x14ac:dyDescent="0.2">
      <c r="A1543" s="48"/>
      <c r="B1543" s="6" t="s">
        <v>279</v>
      </c>
      <c r="C1543" s="48"/>
      <c r="D1543" s="48"/>
      <c r="E1543" s="48"/>
      <c r="F1543" s="60"/>
      <c r="G1543" s="60"/>
      <c r="H1543" s="60"/>
      <c r="I1543" s="60"/>
      <c r="J1543" s="60"/>
    </row>
    <row r="1544" spans="1:10" x14ac:dyDescent="0.2">
      <c r="A1544" s="48"/>
      <c r="B1544" s="6" t="s">
        <v>281</v>
      </c>
      <c r="C1544" s="48"/>
      <c r="D1544" s="48"/>
      <c r="E1544" s="48"/>
      <c r="F1544" s="60"/>
      <c r="G1544" s="60"/>
      <c r="H1544" s="60"/>
      <c r="I1544" s="60"/>
      <c r="J1544" s="60"/>
    </row>
    <row r="1545" spans="1:10" x14ac:dyDescent="0.2">
      <c r="A1545" s="48"/>
      <c r="B1545" s="6" t="s">
        <v>282</v>
      </c>
      <c r="C1545" s="48"/>
      <c r="D1545" s="48"/>
      <c r="E1545" s="48"/>
      <c r="F1545" s="60"/>
      <c r="G1545" s="60"/>
      <c r="H1545" s="60"/>
      <c r="I1545" s="60"/>
      <c r="J1545" s="60"/>
    </row>
    <row r="1546" spans="1:10" x14ac:dyDescent="0.2">
      <c r="A1546" s="48"/>
      <c r="B1546" s="6" t="s">
        <v>283</v>
      </c>
      <c r="C1546" s="48"/>
      <c r="D1546" s="48"/>
      <c r="E1546" s="48"/>
      <c r="F1546" s="60"/>
      <c r="G1546" s="60"/>
      <c r="H1546" s="60"/>
      <c r="I1546" s="60"/>
      <c r="J1546" s="60"/>
    </row>
    <row r="1547" spans="1:10" x14ac:dyDescent="0.2">
      <c r="A1547" s="48"/>
      <c r="B1547" s="6" t="s">
        <v>285</v>
      </c>
      <c r="C1547" s="48"/>
      <c r="D1547" s="48"/>
      <c r="E1547" s="48"/>
      <c r="F1547" s="60"/>
      <c r="G1547" s="60"/>
      <c r="H1547" s="60"/>
      <c r="I1547" s="60"/>
      <c r="J1547" s="60"/>
    </row>
    <row r="1548" spans="1:10" x14ac:dyDescent="0.2">
      <c r="A1548" s="48"/>
      <c r="B1548" s="6" t="s">
        <v>286</v>
      </c>
      <c r="C1548" s="48"/>
      <c r="D1548" s="48"/>
      <c r="E1548" s="48"/>
      <c r="F1548" s="60"/>
      <c r="G1548" s="60"/>
      <c r="H1548" s="60"/>
      <c r="I1548" s="60"/>
      <c r="J1548" s="60"/>
    </row>
    <row r="1549" spans="1:10" x14ac:dyDescent="0.2">
      <c r="A1549" s="48"/>
      <c r="B1549" s="6" t="s">
        <v>287</v>
      </c>
      <c r="C1549" s="48"/>
      <c r="D1549" s="48"/>
      <c r="E1549" s="48"/>
      <c r="F1549" s="60"/>
      <c r="G1549" s="60"/>
      <c r="H1549" s="60"/>
      <c r="I1549" s="60"/>
      <c r="J1549" s="60"/>
    </row>
    <row r="1550" spans="1:10" x14ac:dyDescent="0.2">
      <c r="A1550" s="48"/>
      <c r="B1550" s="6" t="s">
        <v>288</v>
      </c>
      <c r="C1550" s="48"/>
      <c r="D1550" s="48"/>
      <c r="E1550" s="48"/>
      <c r="F1550" s="60"/>
      <c r="G1550" s="60"/>
      <c r="H1550" s="60"/>
      <c r="I1550" s="60"/>
      <c r="J1550" s="60"/>
    </row>
    <row r="1551" spans="1:10" x14ac:dyDescent="0.2">
      <c r="A1551" s="47"/>
      <c r="B1551" s="5" t="s">
        <v>289</v>
      </c>
      <c r="C1551" s="47"/>
      <c r="D1551" s="47"/>
      <c r="E1551" s="47"/>
      <c r="F1551" s="59"/>
      <c r="G1551" s="59"/>
      <c r="H1551" s="59"/>
      <c r="I1551" s="59"/>
      <c r="J1551" s="59"/>
    </row>
    <row r="1552" spans="1:10" x14ac:dyDescent="0.2">
      <c r="A1552" s="3" t="s">
        <v>2186</v>
      </c>
      <c r="B1552" s="3" t="s">
        <v>296</v>
      </c>
      <c r="C1552" s="3" t="s">
        <v>8</v>
      </c>
      <c r="D1552" s="3" t="s">
        <v>2187</v>
      </c>
      <c r="E1552" s="3"/>
      <c r="F1552" s="1" t="s">
        <v>297</v>
      </c>
      <c r="G1552" s="1">
        <v>0</v>
      </c>
      <c r="H1552" s="1">
        <v>2.5400000000000001E-5</v>
      </c>
      <c r="I1552" s="1">
        <v>31558150</v>
      </c>
      <c r="J1552" s="1">
        <v>0</v>
      </c>
    </row>
    <row r="1553" spans="1:10" x14ac:dyDescent="0.2">
      <c r="A1553" s="3" t="s">
        <v>2188</v>
      </c>
      <c r="B1553" s="3" t="s">
        <v>443</v>
      </c>
      <c r="C1553" s="3" t="s">
        <v>8</v>
      </c>
      <c r="D1553" s="3" t="s">
        <v>2189</v>
      </c>
      <c r="E1553" s="3"/>
      <c r="F1553" s="1" t="s">
        <v>444</v>
      </c>
      <c r="G1553" s="1">
        <v>0</v>
      </c>
      <c r="H1553" s="1">
        <v>3.1415926535898002</v>
      </c>
      <c r="I1553" s="1">
        <v>3200</v>
      </c>
      <c r="J1553" s="1">
        <v>0</v>
      </c>
    </row>
    <row r="1554" spans="1:10" x14ac:dyDescent="0.2">
      <c r="A1554" s="3" t="s">
        <v>2190</v>
      </c>
      <c r="B1554" s="3" t="s">
        <v>469</v>
      </c>
      <c r="C1554" s="3" t="s">
        <v>8</v>
      </c>
      <c r="D1554" s="3" t="s">
        <v>2191</v>
      </c>
      <c r="E1554" s="3" t="s">
        <v>2191</v>
      </c>
      <c r="F1554" s="1" t="s">
        <v>470</v>
      </c>
      <c r="G1554" s="1">
        <v>0</v>
      </c>
      <c r="H1554" s="1">
        <v>60</v>
      </c>
      <c r="I1554" s="1">
        <v>1</v>
      </c>
      <c r="J1554" s="1">
        <v>0</v>
      </c>
    </row>
    <row r="1555" spans="1:10" ht="28.5" x14ac:dyDescent="0.2">
      <c r="A1555" s="3" t="s">
        <v>2192</v>
      </c>
      <c r="B1555" s="3" t="s">
        <v>476</v>
      </c>
      <c r="C1555" s="3" t="s">
        <v>8</v>
      </c>
      <c r="D1555" s="3" t="s">
        <v>2193</v>
      </c>
      <c r="E1555" s="3" t="s">
        <v>2193</v>
      </c>
      <c r="F1555" s="1" t="s">
        <v>479</v>
      </c>
      <c r="G1555" s="1">
        <v>0</v>
      </c>
      <c r="H1555" s="1">
        <v>60</v>
      </c>
      <c r="I1555" s="1">
        <v>0.30480000000000002</v>
      </c>
      <c r="J1555" s="1">
        <v>0</v>
      </c>
    </row>
    <row r="1556" spans="1:10" ht="28.5" x14ac:dyDescent="0.2">
      <c r="A1556" s="3" t="s">
        <v>2194</v>
      </c>
      <c r="B1556" s="3" t="s">
        <v>476</v>
      </c>
      <c r="C1556" s="3" t="s">
        <v>8</v>
      </c>
      <c r="D1556" s="3" t="s">
        <v>2195</v>
      </c>
      <c r="E1556" s="3" t="s">
        <v>2195</v>
      </c>
      <c r="F1556" s="1" t="s">
        <v>479</v>
      </c>
      <c r="G1556" s="1">
        <v>0</v>
      </c>
      <c r="H1556" s="1">
        <v>60</v>
      </c>
      <c r="I1556" s="1">
        <v>1</v>
      </c>
      <c r="J1556" s="1">
        <v>0</v>
      </c>
    </row>
    <row r="1557" spans="1:10" ht="28.5" x14ac:dyDescent="0.2">
      <c r="A1557" s="3" t="s">
        <v>2196</v>
      </c>
      <c r="B1557" s="3" t="s">
        <v>443</v>
      </c>
      <c r="C1557" s="3" t="s">
        <v>8</v>
      </c>
      <c r="D1557" s="3" t="s">
        <v>2197</v>
      </c>
      <c r="E1557" s="3" t="s">
        <v>2197</v>
      </c>
      <c r="F1557" s="1" t="s">
        <v>444</v>
      </c>
      <c r="G1557" s="1">
        <v>0</v>
      </c>
      <c r="H1557" s="1">
        <v>2.9088821000000003E-4</v>
      </c>
      <c r="I1557" s="1">
        <v>1</v>
      </c>
      <c r="J1557" s="1">
        <v>0</v>
      </c>
    </row>
    <row r="1558" spans="1:10" x14ac:dyDescent="0.2">
      <c r="A1558" s="46" t="s">
        <v>2198</v>
      </c>
      <c r="B1558" s="4" t="s">
        <v>277</v>
      </c>
      <c r="C1558" s="46" t="s">
        <v>8</v>
      </c>
      <c r="D1558" s="46" t="s">
        <v>2199</v>
      </c>
      <c r="E1558" s="46" t="s">
        <v>2199</v>
      </c>
      <c r="F1558" s="58" t="s">
        <v>290</v>
      </c>
      <c r="G1558" s="58">
        <v>0</v>
      </c>
      <c r="H1558" s="58">
        <v>1609.347</v>
      </c>
      <c r="I1558" s="58">
        <v>1</v>
      </c>
      <c r="J1558" s="58">
        <v>0</v>
      </c>
    </row>
    <row r="1559" spans="1:10" x14ac:dyDescent="0.2">
      <c r="A1559" s="48"/>
      <c r="B1559" s="6" t="s">
        <v>280</v>
      </c>
      <c r="C1559" s="48"/>
      <c r="D1559" s="48"/>
      <c r="E1559" s="48"/>
      <c r="F1559" s="60"/>
      <c r="G1559" s="60"/>
      <c r="H1559" s="60"/>
      <c r="I1559" s="60"/>
      <c r="J1559" s="60"/>
    </row>
    <row r="1560" spans="1:10" x14ac:dyDescent="0.2">
      <c r="A1560" s="48"/>
      <c r="B1560" s="6" t="s">
        <v>284</v>
      </c>
      <c r="C1560" s="48"/>
      <c r="D1560" s="48"/>
      <c r="E1560" s="48"/>
      <c r="F1560" s="60"/>
      <c r="G1560" s="60"/>
      <c r="H1560" s="60"/>
      <c r="I1560" s="60"/>
      <c r="J1560" s="60"/>
    </row>
    <row r="1561" spans="1:10" x14ac:dyDescent="0.2">
      <c r="A1561" s="47"/>
      <c r="B1561" s="5" t="s">
        <v>287</v>
      </c>
      <c r="C1561" s="47"/>
      <c r="D1561" s="47"/>
      <c r="E1561" s="47"/>
      <c r="F1561" s="59"/>
      <c r="G1561" s="59"/>
      <c r="H1561" s="59"/>
      <c r="I1561" s="59"/>
      <c r="J1561" s="59"/>
    </row>
    <row r="1562" spans="1:10" ht="57" x14ac:dyDescent="0.2">
      <c r="A1562" s="3" t="s">
        <v>2200</v>
      </c>
      <c r="B1562" s="3" t="s">
        <v>302</v>
      </c>
      <c r="C1562" s="3" t="s">
        <v>8</v>
      </c>
      <c r="D1562" s="3" t="s">
        <v>2201</v>
      </c>
      <c r="E1562" s="3" t="s">
        <v>2201</v>
      </c>
      <c r="F1562" s="1" t="s">
        <v>303</v>
      </c>
      <c r="G1562" s="1">
        <v>0</v>
      </c>
      <c r="H1562" s="1">
        <v>2589998</v>
      </c>
      <c r="I1562" s="1">
        <v>1</v>
      </c>
      <c r="J1562" s="1">
        <v>0</v>
      </c>
    </row>
    <row r="1563" spans="1:10" x14ac:dyDescent="0.2">
      <c r="A1563" s="46" t="s">
        <v>2202</v>
      </c>
      <c r="B1563" s="4" t="s">
        <v>166</v>
      </c>
      <c r="C1563" s="46" t="s">
        <v>8</v>
      </c>
      <c r="D1563" s="46" t="s">
        <v>2203</v>
      </c>
      <c r="E1563" s="46" t="s">
        <v>2203</v>
      </c>
      <c r="F1563" s="58" t="s">
        <v>168</v>
      </c>
      <c r="G1563" s="58">
        <v>0</v>
      </c>
      <c r="H1563" s="58">
        <v>1000000</v>
      </c>
      <c r="I1563" s="58">
        <v>1</v>
      </c>
      <c r="J1563" s="58">
        <v>0</v>
      </c>
    </row>
    <row r="1564" spans="1:10" x14ac:dyDescent="0.2">
      <c r="A1564" s="47"/>
      <c r="B1564" s="5" t="s">
        <v>167</v>
      </c>
      <c r="C1564" s="47"/>
      <c r="D1564" s="47"/>
      <c r="E1564" s="47"/>
      <c r="F1564" s="59"/>
      <c r="G1564" s="59"/>
      <c r="H1564" s="59"/>
      <c r="I1564" s="59"/>
      <c r="J1564" s="59"/>
    </row>
    <row r="1565" spans="1:10" x14ac:dyDescent="0.2">
      <c r="A1565" s="46" t="s">
        <v>2204</v>
      </c>
      <c r="B1565" s="4" t="s">
        <v>166</v>
      </c>
      <c r="C1565" s="46" t="s">
        <v>8</v>
      </c>
      <c r="D1565" s="46" t="s">
        <v>2205</v>
      </c>
      <c r="E1565" s="46" t="s">
        <v>2205</v>
      </c>
      <c r="F1565" s="58" t="s">
        <v>168</v>
      </c>
      <c r="G1565" s="58">
        <v>0</v>
      </c>
      <c r="H1565" s="58">
        <v>1E-3</v>
      </c>
      <c r="I1565" s="58">
        <v>1</v>
      </c>
      <c r="J1565" s="58">
        <v>0</v>
      </c>
    </row>
    <row r="1566" spans="1:10" x14ac:dyDescent="0.2">
      <c r="A1566" s="47"/>
      <c r="B1566" s="5" t="s">
        <v>167</v>
      </c>
      <c r="C1566" s="47"/>
      <c r="D1566" s="47"/>
      <c r="E1566" s="47"/>
      <c r="F1566" s="59"/>
      <c r="G1566" s="59"/>
      <c r="H1566" s="59"/>
      <c r="I1566" s="59"/>
      <c r="J1566" s="59"/>
    </row>
    <row r="1567" spans="1:10" ht="28.5" x14ac:dyDescent="0.2">
      <c r="A1567" s="3" t="s">
        <v>2206</v>
      </c>
      <c r="B1567" s="3" t="s">
        <v>531</v>
      </c>
      <c r="C1567" s="3" t="s">
        <v>8</v>
      </c>
      <c r="D1567" s="3" t="s">
        <v>2207</v>
      </c>
      <c r="E1567" s="3" t="s">
        <v>2207</v>
      </c>
      <c r="F1567" s="1" t="s">
        <v>533</v>
      </c>
      <c r="G1567" s="1">
        <v>0</v>
      </c>
      <c r="H1567" s="1">
        <v>1000000</v>
      </c>
      <c r="I1567" s="1">
        <v>31558150</v>
      </c>
      <c r="J1567" s="1">
        <v>0</v>
      </c>
    </row>
    <row r="1568" spans="1:10" ht="57" x14ac:dyDescent="0.2">
      <c r="A1568" s="3" t="s">
        <v>2208</v>
      </c>
      <c r="B1568" s="3" t="s">
        <v>386</v>
      </c>
      <c r="C1568" s="3" t="s">
        <v>8</v>
      </c>
      <c r="D1568" s="3" t="s">
        <v>2209</v>
      </c>
      <c r="E1568" s="3" t="s">
        <v>2209</v>
      </c>
      <c r="F1568" s="1" t="s">
        <v>387</v>
      </c>
      <c r="G1568" s="1">
        <v>0</v>
      </c>
      <c r="H1568" s="1">
        <v>10</v>
      </c>
      <c r="I1568" s="1">
        <v>1</v>
      </c>
      <c r="J1568" s="1">
        <v>0</v>
      </c>
    </row>
    <row r="1569" spans="1:10" ht="42.75" x14ac:dyDescent="0.2">
      <c r="A1569" s="3" t="s">
        <v>2210</v>
      </c>
      <c r="B1569" s="3" t="s">
        <v>174</v>
      </c>
      <c r="C1569" s="3" t="s">
        <v>8</v>
      </c>
      <c r="D1569" s="3" t="s">
        <v>2211</v>
      </c>
      <c r="E1569" s="3" t="s">
        <v>2211</v>
      </c>
      <c r="F1569" s="1" t="s">
        <v>175</v>
      </c>
      <c r="G1569" s="1">
        <v>0</v>
      </c>
      <c r="H1569" s="1">
        <v>1000000</v>
      </c>
      <c r="I1569" s="1">
        <v>1</v>
      </c>
      <c r="J1569" s="1">
        <v>0</v>
      </c>
    </row>
    <row r="1570" spans="1:10" ht="28.5" x14ac:dyDescent="0.2">
      <c r="A1570" s="3" t="s">
        <v>2212</v>
      </c>
      <c r="B1570" s="3" t="s">
        <v>1572</v>
      </c>
      <c r="C1570" s="3" t="s">
        <v>8</v>
      </c>
      <c r="D1570" s="3" t="s">
        <v>2213</v>
      </c>
      <c r="E1570" s="3" t="s">
        <v>2213</v>
      </c>
      <c r="F1570" s="1" t="s">
        <v>379</v>
      </c>
      <c r="G1570" s="1">
        <v>0</v>
      </c>
      <c r="H1570" s="1">
        <v>1000000</v>
      </c>
      <c r="I1570" s="1">
        <v>1</v>
      </c>
      <c r="J1570" s="1">
        <v>0</v>
      </c>
    </row>
    <row r="1571" spans="1:10" ht="42.75" x14ac:dyDescent="0.2">
      <c r="A1571" s="3" t="s">
        <v>2214</v>
      </c>
      <c r="B1571" s="3" t="s">
        <v>386</v>
      </c>
      <c r="C1571" s="3" t="s">
        <v>8</v>
      </c>
      <c r="D1571" s="3" t="s">
        <v>2215</v>
      </c>
      <c r="E1571" s="3" t="s">
        <v>2215</v>
      </c>
      <c r="F1571" s="1" t="s">
        <v>387</v>
      </c>
      <c r="G1571" s="1">
        <v>0</v>
      </c>
      <c r="H1571" s="1">
        <v>1E-3</v>
      </c>
      <c r="I1571" s="1">
        <v>1</v>
      </c>
      <c r="J1571" s="1">
        <v>0</v>
      </c>
    </row>
    <row r="1572" spans="1:10" x14ac:dyDescent="0.2">
      <c r="A1572" s="46" t="s">
        <v>2216</v>
      </c>
      <c r="B1572" s="4" t="s">
        <v>181</v>
      </c>
      <c r="C1572" s="46" t="s">
        <v>8</v>
      </c>
      <c r="D1572" s="46" t="s">
        <v>2217</v>
      </c>
      <c r="E1572" s="46" t="s">
        <v>2217</v>
      </c>
      <c r="F1572" s="58" t="s">
        <v>190</v>
      </c>
      <c r="G1572" s="58">
        <v>0</v>
      </c>
      <c r="H1572" s="58">
        <v>1000000</v>
      </c>
      <c r="I1572" s="58">
        <v>1</v>
      </c>
      <c r="J1572" s="58">
        <v>0</v>
      </c>
    </row>
    <row r="1573" spans="1:10" x14ac:dyDescent="0.2">
      <c r="A1573" s="48"/>
      <c r="B1573" s="6" t="s">
        <v>182</v>
      </c>
      <c r="C1573" s="48"/>
      <c r="D1573" s="48"/>
      <c r="E1573" s="48"/>
      <c r="F1573" s="60"/>
      <c r="G1573" s="60"/>
      <c r="H1573" s="60"/>
      <c r="I1573" s="60"/>
      <c r="J1573" s="60"/>
    </row>
    <row r="1574" spans="1:10" x14ac:dyDescent="0.2">
      <c r="A1574" s="48"/>
      <c r="B1574" s="6" t="s">
        <v>183</v>
      </c>
      <c r="C1574" s="48"/>
      <c r="D1574" s="48"/>
      <c r="E1574" s="48"/>
      <c r="F1574" s="60"/>
      <c r="G1574" s="60"/>
      <c r="H1574" s="60"/>
      <c r="I1574" s="60"/>
      <c r="J1574" s="60"/>
    </row>
    <row r="1575" spans="1:10" x14ac:dyDescent="0.2">
      <c r="A1575" s="48"/>
      <c r="B1575" s="6" t="s">
        <v>184</v>
      </c>
      <c r="C1575" s="48"/>
      <c r="D1575" s="48"/>
      <c r="E1575" s="48"/>
      <c r="F1575" s="60"/>
      <c r="G1575" s="60"/>
      <c r="H1575" s="60"/>
      <c r="I1575" s="60"/>
      <c r="J1575" s="60"/>
    </row>
    <row r="1576" spans="1:10" x14ac:dyDescent="0.2">
      <c r="A1576" s="48"/>
      <c r="B1576" s="6" t="s">
        <v>185</v>
      </c>
      <c r="C1576" s="48"/>
      <c r="D1576" s="48"/>
      <c r="E1576" s="48"/>
      <c r="F1576" s="60"/>
      <c r="G1576" s="60"/>
      <c r="H1576" s="60"/>
      <c r="I1576" s="60"/>
      <c r="J1576" s="60"/>
    </row>
    <row r="1577" spans="1:10" x14ac:dyDescent="0.2">
      <c r="A1577" s="48"/>
      <c r="B1577" s="6" t="s">
        <v>186</v>
      </c>
      <c r="C1577" s="48"/>
      <c r="D1577" s="48"/>
      <c r="E1577" s="48"/>
      <c r="F1577" s="60"/>
      <c r="G1577" s="60"/>
      <c r="H1577" s="60"/>
      <c r="I1577" s="60"/>
      <c r="J1577" s="60"/>
    </row>
    <row r="1578" spans="1:10" x14ac:dyDescent="0.2">
      <c r="A1578" s="48"/>
      <c r="B1578" s="6" t="s">
        <v>187</v>
      </c>
      <c r="C1578" s="48"/>
      <c r="D1578" s="48"/>
      <c r="E1578" s="48"/>
      <c r="F1578" s="60"/>
      <c r="G1578" s="60"/>
      <c r="H1578" s="60"/>
      <c r="I1578" s="60"/>
      <c r="J1578" s="60"/>
    </row>
    <row r="1579" spans="1:10" x14ac:dyDescent="0.2">
      <c r="A1579" s="48"/>
      <c r="B1579" s="6" t="s">
        <v>188</v>
      </c>
      <c r="C1579" s="48"/>
      <c r="D1579" s="48"/>
      <c r="E1579" s="48"/>
      <c r="F1579" s="60"/>
      <c r="G1579" s="60"/>
      <c r="H1579" s="60"/>
      <c r="I1579" s="60"/>
      <c r="J1579" s="60"/>
    </row>
    <row r="1580" spans="1:10" x14ac:dyDescent="0.2">
      <c r="A1580" s="47"/>
      <c r="B1580" s="5" t="s">
        <v>189</v>
      </c>
      <c r="C1580" s="47"/>
      <c r="D1580" s="47"/>
      <c r="E1580" s="47"/>
      <c r="F1580" s="59"/>
      <c r="G1580" s="59"/>
      <c r="H1580" s="59"/>
      <c r="I1580" s="59"/>
      <c r="J1580" s="59"/>
    </row>
    <row r="1581" spans="1:10" x14ac:dyDescent="0.2">
      <c r="A1581" s="46" t="s">
        <v>2218</v>
      </c>
      <c r="B1581" s="4" t="s">
        <v>192</v>
      </c>
      <c r="C1581" s="46" t="s">
        <v>8</v>
      </c>
      <c r="D1581" s="46" t="s">
        <v>2219</v>
      </c>
      <c r="E1581" s="46" t="s">
        <v>2220</v>
      </c>
      <c r="F1581" s="58" t="s">
        <v>195</v>
      </c>
      <c r="G1581" s="58">
        <v>0</v>
      </c>
      <c r="H1581" s="58">
        <v>1000</v>
      </c>
      <c r="I1581" s="58">
        <v>1</v>
      </c>
      <c r="J1581" s="58">
        <v>0</v>
      </c>
    </row>
    <row r="1582" spans="1:10" x14ac:dyDescent="0.2">
      <c r="A1582" s="48"/>
      <c r="B1582" s="6" t="s">
        <v>193</v>
      </c>
      <c r="C1582" s="48"/>
      <c r="D1582" s="48"/>
      <c r="E1582" s="48"/>
      <c r="F1582" s="60"/>
      <c r="G1582" s="60"/>
      <c r="H1582" s="60"/>
      <c r="I1582" s="60"/>
      <c r="J1582" s="60"/>
    </row>
    <row r="1583" spans="1:10" x14ac:dyDescent="0.2">
      <c r="A1583" s="47"/>
      <c r="B1583" s="5" t="s">
        <v>194</v>
      </c>
      <c r="C1583" s="47"/>
      <c r="D1583" s="47"/>
      <c r="E1583" s="47"/>
      <c r="F1583" s="59"/>
      <c r="G1583" s="59"/>
      <c r="H1583" s="59"/>
      <c r="I1583" s="59"/>
      <c r="J1583" s="59"/>
    </row>
    <row r="1584" spans="1:10" ht="28.5" x14ac:dyDescent="0.2">
      <c r="A1584" s="46" t="s">
        <v>2218</v>
      </c>
      <c r="B1584" s="4" t="s">
        <v>192</v>
      </c>
      <c r="C1584" s="46" t="s">
        <v>8</v>
      </c>
      <c r="D1584" s="4" t="s">
        <v>2221</v>
      </c>
      <c r="E1584" s="46" t="s">
        <v>2220</v>
      </c>
      <c r="F1584" s="58" t="s">
        <v>195</v>
      </c>
      <c r="G1584" s="58">
        <v>0</v>
      </c>
      <c r="H1584" s="58">
        <v>1000000</v>
      </c>
      <c r="I1584" s="58">
        <v>1</v>
      </c>
      <c r="J1584" s="58">
        <v>0</v>
      </c>
    </row>
    <row r="1585" spans="1:10" ht="28.5" x14ac:dyDescent="0.2">
      <c r="A1585" s="48"/>
      <c r="B1585" s="6" t="s">
        <v>193</v>
      </c>
      <c r="C1585" s="48"/>
      <c r="D1585" s="6" t="s">
        <v>763</v>
      </c>
      <c r="E1585" s="48"/>
      <c r="F1585" s="60"/>
      <c r="G1585" s="60"/>
      <c r="H1585" s="60"/>
      <c r="I1585" s="60"/>
      <c r="J1585" s="60"/>
    </row>
    <row r="1586" spans="1:10" x14ac:dyDescent="0.2">
      <c r="A1586" s="47"/>
      <c r="B1586" s="5" t="s">
        <v>194</v>
      </c>
      <c r="C1586" s="47"/>
      <c r="D1586" s="5"/>
      <c r="E1586" s="47"/>
      <c r="F1586" s="59"/>
      <c r="G1586" s="59"/>
      <c r="H1586" s="59"/>
      <c r="I1586" s="59"/>
      <c r="J1586" s="59"/>
    </row>
    <row r="1587" spans="1:10" ht="57" x14ac:dyDescent="0.2">
      <c r="A1587" s="3" t="s">
        <v>2222</v>
      </c>
      <c r="B1587" s="3" t="s">
        <v>211</v>
      </c>
      <c r="C1587" s="3" t="s">
        <v>8</v>
      </c>
      <c r="D1587" s="3" t="s">
        <v>2223</v>
      </c>
      <c r="E1587" s="3"/>
      <c r="F1587" s="1" t="s">
        <v>212</v>
      </c>
      <c r="G1587" s="1">
        <v>0</v>
      </c>
      <c r="H1587" s="1">
        <v>1E-3</v>
      </c>
      <c r="I1587" s="1">
        <v>1</v>
      </c>
      <c r="J1587" s="1">
        <v>0</v>
      </c>
    </row>
    <row r="1588" spans="1:10" x14ac:dyDescent="0.2">
      <c r="A1588" s="3" t="s">
        <v>2224</v>
      </c>
      <c r="B1588" s="3" t="s">
        <v>321</v>
      </c>
      <c r="C1588" s="3" t="s">
        <v>8</v>
      </c>
      <c r="D1588" s="3" t="s">
        <v>2225</v>
      </c>
      <c r="E1588" s="3" t="s">
        <v>2225</v>
      </c>
      <c r="F1588" s="1" t="s">
        <v>322</v>
      </c>
      <c r="G1588" s="1">
        <v>0</v>
      </c>
      <c r="H1588" s="1">
        <v>9.9999999999999995E-7</v>
      </c>
      <c r="I1588" s="1">
        <v>1</v>
      </c>
      <c r="J1588" s="1">
        <v>0</v>
      </c>
    </row>
    <row r="1589" spans="1:10" ht="28.5" x14ac:dyDescent="0.2">
      <c r="A1589" s="3" t="s">
        <v>2226</v>
      </c>
      <c r="B1589" s="3" t="s">
        <v>659</v>
      </c>
      <c r="C1589" s="3" t="s">
        <v>8</v>
      </c>
      <c r="D1589" s="3" t="s">
        <v>2227</v>
      </c>
      <c r="E1589" s="3" t="s">
        <v>2227</v>
      </c>
      <c r="F1589" s="1" t="s">
        <v>131</v>
      </c>
      <c r="G1589" s="1">
        <v>0</v>
      </c>
      <c r="H1589" s="1">
        <v>2.1996919999999999E-4</v>
      </c>
      <c r="I1589" s="1">
        <v>1</v>
      </c>
      <c r="J1589" s="1">
        <v>0</v>
      </c>
    </row>
    <row r="1590" spans="1:10" ht="28.5" x14ac:dyDescent="0.2">
      <c r="A1590" s="3" t="s">
        <v>2228</v>
      </c>
      <c r="B1590" s="3" t="s">
        <v>659</v>
      </c>
      <c r="C1590" s="3" t="s">
        <v>8</v>
      </c>
      <c r="D1590" s="3" t="s">
        <v>2229</v>
      </c>
      <c r="E1590" s="3" t="s">
        <v>2229</v>
      </c>
      <c r="F1590" s="1" t="s">
        <v>131</v>
      </c>
      <c r="G1590" s="1">
        <v>0</v>
      </c>
      <c r="H1590" s="1">
        <v>2.6417200000000002E-4</v>
      </c>
      <c r="I1590" s="1">
        <v>1</v>
      </c>
      <c r="J1590" s="1">
        <v>0</v>
      </c>
    </row>
    <row r="1591" spans="1:10" ht="42.75" x14ac:dyDescent="0.2">
      <c r="A1591" s="3" t="s">
        <v>2230</v>
      </c>
      <c r="B1591" s="3" t="s">
        <v>659</v>
      </c>
      <c r="C1591" s="3" t="s">
        <v>8</v>
      </c>
      <c r="D1591" s="3" t="s">
        <v>2231</v>
      </c>
      <c r="E1591" s="3" t="s">
        <v>2231</v>
      </c>
      <c r="F1591" s="1" t="s">
        <v>131</v>
      </c>
      <c r="G1591" s="1">
        <v>0</v>
      </c>
      <c r="H1591" s="1">
        <v>1</v>
      </c>
      <c r="I1591" s="1">
        <v>1</v>
      </c>
      <c r="J1591" s="1">
        <v>0</v>
      </c>
    </row>
    <row r="1592" spans="1:10" ht="57" x14ac:dyDescent="0.2">
      <c r="A1592" s="3" t="s">
        <v>1877</v>
      </c>
      <c r="B1592" s="3" t="s">
        <v>257</v>
      </c>
      <c r="C1592" s="3" t="s">
        <v>8</v>
      </c>
      <c r="D1592" s="3" t="s">
        <v>2232</v>
      </c>
      <c r="E1592" s="3"/>
      <c r="F1592" s="1" t="s">
        <v>258</v>
      </c>
      <c r="G1592" s="1">
        <v>0</v>
      </c>
      <c r="H1592" s="1">
        <v>453592.4</v>
      </c>
      <c r="I1592" s="1">
        <v>31558150</v>
      </c>
      <c r="J1592" s="1">
        <v>0</v>
      </c>
    </row>
    <row r="1593" spans="1:10" ht="28.5" x14ac:dyDescent="0.2">
      <c r="A1593" s="3" t="s">
        <v>2233</v>
      </c>
      <c r="B1593" s="3" t="s">
        <v>277</v>
      </c>
      <c r="C1593" s="3" t="s">
        <v>8</v>
      </c>
      <c r="D1593" s="3" t="s">
        <v>2234</v>
      </c>
      <c r="E1593" s="3" t="s">
        <v>2234</v>
      </c>
      <c r="F1593" s="1" t="s">
        <v>290</v>
      </c>
      <c r="G1593" s="1">
        <v>0</v>
      </c>
      <c r="H1593" s="1">
        <v>1E-3</v>
      </c>
      <c r="I1593" s="1">
        <v>1</v>
      </c>
      <c r="J1593" s="1">
        <v>0</v>
      </c>
    </row>
    <row r="1594" spans="1:10" ht="28.5" x14ac:dyDescent="0.2">
      <c r="A1594" s="3" t="s">
        <v>2235</v>
      </c>
      <c r="B1594" s="3" t="s">
        <v>277</v>
      </c>
      <c r="C1594" s="3" t="s">
        <v>8</v>
      </c>
      <c r="D1594" s="3" t="s">
        <v>2236</v>
      </c>
      <c r="E1594" s="3" t="s">
        <v>2236</v>
      </c>
      <c r="F1594" s="1" t="s">
        <v>290</v>
      </c>
      <c r="G1594" s="1">
        <v>0</v>
      </c>
      <c r="H1594" s="1">
        <v>1E-3</v>
      </c>
      <c r="I1594" s="1">
        <v>1</v>
      </c>
      <c r="J1594" s="1">
        <v>0</v>
      </c>
    </row>
    <row r="1595" spans="1:10" ht="28.5" x14ac:dyDescent="0.2">
      <c r="A1595" s="3" t="s">
        <v>2237</v>
      </c>
      <c r="B1595" s="3" t="s">
        <v>296</v>
      </c>
      <c r="C1595" s="3" t="s">
        <v>8</v>
      </c>
      <c r="D1595" s="3" t="s">
        <v>2238</v>
      </c>
      <c r="E1595" s="3" t="s">
        <v>2238</v>
      </c>
      <c r="F1595" s="1" t="s">
        <v>297</v>
      </c>
      <c r="G1595" s="1">
        <v>0</v>
      </c>
      <c r="H1595" s="1">
        <v>1E-3</v>
      </c>
      <c r="I1595" s="1">
        <v>31558150</v>
      </c>
      <c r="J1595" s="1">
        <v>0</v>
      </c>
    </row>
    <row r="1596" spans="1:10" ht="57" x14ac:dyDescent="0.2">
      <c r="A1596" s="3" t="s">
        <v>2239</v>
      </c>
      <c r="B1596" s="3" t="s">
        <v>12</v>
      </c>
      <c r="C1596" s="3" t="s">
        <v>8</v>
      </c>
      <c r="D1596" s="3" t="s">
        <v>2240</v>
      </c>
      <c r="E1596" s="3" t="s">
        <v>2240</v>
      </c>
      <c r="F1596" s="1" t="s">
        <v>13</v>
      </c>
      <c r="G1596" s="1">
        <v>0</v>
      </c>
      <c r="H1596" s="1">
        <v>1</v>
      </c>
      <c r="I1596" s="1">
        <v>1</v>
      </c>
      <c r="J1596" s="1">
        <v>0</v>
      </c>
    </row>
    <row r="1597" spans="1:10" ht="28.5" x14ac:dyDescent="0.2">
      <c r="A1597" s="3" t="s">
        <v>2241</v>
      </c>
      <c r="B1597" s="3" t="s">
        <v>296</v>
      </c>
      <c r="C1597" s="3" t="s">
        <v>8</v>
      </c>
      <c r="D1597" s="3" t="s">
        <v>2242</v>
      </c>
      <c r="E1597" s="3" t="s">
        <v>2242</v>
      </c>
      <c r="F1597" s="1" t="s">
        <v>297</v>
      </c>
      <c r="G1597" s="1">
        <v>0</v>
      </c>
      <c r="H1597" s="1">
        <v>1E-3</v>
      </c>
      <c r="I1597" s="1">
        <v>1</v>
      </c>
      <c r="J1597" s="1">
        <v>0</v>
      </c>
    </row>
    <row r="1598" spans="1:10" ht="42.75" x14ac:dyDescent="0.2">
      <c r="A1598" s="3" t="s">
        <v>2243</v>
      </c>
      <c r="B1598" s="3" t="s">
        <v>302</v>
      </c>
      <c r="C1598" s="3" t="s">
        <v>8</v>
      </c>
      <c r="D1598" s="3" t="s">
        <v>2244</v>
      </c>
      <c r="E1598" s="3" t="s">
        <v>2244</v>
      </c>
      <c r="F1598" s="1" t="s">
        <v>303</v>
      </c>
      <c r="G1598" s="1">
        <v>0</v>
      </c>
      <c r="H1598" s="1">
        <v>9.9999999999999995E-7</v>
      </c>
      <c r="I1598" s="1">
        <v>1</v>
      </c>
      <c r="J1598" s="1">
        <v>0</v>
      </c>
    </row>
    <row r="1599" spans="1:10" x14ac:dyDescent="0.2">
      <c r="A1599" s="46" t="s">
        <v>2245</v>
      </c>
      <c r="B1599" s="4" t="s">
        <v>583</v>
      </c>
      <c r="C1599" s="46" t="s">
        <v>8</v>
      </c>
      <c r="D1599" s="46" t="s">
        <v>2246</v>
      </c>
      <c r="E1599" s="46" t="s">
        <v>2246</v>
      </c>
      <c r="F1599" s="58" t="s">
        <v>131</v>
      </c>
      <c r="G1599" s="58">
        <v>0</v>
      </c>
      <c r="H1599" s="58">
        <v>1</v>
      </c>
      <c r="I1599" s="58">
        <v>1</v>
      </c>
      <c r="J1599" s="58">
        <v>0</v>
      </c>
    </row>
    <row r="1600" spans="1:10" x14ac:dyDescent="0.2">
      <c r="A1600" s="47"/>
      <c r="B1600" s="5" t="s">
        <v>129</v>
      </c>
      <c r="C1600" s="47"/>
      <c r="D1600" s="47"/>
      <c r="E1600" s="47"/>
      <c r="F1600" s="59"/>
      <c r="G1600" s="59"/>
      <c r="H1600" s="59"/>
      <c r="I1600" s="59"/>
      <c r="J1600" s="59"/>
    </row>
    <row r="1601" spans="1:10" x14ac:dyDescent="0.2">
      <c r="A1601" s="46" t="s">
        <v>2247</v>
      </c>
      <c r="B1601" s="4" t="s">
        <v>315</v>
      </c>
      <c r="C1601" s="46" t="s">
        <v>8</v>
      </c>
      <c r="D1601" s="46" t="s">
        <v>2248</v>
      </c>
      <c r="E1601" s="46" t="s">
        <v>2248</v>
      </c>
      <c r="F1601" s="58" t="s">
        <v>319</v>
      </c>
      <c r="G1601" s="58">
        <v>0</v>
      </c>
      <c r="H1601" s="58">
        <v>9.9999999999999995E-7</v>
      </c>
      <c r="I1601" s="58">
        <v>1</v>
      </c>
      <c r="J1601" s="58">
        <v>0</v>
      </c>
    </row>
    <row r="1602" spans="1:10" x14ac:dyDescent="0.2">
      <c r="A1602" s="48"/>
      <c r="B1602" s="6" t="s">
        <v>316</v>
      </c>
      <c r="C1602" s="48"/>
      <c r="D1602" s="48"/>
      <c r="E1602" s="48"/>
      <c r="F1602" s="60"/>
      <c r="G1602" s="60"/>
      <c r="H1602" s="60"/>
      <c r="I1602" s="60"/>
      <c r="J1602" s="60"/>
    </row>
    <row r="1603" spans="1:10" x14ac:dyDescent="0.2">
      <c r="A1603" s="47"/>
      <c r="B1603" s="5" t="s">
        <v>318</v>
      </c>
      <c r="C1603" s="47"/>
      <c r="D1603" s="47"/>
      <c r="E1603" s="47"/>
      <c r="F1603" s="59"/>
      <c r="G1603" s="59"/>
      <c r="H1603" s="59"/>
      <c r="I1603" s="59"/>
      <c r="J1603" s="59"/>
    </row>
    <row r="1604" spans="1:10" ht="42.75" x14ac:dyDescent="0.2">
      <c r="A1604" s="3" t="s">
        <v>2249</v>
      </c>
      <c r="B1604" s="3" t="s">
        <v>321</v>
      </c>
      <c r="C1604" s="3" t="s">
        <v>8</v>
      </c>
      <c r="D1604" s="3" t="s">
        <v>2250</v>
      </c>
      <c r="E1604" s="3" t="s">
        <v>2250</v>
      </c>
      <c r="F1604" s="1" t="s">
        <v>322</v>
      </c>
      <c r="G1604" s="1">
        <v>0</v>
      </c>
      <c r="H1604" s="1">
        <v>1.0000000000000001E-9</v>
      </c>
      <c r="I1604" s="1">
        <v>1</v>
      </c>
      <c r="J1604" s="1">
        <v>0</v>
      </c>
    </row>
    <row r="1605" spans="1:10" ht="42.75" x14ac:dyDescent="0.2">
      <c r="A1605" s="3" t="s">
        <v>2251</v>
      </c>
      <c r="B1605" s="3" t="s">
        <v>324</v>
      </c>
      <c r="C1605" s="3" t="s">
        <v>8</v>
      </c>
      <c r="D1605" s="3" t="s">
        <v>2252</v>
      </c>
      <c r="E1605" s="3" t="s">
        <v>2252</v>
      </c>
      <c r="F1605" s="1" t="s">
        <v>325</v>
      </c>
      <c r="G1605" s="1">
        <v>0</v>
      </c>
      <c r="H1605" s="1">
        <v>1.0000000000000001E-9</v>
      </c>
      <c r="I1605" s="1">
        <v>1</v>
      </c>
      <c r="J1605" s="1">
        <v>0</v>
      </c>
    </row>
    <row r="1606" spans="1:10" ht="28.5" x14ac:dyDescent="0.2">
      <c r="A1606" s="3" t="s">
        <v>2253</v>
      </c>
      <c r="B1606" s="3" t="s">
        <v>321</v>
      </c>
      <c r="C1606" s="3" t="s">
        <v>8</v>
      </c>
      <c r="D1606" s="3" t="s">
        <v>2254</v>
      </c>
      <c r="E1606" s="3"/>
      <c r="F1606" s="1" t="s">
        <v>322</v>
      </c>
      <c r="G1606" s="1">
        <v>0</v>
      </c>
      <c r="H1606" s="1">
        <v>158987.29999999999</v>
      </c>
      <c r="I1606" s="1">
        <v>1</v>
      </c>
      <c r="J1606" s="1">
        <v>0</v>
      </c>
    </row>
    <row r="1607" spans="1:10" ht="42.75" x14ac:dyDescent="0.2">
      <c r="A1607" s="3" t="s">
        <v>2255</v>
      </c>
      <c r="B1607" s="3" t="s">
        <v>659</v>
      </c>
      <c r="C1607" s="3" t="s">
        <v>8</v>
      </c>
      <c r="D1607" s="3" t="s">
        <v>2256</v>
      </c>
      <c r="E1607" s="3"/>
      <c r="F1607" s="1" t="s">
        <v>131</v>
      </c>
      <c r="G1607" s="1">
        <v>0</v>
      </c>
      <c r="H1607" s="1">
        <v>158987.29999999999</v>
      </c>
      <c r="I1607" s="1">
        <v>1233.489</v>
      </c>
      <c r="J1607" s="1">
        <v>0</v>
      </c>
    </row>
    <row r="1608" spans="1:10" x14ac:dyDescent="0.2">
      <c r="A1608" s="46" t="s">
        <v>1946</v>
      </c>
      <c r="B1608" s="46" t="s">
        <v>321</v>
      </c>
      <c r="C1608" s="46" t="s">
        <v>8</v>
      </c>
      <c r="D1608" s="4" t="s">
        <v>2257</v>
      </c>
      <c r="E1608" s="46"/>
      <c r="F1608" s="58" t="s">
        <v>322</v>
      </c>
      <c r="G1608" s="58">
        <v>0</v>
      </c>
      <c r="H1608" s="58">
        <v>28316.85</v>
      </c>
      <c r="I1608" s="58">
        <v>1</v>
      </c>
      <c r="J1608" s="58">
        <v>0</v>
      </c>
    </row>
    <row r="1609" spans="1:10" ht="28.5" x14ac:dyDescent="0.2">
      <c r="A1609" s="47"/>
      <c r="B1609" s="47"/>
      <c r="C1609" s="47"/>
      <c r="D1609" s="5" t="s">
        <v>763</v>
      </c>
      <c r="E1609" s="47"/>
      <c r="F1609" s="59"/>
      <c r="G1609" s="59"/>
      <c r="H1609" s="59"/>
      <c r="I1609" s="59"/>
      <c r="J1609" s="59"/>
    </row>
    <row r="1610" spans="1:10" x14ac:dyDescent="0.2">
      <c r="A1610" s="46" t="s">
        <v>2258</v>
      </c>
      <c r="B1610" s="4" t="s">
        <v>414</v>
      </c>
      <c r="C1610" s="46" t="s">
        <v>8</v>
      </c>
      <c r="D1610" s="46" t="s">
        <v>2259</v>
      </c>
      <c r="E1610" s="46"/>
      <c r="F1610" s="58" t="s">
        <v>416</v>
      </c>
      <c r="G1610" s="58">
        <v>0</v>
      </c>
      <c r="H1610" s="58">
        <v>133.32239999999999</v>
      </c>
      <c r="I1610" s="58">
        <v>1</v>
      </c>
      <c r="J1610" s="58">
        <v>0</v>
      </c>
    </row>
    <row r="1611" spans="1:10" x14ac:dyDescent="0.2">
      <c r="A1611" s="47"/>
      <c r="B1611" s="5" t="s">
        <v>415</v>
      </c>
      <c r="C1611" s="47"/>
      <c r="D1611" s="47"/>
      <c r="E1611" s="47"/>
      <c r="F1611" s="59"/>
      <c r="G1611" s="59"/>
      <c r="H1611" s="59"/>
      <c r="I1611" s="59"/>
      <c r="J1611" s="59"/>
    </row>
    <row r="1612" spans="1:10" ht="28.5" x14ac:dyDescent="0.2">
      <c r="A1612" s="3" t="s">
        <v>2260</v>
      </c>
      <c r="B1612" s="3" t="s">
        <v>473</v>
      </c>
      <c r="C1612" s="3" t="s">
        <v>8</v>
      </c>
      <c r="D1612" s="3" t="s">
        <v>2261</v>
      </c>
      <c r="E1612" s="3" t="s">
        <v>2261</v>
      </c>
      <c r="F1612" s="1" t="s">
        <v>474</v>
      </c>
      <c r="G1612" s="1">
        <v>0</v>
      </c>
      <c r="H1612" s="1">
        <v>1E-3</v>
      </c>
      <c r="I1612" s="1">
        <v>1</v>
      </c>
      <c r="J1612" s="1">
        <v>0</v>
      </c>
    </row>
    <row r="1613" spans="1:10" x14ac:dyDescent="0.2">
      <c r="A1613" s="3" t="s">
        <v>2262</v>
      </c>
      <c r="B1613" s="3" t="s">
        <v>361</v>
      </c>
      <c r="C1613" s="3" t="s">
        <v>8</v>
      </c>
      <c r="D1613" s="3" t="s">
        <v>2263</v>
      </c>
      <c r="E1613" s="3" t="s">
        <v>2263</v>
      </c>
      <c r="F1613" s="1" t="s">
        <v>362</v>
      </c>
      <c r="G1613" s="1">
        <v>0</v>
      </c>
      <c r="H1613" s="1">
        <v>1E-3</v>
      </c>
      <c r="I1613" s="1">
        <v>1</v>
      </c>
      <c r="J1613" s="1">
        <v>0</v>
      </c>
    </row>
    <row r="1614" spans="1:10" ht="71.25" x14ac:dyDescent="0.2">
      <c r="A1614" s="3" t="s">
        <v>2264</v>
      </c>
      <c r="B1614" s="3" t="s">
        <v>484</v>
      </c>
      <c r="C1614" s="3" t="s">
        <v>8</v>
      </c>
      <c r="D1614" s="3" t="s">
        <v>2265</v>
      </c>
      <c r="E1614" s="3"/>
      <c r="F1614" s="1" t="s">
        <v>494</v>
      </c>
      <c r="G1614" s="1">
        <v>0</v>
      </c>
      <c r="H1614" s="1">
        <v>28262.357</v>
      </c>
      <c r="I1614" s="1">
        <v>1</v>
      </c>
      <c r="J1614" s="1">
        <v>0</v>
      </c>
    </row>
    <row r="1615" spans="1:10" ht="57" x14ac:dyDescent="0.2">
      <c r="A1615" s="3" t="s">
        <v>2266</v>
      </c>
      <c r="B1615" s="3" t="s">
        <v>501</v>
      </c>
      <c r="C1615" s="3" t="s">
        <v>8</v>
      </c>
      <c r="D1615" s="3" t="s">
        <v>2267</v>
      </c>
      <c r="E1615" s="3"/>
      <c r="F1615" s="1" t="s">
        <v>502</v>
      </c>
      <c r="G1615" s="1">
        <v>0</v>
      </c>
      <c r="H1615" s="1">
        <v>28262.357</v>
      </c>
      <c r="I1615" s="1">
        <v>86400</v>
      </c>
      <c r="J1615" s="1">
        <v>0</v>
      </c>
    </row>
    <row r="1616" spans="1:10" ht="71.25" x14ac:dyDescent="0.2">
      <c r="A1616" s="3" t="s">
        <v>2268</v>
      </c>
      <c r="B1616" s="3" t="s">
        <v>659</v>
      </c>
      <c r="C1616" s="3" t="s">
        <v>8</v>
      </c>
      <c r="D1616" s="3" t="s">
        <v>2269</v>
      </c>
      <c r="E1616" s="3"/>
      <c r="F1616" s="1" t="s">
        <v>131</v>
      </c>
      <c r="G1616" s="1">
        <v>0</v>
      </c>
      <c r="H1616" s="1">
        <v>28262.357</v>
      </c>
      <c r="I1616" s="1">
        <v>0.1589873</v>
      </c>
      <c r="J1616" s="1">
        <v>0</v>
      </c>
    </row>
    <row r="1617" spans="1:10" ht="71.25" x14ac:dyDescent="0.2">
      <c r="A1617" s="3" t="s">
        <v>2270</v>
      </c>
      <c r="B1617" s="3" t="s">
        <v>484</v>
      </c>
      <c r="C1617" s="3" t="s">
        <v>8</v>
      </c>
      <c r="D1617" s="3" t="s">
        <v>2271</v>
      </c>
      <c r="E1617" s="3"/>
      <c r="F1617" s="1" t="s">
        <v>494</v>
      </c>
      <c r="G1617" s="1">
        <v>0</v>
      </c>
      <c r="H1617" s="1">
        <v>1000000</v>
      </c>
      <c r="I1617" s="1">
        <v>1</v>
      </c>
      <c r="J1617" s="1">
        <v>0</v>
      </c>
    </row>
    <row r="1618" spans="1:10" ht="71.25" x14ac:dyDescent="0.2">
      <c r="A1618" s="3" t="s">
        <v>2272</v>
      </c>
      <c r="B1618" s="3" t="s">
        <v>501</v>
      </c>
      <c r="C1618" s="3" t="s">
        <v>8</v>
      </c>
      <c r="D1618" s="3" t="s">
        <v>2273</v>
      </c>
      <c r="E1618" s="3"/>
      <c r="F1618" s="1" t="s">
        <v>502</v>
      </c>
      <c r="G1618" s="1">
        <v>0</v>
      </c>
      <c r="H1618" s="1">
        <v>1000000</v>
      </c>
      <c r="I1618" s="1">
        <v>86400</v>
      </c>
      <c r="J1618" s="1">
        <v>0</v>
      </c>
    </row>
    <row r="1619" spans="1:10" ht="71.25" x14ac:dyDescent="0.2">
      <c r="A1619" s="3" t="s">
        <v>2274</v>
      </c>
      <c r="B1619" s="3" t="s">
        <v>484</v>
      </c>
      <c r="C1619" s="3" t="s">
        <v>8</v>
      </c>
      <c r="D1619" s="3" t="s">
        <v>2275</v>
      </c>
      <c r="E1619" s="3"/>
      <c r="F1619" s="1" t="s">
        <v>494</v>
      </c>
      <c r="G1619" s="1">
        <v>0</v>
      </c>
      <c r="H1619" s="1">
        <v>158987.29999999999</v>
      </c>
      <c r="I1619" s="1">
        <v>1</v>
      </c>
      <c r="J1619" s="1">
        <v>0</v>
      </c>
    </row>
    <row r="1620" spans="1:10" ht="85.5" x14ac:dyDescent="0.2">
      <c r="A1620" s="3" t="s">
        <v>2276</v>
      </c>
      <c r="B1620" s="3" t="s">
        <v>501</v>
      </c>
      <c r="C1620" s="3" t="s">
        <v>8</v>
      </c>
      <c r="D1620" s="3" t="s">
        <v>2277</v>
      </c>
      <c r="E1620" s="3"/>
      <c r="F1620" s="1" t="s">
        <v>502</v>
      </c>
      <c r="G1620" s="1">
        <v>0</v>
      </c>
      <c r="H1620" s="1">
        <v>158987.29999999999</v>
      </c>
      <c r="I1620" s="1">
        <v>86400</v>
      </c>
      <c r="J1620" s="1">
        <v>0</v>
      </c>
    </row>
    <row r="1621" spans="1:10" ht="85.5" x14ac:dyDescent="0.2">
      <c r="A1621" s="3" t="s">
        <v>2278</v>
      </c>
      <c r="B1621" s="3" t="s">
        <v>488</v>
      </c>
      <c r="C1621" s="3" t="s">
        <v>8</v>
      </c>
      <c r="D1621" s="3" t="s">
        <v>2279</v>
      </c>
      <c r="E1621" s="3"/>
      <c r="F1621" s="1" t="s">
        <v>497</v>
      </c>
      <c r="G1621" s="1">
        <v>0</v>
      </c>
      <c r="H1621" s="1">
        <v>158987.29999999999</v>
      </c>
      <c r="I1621" s="1">
        <v>4046.873</v>
      </c>
      <c r="J1621" s="1">
        <v>0</v>
      </c>
    </row>
    <row r="1622" spans="1:10" ht="71.25" x14ac:dyDescent="0.2">
      <c r="A1622" s="3" t="s">
        <v>2280</v>
      </c>
      <c r="B1622" s="3" t="s">
        <v>491</v>
      </c>
      <c r="C1622" s="3" t="s">
        <v>8</v>
      </c>
      <c r="D1622" s="3" t="s">
        <v>2281</v>
      </c>
      <c r="E1622" s="3"/>
      <c r="F1622" s="1" t="s">
        <v>499</v>
      </c>
      <c r="G1622" s="1">
        <v>0</v>
      </c>
      <c r="H1622" s="1">
        <v>158987.29999999999</v>
      </c>
      <c r="I1622" s="1">
        <v>1233.489</v>
      </c>
      <c r="J1622" s="1">
        <v>0</v>
      </c>
    </row>
    <row r="1623" spans="1:10" ht="28.5" x14ac:dyDescent="0.2">
      <c r="A1623" s="3" t="s">
        <v>2282</v>
      </c>
      <c r="B1623" s="3" t="s">
        <v>378</v>
      </c>
      <c r="C1623" s="3" t="s">
        <v>8</v>
      </c>
      <c r="D1623" s="3" t="s">
        <v>2283</v>
      </c>
      <c r="E1623" s="3" t="s">
        <v>2283</v>
      </c>
      <c r="F1623" s="1" t="s">
        <v>379</v>
      </c>
      <c r="G1623" s="1">
        <v>0</v>
      </c>
      <c r="H1623" s="1">
        <v>1000000</v>
      </c>
      <c r="I1623" s="1">
        <v>1</v>
      </c>
      <c r="J1623" s="1">
        <v>0</v>
      </c>
    </row>
    <row r="1624" spans="1:10" ht="28.5" x14ac:dyDescent="0.2">
      <c r="A1624" s="3" t="s">
        <v>2284</v>
      </c>
      <c r="B1624" s="3" t="s">
        <v>378</v>
      </c>
      <c r="C1624" s="3" t="s">
        <v>8</v>
      </c>
      <c r="D1624" s="3" t="s">
        <v>2285</v>
      </c>
      <c r="E1624" s="3" t="s">
        <v>2285</v>
      </c>
      <c r="F1624" s="1" t="s">
        <v>379</v>
      </c>
      <c r="G1624" s="1">
        <v>0</v>
      </c>
      <c r="H1624" s="1">
        <v>1E-3</v>
      </c>
      <c r="I1624" s="1">
        <v>1</v>
      </c>
      <c r="J1624" s="1">
        <v>0</v>
      </c>
    </row>
    <row r="1625" spans="1:10" ht="42.75" x14ac:dyDescent="0.2">
      <c r="A1625" s="3" t="s">
        <v>2286</v>
      </c>
      <c r="B1625" s="3" t="s">
        <v>382</v>
      </c>
      <c r="C1625" s="3" t="s">
        <v>8</v>
      </c>
      <c r="D1625" s="3" t="s">
        <v>2287</v>
      </c>
      <c r="E1625" s="3" t="s">
        <v>2287</v>
      </c>
      <c r="F1625" s="1" t="s">
        <v>383</v>
      </c>
      <c r="G1625" s="1">
        <v>0</v>
      </c>
      <c r="H1625" s="1">
        <v>1E-3</v>
      </c>
      <c r="I1625" s="1">
        <v>1</v>
      </c>
      <c r="J1625" s="1">
        <v>0</v>
      </c>
    </row>
    <row r="1626" spans="1:10" ht="42.75" x14ac:dyDescent="0.2">
      <c r="A1626" s="3" t="s">
        <v>2288</v>
      </c>
      <c r="B1626" s="3" t="s">
        <v>385</v>
      </c>
      <c r="C1626" s="3" t="s">
        <v>8</v>
      </c>
      <c r="D1626" s="3" t="s">
        <v>2289</v>
      </c>
      <c r="E1626" s="3" t="s">
        <v>2289</v>
      </c>
      <c r="F1626" s="1" t="s">
        <v>387</v>
      </c>
      <c r="G1626" s="1">
        <v>0</v>
      </c>
      <c r="H1626" s="1">
        <v>9.9999999999999995E-7</v>
      </c>
      <c r="I1626" s="1">
        <v>1</v>
      </c>
      <c r="J1626" s="1">
        <v>0</v>
      </c>
    </row>
    <row r="1627" spans="1:10" ht="28.5" x14ac:dyDescent="0.2">
      <c r="A1627" s="3" t="s">
        <v>2290</v>
      </c>
      <c r="B1627" s="3" t="s">
        <v>385</v>
      </c>
      <c r="C1627" s="3" t="s">
        <v>8</v>
      </c>
      <c r="D1627" s="3" t="s">
        <v>1159</v>
      </c>
      <c r="E1627" s="3" t="s">
        <v>1159</v>
      </c>
      <c r="F1627" s="1" t="s">
        <v>387</v>
      </c>
      <c r="G1627" s="1">
        <v>0</v>
      </c>
      <c r="H1627" s="1">
        <v>1E-3</v>
      </c>
      <c r="I1627" s="1">
        <v>1</v>
      </c>
      <c r="J1627" s="1">
        <v>0</v>
      </c>
    </row>
    <row r="1628" spans="1:10" x14ac:dyDescent="0.2">
      <c r="A1628" s="46" t="s">
        <v>2291</v>
      </c>
      <c r="B1628" s="4" t="s">
        <v>404</v>
      </c>
      <c r="C1628" s="46" t="s">
        <v>8</v>
      </c>
      <c r="D1628" s="46" t="s">
        <v>2292</v>
      </c>
      <c r="E1628" s="46" t="s">
        <v>2292</v>
      </c>
      <c r="F1628" s="58" t="s">
        <v>403</v>
      </c>
      <c r="G1628" s="58">
        <v>0</v>
      </c>
      <c r="H1628" s="58">
        <v>1000000</v>
      </c>
      <c r="I1628" s="58">
        <v>1</v>
      </c>
      <c r="J1628" s="58">
        <v>0</v>
      </c>
    </row>
    <row r="1629" spans="1:10" x14ac:dyDescent="0.2">
      <c r="A1629" s="47"/>
      <c r="B1629" s="5" t="s">
        <v>405</v>
      </c>
      <c r="C1629" s="47"/>
      <c r="D1629" s="47"/>
      <c r="E1629" s="47"/>
      <c r="F1629" s="59"/>
      <c r="G1629" s="59"/>
      <c r="H1629" s="59"/>
      <c r="I1629" s="59"/>
      <c r="J1629" s="59"/>
    </row>
    <row r="1630" spans="1:10" x14ac:dyDescent="0.2">
      <c r="A1630" s="46" t="s">
        <v>2293</v>
      </c>
      <c r="B1630" s="4" t="s">
        <v>404</v>
      </c>
      <c r="C1630" s="46" t="s">
        <v>8</v>
      </c>
      <c r="D1630" s="46" t="s">
        <v>2294</v>
      </c>
      <c r="E1630" s="46" t="s">
        <v>2294</v>
      </c>
      <c r="F1630" s="58" t="s">
        <v>403</v>
      </c>
      <c r="G1630" s="58">
        <v>0</v>
      </c>
      <c r="H1630" s="58">
        <v>1E-3</v>
      </c>
      <c r="I1630" s="58">
        <v>1</v>
      </c>
      <c r="J1630" s="58">
        <v>0</v>
      </c>
    </row>
    <row r="1631" spans="1:10" x14ac:dyDescent="0.2">
      <c r="A1631" s="47"/>
      <c r="B1631" s="5" t="s">
        <v>405</v>
      </c>
      <c r="C1631" s="47"/>
      <c r="D1631" s="47"/>
      <c r="E1631" s="47"/>
      <c r="F1631" s="59"/>
      <c r="G1631" s="59"/>
      <c r="H1631" s="59"/>
      <c r="I1631" s="59"/>
      <c r="J1631" s="59"/>
    </row>
    <row r="1632" spans="1:10" x14ac:dyDescent="0.2">
      <c r="A1632" s="46" t="s">
        <v>2295</v>
      </c>
      <c r="B1632" s="46" t="s">
        <v>361</v>
      </c>
      <c r="C1632" s="46" t="s">
        <v>8</v>
      </c>
      <c r="D1632" s="4" t="s">
        <v>2296</v>
      </c>
      <c r="E1632" s="46"/>
      <c r="F1632" s="58" t="s">
        <v>362</v>
      </c>
      <c r="G1632" s="58">
        <v>0</v>
      </c>
      <c r="H1632" s="58">
        <v>1E-3</v>
      </c>
      <c r="I1632" s="58">
        <v>1</v>
      </c>
      <c r="J1632" s="58">
        <v>0</v>
      </c>
    </row>
    <row r="1633" spans="1:10" ht="28.5" x14ac:dyDescent="0.2">
      <c r="A1633" s="47"/>
      <c r="B1633" s="47"/>
      <c r="C1633" s="47"/>
      <c r="D1633" s="5" t="s">
        <v>763</v>
      </c>
      <c r="E1633" s="47"/>
      <c r="F1633" s="59"/>
      <c r="G1633" s="59"/>
      <c r="H1633" s="59"/>
      <c r="I1633" s="59"/>
      <c r="J1633" s="59"/>
    </row>
    <row r="1634" spans="1:10" x14ac:dyDescent="0.2">
      <c r="A1634" s="46" t="s">
        <v>2297</v>
      </c>
      <c r="B1634" s="46" t="s">
        <v>361</v>
      </c>
      <c r="C1634" s="46" t="s">
        <v>8</v>
      </c>
      <c r="D1634" s="4" t="s">
        <v>2298</v>
      </c>
      <c r="E1634" s="46" t="s">
        <v>362</v>
      </c>
      <c r="F1634" s="58" t="s">
        <v>362</v>
      </c>
      <c r="G1634" s="58">
        <v>0</v>
      </c>
      <c r="H1634" s="58">
        <v>1</v>
      </c>
      <c r="I1634" s="58">
        <v>1</v>
      </c>
      <c r="J1634" s="58">
        <v>0</v>
      </c>
    </row>
    <row r="1635" spans="1:10" ht="28.5" x14ac:dyDescent="0.2">
      <c r="A1635" s="47"/>
      <c r="B1635" s="47"/>
      <c r="C1635" s="47"/>
      <c r="D1635" s="5" t="s">
        <v>763</v>
      </c>
      <c r="E1635" s="47"/>
      <c r="F1635" s="59"/>
      <c r="G1635" s="59"/>
      <c r="H1635" s="59"/>
      <c r="I1635" s="59"/>
      <c r="J1635" s="59"/>
    </row>
    <row r="1636" spans="1:10" ht="42.75" x14ac:dyDescent="0.2">
      <c r="A1636" s="3" t="s">
        <v>2299</v>
      </c>
      <c r="B1636" s="3" t="s">
        <v>375</v>
      </c>
      <c r="C1636" s="3" t="s">
        <v>8</v>
      </c>
      <c r="D1636" s="3" t="s">
        <v>2300</v>
      </c>
      <c r="E1636" s="3" t="s">
        <v>2301</v>
      </c>
      <c r="F1636" s="1" t="s">
        <v>376</v>
      </c>
      <c r="G1636" s="1">
        <v>0</v>
      </c>
      <c r="H1636" s="1">
        <v>1000</v>
      </c>
      <c r="I1636" s="1">
        <v>3600</v>
      </c>
      <c r="J1636" s="1">
        <v>0</v>
      </c>
    </row>
    <row r="1637" spans="1:10" x14ac:dyDescent="0.2">
      <c r="A1637" s="46" t="s">
        <v>2299</v>
      </c>
      <c r="B1637" s="46" t="s">
        <v>375</v>
      </c>
      <c r="C1637" s="46" t="s">
        <v>8</v>
      </c>
      <c r="D1637" s="4" t="s">
        <v>2302</v>
      </c>
      <c r="E1637" s="46" t="s">
        <v>2301</v>
      </c>
      <c r="F1637" s="58" t="s">
        <v>376</v>
      </c>
      <c r="G1637" s="58">
        <v>0</v>
      </c>
      <c r="H1637" s="58">
        <v>1</v>
      </c>
      <c r="I1637" s="58">
        <v>3600</v>
      </c>
      <c r="J1637" s="58">
        <v>0</v>
      </c>
    </row>
    <row r="1638" spans="1:10" ht="28.5" x14ac:dyDescent="0.2">
      <c r="A1638" s="47"/>
      <c r="B1638" s="47"/>
      <c r="C1638" s="47"/>
      <c r="D1638" s="5" t="s">
        <v>763</v>
      </c>
      <c r="E1638" s="47"/>
      <c r="F1638" s="59"/>
      <c r="G1638" s="59"/>
      <c r="H1638" s="59"/>
      <c r="I1638" s="59"/>
      <c r="J1638" s="59"/>
    </row>
    <row r="1639" spans="1:10" x14ac:dyDescent="0.2">
      <c r="A1639" s="46" t="s">
        <v>2303</v>
      </c>
      <c r="B1639" s="4" t="s">
        <v>371</v>
      </c>
      <c r="C1639" s="46" t="s">
        <v>8</v>
      </c>
      <c r="D1639" s="46" t="s">
        <v>2304</v>
      </c>
      <c r="E1639" s="46" t="s">
        <v>373</v>
      </c>
      <c r="F1639" s="58" t="s">
        <v>373</v>
      </c>
      <c r="G1639" s="58">
        <v>0</v>
      </c>
      <c r="H1639" s="58">
        <v>1000</v>
      </c>
      <c r="I1639" s="58">
        <v>1</v>
      </c>
      <c r="J1639" s="58">
        <v>0</v>
      </c>
    </row>
    <row r="1640" spans="1:10" x14ac:dyDescent="0.2">
      <c r="A1640" s="47"/>
      <c r="B1640" s="5" t="s">
        <v>372</v>
      </c>
      <c r="C1640" s="47"/>
      <c r="D1640" s="47"/>
      <c r="E1640" s="47"/>
      <c r="F1640" s="59"/>
      <c r="G1640" s="59"/>
      <c r="H1640" s="59"/>
      <c r="I1640" s="59"/>
      <c r="J1640" s="59"/>
    </row>
    <row r="1641" spans="1:10" ht="28.5" x14ac:dyDescent="0.2">
      <c r="A1641" s="46" t="s">
        <v>2303</v>
      </c>
      <c r="B1641" s="4" t="s">
        <v>371</v>
      </c>
      <c r="C1641" s="46" t="s">
        <v>8</v>
      </c>
      <c r="D1641" s="4" t="s">
        <v>2305</v>
      </c>
      <c r="E1641" s="46" t="s">
        <v>373</v>
      </c>
      <c r="F1641" s="58" t="s">
        <v>373</v>
      </c>
      <c r="G1641" s="58">
        <v>0</v>
      </c>
      <c r="H1641" s="58">
        <v>1</v>
      </c>
      <c r="I1641" s="58">
        <v>1</v>
      </c>
      <c r="J1641" s="58">
        <v>0</v>
      </c>
    </row>
    <row r="1642" spans="1:10" ht="28.5" x14ac:dyDescent="0.2">
      <c r="A1642" s="47"/>
      <c r="B1642" s="5" t="s">
        <v>372</v>
      </c>
      <c r="C1642" s="47"/>
      <c r="D1642" s="5" t="s">
        <v>763</v>
      </c>
      <c r="E1642" s="47"/>
      <c r="F1642" s="59"/>
      <c r="G1642" s="59"/>
      <c r="H1642" s="59"/>
      <c r="I1642" s="59"/>
      <c r="J1642" s="59"/>
    </row>
    <row r="1643" spans="1:10" ht="42.75" x14ac:dyDescent="0.2">
      <c r="A1643" s="3" t="s">
        <v>2306</v>
      </c>
      <c r="B1643" s="3" t="s">
        <v>375</v>
      </c>
      <c r="C1643" s="3" t="s">
        <v>8</v>
      </c>
      <c r="D1643" s="3" t="s">
        <v>2307</v>
      </c>
      <c r="E1643" s="3" t="s">
        <v>376</v>
      </c>
      <c r="F1643" s="1" t="s">
        <v>376</v>
      </c>
      <c r="G1643" s="1">
        <v>0</v>
      </c>
      <c r="H1643" s="1">
        <v>1000</v>
      </c>
      <c r="I1643" s="1">
        <v>1</v>
      </c>
      <c r="J1643" s="1">
        <v>0</v>
      </c>
    </row>
    <row r="1644" spans="1:10" x14ac:dyDescent="0.2">
      <c r="A1644" s="46" t="s">
        <v>2306</v>
      </c>
      <c r="B1644" s="46" t="s">
        <v>375</v>
      </c>
      <c r="C1644" s="46" t="s">
        <v>8</v>
      </c>
      <c r="D1644" s="4" t="s">
        <v>2308</v>
      </c>
      <c r="E1644" s="46" t="s">
        <v>376</v>
      </c>
      <c r="F1644" s="58" t="s">
        <v>376</v>
      </c>
      <c r="G1644" s="58">
        <v>0</v>
      </c>
      <c r="H1644" s="58">
        <v>1</v>
      </c>
      <c r="I1644" s="58">
        <v>1</v>
      </c>
      <c r="J1644" s="58">
        <v>0</v>
      </c>
    </row>
    <row r="1645" spans="1:10" ht="28.5" x14ac:dyDescent="0.2">
      <c r="A1645" s="47"/>
      <c r="B1645" s="47"/>
      <c r="C1645" s="47"/>
      <c r="D1645" s="5" t="s">
        <v>763</v>
      </c>
      <c r="E1645" s="47"/>
      <c r="F1645" s="59"/>
      <c r="G1645" s="59"/>
      <c r="H1645" s="59"/>
      <c r="I1645" s="59"/>
      <c r="J1645" s="59"/>
    </row>
    <row r="1646" spans="1:10" ht="42.75" x14ac:dyDescent="0.2">
      <c r="A1646" s="3" t="s">
        <v>2309</v>
      </c>
      <c r="B1646" s="3" t="s">
        <v>361</v>
      </c>
      <c r="C1646" s="3" t="s">
        <v>8</v>
      </c>
      <c r="D1646" s="3" t="s">
        <v>2310</v>
      </c>
      <c r="E1646" s="3"/>
      <c r="F1646" s="1" t="s">
        <v>362</v>
      </c>
      <c r="G1646" s="1">
        <v>0</v>
      </c>
      <c r="H1646" s="1">
        <v>453.5924</v>
      </c>
      <c r="I1646" s="1">
        <v>1</v>
      </c>
      <c r="J1646" s="1">
        <v>0</v>
      </c>
    </row>
    <row r="1647" spans="1:10" x14ac:dyDescent="0.2">
      <c r="A1647" s="46" t="s">
        <v>2309</v>
      </c>
      <c r="B1647" s="46" t="s">
        <v>361</v>
      </c>
      <c r="C1647" s="46" t="s">
        <v>8</v>
      </c>
      <c r="D1647" s="4" t="s">
        <v>2311</v>
      </c>
      <c r="E1647" s="46"/>
      <c r="F1647" s="58" t="s">
        <v>362</v>
      </c>
      <c r="G1647" s="58">
        <v>0</v>
      </c>
      <c r="H1647" s="58">
        <v>0.45359240000000001</v>
      </c>
      <c r="I1647" s="58">
        <v>1</v>
      </c>
      <c r="J1647" s="58">
        <v>0</v>
      </c>
    </row>
    <row r="1648" spans="1:10" ht="28.5" x14ac:dyDescent="0.2">
      <c r="A1648" s="47"/>
      <c r="B1648" s="47"/>
      <c r="C1648" s="47"/>
      <c r="D1648" s="5" t="s">
        <v>763</v>
      </c>
      <c r="E1648" s="47"/>
      <c r="F1648" s="59"/>
      <c r="G1648" s="59"/>
      <c r="H1648" s="59"/>
      <c r="I1648" s="59"/>
      <c r="J1648" s="59"/>
    </row>
    <row r="1649" spans="1:10" x14ac:dyDescent="0.2">
      <c r="A1649" s="46" t="s">
        <v>2312</v>
      </c>
      <c r="B1649" s="4" t="s">
        <v>371</v>
      </c>
      <c r="C1649" s="46" t="s">
        <v>8</v>
      </c>
      <c r="D1649" s="46" t="s">
        <v>2313</v>
      </c>
      <c r="E1649" s="46"/>
      <c r="F1649" s="58" t="s">
        <v>373</v>
      </c>
      <c r="G1649" s="58">
        <v>0</v>
      </c>
      <c r="H1649" s="58">
        <v>16018.46</v>
      </c>
      <c r="I1649" s="58">
        <v>1</v>
      </c>
      <c r="J1649" s="58">
        <v>0</v>
      </c>
    </row>
    <row r="1650" spans="1:10" x14ac:dyDescent="0.2">
      <c r="A1650" s="47"/>
      <c r="B1650" s="5" t="s">
        <v>372</v>
      </c>
      <c r="C1650" s="47"/>
      <c r="D1650" s="47"/>
      <c r="E1650" s="47"/>
      <c r="F1650" s="59"/>
      <c r="G1650" s="59"/>
      <c r="H1650" s="59"/>
      <c r="I1650" s="59"/>
      <c r="J1650" s="59"/>
    </row>
    <row r="1651" spans="1:10" ht="28.5" x14ac:dyDescent="0.2">
      <c r="A1651" s="46" t="s">
        <v>2312</v>
      </c>
      <c r="B1651" s="4" t="s">
        <v>371</v>
      </c>
      <c r="C1651" s="46" t="s">
        <v>8</v>
      </c>
      <c r="D1651" s="4" t="s">
        <v>2314</v>
      </c>
      <c r="E1651" s="46"/>
      <c r="F1651" s="58" t="s">
        <v>373</v>
      </c>
      <c r="G1651" s="58">
        <v>0</v>
      </c>
      <c r="H1651" s="58">
        <v>16.018460000000001</v>
      </c>
      <c r="I1651" s="58">
        <v>1</v>
      </c>
      <c r="J1651" s="58">
        <v>0</v>
      </c>
    </row>
    <row r="1652" spans="1:10" ht="28.5" x14ac:dyDescent="0.2">
      <c r="A1652" s="47"/>
      <c r="B1652" s="5" t="s">
        <v>372</v>
      </c>
      <c r="C1652" s="47"/>
      <c r="D1652" s="5" t="s">
        <v>763</v>
      </c>
      <c r="E1652" s="47"/>
      <c r="F1652" s="59"/>
      <c r="G1652" s="59"/>
      <c r="H1652" s="59"/>
      <c r="I1652" s="59"/>
      <c r="J1652" s="59"/>
    </row>
    <row r="1653" spans="1:10" x14ac:dyDescent="0.2">
      <c r="A1653" s="46" t="s">
        <v>2315</v>
      </c>
      <c r="B1653" s="4" t="s">
        <v>371</v>
      </c>
      <c r="C1653" s="46" t="s">
        <v>8</v>
      </c>
      <c r="D1653" s="46" t="s">
        <v>2316</v>
      </c>
      <c r="E1653" s="46"/>
      <c r="F1653" s="58" t="s">
        <v>373</v>
      </c>
      <c r="G1653" s="58">
        <v>0</v>
      </c>
      <c r="H1653" s="58">
        <v>99776.335370000001</v>
      </c>
      <c r="I1653" s="58">
        <v>1</v>
      </c>
      <c r="J1653" s="58">
        <v>0</v>
      </c>
    </row>
    <row r="1654" spans="1:10" x14ac:dyDescent="0.2">
      <c r="A1654" s="47"/>
      <c r="B1654" s="5" t="s">
        <v>372</v>
      </c>
      <c r="C1654" s="47"/>
      <c r="D1654" s="47"/>
      <c r="E1654" s="47"/>
      <c r="F1654" s="59"/>
      <c r="G1654" s="59"/>
      <c r="H1654" s="59"/>
      <c r="I1654" s="59"/>
      <c r="J1654" s="59"/>
    </row>
    <row r="1655" spans="1:10" ht="28.5" x14ac:dyDescent="0.2">
      <c r="A1655" s="46" t="s">
        <v>2315</v>
      </c>
      <c r="B1655" s="4" t="s">
        <v>371</v>
      </c>
      <c r="C1655" s="46" t="s">
        <v>8</v>
      </c>
      <c r="D1655" s="4" t="s">
        <v>2317</v>
      </c>
      <c r="E1655" s="46"/>
      <c r="F1655" s="58" t="s">
        <v>373</v>
      </c>
      <c r="G1655" s="58">
        <v>0</v>
      </c>
      <c r="H1655" s="58">
        <v>99.776330000000002</v>
      </c>
      <c r="I1655" s="58">
        <v>1</v>
      </c>
      <c r="J1655" s="58">
        <v>0</v>
      </c>
    </row>
    <row r="1656" spans="1:10" ht="28.5" x14ac:dyDescent="0.2">
      <c r="A1656" s="47"/>
      <c r="B1656" s="5" t="s">
        <v>372</v>
      </c>
      <c r="C1656" s="47"/>
      <c r="D1656" s="5" t="s">
        <v>763</v>
      </c>
      <c r="E1656" s="47"/>
      <c r="F1656" s="59"/>
      <c r="G1656" s="59"/>
      <c r="H1656" s="59"/>
      <c r="I1656" s="59"/>
      <c r="J1656" s="59"/>
    </row>
    <row r="1657" spans="1:10" x14ac:dyDescent="0.2">
      <c r="A1657" s="46" t="s">
        <v>2318</v>
      </c>
      <c r="B1657" s="4" t="s">
        <v>371</v>
      </c>
      <c r="C1657" s="46" t="s">
        <v>8</v>
      </c>
      <c r="D1657" s="46" t="s">
        <v>2319</v>
      </c>
      <c r="E1657" s="46"/>
      <c r="F1657" s="58" t="s">
        <v>373</v>
      </c>
      <c r="G1657" s="58">
        <v>0</v>
      </c>
      <c r="H1657" s="58">
        <v>119826.4</v>
      </c>
      <c r="I1657" s="58">
        <v>1</v>
      </c>
      <c r="J1657" s="58">
        <v>0</v>
      </c>
    </row>
    <row r="1658" spans="1:10" x14ac:dyDescent="0.2">
      <c r="A1658" s="47"/>
      <c r="B1658" s="5" t="s">
        <v>372</v>
      </c>
      <c r="C1658" s="47"/>
      <c r="D1658" s="47"/>
      <c r="E1658" s="47"/>
      <c r="F1658" s="59"/>
      <c r="G1658" s="59"/>
      <c r="H1658" s="59"/>
      <c r="I1658" s="59"/>
      <c r="J1658" s="59"/>
    </row>
    <row r="1659" spans="1:10" ht="28.5" x14ac:dyDescent="0.2">
      <c r="A1659" s="46" t="s">
        <v>2318</v>
      </c>
      <c r="B1659" s="4" t="s">
        <v>371</v>
      </c>
      <c r="C1659" s="46" t="s">
        <v>8</v>
      </c>
      <c r="D1659" s="4" t="s">
        <v>2320</v>
      </c>
      <c r="E1659" s="46"/>
      <c r="F1659" s="58" t="s">
        <v>373</v>
      </c>
      <c r="G1659" s="58">
        <v>0</v>
      </c>
      <c r="H1659" s="58">
        <v>119.82640000000001</v>
      </c>
      <c r="I1659" s="58">
        <v>1</v>
      </c>
      <c r="J1659" s="58">
        <v>0</v>
      </c>
    </row>
    <row r="1660" spans="1:10" ht="28.5" x14ac:dyDescent="0.2">
      <c r="A1660" s="47"/>
      <c r="B1660" s="5" t="s">
        <v>372</v>
      </c>
      <c r="C1660" s="47"/>
      <c r="D1660" s="5" t="s">
        <v>763</v>
      </c>
      <c r="E1660" s="47"/>
      <c r="F1660" s="59"/>
      <c r="G1660" s="59"/>
      <c r="H1660" s="59"/>
      <c r="I1660" s="59"/>
      <c r="J1660" s="59"/>
    </row>
    <row r="1661" spans="1:10" ht="57" x14ac:dyDescent="0.2">
      <c r="A1661" s="3" t="s">
        <v>2321</v>
      </c>
      <c r="B1661" s="3" t="s">
        <v>375</v>
      </c>
      <c r="C1661" s="3" t="s">
        <v>8</v>
      </c>
      <c r="D1661" s="3" t="s">
        <v>2322</v>
      </c>
      <c r="E1661" s="3"/>
      <c r="F1661" s="1" t="s">
        <v>376</v>
      </c>
      <c r="G1661" s="1">
        <v>0</v>
      </c>
      <c r="H1661" s="1">
        <v>453.5924</v>
      </c>
      <c r="I1661" s="1">
        <v>3600</v>
      </c>
      <c r="J1661" s="1">
        <v>0</v>
      </c>
    </row>
    <row r="1662" spans="1:10" ht="28.5" x14ac:dyDescent="0.2">
      <c r="A1662" s="46" t="s">
        <v>2321</v>
      </c>
      <c r="B1662" s="46" t="s">
        <v>375</v>
      </c>
      <c r="C1662" s="46" t="s">
        <v>8</v>
      </c>
      <c r="D1662" s="4" t="s">
        <v>2323</v>
      </c>
      <c r="E1662" s="46"/>
      <c r="F1662" s="58" t="s">
        <v>376</v>
      </c>
      <c r="G1662" s="58">
        <v>0</v>
      </c>
      <c r="H1662" s="58">
        <v>0.45359240000000001</v>
      </c>
      <c r="I1662" s="58">
        <v>3600</v>
      </c>
      <c r="J1662" s="58">
        <v>0</v>
      </c>
    </row>
    <row r="1663" spans="1:10" ht="28.5" x14ac:dyDescent="0.2">
      <c r="A1663" s="47"/>
      <c r="B1663" s="47"/>
      <c r="C1663" s="47"/>
      <c r="D1663" s="5" t="s">
        <v>763</v>
      </c>
      <c r="E1663" s="47"/>
      <c r="F1663" s="59"/>
      <c r="G1663" s="59"/>
      <c r="H1663" s="59"/>
      <c r="I1663" s="59"/>
      <c r="J1663" s="59"/>
    </row>
    <row r="1664" spans="1:10" ht="28.5" x14ac:dyDescent="0.2">
      <c r="A1664" s="46" t="s">
        <v>2324</v>
      </c>
      <c r="B1664" s="46" t="s">
        <v>368</v>
      </c>
      <c r="C1664" s="46" t="s">
        <v>8</v>
      </c>
      <c r="D1664" s="4" t="s">
        <v>2325</v>
      </c>
      <c r="E1664" s="46"/>
      <c r="F1664" s="58" t="s">
        <v>369</v>
      </c>
      <c r="G1664" s="58">
        <v>0</v>
      </c>
      <c r="H1664" s="58">
        <v>0.45359240000000001</v>
      </c>
      <c r="I1664" s="58">
        <v>334.45094399999999</v>
      </c>
      <c r="J1664" s="58">
        <v>0</v>
      </c>
    </row>
    <row r="1665" spans="1:10" ht="28.5" x14ac:dyDescent="0.2">
      <c r="A1665" s="47"/>
      <c r="B1665" s="47"/>
      <c r="C1665" s="47"/>
      <c r="D1665" s="5" t="s">
        <v>763</v>
      </c>
      <c r="E1665" s="47"/>
      <c r="F1665" s="59"/>
      <c r="G1665" s="59"/>
      <c r="H1665" s="59"/>
      <c r="I1665" s="59"/>
      <c r="J1665" s="59"/>
    </row>
    <row r="1666" spans="1:10" ht="71.25" x14ac:dyDescent="0.2">
      <c r="A1666" s="3" t="s">
        <v>2324</v>
      </c>
      <c r="B1666" s="3" t="s">
        <v>368</v>
      </c>
      <c r="C1666" s="3" t="s">
        <v>8</v>
      </c>
      <c r="D1666" s="3" t="s">
        <v>2326</v>
      </c>
      <c r="E1666" s="3"/>
      <c r="F1666" s="1" t="s">
        <v>369</v>
      </c>
      <c r="G1666" s="1">
        <v>0</v>
      </c>
      <c r="H1666" s="1">
        <v>453.5924</v>
      </c>
      <c r="I1666" s="1">
        <v>334.45094399999999</v>
      </c>
      <c r="J1666" s="1">
        <v>0</v>
      </c>
    </row>
    <row r="1667" spans="1:10" ht="57" x14ac:dyDescent="0.2">
      <c r="A1667" s="3" t="s">
        <v>2327</v>
      </c>
      <c r="B1667" s="3" t="s">
        <v>375</v>
      </c>
      <c r="C1667" s="3" t="s">
        <v>8</v>
      </c>
      <c r="D1667" s="3" t="s">
        <v>2328</v>
      </c>
      <c r="E1667" s="3"/>
      <c r="F1667" s="1" t="s">
        <v>376</v>
      </c>
      <c r="G1667" s="1">
        <v>0</v>
      </c>
      <c r="H1667" s="1">
        <v>453.5924</v>
      </c>
      <c r="I1667" s="1">
        <v>1</v>
      </c>
      <c r="J1667" s="1">
        <v>0</v>
      </c>
    </row>
    <row r="1668" spans="1:10" ht="28.5" x14ac:dyDescent="0.2">
      <c r="A1668" s="46" t="s">
        <v>2327</v>
      </c>
      <c r="B1668" s="46" t="s">
        <v>375</v>
      </c>
      <c r="C1668" s="46" t="s">
        <v>8</v>
      </c>
      <c r="D1668" s="4" t="s">
        <v>2329</v>
      </c>
      <c r="E1668" s="46"/>
      <c r="F1668" s="58" t="s">
        <v>376</v>
      </c>
      <c r="G1668" s="58">
        <v>0</v>
      </c>
      <c r="H1668" s="58">
        <v>0.45359240000000001</v>
      </c>
      <c r="I1668" s="58">
        <v>1</v>
      </c>
      <c r="J1668" s="58">
        <v>0</v>
      </c>
    </row>
    <row r="1669" spans="1:10" ht="28.5" x14ac:dyDescent="0.2">
      <c r="A1669" s="47"/>
      <c r="B1669" s="47"/>
      <c r="C1669" s="47"/>
      <c r="D1669" s="5" t="s">
        <v>763</v>
      </c>
      <c r="E1669" s="47"/>
      <c r="F1669" s="59"/>
      <c r="G1669" s="59"/>
      <c r="H1669" s="59"/>
      <c r="I1669" s="59"/>
      <c r="J1669" s="59"/>
    </row>
    <row r="1670" spans="1:10" ht="85.5" x14ac:dyDescent="0.2">
      <c r="A1670" s="3" t="s">
        <v>2330</v>
      </c>
      <c r="B1670" s="3" t="s">
        <v>368</v>
      </c>
      <c r="C1670" s="3" t="s">
        <v>8</v>
      </c>
      <c r="D1670" s="3" t="s">
        <v>2331</v>
      </c>
      <c r="E1670" s="3"/>
      <c r="F1670" s="1" t="s">
        <v>369</v>
      </c>
      <c r="G1670" s="1">
        <v>0</v>
      </c>
      <c r="H1670" s="1">
        <v>453.5924</v>
      </c>
      <c r="I1670" s="1">
        <v>9.2903040000000006E-2</v>
      </c>
      <c r="J1670" s="1">
        <v>0</v>
      </c>
    </row>
    <row r="1671" spans="1:10" ht="28.5" x14ac:dyDescent="0.2">
      <c r="A1671" s="46" t="s">
        <v>2330</v>
      </c>
      <c r="B1671" s="46" t="s">
        <v>368</v>
      </c>
      <c r="C1671" s="46" t="s">
        <v>8</v>
      </c>
      <c r="D1671" s="4" t="s">
        <v>2332</v>
      </c>
      <c r="E1671" s="46"/>
      <c r="F1671" s="58" t="s">
        <v>369</v>
      </c>
      <c r="G1671" s="58">
        <v>0</v>
      </c>
      <c r="H1671" s="58">
        <v>0.45359240000000001</v>
      </c>
      <c r="I1671" s="58">
        <v>9.2903040000000006E-2</v>
      </c>
      <c r="J1671" s="58">
        <v>0</v>
      </c>
    </row>
    <row r="1672" spans="1:10" ht="28.5" x14ac:dyDescent="0.2">
      <c r="A1672" s="47"/>
      <c r="B1672" s="47"/>
      <c r="C1672" s="47"/>
      <c r="D1672" s="5" t="s">
        <v>763</v>
      </c>
      <c r="E1672" s="47"/>
      <c r="F1672" s="59"/>
      <c r="G1672" s="59"/>
      <c r="H1672" s="59"/>
      <c r="I1672" s="59"/>
      <c r="J1672" s="59"/>
    </row>
    <row r="1673" spans="1:10" x14ac:dyDescent="0.2">
      <c r="A1673" s="46" t="s">
        <v>2333</v>
      </c>
      <c r="B1673" s="4" t="s">
        <v>414</v>
      </c>
      <c r="C1673" s="46" t="s">
        <v>8</v>
      </c>
      <c r="D1673" s="46" t="s">
        <v>2334</v>
      </c>
      <c r="E1673" s="46" t="s">
        <v>2334</v>
      </c>
      <c r="F1673" s="58" t="s">
        <v>416</v>
      </c>
      <c r="G1673" s="58">
        <v>0</v>
      </c>
      <c r="H1673" s="58">
        <v>1E-3</v>
      </c>
      <c r="I1673" s="58">
        <v>1</v>
      </c>
      <c r="J1673" s="58">
        <v>0</v>
      </c>
    </row>
    <row r="1674" spans="1:10" x14ac:dyDescent="0.2">
      <c r="A1674" s="47"/>
      <c r="B1674" s="5" t="s">
        <v>415</v>
      </c>
      <c r="C1674" s="47"/>
      <c r="D1674" s="47"/>
      <c r="E1674" s="47"/>
      <c r="F1674" s="59"/>
      <c r="G1674" s="59"/>
      <c r="H1674" s="59"/>
      <c r="I1674" s="59"/>
      <c r="J1674" s="59"/>
    </row>
    <row r="1675" spans="1:10" x14ac:dyDescent="0.2">
      <c r="A1675" s="46" t="s">
        <v>2335</v>
      </c>
      <c r="B1675" s="4" t="s">
        <v>414</v>
      </c>
      <c r="C1675" s="46" t="s">
        <v>8</v>
      </c>
      <c r="D1675" s="46" t="s">
        <v>2336</v>
      </c>
      <c r="E1675" s="46" t="s">
        <v>2336</v>
      </c>
      <c r="F1675" s="58" t="s">
        <v>416</v>
      </c>
      <c r="G1675" s="58">
        <v>0</v>
      </c>
      <c r="H1675" s="58">
        <v>1000000</v>
      </c>
      <c r="I1675" s="58">
        <v>1</v>
      </c>
      <c r="J1675" s="58">
        <v>0</v>
      </c>
    </row>
    <row r="1676" spans="1:10" x14ac:dyDescent="0.2">
      <c r="A1676" s="47"/>
      <c r="B1676" s="5" t="s">
        <v>415</v>
      </c>
      <c r="C1676" s="47"/>
      <c r="D1676" s="47"/>
      <c r="E1676" s="47"/>
      <c r="F1676" s="59"/>
      <c r="G1676" s="59"/>
      <c r="H1676" s="59"/>
      <c r="I1676" s="59"/>
      <c r="J1676" s="59"/>
    </row>
    <row r="1677" spans="1:10" ht="28.5" x14ac:dyDescent="0.2">
      <c r="A1677" s="3" t="s">
        <v>2337</v>
      </c>
      <c r="B1677" s="3" t="s">
        <v>419</v>
      </c>
      <c r="C1677" s="3" t="s">
        <v>8</v>
      </c>
      <c r="D1677" s="3" t="s">
        <v>2338</v>
      </c>
      <c r="E1677" s="3" t="s">
        <v>2338</v>
      </c>
      <c r="F1677" s="1" t="s">
        <v>421</v>
      </c>
      <c r="G1677" s="1">
        <v>0</v>
      </c>
      <c r="H1677" s="1">
        <v>1E-3</v>
      </c>
      <c r="I1677" s="1">
        <v>1</v>
      </c>
      <c r="J1677" s="1">
        <v>0</v>
      </c>
    </row>
    <row r="1678" spans="1:10" ht="85.5" x14ac:dyDescent="0.2">
      <c r="A1678" s="3" t="s">
        <v>2339</v>
      </c>
      <c r="B1678" s="3" t="s">
        <v>246</v>
      </c>
      <c r="C1678" s="3" t="s">
        <v>8</v>
      </c>
      <c r="D1678" s="3" t="s">
        <v>2340</v>
      </c>
      <c r="E1678" s="3" t="s">
        <v>2340</v>
      </c>
      <c r="F1678" s="1" t="s">
        <v>247</v>
      </c>
      <c r="G1678" s="1">
        <v>0</v>
      </c>
      <c r="H1678" s="1">
        <v>1000000</v>
      </c>
      <c r="I1678" s="1">
        <v>1</v>
      </c>
      <c r="J1678" s="1">
        <v>0</v>
      </c>
    </row>
    <row r="1679" spans="1:10" ht="42.75" x14ac:dyDescent="0.2">
      <c r="A1679" s="3" t="s">
        <v>2341</v>
      </c>
      <c r="B1679" s="3" t="s">
        <v>435</v>
      </c>
      <c r="C1679" s="3" t="s">
        <v>8</v>
      </c>
      <c r="D1679" s="3" t="s">
        <v>2342</v>
      </c>
      <c r="E1679" s="3" t="s">
        <v>2342</v>
      </c>
      <c r="F1679" s="1" t="s">
        <v>436</v>
      </c>
      <c r="G1679" s="1">
        <v>0</v>
      </c>
      <c r="H1679" s="1">
        <v>1000000</v>
      </c>
      <c r="I1679" s="1">
        <v>3600</v>
      </c>
      <c r="J1679" s="1">
        <v>0</v>
      </c>
    </row>
    <row r="1680" spans="1:10" x14ac:dyDescent="0.2">
      <c r="A1680" s="46" t="s">
        <v>2343</v>
      </c>
      <c r="B1680" s="4" t="s">
        <v>389</v>
      </c>
      <c r="C1680" s="46" t="s">
        <v>8</v>
      </c>
      <c r="D1680" s="46" t="s">
        <v>2344</v>
      </c>
      <c r="E1680" s="46" t="s">
        <v>2344</v>
      </c>
      <c r="F1680" s="58" t="s">
        <v>391</v>
      </c>
      <c r="G1680" s="58">
        <v>0</v>
      </c>
      <c r="H1680" s="58">
        <v>1000000</v>
      </c>
      <c r="I1680" s="58">
        <v>1</v>
      </c>
      <c r="J1680" s="58">
        <v>0</v>
      </c>
    </row>
    <row r="1681" spans="1:10" x14ac:dyDescent="0.2">
      <c r="A1681" s="47"/>
      <c r="B1681" s="5" t="s">
        <v>390</v>
      </c>
      <c r="C1681" s="47"/>
      <c r="D1681" s="47"/>
      <c r="E1681" s="47"/>
      <c r="F1681" s="59"/>
      <c r="G1681" s="59"/>
      <c r="H1681" s="59"/>
      <c r="I1681" s="59"/>
      <c r="J1681" s="59"/>
    </row>
    <row r="1682" spans="1:10" x14ac:dyDescent="0.2">
      <c r="A1682" s="46" t="s">
        <v>2345</v>
      </c>
      <c r="B1682" s="4" t="s">
        <v>414</v>
      </c>
      <c r="C1682" s="46" t="s">
        <v>8</v>
      </c>
      <c r="D1682" s="46" t="s">
        <v>2346</v>
      </c>
      <c r="E1682" s="46" t="s">
        <v>2346</v>
      </c>
      <c r="F1682" s="58" t="s">
        <v>416</v>
      </c>
      <c r="G1682" s="58">
        <v>0</v>
      </c>
      <c r="H1682" s="58">
        <v>6894757000</v>
      </c>
      <c r="I1682" s="58">
        <v>1</v>
      </c>
      <c r="J1682" s="58">
        <v>0</v>
      </c>
    </row>
    <row r="1683" spans="1:10" x14ac:dyDescent="0.2">
      <c r="A1683" s="47"/>
      <c r="B1683" s="5" t="s">
        <v>415</v>
      </c>
      <c r="C1683" s="47"/>
      <c r="D1683" s="47"/>
      <c r="E1683" s="47"/>
      <c r="F1683" s="59"/>
      <c r="G1683" s="59"/>
      <c r="H1683" s="59"/>
      <c r="I1683" s="59"/>
      <c r="J1683" s="59"/>
    </row>
    <row r="1684" spans="1:10" x14ac:dyDescent="0.2">
      <c r="A1684" s="3" t="s">
        <v>2347</v>
      </c>
      <c r="B1684" s="3" t="s">
        <v>443</v>
      </c>
      <c r="C1684" s="3" t="s">
        <v>8</v>
      </c>
      <c r="D1684" s="3" t="s">
        <v>2348</v>
      </c>
      <c r="E1684" s="3" t="s">
        <v>2348</v>
      </c>
      <c r="F1684" s="1" t="s">
        <v>444</v>
      </c>
      <c r="G1684" s="1">
        <v>0</v>
      </c>
      <c r="H1684" s="1">
        <v>1E-3</v>
      </c>
      <c r="I1684" s="1">
        <v>1</v>
      </c>
      <c r="J1684" s="1">
        <v>0</v>
      </c>
    </row>
    <row r="1685" spans="1:10" ht="28.5" x14ac:dyDescent="0.2">
      <c r="A1685" s="3" t="s">
        <v>2349</v>
      </c>
      <c r="B1685" s="3" t="s">
        <v>443</v>
      </c>
      <c r="C1685" s="3" t="s">
        <v>8</v>
      </c>
      <c r="D1685" s="3" t="s">
        <v>2350</v>
      </c>
      <c r="E1685" s="3" t="s">
        <v>2350</v>
      </c>
      <c r="F1685" s="1" t="s">
        <v>444</v>
      </c>
      <c r="G1685" s="1">
        <v>0</v>
      </c>
      <c r="H1685" s="1">
        <v>1000000</v>
      </c>
      <c r="I1685" s="1">
        <v>1</v>
      </c>
      <c r="J1685" s="1">
        <v>0</v>
      </c>
    </row>
    <row r="1686" spans="1:10" x14ac:dyDescent="0.2">
      <c r="A1686" s="3" t="s">
        <v>2351</v>
      </c>
      <c r="B1686" s="3" t="s">
        <v>508</v>
      </c>
      <c r="C1686" s="3" t="s">
        <v>8</v>
      </c>
      <c r="D1686" s="3" t="s">
        <v>2352</v>
      </c>
      <c r="E1686" s="3"/>
      <c r="F1686" s="1" t="s">
        <v>509</v>
      </c>
      <c r="G1686" s="1">
        <v>0</v>
      </c>
      <c r="H1686" s="1">
        <v>1.0000000000000001E-5</v>
      </c>
      <c r="I1686" s="1">
        <v>1</v>
      </c>
      <c r="J1686" s="1">
        <v>0</v>
      </c>
    </row>
    <row r="1687" spans="1:10" ht="28.5" x14ac:dyDescent="0.2">
      <c r="A1687" s="3" t="s">
        <v>2353</v>
      </c>
      <c r="B1687" s="3" t="s">
        <v>512</v>
      </c>
      <c r="C1687" s="3" t="s">
        <v>8</v>
      </c>
      <c r="D1687" s="3" t="s">
        <v>2354</v>
      </c>
      <c r="E1687" s="3"/>
      <c r="F1687" s="1" t="s">
        <v>513</v>
      </c>
      <c r="G1687" s="1">
        <v>0</v>
      </c>
      <c r="H1687" s="1">
        <v>1.0000000000000001E-5</v>
      </c>
      <c r="I1687" s="1">
        <v>3600</v>
      </c>
      <c r="J1687" s="1">
        <v>0</v>
      </c>
    </row>
    <row r="1688" spans="1:10" x14ac:dyDescent="0.2">
      <c r="A1688" s="46" t="s">
        <v>2355</v>
      </c>
      <c r="B1688" s="4" t="s">
        <v>463</v>
      </c>
      <c r="C1688" s="46" t="s">
        <v>8</v>
      </c>
      <c r="D1688" s="46" t="s">
        <v>2356</v>
      </c>
      <c r="E1688" s="46" t="s">
        <v>2356</v>
      </c>
      <c r="F1688" s="58" t="s">
        <v>466</v>
      </c>
      <c r="G1688" s="58">
        <v>0</v>
      </c>
      <c r="H1688" s="58">
        <v>1E-3</v>
      </c>
      <c r="I1688" s="58">
        <v>1</v>
      </c>
      <c r="J1688" s="58">
        <v>0</v>
      </c>
    </row>
    <row r="1689" spans="1:10" x14ac:dyDescent="0.2">
      <c r="A1689" s="48"/>
      <c r="B1689" s="6" t="s">
        <v>464</v>
      </c>
      <c r="C1689" s="48"/>
      <c r="D1689" s="48"/>
      <c r="E1689" s="48"/>
      <c r="F1689" s="60"/>
      <c r="G1689" s="60"/>
      <c r="H1689" s="60"/>
      <c r="I1689" s="60"/>
      <c r="J1689" s="60"/>
    </row>
    <row r="1690" spans="1:10" x14ac:dyDescent="0.2">
      <c r="A1690" s="47"/>
      <c r="B1690" s="5" t="s">
        <v>465</v>
      </c>
      <c r="C1690" s="47"/>
      <c r="D1690" s="47"/>
      <c r="E1690" s="47"/>
      <c r="F1690" s="59"/>
      <c r="G1690" s="59"/>
      <c r="H1690" s="59"/>
      <c r="I1690" s="59"/>
      <c r="J1690" s="59"/>
    </row>
    <row r="1691" spans="1:10" ht="28.5" x14ac:dyDescent="0.2">
      <c r="A1691" s="3" t="s">
        <v>2357</v>
      </c>
      <c r="B1691" s="3" t="s">
        <v>469</v>
      </c>
      <c r="C1691" s="3" t="s">
        <v>8</v>
      </c>
      <c r="D1691" s="3" t="s">
        <v>2358</v>
      </c>
      <c r="E1691" s="3" t="s">
        <v>2358</v>
      </c>
      <c r="F1691" s="1" t="s">
        <v>470</v>
      </c>
      <c r="G1691" s="1">
        <v>0</v>
      </c>
      <c r="H1691" s="1">
        <v>1E-3</v>
      </c>
      <c r="I1691" s="1">
        <v>1</v>
      </c>
      <c r="J1691" s="1">
        <v>0</v>
      </c>
    </row>
    <row r="1692" spans="1:10" ht="42.75" x14ac:dyDescent="0.2">
      <c r="A1692" s="3" t="s">
        <v>2359</v>
      </c>
      <c r="B1692" s="3" t="s">
        <v>469</v>
      </c>
      <c r="C1692" s="3" t="s">
        <v>8</v>
      </c>
      <c r="D1692" s="3" t="s">
        <v>2360</v>
      </c>
      <c r="E1692" s="3"/>
      <c r="F1692" s="1" t="s">
        <v>470</v>
      </c>
      <c r="G1692" s="1">
        <v>0</v>
      </c>
      <c r="H1692" s="1">
        <v>5.0000000000000001E-4</v>
      </c>
      <c r="I1692" s="1">
        <v>1</v>
      </c>
      <c r="J1692" s="1">
        <v>0</v>
      </c>
    </row>
    <row r="1693" spans="1:10" x14ac:dyDescent="0.2">
      <c r="A1693" s="46" t="s">
        <v>2361</v>
      </c>
      <c r="B1693" s="4" t="s">
        <v>476</v>
      </c>
      <c r="C1693" s="46" t="s">
        <v>8</v>
      </c>
      <c r="D1693" s="46" t="s">
        <v>2362</v>
      </c>
      <c r="E1693" s="46" t="s">
        <v>2362</v>
      </c>
      <c r="F1693" s="58" t="s">
        <v>479</v>
      </c>
      <c r="G1693" s="58">
        <v>0</v>
      </c>
      <c r="H1693" s="58">
        <v>0.1</v>
      </c>
      <c r="I1693" s="58">
        <v>1</v>
      </c>
      <c r="J1693" s="58">
        <v>0</v>
      </c>
    </row>
    <row r="1694" spans="1:10" x14ac:dyDescent="0.2">
      <c r="A1694" s="47"/>
      <c r="B1694" s="5" t="s">
        <v>477</v>
      </c>
      <c r="C1694" s="47"/>
      <c r="D1694" s="47"/>
      <c r="E1694" s="47"/>
      <c r="F1694" s="59"/>
      <c r="G1694" s="59"/>
      <c r="H1694" s="59"/>
      <c r="I1694" s="59"/>
      <c r="J1694" s="59"/>
    </row>
    <row r="1695" spans="1:10" x14ac:dyDescent="0.2">
      <c r="A1695" s="46" t="s">
        <v>2363</v>
      </c>
      <c r="B1695" s="4" t="s">
        <v>476</v>
      </c>
      <c r="C1695" s="46" t="s">
        <v>8</v>
      </c>
      <c r="D1695" s="46" t="s">
        <v>2364</v>
      </c>
      <c r="E1695" s="46" t="s">
        <v>2364</v>
      </c>
      <c r="F1695" s="58" t="s">
        <v>479</v>
      </c>
      <c r="G1695" s="58">
        <v>0</v>
      </c>
      <c r="H1695" s="58">
        <v>1E-3</v>
      </c>
      <c r="I1695" s="58">
        <v>0.30480000000000002</v>
      </c>
      <c r="J1695" s="58">
        <v>0</v>
      </c>
    </row>
    <row r="1696" spans="1:10" x14ac:dyDescent="0.2">
      <c r="A1696" s="47"/>
      <c r="B1696" s="5" t="s">
        <v>477</v>
      </c>
      <c r="C1696" s="47"/>
      <c r="D1696" s="47"/>
      <c r="E1696" s="47"/>
      <c r="F1696" s="59"/>
      <c r="G1696" s="59"/>
      <c r="H1696" s="59"/>
      <c r="I1696" s="59"/>
      <c r="J1696" s="59"/>
    </row>
    <row r="1697" spans="1:10" x14ac:dyDescent="0.2">
      <c r="A1697" s="46" t="s">
        <v>2365</v>
      </c>
      <c r="B1697" s="4" t="s">
        <v>476</v>
      </c>
      <c r="C1697" s="46" t="s">
        <v>8</v>
      </c>
      <c r="D1697" s="46" t="s">
        <v>2366</v>
      </c>
      <c r="E1697" s="46" t="s">
        <v>2366</v>
      </c>
      <c r="F1697" s="58" t="s">
        <v>479</v>
      </c>
      <c r="G1697" s="58">
        <v>0</v>
      </c>
      <c r="H1697" s="58">
        <v>1E-3</v>
      </c>
      <c r="I1697" s="58">
        <v>2.5399999999999999E-2</v>
      </c>
      <c r="J1697" s="58">
        <v>0</v>
      </c>
    </row>
    <row r="1698" spans="1:10" x14ac:dyDescent="0.2">
      <c r="A1698" s="47"/>
      <c r="B1698" s="5" t="s">
        <v>477</v>
      </c>
      <c r="C1698" s="47"/>
      <c r="D1698" s="47"/>
      <c r="E1698" s="47"/>
      <c r="F1698" s="59"/>
      <c r="G1698" s="59"/>
      <c r="H1698" s="59"/>
      <c r="I1698" s="59"/>
      <c r="J1698" s="59"/>
    </row>
    <row r="1699" spans="1:10" ht="28.5" x14ac:dyDescent="0.2">
      <c r="A1699" s="3" t="s">
        <v>2367</v>
      </c>
      <c r="B1699" s="3" t="s">
        <v>473</v>
      </c>
      <c r="C1699" s="3" t="s">
        <v>8</v>
      </c>
      <c r="D1699" s="3" t="s">
        <v>2368</v>
      </c>
      <c r="E1699" s="3" t="s">
        <v>2368</v>
      </c>
      <c r="F1699" s="1" t="s">
        <v>474</v>
      </c>
      <c r="G1699" s="1">
        <v>0</v>
      </c>
      <c r="H1699" s="1">
        <v>1E-3</v>
      </c>
      <c r="I1699" s="1">
        <v>1</v>
      </c>
      <c r="J1699" s="1">
        <v>0</v>
      </c>
    </row>
    <row r="1700" spans="1:10" x14ac:dyDescent="0.2">
      <c r="A1700" s="46" t="s">
        <v>2369</v>
      </c>
      <c r="B1700" s="4" t="s">
        <v>476</v>
      </c>
      <c r="C1700" s="46" t="s">
        <v>8</v>
      </c>
      <c r="D1700" s="46" t="s">
        <v>2370</v>
      </c>
      <c r="E1700" s="46" t="s">
        <v>2370</v>
      </c>
      <c r="F1700" s="58" t="s">
        <v>479</v>
      </c>
      <c r="G1700" s="58">
        <v>0</v>
      </c>
      <c r="H1700" s="58">
        <v>1E-3</v>
      </c>
      <c r="I1700" s="58">
        <v>1</v>
      </c>
      <c r="J1700" s="58">
        <v>0</v>
      </c>
    </row>
    <row r="1701" spans="1:10" x14ac:dyDescent="0.2">
      <c r="A1701" s="47"/>
      <c r="B1701" s="5" t="s">
        <v>477</v>
      </c>
      <c r="C1701" s="47"/>
      <c r="D1701" s="47"/>
      <c r="E1701" s="47"/>
      <c r="F1701" s="59"/>
      <c r="G1701" s="59"/>
      <c r="H1701" s="59"/>
      <c r="I1701" s="59"/>
      <c r="J1701" s="59"/>
    </row>
    <row r="1702" spans="1:10" ht="42.75" x14ac:dyDescent="0.2">
      <c r="A1702" s="3" t="s">
        <v>2371</v>
      </c>
      <c r="B1702" s="3" t="s">
        <v>2372</v>
      </c>
      <c r="C1702" s="3" t="s">
        <v>8</v>
      </c>
      <c r="D1702" s="3" t="s">
        <v>2373</v>
      </c>
      <c r="E1702" s="3" t="s">
        <v>2373</v>
      </c>
      <c r="F1702" s="1" t="s">
        <v>131</v>
      </c>
      <c r="G1702" s="1">
        <v>0</v>
      </c>
      <c r="H1702" s="1">
        <v>1E-3</v>
      </c>
      <c r="I1702" s="1">
        <v>1</v>
      </c>
      <c r="J1702" s="1">
        <v>0</v>
      </c>
    </row>
    <row r="1703" spans="1:10" ht="57" x14ac:dyDescent="0.2">
      <c r="A1703" s="3" t="s">
        <v>2374</v>
      </c>
      <c r="B1703" s="3" t="s">
        <v>484</v>
      </c>
      <c r="C1703" s="3" t="s">
        <v>8</v>
      </c>
      <c r="D1703" s="3" t="s">
        <v>2375</v>
      </c>
      <c r="E1703" s="3"/>
      <c r="F1703" s="1" t="s">
        <v>494</v>
      </c>
      <c r="G1703" s="1">
        <v>0</v>
      </c>
      <c r="H1703" s="1">
        <v>28.262357000000002</v>
      </c>
      <c r="I1703" s="1">
        <v>1</v>
      </c>
      <c r="J1703" s="1">
        <v>0</v>
      </c>
    </row>
    <row r="1704" spans="1:10" ht="57" x14ac:dyDescent="0.2">
      <c r="A1704" s="3" t="s">
        <v>2376</v>
      </c>
      <c r="B1704" s="3" t="s">
        <v>501</v>
      </c>
      <c r="C1704" s="3" t="s">
        <v>8</v>
      </c>
      <c r="D1704" s="3" t="s">
        <v>2377</v>
      </c>
      <c r="E1704" s="3"/>
      <c r="F1704" s="1" t="s">
        <v>502</v>
      </c>
      <c r="G1704" s="1">
        <v>0</v>
      </c>
      <c r="H1704" s="1">
        <v>28.262357000000002</v>
      </c>
      <c r="I1704" s="1">
        <v>86400</v>
      </c>
      <c r="J1704" s="1">
        <v>0</v>
      </c>
    </row>
    <row r="1705" spans="1:10" ht="71.25" x14ac:dyDescent="0.2">
      <c r="A1705" s="3" t="s">
        <v>2378</v>
      </c>
      <c r="B1705" s="3" t="s">
        <v>659</v>
      </c>
      <c r="C1705" s="3" t="s">
        <v>8</v>
      </c>
      <c r="D1705" s="3" t="s">
        <v>2379</v>
      </c>
      <c r="E1705" s="3"/>
      <c r="F1705" s="1" t="s">
        <v>131</v>
      </c>
      <c r="G1705" s="1">
        <v>0</v>
      </c>
      <c r="H1705" s="1">
        <v>28.262357000000002</v>
      </c>
      <c r="I1705" s="1">
        <v>0.1589873</v>
      </c>
      <c r="J1705" s="1">
        <v>0</v>
      </c>
    </row>
    <row r="1706" spans="1:10" ht="71.25" x14ac:dyDescent="0.2">
      <c r="A1706" s="3" t="s">
        <v>2380</v>
      </c>
      <c r="B1706" s="3" t="s">
        <v>501</v>
      </c>
      <c r="C1706" s="3" t="s">
        <v>8</v>
      </c>
      <c r="D1706" s="3" t="s">
        <v>2381</v>
      </c>
      <c r="E1706" s="3"/>
      <c r="F1706" s="1" t="s">
        <v>502</v>
      </c>
      <c r="G1706" s="1">
        <v>0</v>
      </c>
      <c r="H1706" s="1">
        <v>1000</v>
      </c>
      <c r="I1706" s="1">
        <v>86400</v>
      </c>
      <c r="J1706" s="1">
        <v>0</v>
      </c>
    </row>
    <row r="1707" spans="1:10" ht="42.75" x14ac:dyDescent="0.2">
      <c r="A1707" s="3" t="s">
        <v>2382</v>
      </c>
      <c r="B1707" s="3" t="s">
        <v>443</v>
      </c>
      <c r="C1707" s="3" t="s">
        <v>8</v>
      </c>
      <c r="D1707" s="3" t="s">
        <v>2383</v>
      </c>
      <c r="E1707" s="3"/>
      <c r="F1707" s="1" t="s">
        <v>444</v>
      </c>
      <c r="G1707" s="1">
        <v>0</v>
      </c>
      <c r="H1707" s="1">
        <v>4.8481399999999998E-9</v>
      </c>
      <c r="I1707" s="1">
        <v>1</v>
      </c>
      <c r="J1707" s="1">
        <v>0</v>
      </c>
    </row>
    <row r="1708" spans="1:10" x14ac:dyDescent="0.2">
      <c r="A1708" s="46" t="s">
        <v>2384</v>
      </c>
      <c r="B1708" s="46" t="s">
        <v>484</v>
      </c>
      <c r="C1708" s="46" t="s">
        <v>8</v>
      </c>
      <c r="D1708" s="4" t="s">
        <v>2385</v>
      </c>
      <c r="E1708" s="46"/>
      <c r="F1708" s="58" t="s">
        <v>494</v>
      </c>
      <c r="G1708" s="58">
        <v>0</v>
      </c>
      <c r="H1708" s="58">
        <v>1000000</v>
      </c>
      <c r="I1708" s="58">
        <v>1</v>
      </c>
      <c r="J1708" s="58">
        <v>0</v>
      </c>
    </row>
    <row r="1709" spans="1:10" ht="28.5" x14ac:dyDescent="0.2">
      <c r="A1709" s="47"/>
      <c r="B1709" s="47"/>
      <c r="C1709" s="47"/>
      <c r="D1709" s="5" t="s">
        <v>763</v>
      </c>
      <c r="E1709" s="47"/>
      <c r="F1709" s="59"/>
      <c r="G1709" s="59"/>
      <c r="H1709" s="59"/>
      <c r="I1709" s="59"/>
      <c r="J1709" s="59"/>
    </row>
    <row r="1710" spans="1:10" ht="71.25" x14ac:dyDescent="0.2">
      <c r="A1710" s="3" t="s">
        <v>2386</v>
      </c>
      <c r="B1710" s="3" t="s">
        <v>484</v>
      </c>
      <c r="C1710" s="3" t="s">
        <v>8</v>
      </c>
      <c r="D1710" s="3" t="s">
        <v>2387</v>
      </c>
      <c r="E1710" s="3"/>
      <c r="F1710" s="1" t="s">
        <v>494</v>
      </c>
      <c r="G1710" s="1">
        <v>0</v>
      </c>
      <c r="H1710" s="1">
        <v>158.9873</v>
      </c>
      <c r="I1710" s="1">
        <v>1</v>
      </c>
      <c r="J1710" s="1">
        <v>0</v>
      </c>
    </row>
    <row r="1711" spans="1:10" ht="71.25" x14ac:dyDescent="0.2">
      <c r="A1711" s="3" t="s">
        <v>2388</v>
      </c>
      <c r="B1711" s="3" t="s">
        <v>501</v>
      </c>
      <c r="C1711" s="3" t="s">
        <v>8</v>
      </c>
      <c r="D1711" s="3" t="s">
        <v>2389</v>
      </c>
      <c r="E1711" s="3"/>
      <c r="F1711" s="1" t="s">
        <v>502</v>
      </c>
      <c r="G1711" s="1">
        <v>0</v>
      </c>
      <c r="H1711" s="1">
        <v>158.9873</v>
      </c>
      <c r="I1711" s="1">
        <v>86400</v>
      </c>
      <c r="J1711" s="1">
        <v>0</v>
      </c>
    </row>
    <row r="1712" spans="1:10" ht="28.5" x14ac:dyDescent="0.2">
      <c r="A1712" s="3" t="s">
        <v>2390</v>
      </c>
      <c r="B1712" s="3" t="s">
        <v>508</v>
      </c>
      <c r="C1712" s="3" t="s">
        <v>8</v>
      </c>
      <c r="D1712" s="3" t="s">
        <v>2391</v>
      </c>
      <c r="E1712" s="3" t="s">
        <v>2391</v>
      </c>
      <c r="F1712" s="1" t="s">
        <v>509</v>
      </c>
      <c r="G1712" s="1">
        <v>0</v>
      </c>
      <c r="H1712" s="1">
        <v>1E-3</v>
      </c>
      <c r="I1712" s="1">
        <v>1</v>
      </c>
      <c r="J1712" s="1">
        <v>0</v>
      </c>
    </row>
    <row r="1713" spans="1:10" ht="42.75" x14ac:dyDescent="0.2">
      <c r="A1713" s="3" t="s">
        <v>2392</v>
      </c>
      <c r="B1713" s="3" t="s">
        <v>512</v>
      </c>
      <c r="C1713" s="3" t="s">
        <v>8</v>
      </c>
      <c r="D1713" s="3" t="s">
        <v>2393</v>
      </c>
      <c r="E1713" s="3"/>
      <c r="F1713" s="1" t="s">
        <v>513</v>
      </c>
      <c r="G1713" s="1">
        <v>0</v>
      </c>
      <c r="H1713" s="1">
        <v>1E-3</v>
      </c>
      <c r="I1713" s="1">
        <v>3600</v>
      </c>
      <c r="J1713" s="1">
        <v>0</v>
      </c>
    </row>
    <row r="1714" spans="1:10" x14ac:dyDescent="0.2">
      <c r="A1714" s="46" t="s">
        <v>2394</v>
      </c>
      <c r="B1714" s="4" t="s">
        <v>516</v>
      </c>
      <c r="C1714" s="46" t="s">
        <v>8</v>
      </c>
      <c r="D1714" s="46" t="s">
        <v>2395</v>
      </c>
      <c r="E1714" s="46" t="s">
        <v>2395</v>
      </c>
      <c r="F1714" s="58" t="s">
        <v>518</v>
      </c>
      <c r="G1714" s="58">
        <v>0</v>
      </c>
      <c r="H1714" s="58">
        <v>1E-3</v>
      </c>
      <c r="I1714" s="58">
        <v>1</v>
      </c>
      <c r="J1714" s="58">
        <v>0</v>
      </c>
    </row>
    <row r="1715" spans="1:10" x14ac:dyDescent="0.2">
      <c r="A1715" s="47"/>
      <c r="B1715" s="5" t="s">
        <v>517</v>
      </c>
      <c r="C1715" s="47"/>
      <c r="D1715" s="47"/>
      <c r="E1715" s="47"/>
      <c r="F1715" s="59"/>
      <c r="G1715" s="59"/>
      <c r="H1715" s="59"/>
      <c r="I1715" s="59"/>
      <c r="J1715" s="59"/>
    </row>
    <row r="1716" spans="1:10" x14ac:dyDescent="0.2">
      <c r="A1716" s="3" t="s">
        <v>2396</v>
      </c>
      <c r="B1716" s="3" t="s">
        <v>521</v>
      </c>
      <c r="C1716" s="3" t="s">
        <v>8</v>
      </c>
      <c r="D1716" s="3" t="s">
        <v>2397</v>
      </c>
      <c r="E1716" s="3" t="s">
        <v>2397</v>
      </c>
      <c r="F1716" s="1" t="s">
        <v>522</v>
      </c>
      <c r="G1716" s="1">
        <v>0</v>
      </c>
      <c r="H1716" s="1">
        <v>1000000</v>
      </c>
      <c r="I1716" s="1">
        <v>1</v>
      </c>
      <c r="J1716" s="1">
        <v>0</v>
      </c>
    </row>
    <row r="1717" spans="1:10" x14ac:dyDescent="0.2">
      <c r="A1717" s="3" t="s">
        <v>2398</v>
      </c>
      <c r="B1717" s="3" t="s">
        <v>521</v>
      </c>
      <c r="C1717" s="3" t="s">
        <v>8</v>
      </c>
      <c r="D1717" s="3" t="s">
        <v>2399</v>
      </c>
      <c r="E1717" s="3" t="s">
        <v>2399</v>
      </c>
      <c r="F1717" s="1" t="s">
        <v>522</v>
      </c>
      <c r="G1717" s="1">
        <v>0</v>
      </c>
      <c r="H1717" s="1">
        <v>1E-3</v>
      </c>
      <c r="I1717" s="1">
        <v>1</v>
      </c>
      <c r="J1717" s="1">
        <v>0</v>
      </c>
    </row>
    <row r="1718" spans="1:10" ht="28.5" x14ac:dyDescent="0.2">
      <c r="A1718" s="3" t="s">
        <v>2400</v>
      </c>
      <c r="B1718" s="3" t="s">
        <v>528</v>
      </c>
      <c r="C1718" s="3" t="s">
        <v>8</v>
      </c>
      <c r="D1718" s="3" t="s">
        <v>2401</v>
      </c>
      <c r="E1718" s="3" t="s">
        <v>2401</v>
      </c>
      <c r="F1718" s="1" t="s">
        <v>529</v>
      </c>
      <c r="G1718" s="1">
        <v>0</v>
      </c>
      <c r="H1718" s="1">
        <v>1E-3</v>
      </c>
      <c r="I1718" s="1">
        <v>0.30480000000000002</v>
      </c>
      <c r="J1718" s="1">
        <v>0</v>
      </c>
    </row>
    <row r="1719" spans="1:10" ht="28.5" x14ac:dyDescent="0.2">
      <c r="A1719" s="3" t="s">
        <v>2402</v>
      </c>
      <c r="B1719" s="3" t="s">
        <v>528</v>
      </c>
      <c r="C1719" s="3" t="s">
        <v>8</v>
      </c>
      <c r="D1719" s="3" t="s">
        <v>2403</v>
      </c>
      <c r="E1719" s="3" t="s">
        <v>2403</v>
      </c>
      <c r="F1719" s="1" t="s">
        <v>529</v>
      </c>
      <c r="G1719" s="1">
        <v>0</v>
      </c>
      <c r="H1719" s="1">
        <v>1E-3</v>
      </c>
      <c r="I1719" s="1">
        <v>1</v>
      </c>
      <c r="J1719" s="1">
        <v>0</v>
      </c>
    </row>
    <row r="1720" spans="1:10" x14ac:dyDescent="0.2">
      <c r="A1720" s="46" t="s">
        <v>2404</v>
      </c>
      <c r="B1720" s="4" t="s">
        <v>531</v>
      </c>
      <c r="C1720" s="46" t="s">
        <v>8</v>
      </c>
      <c r="D1720" s="46" t="s">
        <v>2405</v>
      </c>
      <c r="E1720" s="46" t="s">
        <v>2405</v>
      </c>
      <c r="F1720" s="58" t="s">
        <v>533</v>
      </c>
      <c r="G1720" s="58">
        <v>0</v>
      </c>
      <c r="H1720" s="58">
        <v>1000000</v>
      </c>
      <c r="I1720" s="58">
        <v>1</v>
      </c>
      <c r="J1720" s="58">
        <v>0</v>
      </c>
    </row>
    <row r="1721" spans="1:10" x14ac:dyDescent="0.2">
      <c r="A1721" s="47"/>
      <c r="B1721" s="5" t="s">
        <v>532</v>
      </c>
      <c r="C1721" s="47"/>
      <c r="D1721" s="47"/>
      <c r="E1721" s="47"/>
      <c r="F1721" s="59"/>
      <c r="G1721" s="59"/>
      <c r="H1721" s="59"/>
      <c r="I1721" s="59"/>
      <c r="J1721" s="59"/>
    </row>
    <row r="1722" spans="1:10" x14ac:dyDescent="0.2">
      <c r="A1722" s="46" t="s">
        <v>2406</v>
      </c>
      <c r="B1722" s="4" t="s">
        <v>531</v>
      </c>
      <c r="C1722" s="46" t="s">
        <v>8</v>
      </c>
      <c r="D1722" s="46" t="s">
        <v>2407</v>
      </c>
      <c r="E1722" s="46" t="s">
        <v>2407</v>
      </c>
      <c r="F1722" s="58" t="s">
        <v>533</v>
      </c>
      <c r="G1722" s="58">
        <v>0</v>
      </c>
      <c r="H1722" s="58">
        <v>1E-3</v>
      </c>
      <c r="I1722" s="58">
        <v>1</v>
      </c>
      <c r="J1722" s="58">
        <v>0</v>
      </c>
    </row>
    <row r="1723" spans="1:10" x14ac:dyDescent="0.2">
      <c r="A1723" s="47"/>
      <c r="B1723" s="5" t="s">
        <v>532</v>
      </c>
      <c r="C1723" s="47"/>
      <c r="D1723" s="47"/>
      <c r="E1723" s="47"/>
      <c r="F1723" s="59"/>
      <c r="G1723" s="59"/>
      <c r="H1723" s="59"/>
      <c r="I1723" s="59"/>
      <c r="J1723" s="59"/>
    </row>
    <row r="1724" spans="1:10" x14ac:dyDescent="0.2">
      <c r="A1724" s="46" t="s">
        <v>2408</v>
      </c>
      <c r="B1724" s="4" t="s">
        <v>166</v>
      </c>
      <c r="C1724" s="46" t="s">
        <v>8</v>
      </c>
      <c r="D1724" s="46" t="s">
        <v>2409</v>
      </c>
      <c r="E1724" s="46" t="s">
        <v>2409</v>
      </c>
      <c r="F1724" s="58" t="s">
        <v>168</v>
      </c>
      <c r="G1724" s="58">
        <v>0</v>
      </c>
      <c r="H1724" s="58">
        <v>3600000000</v>
      </c>
      <c r="I1724" s="58">
        <v>1</v>
      </c>
      <c r="J1724" s="58">
        <v>0</v>
      </c>
    </row>
    <row r="1725" spans="1:10" x14ac:dyDescent="0.2">
      <c r="A1725" s="47"/>
      <c r="B1725" s="5" t="s">
        <v>167</v>
      </c>
      <c r="C1725" s="47"/>
      <c r="D1725" s="47"/>
      <c r="E1725" s="47"/>
      <c r="F1725" s="59"/>
      <c r="G1725" s="59"/>
      <c r="H1725" s="59"/>
      <c r="I1725" s="59"/>
      <c r="J1725" s="59"/>
    </row>
    <row r="1726" spans="1:10" ht="42.75" x14ac:dyDescent="0.2">
      <c r="A1726" s="3" t="s">
        <v>2410</v>
      </c>
      <c r="B1726" s="3" t="s">
        <v>174</v>
      </c>
      <c r="C1726" s="3" t="s">
        <v>8</v>
      </c>
      <c r="D1726" s="3" t="s">
        <v>2411</v>
      </c>
      <c r="E1726" s="3" t="s">
        <v>2411</v>
      </c>
      <c r="F1726" s="1" t="s">
        <v>175</v>
      </c>
      <c r="G1726" s="1">
        <v>0</v>
      </c>
      <c r="H1726" s="1">
        <v>3600000000</v>
      </c>
      <c r="I1726" s="1">
        <v>1</v>
      </c>
      <c r="J1726" s="1">
        <v>0</v>
      </c>
    </row>
    <row r="1727" spans="1:10" x14ac:dyDescent="0.2">
      <c r="A1727" s="46" t="s">
        <v>2412</v>
      </c>
      <c r="B1727" s="4" t="s">
        <v>181</v>
      </c>
      <c r="C1727" s="46" t="s">
        <v>8</v>
      </c>
      <c r="D1727" s="46" t="s">
        <v>2413</v>
      </c>
      <c r="E1727" s="46" t="s">
        <v>2413</v>
      </c>
      <c r="F1727" s="58" t="s">
        <v>190</v>
      </c>
      <c r="G1727" s="58">
        <v>0</v>
      </c>
      <c r="H1727" s="58">
        <v>3600000000</v>
      </c>
      <c r="I1727" s="58">
        <v>1</v>
      </c>
      <c r="J1727" s="58">
        <v>0</v>
      </c>
    </row>
    <row r="1728" spans="1:10" x14ac:dyDescent="0.2">
      <c r="A1728" s="48"/>
      <c r="B1728" s="6" t="s">
        <v>182</v>
      </c>
      <c r="C1728" s="48"/>
      <c r="D1728" s="48"/>
      <c r="E1728" s="48"/>
      <c r="F1728" s="60"/>
      <c r="G1728" s="60"/>
      <c r="H1728" s="60"/>
      <c r="I1728" s="60"/>
      <c r="J1728" s="60"/>
    </row>
    <row r="1729" spans="1:10" x14ac:dyDescent="0.2">
      <c r="A1729" s="48"/>
      <c r="B1729" s="6" t="s">
        <v>183</v>
      </c>
      <c r="C1729" s="48"/>
      <c r="D1729" s="48"/>
      <c r="E1729" s="48"/>
      <c r="F1729" s="60"/>
      <c r="G1729" s="60"/>
      <c r="H1729" s="60"/>
      <c r="I1729" s="60"/>
      <c r="J1729" s="60"/>
    </row>
    <row r="1730" spans="1:10" x14ac:dyDescent="0.2">
      <c r="A1730" s="48"/>
      <c r="B1730" s="6" t="s">
        <v>184</v>
      </c>
      <c r="C1730" s="48"/>
      <c r="D1730" s="48"/>
      <c r="E1730" s="48"/>
      <c r="F1730" s="60"/>
      <c r="G1730" s="60"/>
      <c r="H1730" s="60"/>
      <c r="I1730" s="60"/>
      <c r="J1730" s="60"/>
    </row>
    <row r="1731" spans="1:10" x14ac:dyDescent="0.2">
      <c r="A1731" s="48"/>
      <c r="B1731" s="6" t="s">
        <v>185</v>
      </c>
      <c r="C1731" s="48"/>
      <c r="D1731" s="48"/>
      <c r="E1731" s="48"/>
      <c r="F1731" s="60"/>
      <c r="G1731" s="60"/>
      <c r="H1731" s="60"/>
      <c r="I1731" s="60"/>
      <c r="J1731" s="60"/>
    </row>
    <row r="1732" spans="1:10" x14ac:dyDescent="0.2">
      <c r="A1732" s="48"/>
      <c r="B1732" s="6" t="s">
        <v>186</v>
      </c>
      <c r="C1732" s="48"/>
      <c r="D1732" s="48"/>
      <c r="E1732" s="48"/>
      <c r="F1732" s="60"/>
      <c r="G1732" s="60"/>
      <c r="H1732" s="60"/>
      <c r="I1732" s="60"/>
      <c r="J1732" s="60"/>
    </row>
    <row r="1733" spans="1:10" x14ac:dyDescent="0.2">
      <c r="A1733" s="48"/>
      <c r="B1733" s="6" t="s">
        <v>187</v>
      </c>
      <c r="C1733" s="48"/>
      <c r="D1733" s="48"/>
      <c r="E1733" s="48"/>
      <c r="F1733" s="60"/>
      <c r="G1733" s="60"/>
      <c r="H1733" s="60"/>
      <c r="I1733" s="60"/>
      <c r="J1733" s="60"/>
    </row>
    <row r="1734" spans="1:10" x14ac:dyDescent="0.2">
      <c r="A1734" s="48"/>
      <c r="B1734" s="6" t="s">
        <v>188</v>
      </c>
      <c r="C1734" s="48"/>
      <c r="D1734" s="48"/>
      <c r="E1734" s="48"/>
      <c r="F1734" s="60"/>
      <c r="G1734" s="60"/>
      <c r="H1734" s="60"/>
      <c r="I1734" s="60"/>
      <c r="J1734" s="60"/>
    </row>
    <row r="1735" spans="1:10" x14ac:dyDescent="0.2">
      <c r="A1735" s="47"/>
      <c r="B1735" s="5" t="s">
        <v>189</v>
      </c>
      <c r="C1735" s="47"/>
      <c r="D1735" s="47"/>
      <c r="E1735" s="47"/>
      <c r="F1735" s="59"/>
      <c r="G1735" s="59"/>
      <c r="H1735" s="59"/>
      <c r="I1735" s="59"/>
      <c r="J1735" s="59"/>
    </row>
    <row r="1736" spans="1:10" x14ac:dyDescent="0.2">
      <c r="A1736" s="46" t="s">
        <v>2414</v>
      </c>
      <c r="B1736" s="4" t="s">
        <v>543</v>
      </c>
      <c r="C1736" s="46" t="s">
        <v>8</v>
      </c>
      <c r="D1736" s="46" t="s">
        <v>2415</v>
      </c>
      <c r="E1736" s="46" t="s">
        <v>2415</v>
      </c>
      <c r="F1736" s="58" t="s">
        <v>551</v>
      </c>
      <c r="G1736" s="58">
        <v>0</v>
      </c>
      <c r="H1736" s="58">
        <v>1E-3</v>
      </c>
      <c r="I1736" s="58">
        <v>1</v>
      </c>
      <c r="J1736" s="58">
        <v>0</v>
      </c>
    </row>
    <row r="1737" spans="1:10" x14ac:dyDescent="0.2">
      <c r="A1737" s="48"/>
      <c r="B1737" s="6" t="s">
        <v>544</v>
      </c>
      <c r="C1737" s="48"/>
      <c r="D1737" s="48"/>
      <c r="E1737" s="48"/>
      <c r="F1737" s="60"/>
      <c r="G1737" s="60"/>
      <c r="H1737" s="60"/>
      <c r="I1737" s="60"/>
      <c r="J1737" s="60"/>
    </row>
    <row r="1738" spans="1:10" x14ac:dyDescent="0.2">
      <c r="A1738" s="48"/>
      <c r="B1738" s="6" t="s">
        <v>545</v>
      </c>
      <c r="C1738" s="48"/>
      <c r="D1738" s="48"/>
      <c r="E1738" s="48"/>
      <c r="F1738" s="60"/>
      <c r="G1738" s="60"/>
      <c r="H1738" s="60"/>
      <c r="I1738" s="60"/>
      <c r="J1738" s="60"/>
    </row>
    <row r="1739" spans="1:10" x14ac:dyDescent="0.2">
      <c r="A1739" s="48"/>
      <c r="B1739" s="6" t="s">
        <v>546</v>
      </c>
      <c r="C1739" s="48"/>
      <c r="D1739" s="48"/>
      <c r="E1739" s="48"/>
      <c r="F1739" s="60"/>
      <c r="G1739" s="60"/>
      <c r="H1739" s="60"/>
      <c r="I1739" s="60"/>
      <c r="J1739" s="60"/>
    </row>
    <row r="1740" spans="1:10" x14ac:dyDescent="0.2">
      <c r="A1740" s="48"/>
      <c r="B1740" s="6" t="s">
        <v>547</v>
      </c>
      <c r="C1740" s="48"/>
      <c r="D1740" s="48"/>
      <c r="E1740" s="48"/>
      <c r="F1740" s="60"/>
      <c r="G1740" s="60"/>
      <c r="H1740" s="60"/>
      <c r="I1740" s="60"/>
      <c r="J1740" s="60"/>
    </row>
    <row r="1741" spans="1:10" x14ac:dyDescent="0.2">
      <c r="A1741" s="48"/>
      <c r="B1741" s="6" t="s">
        <v>548</v>
      </c>
      <c r="C1741" s="48"/>
      <c r="D1741" s="48"/>
      <c r="E1741" s="48"/>
      <c r="F1741" s="60"/>
      <c r="G1741" s="60"/>
      <c r="H1741" s="60"/>
      <c r="I1741" s="60"/>
      <c r="J1741" s="60"/>
    </row>
    <row r="1742" spans="1:10" x14ac:dyDescent="0.2">
      <c r="A1742" s="48"/>
      <c r="B1742" s="6" t="s">
        <v>549</v>
      </c>
      <c r="C1742" s="48"/>
      <c r="D1742" s="48"/>
      <c r="E1742" s="48"/>
      <c r="F1742" s="60"/>
      <c r="G1742" s="60"/>
      <c r="H1742" s="60"/>
      <c r="I1742" s="60"/>
      <c r="J1742" s="60"/>
    </row>
    <row r="1743" spans="1:10" x14ac:dyDescent="0.2">
      <c r="A1743" s="47"/>
      <c r="B1743" s="5" t="s">
        <v>550</v>
      </c>
      <c r="C1743" s="47"/>
      <c r="D1743" s="47"/>
      <c r="E1743" s="47"/>
      <c r="F1743" s="59"/>
      <c r="G1743" s="59"/>
      <c r="H1743" s="59"/>
      <c r="I1743" s="59"/>
      <c r="J1743" s="59"/>
    </row>
    <row r="1744" spans="1:10" ht="28.5" x14ac:dyDescent="0.2">
      <c r="A1744" s="3" t="s">
        <v>2416</v>
      </c>
      <c r="B1744" s="3" t="s">
        <v>568</v>
      </c>
      <c r="C1744" s="3" t="s">
        <v>8</v>
      </c>
      <c r="D1744" s="3" t="s">
        <v>2417</v>
      </c>
      <c r="E1744" s="3" t="s">
        <v>2417</v>
      </c>
      <c r="F1744" s="1" t="s">
        <v>569</v>
      </c>
      <c r="G1744" s="1">
        <v>0</v>
      </c>
      <c r="H1744" s="1">
        <v>1E-3</v>
      </c>
      <c r="I1744" s="1">
        <v>1</v>
      </c>
      <c r="J1744" s="1">
        <v>0</v>
      </c>
    </row>
    <row r="1745" spans="1:10" x14ac:dyDescent="0.2">
      <c r="A1745" s="46" t="s">
        <v>2064</v>
      </c>
      <c r="B1745" s="46" t="s">
        <v>469</v>
      </c>
      <c r="C1745" s="46" t="s">
        <v>8</v>
      </c>
      <c r="D1745" s="4" t="s">
        <v>2418</v>
      </c>
      <c r="E1745" s="46" t="s">
        <v>2067</v>
      </c>
      <c r="F1745" s="58" t="s">
        <v>470</v>
      </c>
      <c r="G1745" s="58">
        <v>0</v>
      </c>
      <c r="H1745" s="58">
        <v>31558150000000</v>
      </c>
      <c r="I1745" s="58">
        <v>1</v>
      </c>
      <c r="J1745" s="58">
        <v>0</v>
      </c>
    </row>
    <row r="1746" spans="1:10" ht="28.5" x14ac:dyDescent="0.2">
      <c r="A1746" s="47"/>
      <c r="B1746" s="47"/>
      <c r="C1746" s="47"/>
      <c r="D1746" s="5" t="s">
        <v>763</v>
      </c>
      <c r="E1746" s="47"/>
      <c r="F1746" s="59"/>
      <c r="G1746" s="59"/>
      <c r="H1746" s="59"/>
      <c r="I1746" s="59"/>
      <c r="J1746" s="59"/>
    </row>
    <row r="1747" spans="1:10" x14ac:dyDescent="0.2">
      <c r="A1747" s="46" t="s">
        <v>2419</v>
      </c>
      <c r="B1747" s="4" t="s">
        <v>163</v>
      </c>
      <c r="C1747" s="46" t="s">
        <v>8</v>
      </c>
      <c r="D1747" s="46" t="s">
        <v>2420</v>
      </c>
      <c r="E1747" s="46" t="s">
        <v>2420</v>
      </c>
      <c r="F1747" s="58" t="s">
        <v>168</v>
      </c>
      <c r="G1747" s="58">
        <v>0</v>
      </c>
      <c r="H1747" s="58">
        <v>1</v>
      </c>
      <c r="I1747" s="58">
        <v>1</v>
      </c>
      <c r="J1747" s="58">
        <v>0</v>
      </c>
    </row>
    <row r="1748" spans="1:10" x14ac:dyDescent="0.2">
      <c r="A1748" s="48"/>
      <c r="B1748" s="6" t="s">
        <v>164</v>
      </c>
      <c r="C1748" s="48"/>
      <c r="D1748" s="48"/>
      <c r="E1748" s="48"/>
      <c r="F1748" s="60"/>
      <c r="G1748" s="60"/>
      <c r="H1748" s="60"/>
      <c r="I1748" s="60"/>
      <c r="J1748" s="60"/>
    </row>
    <row r="1749" spans="1:10" x14ac:dyDescent="0.2">
      <c r="A1749" s="47"/>
      <c r="B1749" s="5" t="s">
        <v>165</v>
      </c>
      <c r="C1749" s="47"/>
      <c r="D1749" s="47"/>
      <c r="E1749" s="47"/>
      <c r="F1749" s="59"/>
      <c r="G1749" s="59"/>
      <c r="H1749" s="59"/>
      <c r="I1749" s="59"/>
      <c r="J1749" s="59"/>
    </row>
    <row r="1750" spans="1:10" ht="42.75" x14ac:dyDescent="0.2">
      <c r="A1750" s="3" t="s">
        <v>2421</v>
      </c>
      <c r="B1750" s="3" t="s">
        <v>1657</v>
      </c>
      <c r="C1750" s="3" t="s">
        <v>8</v>
      </c>
      <c r="D1750" s="3" t="s">
        <v>2422</v>
      </c>
      <c r="E1750" s="3" t="s">
        <v>2422</v>
      </c>
      <c r="F1750" s="1" t="s">
        <v>379</v>
      </c>
      <c r="G1750" s="1">
        <v>0</v>
      </c>
      <c r="H1750" s="1">
        <v>1</v>
      </c>
      <c r="I1750" s="1">
        <v>1</v>
      </c>
      <c r="J1750" s="1">
        <v>0</v>
      </c>
    </row>
    <row r="1751" spans="1:10" ht="57" x14ac:dyDescent="0.2">
      <c r="A1751" s="3" t="s">
        <v>2423</v>
      </c>
      <c r="B1751" s="3" t="s">
        <v>419</v>
      </c>
      <c r="C1751" s="3" t="s">
        <v>8</v>
      </c>
      <c r="D1751" s="3" t="s">
        <v>2424</v>
      </c>
      <c r="E1751" s="3" t="s">
        <v>2424</v>
      </c>
      <c r="F1751" s="1" t="s">
        <v>421</v>
      </c>
      <c r="G1751" s="1">
        <v>0</v>
      </c>
      <c r="H1751" s="1">
        <v>1</v>
      </c>
      <c r="I1751" s="1">
        <v>1</v>
      </c>
      <c r="J1751" s="1">
        <v>0</v>
      </c>
    </row>
    <row r="1752" spans="1:10" ht="42.75" x14ac:dyDescent="0.2">
      <c r="A1752" s="3" t="s">
        <v>2425</v>
      </c>
      <c r="B1752" s="3" t="s">
        <v>385</v>
      </c>
      <c r="C1752" s="3" t="s">
        <v>8</v>
      </c>
      <c r="D1752" s="3" t="s">
        <v>2426</v>
      </c>
      <c r="E1752" s="3"/>
      <c r="F1752" s="1" t="s">
        <v>387</v>
      </c>
      <c r="G1752" s="1">
        <v>0</v>
      </c>
      <c r="H1752" s="1">
        <v>1</v>
      </c>
      <c r="I1752" s="1">
        <v>30</v>
      </c>
      <c r="J1752" s="1">
        <v>0</v>
      </c>
    </row>
    <row r="1753" spans="1:10" x14ac:dyDescent="0.2">
      <c r="A1753" s="46" t="s">
        <v>2427</v>
      </c>
      <c r="B1753" s="4" t="s">
        <v>414</v>
      </c>
      <c r="C1753" s="46" t="s">
        <v>8</v>
      </c>
      <c r="D1753" s="46" t="s">
        <v>2428</v>
      </c>
      <c r="E1753" s="46" t="s">
        <v>2428</v>
      </c>
      <c r="F1753" s="58" t="s">
        <v>416</v>
      </c>
      <c r="G1753" s="58">
        <v>0</v>
      </c>
      <c r="H1753" s="58">
        <v>1</v>
      </c>
      <c r="I1753" s="58">
        <v>1</v>
      </c>
      <c r="J1753" s="58">
        <v>0</v>
      </c>
    </row>
    <row r="1754" spans="1:10" x14ac:dyDescent="0.2">
      <c r="A1754" s="47"/>
      <c r="B1754" s="5" t="s">
        <v>415</v>
      </c>
      <c r="C1754" s="47"/>
      <c r="D1754" s="47"/>
      <c r="E1754" s="47"/>
      <c r="F1754" s="59"/>
      <c r="G1754" s="59"/>
      <c r="H1754" s="59"/>
      <c r="I1754" s="59"/>
      <c r="J1754" s="59"/>
    </row>
    <row r="1755" spans="1:10" x14ac:dyDescent="0.2">
      <c r="A1755" s="46" t="s">
        <v>2429</v>
      </c>
      <c r="B1755" s="4" t="s">
        <v>414</v>
      </c>
      <c r="C1755" s="46" t="s">
        <v>8</v>
      </c>
      <c r="D1755" s="46" t="s">
        <v>2430</v>
      </c>
      <c r="E1755" s="46" t="s">
        <v>2430</v>
      </c>
      <c r="F1755" s="58" t="s">
        <v>416</v>
      </c>
      <c r="G1755" s="58">
        <v>0</v>
      </c>
      <c r="H1755" s="58">
        <v>1000000</v>
      </c>
      <c r="I1755" s="58">
        <v>1</v>
      </c>
      <c r="J1755" s="58">
        <v>0</v>
      </c>
    </row>
    <row r="1756" spans="1:10" x14ac:dyDescent="0.2">
      <c r="A1756" s="47"/>
      <c r="B1756" s="5" t="s">
        <v>415</v>
      </c>
      <c r="C1756" s="47"/>
      <c r="D1756" s="47"/>
      <c r="E1756" s="47"/>
      <c r="F1756" s="59"/>
      <c r="G1756" s="59"/>
      <c r="H1756" s="59"/>
      <c r="I1756" s="59"/>
      <c r="J1756" s="59"/>
    </row>
    <row r="1757" spans="1:10" x14ac:dyDescent="0.2">
      <c r="A1757" s="46" t="s">
        <v>2431</v>
      </c>
      <c r="B1757" s="4" t="s">
        <v>43</v>
      </c>
      <c r="C1757" s="46" t="s">
        <v>8</v>
      </c>
      <c r="D1757" s="46" t="s">
        <v>2432</v>
      </c>
      <c r="E1757" s="46" t="s">
        <v>2432</v>
      </c>
      <c r="F1757" s="58" t="s">
        <v>46</v>
      </c>
      <c r="G1757" s="58">
        <v>0</v>
      </c>
      <c r="H1757" s="58">
        <v>1.0000000000000001E-9</v>
      </c>
      <c r="I1757" s="58">
        <v>1</v>
      </c>
      <c r="J1757" s="58">
        <v>0</v>
      </c>
    </row>
    <row r="1758" spans="1:10" x14ac:dyDescent="0.2">
      <c r="A1758" s="48"/>
      <c r="B1758" s="6" t="s">
        <v>44</v>
      </c>
      <c r="C1758" s="48"/>
      <c r="D1758" s="48"/>
      <c r="E1758" s="48"/>
      <c r="F1758" s="60"/>
      <c r="G1758" s="60"/>
      <c r="H1758" s="60"/>
      <c r="I1758" s="60"/>
      <c r="J1758" s="60"/>
    </row>
    <row r="1759" spans="1:10" x14ac:dyDescent="0.2">
      <c r="A1759" s="47"/>
      <c r="B1759" s="5" t="s">
        <v>45</v>
      </c>
      <c r="C1759" s="47"/>
      <c r="D1759" s="47"/>
      <c r="E1759" s="47"/>
      <c r="F1759" s="59"/>
      <c r="G1759" s="59"/>
      <c r="H1759" s="59"/>
      <c r="I1759" s="59"/>
      <c r="J1759" s="59"/>
    </row>
    <row r="1760" spans="1:10" x14ac:dyDescent="0.2">
      <c r="A1760" s="46" t="s">
        <v>2433</v>
      </c>
      <c r="B1760" s="4" t="s">
        <v>277</v>
      </c>
      <c r="C1760" s="46" t="s">
        <v>8</v>
      </c>
      <c r="D1760" s="46" t="s">
        <v>2434</v>
      </c>
      <c r="E1760" s="46"/>
      <c r="F1760" s="58" t="s">
        <v>290</v>
      </c>
      <c r="G1760" s="58">
        <v>0</v>
      </c>
      <c r="H1760" s="58">
        <v>1852</v>
      </c>
      <c r="I1760" s="58">
        <v>1</v>
      </c>
      <c r="J1760" s="58">
        <v>0</v>
      </c>
    </row>
    <row r="1761" spans="1:10" x14ac:dyDescent="0.2">
      <c r="A1761" s="48"/>
      <c r="B1761" s="6" t="s">
        <v>280</v>
      </c>
      <c r="C1761" s="48"/>
      <c r="D1761" s="48"/>
      <c r="E1761" s="48"/>
      <c r="F1761" s="60"/>
      <c r="G1761" s="60"/>
      <c r="H1761" s="60"/>
      <c r="I1761" s="60"/>
      <c r="J1761" s="60"/>
    </row>
    <row r="1762" spans="1:10" x14ac:dyDescent="0.2">
      <c r="A1762" s="48"/>
      <c r="B1762" s="6" t="s">
        <v>284</v>
      </c>
      <c r="C1762" s="48"/>
      <c r="D1762" s="48"/>
      <c r="E1762" s="48"/>
      <c r="F1762" s="60"/>
      <c r="G1762" s="60"/>
      <c r="H1762" s="60"/>
      <c r="I1762" s="60"/>
      <c r="J1762" s="60"/>
    </row>
    <row r="1763" spans="1:10" x14ac:dyDescent="0.2">
      <c r="A1763" s="47"/>
      <c r="B1763" s="5" t="s">
        <v>287</v>
      </c>
      <c r="C1763" s="47"/>
      <c r="D1763" s="47"/>
      <c r="E1763" s="47"/>
      <c r="F1763" s="59"/>
      <c r="G1763" s="59"/>
      <c r="H1763" s="59"/>
      <c r="I1763" s="59"/>
      <c r="J1763" s="59"/>
    </row>
    <row r="1764" spans="1:10" x14ac:dyDescent="0.2">
      <c r="A1764" s="46" t="s">
        <v>2435</v>
      </c>
      <c r="B1764" s="4" t="s">
        <v>90</v>
      </c>
      <c r="C1764" s="46" t="s">
        <v>8</v>
      </c>
      <c r="D1764" s="46" t="s">
        <v>2436</v>
      </c>
      <c r="E1764" s="46" t="s">
        <v>2436</v>
      </c>
      <c r="F1764" s="58" t="s">
        <v>93</v>
      </c>
      <c r="G1764" s="58">
        <v>0</v>
      </c>
      <c r="H1764" s="58">
        <v>1.0000000000000001E-9</v>
      </c>
      <c r="I1764" s="58">
        <v>1</v>
      </c>
      <c r="J1764" s="58">
        <v>0</v>
      </c>
    </row>
    <row r="1765" spans="1:10" x14ac:dyDescent="0.2">
      <c r="A1765" s="48"/>
      <c r="B1765" s="6" t="s">
        <v>91</v>
      </c>
      <c r="C1765" s="48"/>
      <c r="D1765" s="48"/>
      <c r="E1765" s="48"/>
      <c r="F1765" s="60"/>
      <c r="G1765" s="60"/>
      <c r="H1765" s="60"/>
      <c r="I1765" s="60"/>
      <c r="J1765" s="60"/>
    </row>
    <row r="1766" spans="1:10" x14ac:dyDescent="0.2">
      <c r="A1766" s="47"/>
      <c r="B1766" s="5" t="s">
        <v>92</v>
      </c>
      <c r="C1766" s="47"/>
      <c r="D1766" s="47"/>
      <c r="E1766" s="47"/>
      <c r="F1766" s="59"/>
      <c r="G1766" s="59"/>
      <c r="H1766" s="59"/>
      <c r="I1766" s="59"/>
      <c r="J1766" s="59"/>
    </row>
    <row r="1767" spans="1:10" x14ac:dyDescent="0.2">
      <c r="A1767" s="3"/>
      <c r="B1767" s="3" t="s">
        <v>80</v>
      </c>
      <c r="C1767" s="3" t="s">
        <v>8</v>
      </c>
      <c r="D1767" s="3" t="s">
        <v>2437</v>
      </c>
      <c r="E1767" s="3" t="s">
        <v>2437</v>
      </c>
      <c r="F1767" s="1" t="s">
        <v>81</v>
      </c>
      <c r="G1767" s="1">
        <v>0</v>
      </c>
      <c r="H1767" s="1">
        <v>37</v>
      </c>
      <c r="I1767" s="1">
        <v>1</v>
      </c>
      <c r="J1767" s="1">
        <v>0</v>
      </c>
    </row>
    <row r="1768" spans="1:10" x14ac:dyDescent="0.2">
      <c r="A1768" s="46" t="s">
        <v>2438</v>
      </c>
      <c r="B1768" s="46" t="s">
        <v>80</v>
      </c>
      <c r="C1768" s="46" t="s">
        <v>8</v>
      </c>
      <c r="D1768" s="4" t="s">
        <v>2439</v>
      </c>
      <c r="E1768" s="46"/>
      <c r="F1768" s="58" t="s">
        <v>81</v>
      </c>
      <c r="G1768" s="58">
        <v>0</v>
      </c>
      <c r="H1768" s="58">
        <v>37</v>
      </c>
      <c r="I1768" s="58">
        <v>1</v>
      </c>
      <c r="J1768" s="58">
        <v>0</v>
      </c>
    </row>
    <row r="1769" spans="1:10" ht="28.5" x14ac:dyDescent="0.2">
      <c r="A1769" s="47"/>
      <c r="B1769" s="47"/>
      <c r="C1769" s="47"/>
      <c r="D1769" s="5" t="s">
        <v>763</v>
      </c>
      <c r="E1769" s="47"/>
      <c r="F1769" s="59"/>
      <c r="G1769" s="59"/>
      <c r="H1769" s="59"/>
      <c r="I1769" s="59"/>
      <c r="J1769" s="59"/>
    </row>
    <row r="1770" spans="1:10" x14ac:dyDescent="0.2">
      <c r="A1770" s="46" t="s">
        <v>2440</v>
      </c>
      <c r="B1770" s="4" t="s">
        <v>125</v>
      </c>
      <c r="C1770" s="46" t="s">
        <v>8</v>
      </c>
      <c r="D1770" s="46" t="s">
        <v>2441</v>
      </c>
      <c r="E1770" s="46"/>
      <c r="F1770" s="58" t="s">
        <v>131</v>
      </c>
      <c r="G1770" s="58">
        <v>0</v>
      </c>
      <c r="H1770" s="58">
        <v>1.0000000000000001E-9</v>
      </c>
      <c r="I1770" s="58">
        <v>1</v>
      </c>
      <c r="J1770" s="58">
        <v>0</v>
      </c>
    </row>
    <row r="1771" spans="1:10" x14ac:dyDescent="0.2">
      <c r="A1771" s="47"/>
      <c r="B1771" s="5" t="s">
        <v>130</v>
      </c>
      <c r="C1771" s="47"/>
      <c r="D1771" s="47"/>
      <c r="E1771" s="47"/>
      <c r="F1771" s="59"/>
      <c r="G1771" s="59"/>
      <c r="H1771" s="59"/>
      <c r="I1771" s="59"/>
      <c r="J1771" s="59"/>
    </row>
    <row r="1772" spans="1:10" x14ac:dyDescent="0.2">
      <c r="A1772" s="46" t="s">
        <v>2442</v>
      </c>
      <c r="B1772" s="4" t="s">
        <v>152</v>
      </c>
      <c r="C1772" s="46" t="s">
        <v>8</v>
      </c>
      <c r="D1772" s="46" t="s">
        <v>2443</v>
      </c>
      <c r="E1772" s="46" t="s">
        <v>2443</v>
      </c>
      <c r="F1772" s="58" t="s">
        <v>154</v>
      </c>
      <c r="G1772" s="58">
        <v>0</v>
      </c>
      <c r="H1772" s="58">
        <v>1.0000000000000001E-9</v>
      </c>
      <c r="I1772" s="58">
        <v>1</v>
      </c>
      <c r="J1772" s="58">
        <v>0</v>
      </c>
    </row>
    <row r="1773" spans="1:10" x14ac:dyDescent="0.2">
      <c r="A1773" s="47"/>
      <c r="B1773" s="5" t="s">
        <v>153</v>
      </c>
      <c r="C1773" s="47"/>
      <c r="D1773" s="47"/>
      <c r="E1773" s="47"/>
      <c r="F1773" s="59"/>
      <c r="G1773" s="59"/>
      <c r="H1773" s="59"/>
      <c r="I1773" s="59"/>
      <c r="J1773" s="59"/>
    </row>
    <row r="1774" spans="1:10" x14ac:dyDescent="0.2">
      <c r="A1774" s="46" t="s">
        <v>2444</v>
      </c>
      <c r="B1774" s="4" t="s">
        <v>166</v>
      </c>
      <c r="C1774" s="46" t="s">
        <v>8</v>
      </c>
      <c r="D1774" s="46" t="s">
        <v>2445</v>
      </c>
      <c r="E1774" s="46" t="s">
        <v>2445</v>
      </c>
      <c r="F1774" s="58" t="s">
        <v>168</v>
      </c>
      <c r="G1774" s="58">
        <v>0</v>
      </c>
      <c r="H1774" s="58">
        <v>1.0000000000000001E-9</v>
      </c>
      <c r="I1774" s="58">
        <v>1</v>
      </c>
      <c r="J1774" s="58">
        <v>0</v>
      </c>
    </row>
    <row r="1775" spans="1:10" x14ac:dyDescent="0.2">
      <c r="A1775" s="47"/>
      <c r="B1775" s="5" t="s">
        <v>167</v>
      </c>
      <c r="C1775" s="47"/>
      <c r="D1775" s="47"/>
      <c r="E1775" s="47"/>
      <c r="F1775" s="59"/>
      <c r="G1775" s="59"/>
      <c r="H1775" s="59"/>
      <c r="I1775" s="59"/>
      <c r="J1775" s="59"/>
    </row>
    <row r="1776" spans="1:10" x14ac:dyDescent="0.2">
      <c r="A1776" s="46" t="s">
        <v>2446</v>
      </c>
      <c r="B1776" s="4" t="s">
        <v>277</v>
      </c>
      <c r="C1776" s="46" t="s">
        <v>8</v>
      </c>
      <c r="D1776" s="46" t="s">
        <v>2447</v>
      </c>
      <c r="E1776" s="46" t="s">
        <v>2447</v>
      </c>
      <c r="F1776" s="58" t="s">
        <v>290</v>
      </c>
      <c r="G1776" s="58">
        <v>0</v>
      </c>
      <c r="H1776" s="58">
        <v>1.0000000000000001E-9</v>
      </c>
      <c r="I1776" s="58">
        <v>1</v>
      </c>
      <c r="J1776" s="58">
        <v>0</v>
      </c>
    </row>
    <row r="1777" spans="1:10" x14ac:dyDescent="0.2">
      <c r="A1777" s="48"/>
      <c r="B1777" s="6" t="s">
        <v>278</v>
      </c>
      <c r="C1777" s="48"/>
      <c r="D1777" s="48"/>
      <c r="E1777" s="48"/>
      <c r="F1777" s="60"/>
      <c r="G1777" s="60"/>
      <c r="H1777" s="60"/>
      <c r="I1777" s="60"/>
      <c r="J1777" s="60"/>
    </row>
    <row r="1778" spans="1:10" x14ac:dyDescent="0.2">
      <c r="A1778" s="48"/>
      <c r="B1778" s="6" t="s">
        <v>279</v>
      </c>
      <c r="C1778" s="48"/>
      <c r="D1778" s="48"/>
      <c r="E1778" s="48"/>
      <c r="F1778" s="60"/>
      <c r="G1778" s="60"/>
      <c r="H1778" s="60"/>
      <c r="I1778" s="60"/>
      <c r="J1778" s="60"/>
    </row>
    <row r="1779" spans="1:10" x14ac:dyDescent="0.2">
      <c r="A1779" s="48"/>
      <c r="B1779" s="6" t="s">
        <v>281</v>
      </c>
      <c r="C1779" s="48"/>
      <c r="D1779" s="48"/>
      <c r="E1779" s="48"/>
      <c r="F1779" s="60"/>
      <c r="G1779" s="60"/>
      <c r="H1779" s="60"/>
      <c r="I1779" s="60"/>
      <c r="J1779" s="60"/>
    </row>
    <row r="1780" spans="1:10" x14ac:dyDescent="0.2">
      <c r="A1780" s="48"/>
      <c r="B1780" s="6" t="s">
        <v>282</v>
      </c>
      <c r="C1780" s="48"/>
      <c r="D1780" s="48"/>
      <c r="E1780" s="48"/>
      <c r="F1780" s="60"/>
      <c r="G1780" s="60"/>
      <c r="H1780" s="60"/>
      <c r="I1780" s="60"/>
      <c r="J1780" s="60"/>
    </row>
    <row r="1781" spans="1:10" x14ac:dyDescent="0.2">
      <c r="A1781" s="48"/>
      <c r="B1781" s="6" t="s">
        <v>283</v>
      </c>
      <c r="C1781" s="48"/>
      <c r="D1781" s="48"/>
      <c r="E1781" s="48"/>
      <c r="F1781" s="60"/>
      <c r="G1781" s="60"/>
      <c r="H1781" s="60"/>
      <c r="I1781" s="60"/>
      <c r="J1781" s="60"/>
    </row>
    <row r="1782" spans="1:10" x14ac:dyDescent="0.2">
      <c r="A1782" s="48"/>
      <c r="B1782" s="6" t="s">
        <v>285</v>
      </c>
      <c r="C1782" s="48"/>
      <c r="D1782" s="48"/>
      <c r="E1782" s="48"/>
      <c r="F1782" s="60"/>
      <c r="G1782" s="60"/>
      <c r="H1782" s="60"/>
      <c r="I1782" s="60"/>
      <c r="J1782" s="60"/>
    </row>
    <row r="1783" spans="1:10" x14ac:dyDescent="0.2">
      <c r="A1783" s="48"/>
      <c r="B1783" s="6" t="s">
        <v>286</v>
      </c>
      <c r="C1783" s="48"/>
      <c r="D1783" s="48"/>
      <c r="E1783" s="48"/>
      <c r="F1783" s="60"/>
      <c r="G1783" s="60"/>
      <c r="H1783" s="60"/>
      <c r="I1783" s="60"/>
      <c r="J1783" s="60"/>
    </row>
    <row r="1784" spans="1:10" x14ac:dyDescent="0.2">
      <c r="A1784" s="48"/>
      <c r="B1784" s="6" t="s">
        <v>288</v>
      </c>
      <c r="C1784" s="48"/>
      <c r="D1784" s="48"/>
      <c r="E1784" s="48"/>
      <c r="F1784" s="60"/>
      <c r="G1784" s="60"/>
      <c r="H1784" s="60"/>
      <c r="I1784" s="60"/>
      <c r="J1784" s="60"/>
    </row>
    <row r="1785" spans="1:10" x14ac:dyDescent="0.2">
      <c r="A1785" s="47"/>
      <c r="B1785" s="5" t="s">
        <v>289</v>
      </c>
      <c r="C1785" s="47"/>
      <c r="D1785" s="47"/>
      <c r="E1785" s="47"/>
      <c r="F1785" s="59"/>
      <c r="G1785" s="59"/>
      <c r="H1785" s="59"/>
      <c r="I1785" s="59"/>
      <c r="J1785" s="59"/>
    </row>
    <row r="1786" spans="1:10" ht="42.75" x14ac:dyDescent="0.2">
      <c r="A1786" s="3" t="s">
        <v>2448</v>
      </c>
      <c r="B1786" s="3" t="s">
        <v>296</v>
      </c>
      <c r="C1786" s="3" t="s">
        <v>8</v>
      </c>
      <c r="D1786" s="3" t="s">
        <v>2449</v>
      </c>
      <c r="E1786" s="3" t="s">
        <v>2449</v>
      </c>
      <c r="F1786" s="1" t="s">
        <v>297</v>
      </c>
      <c r="G1786" s="1">
        <v>0</v>
      </c>
      <c r="H1786" s="1">
        <v>1.0000000000000001E-9</v>
      </c>
      <c r="I1786" s="1">
        <v>1</v>
      </c>
      <c r="J1786" s="1">
        <v>0</v>
      </c>
    </row>
    <row r="1787" spans="1:10" x14ac:dyDescent="0.2">
      <c r="A1787" s="46" t="s">
        <v>2450</v>
      </c>
      <c r="B1787" s="4" t="s">
        <v>404</v>
      </c>
      <c r="C1787" s="46" t="s">
        <v>8</v>
      </c>
      <c r="D1787" s="46" t="s">
        <v>2451</v>
      </c>
      <c r="E1787" s="46" t="s">
        <v>2451</v>
      </c>
      <c r="F1787" s="58" t="s">
        <v>403</v>
      </c>
      <c r="G1787" s="58">
        <v>0</v>
      </c>
      <c r="H1787" s="58">
        <v>1.0000000000000001E-9</v>
      </c>
      <c r="I1787" s="58">
        <v>1</v>
      </c>
      <c r="J1787" s="58">
        <v>0</v>
      </c>
    </row>
    <row r="1788" spans="1:10" x14ac:dyDescent="0.2">
      <c r="A1788" s="47"/>
      <c r="B1788" s="5" t="s">
        <v>405</v>
      </c>
      <c r="C1788" s="47"/>
      <c r="D1788" s="47"/>
      <c r="E1788" s="47"/>
      <c r="F1788" s="59"/>
      <c r="G1788" s="59"/>
      <c r="H1788" s="59"/>
      <c r="I1788" s="59"/>
      <c r="J1788" s="59"/>
    </row>
    <row r="1789" spans="1:10" ht="28.5" x14ac:dyDescent="0.2">
      <c r="A1789" s="3" t="s">
        <v>2452</v>
      </c>
      <c r="B1789" s="3" t="s">
        <v>469</v>
      </c>
      <c r="C1789" s="3" t="s">
        <v>8</v>
      </c>
      <c r="D1789" s="3" t="s">
        <v>2453</v>
      </c>
      <c r="E1789" s="3" t="s">
        <v>2453</v>
      </c>
      <c r="F1789" s="1" t="s">
        <v>470</v>
      </c>
      <c r="G1789" s="1">
        <v>0</v>
      </c>
      <c r="H1789" s="1">
        <v>1.0000000000000001E-9</v>
      </c>
      <c r="I1789" s="1">
        <v>1</v>
      </c>
      <c r="J1789" s="1">
        <v>0</v>
      </c>
    </row>
    <row r="1790" spans="1:10" x14ac:dyDescent="0.2">
      <c r="A1790" s="46" t="s">
        <v>2454</v>
      </c>
      <c r="B1790" s="4" t="s">
        <v>476</v>
      </c>
      <c r="C1790" s="46" t="s">
        <v>8</v>
      </c>
      <c r="D1790" s="46" t="s">
        <v>2455</v>
      </c>
      <c r="E1790" s="46" t="s">
        <v>2455</v>
      </c>
      <c r="F1790" s="58" t="s">
        <v>479</v>
      </c>
      <c r="G1790" s="58">
        <v>0</v>
      </c>
      <c r="H1790" s="58">
        <v>1.0000000000000001E-9</v>
      </c>
      <c r="I1790" s="58">
        <v>0.30480000000000002</v>
      </c>
      <c r="J1790" s="58">
        <v>0</v>
      </c>
    </row>
    <row r="1791" spans="1:10" x14ac:dyDescent="0.2">
      <c r="A1791" s="47"/>
      <c r="B1791" s="5" t="s">
        <v>477</v>
      </c>
      <c r="C1791" s="47"/>
      <c r="D1791" s="47"/>
      <c r="E1791" s="47"/>
      <c r="F1791" s="59"/>
      <c r="G1791" s="59"/>
      <c r="H1791" s="59"/>
      <c r="I1791" s="59"/>
      <c r="J1791" s="59"/>
    </row>
    <row r="1792" spans="1:10" x14ac:dyDescent="0.2">
      <c r="A1792" s="46" t="s">
        <v>2456</v>
      </c>
      <c r="B1792" s="4" t="s">
        <v>476</v>
      </c>
      <c r="C1792" s="46" t="s">
        <v>8</v>
      </c>
      <c r="D1792" s="46" t="s">
        <v>2457</v>
      </c>
      <c r="E1792" s="46" t="s">
        <v>2457</v>
      </c>
      <c r="F1792" s="58" t="s">
        <v>479</v>
      </c>
      <c r="G1792" s="58">
        <v>0</v>
      </c>
      <c r="H1792" s="58">
        <v>1.0000000000000001E-9</v>
      </c>
      <c r="I1792" s="58">
        <v>1</v>
      </c>
      <c r="J1792" s="58">
        <v>0</v>
      </c>
    </row>
    <row r="1793" spans="1:10" x14ac:dyDescent="0.2">
      <c r="A1793" s="47"/>
      <c r="B1793" s="5" t="s">
        <v>477</v>
      </c>
      <c r="C1793" s="47"/>
      <c r="D1793" s="47"/>
      <c r="E1793" s="47"/>
      <c r="F1793" s="59"/>
      <c r="G1793" s="59"/>
      <c r="H1793" s="59"/>
      <c r="I1793" s="59"/>
      <c r="J1793" s="59"/>
    </row>
    <row r="1794" spans="1:10" x14ac:dyDescent="0.2">
      <c r="A1794" s="46" t="s">
        <v>2458</v>
      </c>
      <c r="B1794" s="4" t="s">
        <v>516</v>
      </c>
      <c r="C1794" s="46" t="s">
        <v>8</v>
      </c>
      <c r="D1794" s="46" t="s">
        <v>2459</v>
      </c>
      <c r="E1794" s="46" t="s">
        <v>2459</v>
      </c>
      <c r="F1794" s="58" t="s">
        <v>518</v>
      </c>
      <c r="G1794" s="58">
        <v>0</v>
      </c>
      <c r="H1794" s="58">
        <v>1.0000000000000001E-9</v>
      </c>
      <c r="I1794" s="58">
        <v>1</v>
      </c>
      <c r="J1794" s="58">
        <v>0</v>
      </c>
    </row>
    <row r="1795" spans="1:10" x14ac:dyDescent="0.2">
      <c r="A1795" s="47"/>
      <c r="B1795" s="5" t="s">
        <v>517</v>
      </c>
      <c r="C1795" s="47"/>
      <c r="D1795" s="47"/>
      <c r="E1795" s="47"/>
      <c r="F1795" s="59"/>
      <c r="G1795" s="59"/>
      <c r="H1795" s="59"/>
      <c r="I1795" s="59"/>
      <c r="J1795" s="59"/>
    </row>
    <row r="1796" spans="1:10" x14ac:dyDescent="0.2">
      <c r="A1796" s="46" t="s">
        <v>2460</v>
      </c>
      <c r="B1796" s="4" t="s">
        <v>531</v>
      </c>
      <c r="C1796" s="46" t="s">
        <v>8</v>
      </c>
      <c r="D1796" s="46" t="s">
        <v>2461</v>
      </c>
      <c r="E1796" s="46" t="s">
        <v>2461</v>
      </c>
      <c r="F1796" s="58" t="s">
        <v>533</v>
      </c>
      <c r="G1796" s="58">
        <v>0</v>
      </c>
      <c r="H1796" s="58">
        <v>1.0000000000000001E-9</v>
      </c>
      <c r="I1796" s="58">
        <v>1</v>
      </c>
      <c r="J1796" s="58">
        <v>0</v>
      </c>
    </row>
    <row r="1797" spans="1:10" x14ac:dyDescent="0.2">
      <c r="A1797" s="47"/>
      <c r="B1797" s="5" t="s">
        <v>532</v>
      </c>
      <c r="C1797" s="47"/>
      <c r="D1797" s="47"/>
      <c r="E1797" s="47"/>
      <c r="F1797" s="59"/>
      <c r="G1797" s="59"/>
      <c r="H1797" s="59"/>
      <c r="I1797" s="59"/>
      <c r="J1797" s="59"/>
    </row>
    <row r="1798" spans="1:10" x14ac:dyDescent="0.2">
      <c r="A1798" s="46" t="s">
        <v>2462</v>
      </c>
      <c r="B1798" s="4" t="s">
        <v>52</v>
      </c>
      <c r="C1798" s="46" t="s">
        <v>8</v>
      </c>
      <c r="D1798" s="46" t="s">
        <v>2463</v>
      </c>
      <c r="E1798" s="46" t="s">
        <v>2463</v>
      </c>
      <c r="F1798" s="58" t="s">
        <v>55</v>
      </c>
      <c r="G1798" s="58">
        <v>0</v>
      </c>
      <c r="H1798" s="58">
        <v>79.577470000000005</v>
      </c>
      <c r="I1798" s="58">
        <v>1</v>
      </c>
      <c r="J1798" s="58">
        <v>0</v>
      </c>
    </row>
    <row r="1799" spans="1:10" x14ac:dyDescent="0.2">
      <c r="A1799" s="48"/>
      <c r="B1799" s="6" t="s">
        <v>53</v>
      </c>
      <c r="C1799" s="48"/>
      <c r="D1799" s="48"/>
      <c r="E1799" s="48"/>
      <c r="F1799" s="60"/>
      <c r="G1799" s="60"/>
      <c r="H1799" s="60"/>
      <c r="I1799" s="60"/>
      <c r="J1799" s="60"/>
    </row>
    <row r="1800" spans="1:10" x14ac:dyDescent="0.2">
      <c r="A1800" s="47"/>
      <c r="B1800" s="5" t="s">
        <v>54</v>
      </c>
      <c r="C1800" s="47"/>
      <c r="D1800" s="47"/>
      <c r="E1800" s="47"/>
      <c r="F1800" s="59"/>
      <c r="G1800" s="59"/>
      <c r="H1800" s="59"/>
      <c r="I1800" s="59"/>
      <c r="J1800" s="59"/>
    </row>
    <row r="1801" spans="1:10" ht="42.75" x14ac:dyDescent="0.2">
      <c r="A1801" s="3" t="s">
        <v>2464</v>
      </c>
      <c r="B1801" s="3" t="s">
        <v>408</v>
      </c>
      <c r="C1801" s="3" t="s">
        <v>8</v>
      </c>
      <c r="D1801" s="3" t="s">
        <v>2465</v>
      </c>
      <c r="E1801" s="3" t="s">
        <v>2465</v>
      </c>
      <c r="F1801" s="1" t="s">
        <v>409</v>
      </c>
      <c r="G1801" s="1">
        <v>0</v>
      </c>
      <c r="H1801" s="1">
        <v>0.01</v>
      </c>
      <c r="I1801" s="1">
        <v>1</v>
      </c>
      <c r="J1801" s="1">
        <v>0</v>
      </c>
    </row>
    <row r="1802" spans="1:10" ht="28.5" x14ac:dyDescent="0.2">
      <c r="A1802" s="3" t="s">
        <v>2466</v>
      </c>
      <c r="B1802" s="3" t="s">
        <v>220</v>
      </c>
      <c r="C1802" s="3" t="s">
        <v>8</v>
      </c>
      <c r="D1802" s="3" t="s">
        <v>2467</v>
      </c>
      <c r="E1802" s="3"/>
      <c r="F1802" s="1" t="s">
        <v>221</v>
      </c>
      <c r="G1802" s="1">
        <v>0</v>
      </c>
      <c r="H1802" s="1">
        <v>2.834952E-2</v>
      </c>
      <c r="I1802" s="1">
        <v>1</v>
      </c>
      <c r="J1802" s="1">
        <v>0</v>
      </c>
    </row>
    <row r="1803" spans="1:10" ht="28.5" x14ac:dyDescent="0.2">
      <c r="A1803" s="3" t="s">
        <v>2468</v>
      </c>
      <c r="B1803" s="3" t="s">
        <v>220</v>
      </c>
      <c r="C1803" s="3" t="s">
        <v>8</v>
      </c>
      <c r="D1803" s="3" t="s">
        <v>2469</v>
      </c>
      <c r="E1803" s="3"/>
      <c r="F1803" s="1" t="s">
        <v>221</v>
      </c>
      <c r="G1803" s="1">
        <v>0</v>
      </c>
      <c r="H1803" s="1">
        <v>3.1103479999999999E-2</v>
      </c>
      <c r="I1803" s="1">
        <v>1</v>
      </c>
      <c r="J1803" s="1">
        <v>0</v>
      </c>
    </row>
    <row r="1804" spans="1:10" ht="28.5" x14ac:dyDescent="0.2">
      <c r="A1804" s="3" t="s">
        <v>2470</v>
      </c>
      <c r="B1804" s="3" t="s">
        <v>378</v>
      </c>
      <c r="C1804" s="3" t="s">
        <v>8</v>
      </c>
      <c r="D1804" s="3" t="s">
        <v>2471</v>
      </c>
      <c r="E1804" s="3" t="s">
        <v>2471</v>
      </c>
      <c r="F1804" s="1" t="s">
        <v>379</v>
      </c>
      <c r="G1804" s="1">
        <v>0</v>
      </c>
      <c r="H1804" s="1">
        <v>4.4482220000000003</v>
      </c>
      <c r="I1804" s="1">
        <v>16</v>
      </c>
      <c r="J1804" s="1">
        <v>0</v>
      </c>
    </row>
    <row r="1805" spans="1:10" ht="28.5" x14ac:dyDescent="0.2">
      <c r="A1805" s="3" t="s">
        <v>2472</v>
      </c>
      <c r="B1805" s="3" t="s">
        <v>220</v>
      </c>
      <c r="C1805" s="3" t="s">
        <v>8</v>
      </c>
      <c r="D1805" s="3" t="s">
        <v>2473</v>
      </c>
      <c r="E1805" s="3" t="s">
        <v>2473</v>
      </c>
      <c r="F1805" s="1" t="s">
        <v>221</v>
      </c>
      <c r="G1805" s="1">
        <v>0</v>
      </c>
      <c r="H1805" s="1">
        <v>0.45359240000000001</v>
      </c>
      <c r="I1805" s="1">
        <v>16</v>
      </c>
      <c r="J1805" s="1">
        <v>0</v>
      </c>
    </row>
    <row r="1806" spans="1:10" x14ac:dyDescent="0.2">
      <c r="A1806" s="3" t="s">
        <v>2474</v>
      </c>
      <c r="B1806" s="3" t="s">
        <v>419</v>
      </c>
      <c r="C1806" s="3" t="s">
        <v>8</v>
      </c>
      <c r="D1806" s="3" t="s">
        <v>2475</v>
      </c>
      <c r="E1806" s="3" t="s">
        <v>2475</v>
      </c>
      <c r="F1806" s="1" t="s">
        <v>421</v>
      </c>
      <c r="G1806" s="1">
        <v>0</v>
      </c>
      <c r="H1806" s="1">
        <v>0.1</v>
      </c>
      <c r="I1806" s="1">
        <v>1</v>
      </c>
      <c r="J1806" s="1">
        <v>0</v>
      </c>
    </row>
    <row r="1807" spans="1:10" x14ac:dyDescent="0.2">
      <c r="A1807" s="46" t="s">
        <v>2476</v>
      </c>
      <c r="B1807" s="4" t="s">
        <v>43</v>
      </c>
      <c r="C1807" s="46" t="s">
        <v>8</v>
      </c>
      <c r="D1807" s="46" t="s">
        <v>2477</v>
      </c>
      <c r="E1807" s="46" t="s">
        <v>2477</v>
      </c>
      <c r="F1807" s="58" t="s">
        <v>46</v>
      </c>
      <c r="G1807" s="58">
        <v>0</v>
      </c>
      <c r="H1807" s="58">
        <v>9.9999999999999998E-13</v>
      </c>
      <c r="I1807" s="58">
        <v>1</v>
      </c>
      <c r="J1807" s="58">
        <v>0</v>
      </c>
    </row>
    <row r="1808" spans="1:10" x14ac:dyDescent="0.2">
      <c r="A1808" s="48"/>
      <c r="B1808" s="6" t="s">
        <v>44</v>
      </c>
      <c r="C1808" s="48"/>
      <c r="D1808" s="48"/>
      <c r="E1808" s="48"/>
      <c r="F1808" s="60"/>
      <c r="G1808" s="60"/>
      <c r="H1808" s="60"/>
      <c r="I1808" s="60"/>
      <c r="J1808" s="60"/>
    </row>
    <row r="1809" spans="1:10" x14ac:dyDescent="0.2">
      <c r="A1809" s="47"/>
      <c r="B1809" s="5" t="s">
        <v>45</v>
      </c>
      <c r="C1809" s="47"/>
      <c r="D1809" s="47"/>
      <c r="E1809" s="47"/>
      <c r="F1809" s="59"/>
      <c r="G1809" s="59"/>
      <c r="H1809" s="59"/>
      <c r="I1809" s="59"/>
      <c r="J1809" s="59"/>
    </row>
    <row r="1810" spans="1:10" ht="71.25" x14ac:dyDescent="0.2">
      <c r="A1810" s="3" t="s">
        <v>2478</v>
      </c>
      <c r="B1810" s="18" t="s">
        <v>254</v>
      </c>
      <c r="C1810" s="3" t="s">
        <v>8</v>
      </c>
      <c r="D1810" s="3" t="s">
        <v>2479</v>
      </c>
      <c r="E1810" s="3" t="s">
        <v>2479</v>
      </c>
      <c r="F1810" s="1" t="s">
        <v>255</v>
      </c>
      <c r="G1810" s="1">
        <v>0</v>
      </c>
      <c r="H1810" s="1">
        <v>1</v>
      </c>
      <c r="I1810" s="1">
        <v>1</v>
      </c>
      <c r="J1810" s="1">
        <v>0</v>
      </c>
    </row>
    <row r="1811" spans="1:10" x14ac:dyDescent="0.2">
      <c r="A1811" s="46" t="s">
        <v>2480</v>
      </c>
      <c r="B1811" s="4" t="s">
        <v>414</v>
      </c>
      <c r="C1811" s="46" t="s">
        <v>8</v>
      </c>
      <c r="D1811" s="46" t="s">
        <v>2481</v>
      </c>
      <c r="E1811" s="46"/>
      <c r="F1811" s="58" t="s">
        <v>416</v>
      </c>
      <c r="G1811" s="58">
        <v>101325</v>
      </c>
      <c r="H1811" s="58">
        <v>1</v>
      </c>
      <c r="I1811" s="58">
        <v>1</v>
      </c>
      <c r="J1811" s="58">
        <v>0</v>
      </c>
    </row>
    <row r="1812" spans="1:10" x14ac:dyDescent="0.2">
      <c r="A1812" s="47"/>
      <c r="B1812" s="5" t="s">
        <v>415</v>
      </c>
      <c r="C1812" s="47"/>
      <c r="D1812" s="47"/>
      <c r="E1812" s="47"/>
      <c r="F1812" s="59"/>
      <c r="G1812" s="59"/>
      <c r="H1812" s="59"/>
      <c r="I1812" s="59"/>
      <c r="J1812" s="59"/>
    </row>
    <row r="1813" spans="1:10" ht="28.5" x14ac:dyDescent="0.2">
      <c r="A1813" s="3" t="s">
        <v>2482</v>
      </c>
      <c r="B1813" s="3" t="s">
        <v>435</v>
      </c>
      <c r="C1813" s="3" t="s">
        <v>8</v>
      </c>
      <c r="D1813" s="3" t="s">
        <v>2483</v>
      </c>
      <c r="E1813" s="3" t="s">
        <v>2483</v>
      </c>
      <c r="F1813" s="1" t="s">
        <v>436</v>
      </c>
      <c r="G1813" s="1">
        <v>0</v>
      </c>
      <c r="H1813" s="1">
        <v>1</v>
      </c>
      <c r="I1813" s="1">
        <v>3600</v>
      </c>
      <c r="J1813" s="1">
        <v>0</v>
      </c>
    </row>
    <row r="1814" spans="1:10" x14ac:dyDescent="0.2">
      <c r="A1814" s="46" t="s">
        <v>2484</v>
      </c>
      <c r="B1814" s="4" t="s">
        <v>90</v>
      </c>
      <c r="C1814" s="46" t="s">
        <v>8</v>
      </c>
      <c r="D1814" s="46" t="s">
        <v>2485</v>
      </c>
      <c r="E1814" s="46" t="s">
        <v>2485</v>
      </c>
      <c r="F1814" s="58" t="s">
        <v>93</v>
      </c>
      <c r="G1814" s="58">
        <v>0</v>
      </c>
      <c r="H1814" s="58">
        <v>9.9999999999999998E-13</v>
      </c>
      <c r="I1814" s="58">
        <v>1</v>
      </c>
      <c r="J1814" s="58">
        <v>0</v>
      </c>
    </row>
    <row r="1815" spans="1:10" x14ac:dyDescent="0.2">
      <c r="A1815" s="48"/>
      <c r="B1815" s="6" t="s">
        <v>91</v>
      </c>
      <c r="C1815" s="48"/>
      <c r="D1815" s="48"/>
      <c r="E1815" s="48"/>
      <c r="F1815" s="60"/>
      <c r="G1815" s="60"/>
      <c r="H1815" s="60"/>
      <c r="I1815" s="60"/>
      <c r="J1815" s="60"/>
    </row>
    <row r="1816" spans="1:10" x14ac:dyDescent="0.2">
      <c r="A1816" s="47"/>
      <c r="B1816" s="5" t="s">
        <v>92</v>
      </c>
      <c r="C1816" s="47"/>
      <c r="D1816" s="47"/>
      <c r="E1816" s="47"/>
      <c r="F1816" s="59"/>
      <c r="G1816" s="59"/>
      <c r="H1816" s="59"/>
      <c r="I1816" s="59"/>
      <c r="J1816" s="59"/>
    </row>
    <row r="1817" spans="1:10" x14ac:dyDescent="0.2">
      <c r="A1817" s="3"/>
      <c r="B1817" s="3" t="s">
        <v>80</v>
      </c>
      <c r="C1817" s="3" t="s">
        <v>8</v>
      </c>
      <c r="D1817" s="3" t="s">
        <v>2486</v>
      </c>
      <c r="E1817" s="3" t="s">
        <v>2486</v>
      </c>
      <c r="F1817" s="1" t="s">
        <v>81</v>
      </c>
      <c r="G1817" s="1">
        <v>0</v>
      </c>
      <c r="H1817" s="1">
        <v>3.6999999999999998E-2</v>
      </c>
      <c r="I1817" s="1">
        <v>1</v>
      </c>
      <c r="J1817" s="1">
        <v>0</v>
      </c>
    </row>
    <row r="1818" spans="1:10" ht="28.5" x14ac:dyDescent="0.2">
      <c r="A1818" s="3" t="s">
        <v>2487</v>
      </c>
      <c r="B1818" s="3" t="s">
        <v>84</v>
      </c>
      <c r="C1818" s="3" t="s">
        <v>8</v>
      </c>
      <c r="D1818" s="3" t="s">
        <v>2488</v>
      </c>
      <c r="E1818" s="3" t="s">
        <v>2488</v>
      </c>
      <c r="F1818" s="1" t="s">
        <v>85</v>
      </c>
      <c r="G1818" s="1">
        <v>0</v>
      </c>
      <c r="H1818" s="1">
        <v>37</v>
      </c>
      <c r="I1818" s="1">
        <v>1</v>
      </c>
      <c r="J1818" s="1">
        <v>0</v>
      </c>
    </row>
    <row r="1819" spans="1:10" x14ac:dyDescent="0.2">
      <c r="A1819" s="46" t="s">
        <v>2489</v>
      </c>
      <c r="B1819" s="46" t="s">
        <v>80</v>
      </c>
      <c r="C1819" s="46" t="s">
        <v>8</v>
      </c>
      <c r="D1819" s="4" t="s">
        <v>2490</v>
      </c>
      <c r="E1819" s="46" t="s">
        <v>2486</v>
      </c>
      <c r="F1819" s="58" t="s">
        <v>81</v>
      </c>
      <c r="G1819" s="58">
        <v>0</v>
      </c>
      <c r="H1819" s="58">
        <v>3.6999999999999998E-2</v>
      </c>
      <c r="I1819" s="58">
        <v>1</v>
      </c>
      <c r="J1819" s="58">
        <v>0</v>
      </c>
    </row>
    <row r="1820" spans="1:10" ht="28.5" x14ac:dyDescent="0.2">
      <c r="A1820" s="47"/>
      <c r="B1820" s="47"/>
      <c r="C1820" s="47"/>
      <c r="D1820" s="5" t="s">
        <v>763</v>
      </c>
      <c r="E1820" s="47"/>
      <c r="F1820" s="59"/>
      <c r="G1820" s="59"/>
      <c r="H1820" s="59"/>
      <c r="I1820" s="59"/>
      <c r="J1820" s="59"/>
    </row>
    <row r="1821" spans="1:10" x14ac:dyDescent="0.2">
      <c r="A1821" s="3" t="s">
        <v>2491</v>
      </c>
      <c r="B1821" s="3" t="s">
        <v>378</v>
      </c>
      <c r="C1821" s="3" t="s">
        <v>8</v>
      </c>
      <c r="D1821" s="3" t="s">
        <v>2492</v>
      </c>
      <c r="E1821" s="3"/>
      <c r="F1821" s="1" t="s">
        <v>379</v>
      </c>
      <c r="G1821" s="1">
        <v>0</v>
      </c>
      <c r="H1821" s="1">
        <v>0.13825499999999999</v>
      </c>
      <c r="I1821" s="1">
        <v>1</v>
      </c>
      <c r="J1821" s="1">
        <v>0</v>
      </c>
    </row>
    <row r="1822" spans="1:10" ht="42.75" x14ac:dyDescent="0.2">
      <c r="A1822" s="3" t="s">
        <v>2493</v>
      </c>
      <c r="B1822" s="3" t="s">
        <v>382</v>
      </c>
      <c r="C1822" s="3" t="s">
        <v>8</v>
      </c>
      <c r="D1822" s="3" t="s">
        <v>2494</v>
      </c>
      <c r="E1822" s="3"/>
      <c r="F1822" s="1" t="s">
        <v>383</v>
      </c>
      <c r="G1822" s="1">
        <v>0</v>
      </c>
      <c r="H1822" s="1">
        <v>1.38255E-5</v>
      </c>
      <c r="I1822" s="1">
        <v>1</v>
      </c>
      <c r="J1822" s="1">
        <v>0</v>
      </c>
    </row>
    <row r="1823" spans="1:10" x14ac:dyDescent="0.2">
      <c r="A1823" s="46" t="s">
        <v>2495</v>
      </c>
      <c r="B1823" s="4" t="s">
        <v>163</v>
      </c>
      <c r="C1823" s="46" t="s">
        <v>8</v>
      </c>
      <c r="D1823" s="46" t="s">
        <v>2496</v>
      </c>
      <c r="E1823" s="46"/>
      <c r="F1823" s="58" t="s">
        <v>168</v>
      </c>
      <c r="G1823" s="58">
        <v>0</v>
      </c>
      <c r="H1823" s="58">
        <v>4.2140120000000003E-2</v>
      </c>
      <c r="I1823" s="58">
        <v>1</v>
      </c>
      <c r="J1823" s="58">
        <v>0</v>
      </c>
    </row>
    <row r="1824" spans="1:10" x14ac:dyDescent="0.2">
      <c r="A1824" s="48"/>
      <c r="B1824" s="6" t="s">
        <v>164</v>
      </c>
      <c r="C1824" s="48"/>
      <c r="D1824" s="48"/>
      <c r="E1824" s="48"/>
      <c r="F1824" s="60"/>
      <c r="G1824" s="60"/>
      <c r="H1824" s="60"/>
      <c r="I1824" s="60"/>
      <c r="J1824" s="60"/>
    </row>
    <row r="1825" spans="1:10" x14ac:dyDescent="0.2">
      <c r="A1825" s="47"/>
      <c r="B1825" s="5" t="s">
        <v>165</v>
      </c>
      <c r="C1825" s="47"/>
      <c r="D1825" s="47"/>
      <c r="E1825" s="47"/>
      <c r="F1825" s="59"/>
      <c r="G1825" s="59"/>
      <c r="H1825" s="59"/>
      <c r="I1825" s="59"/>
      <c r="J1825" s="59"/>
    </row>
    <row r="1826" spans="1:10" ht="42.75" x14ac:dyDescent="0.2">
      <c r="A1826" s="3" t="s">
        <v>2497</v>
      </c>
      <c r="B1826" s="3" t="s">
        <v>385</v>
      </c>
      <c r="C1826" s="3" t="s">
        <v>8</v>
      </c>
      <c r="D1826" s="3" t="s">
        <v>2498</v>
      </c>
      <c r="E1826" s="3"/>
      <c r="F1826" s="1" t="s">
        <v>387</v>
      </c>
      <c r="G1826" s="1">
        <v>0</v>
      </c>
      <c r="H1826" s="1">
        <v>0.13825499999999999</v>
      </c>
      <c r="I1826" s="1">
        <v>0.01</v>
      </c>
      <c r="J1826" s="1">
        <v>0</v>
      </c>
    </row>
    <row r="1827" spans="1:10" x14ac:dyDescent="0.2">
      <c r="A1827" s="46" t="s">
        <v>2499</v>
      </c>
      <c r="B1827" s="4" t="s">
        <v>126</v>
      </c>
      <c r="C1827" s="46" t="s">
        <v>8</v>
      </c>
      <c r="D1827" s="46" t="s">
        <v>2500</v>
      </c>
      <c r="E1827" s="46" t="s">
        <v>2117</v>
      </c>
      <c r="F1827" s="58" t="s">
        <v>131</v>
      </c>
      <c r="G1827" s="58">
        <v>0</v>
      </c>
      <c r="H1827" s="58">
        <v>1E-3</v>
      </c>
      <c r="I1827" s="58">
        <v>1</v>
      </c>
      <c r="J1827" s="58">
        <v>0</v>
      </c>
    </row>
    <row r="1828" spans="1:10" x14ac:dyDescent="0.2">
      <c r="A1828" s="47"/>
      <c r="B1828" s="5" t="s">
        <v>127</v>
      </c>
      <c r="C1828" s="47"/>
      <c r="D1828" s="47"/>
      <c r="E1828" s="47"/>
      <c r="F1828" s="59"/>
      <c r="G1828" s="59"/>
      <c r="H1828" s="59"/>
      <c r="I1828" s="59"/>
      <c r="J1828" s="59"/>
    </row>
    <row r="1829" spans="1:10" ht="28.5" x14ac:dyDescent="0.2">
      <c r="A1829" s="3" t="s">
        <v>2501</v>
      </c>
      <c r="B1829" s="3" t="s">
        <v>134</v>
      </c>
      <c r="C1829" s="3" t="s">
        <v>8</v>
      </c>
      <c r="D1829" s="3" t="s">
        <v>2502</v>
      </c>
      <c r="E1829" s="3" t="s">
        <v>2502</v>
      </c>
      <c r="F1829" s="1" t="s">
        <v>135</v>
      </c>
      <c r="G1829" s="1">
        <v>0</v>
      </c>
      <c r="H1829" s="1">
        <v>9.9999999999999998E-13</v>
      </c>
      <c r="I1829" s="1">
        <v>1</v>
      </c>
      <c r="J1829" s="1">
        <v>0</v>
      </c>
    </row>
    <row r="1830" spans="1:10" x14ac:dyDescent="0.2">
      <c r="A1830" s="46" t="s">
        <v>2503</v>
      </c>
      <c r="B1830" s="4" t="s">
        <v>277</v>
      </c>
      <c r="C1830" s="46" t="s">
        <v>8</v>
      </c>
      <c r="D1830" s="46" t="s">
        <v>2504</v>
      </c>
      <c r="E1830" s="46" t="s">
        <v>2504</v>
      </c>
      <c r="F1830" s="58" t="s">
        <v>290</v>
      </c>
      <c r="G1830" s="58">
        <v>0</v>
      </c>
      <c r="H1830" s="58">
        <v>9.9999999999999998E-13</v>
      </c>
      <c r="I1830" s="58">
        <v>1</v>
      </c>
      <c r="J1830" s="58">
        <v>0</v>
      </c>
    </row>
    <row r="1831" spans="1:10" x14ac:dyDescent="0.2">
      <c r="A1831" s="48"/>
      <c r="B1831" s="6" t="s">
        <v>278</v>
      </c>
      <c r="C1831" s="48"/>
      <c r="D1831" s="48"/>
      <c r="E1831" s="48"/>
      <c r="F1831" s="60"/>
      <c r="G1831" s="60"/>
      <c r="H1831" s="60"/>
      <c r="I1831" s="60"/>
      <c r="J1831" s="60"/>
    </row>
    <row r="1832" spans="1:10" x14ac:dyDescent="0.2">
      <c r="A1832" s="48"/>
      <c r="B1832" s="6" t="s">
        <v>279</v>
      </c>
      <c r="C1832" s="48"/>
      <c r="D1832" s="48"/>
      <c r="E1832" s="48"/>
      <c r="F1832" s="60"/>
      <c r="G1832" s="60"/>
      <c r="H1832" s="60"/>
      <c r="I1832" s="60"/>
      <c r="J1832" s="60"/>
    </row>
    <row r="1833" spans="1:10" x14ac:dyDescent="0.2">
      <c r="A1833" s="48"/>
      <c r="B1833" s="6" t="s">
        <v>281</v>
      </c>
      <c r="C1833" s="48"/>
      <c r="D1833" s="48"/>
      <c r="E1833" s="48"/>
      <c r="F1833" s="60"/>
      <c r="G1833" s="60"/>
      <c r="H1833" s="60"/>
      <c r="I1833" s="60"/>
      <c r="J1833" s="60"/>
    </row>
    <row r="1834" spans="1:10" x14ac:dyDescent="0.2">
      <c r="A1834" s="48"/>
      <c r="B1834" s="6" t="s">
        <v>282</v>
      </c>
      <c r="C1834" s="48"/>
      <c r="D1834" s="48"/>
      <c r="E1834" s="48"/>
      <c r="F1834" s="60"/>
      <c r="G1834" s="60"/>
      <c r="H1834" s="60"/>
      <c r="I1834" s="60"/>
      <c r="J1834" s="60"/>
    </row>
    <row r="1835" spans="1:10" x14ac:dyDescent="0.2">
      <c r="A1835" s="48"/>
      <c r="B1835" s="6" t="s">
        <v>283</v>
      </c>
      <c r="C1835" s="48"/>
      <c r="D1835" s="48"/>
      <c r="E1835" s="48"/>
      <c r="F1835" s="60"/>
      <c r="G1835" s="60"/>
      <c r="H1835" s="60"/>
      <c r="I1835" s="60"/>
      <c r="J1835" s="60"/>
    </row>
    <row r="1836" spans="1:10" x14ac:dyDescent="0.2">
      <c r="A1836" s="48"/>
      <c r="B1836" s="6" t="s">
        <v>285</v>
      </c>
      <c r="C1836" s="48"/>
      <c r="D1836" s="48"/>
      <c r="E1836" s="48"/>
      <c r="F1836" s="60"/>
      <c r="G1836" s="60"/>
      <c r="H1836" s="60"/>
      <c r="I1836" s="60"/>
      <c r="J1836" s="60"/>
    </row>
    <row r="1837" spans="1:10" x14ac:dyDescent="0.2">
      <c r="A1837" s="48"/>
      <c r="B1837" s="6" t="s">
        <v>286</v>
      </c>
      <c r="C1837" s="48"/>
      <c r="D1837" s="48"/>
      <c r="E1837" s="48"/>
      <c r="F1837" s="60"/>
      <c r="G1837" s="60"/>
      <c r="H1837" s="60"/>
      <c r="I1837" s="60"/>
      <c r="J1837" s="60"/>
    </row>
    <row r="1838" spans="1:10" x14ac:dyDescent="0.2">
      <c r="A1838" s="48"/>
      <c r="B1838" s="6" t="s">
        <v>288</v>
      </c>
      <c r="C1838" s="48"/>
      <c r="D1838" s="48"/>
      <c r="E1838" s="48"/>
      <c r="F1838" s="60"/>
      <c r="G1838" s="60"/>
      <c r="H1838" s="60"/>
      <c r="I1838" s="60"/>
      <c r="J1838" s="60"/>
    </row>
    <row r="1839" spans="1:10" x14ac:dyDescent="0.2">
      <c r="A1839" s="47"/>
      <c r="B1839" s="5" t="s">
        <v>289</v>
      </c>
      <c r="C1839" s="47"/>
      <c r="D1839" s="47"/>
      <c r="E1839" s="47"/>
      <c r="F1839" s="59"/>
      <c r="G1839" s="59"/>
      <c r="H1839" s="59"/>
      <c r="I1839" s="59"/>
      <c r="J1839" s="59"/>
    </row>
    <row r="1840" spans="1:10" x14ac:dyDescent="0.2">
      <c r="A1840" s="46" t="s">
        <v>2505</v>
      </c>
      <c r="B1840" s="4" t="s">
        <v>414</v>
      </c>
      <c r="C1840" s="46" t="s">
        <v>8</v>
      </c>
      <c r="D1840" s="46" t="s">
        <v>2506</v>
      </c>
      <c r="E1840" s="46" t="s">
        <v>2506</v>
      </c>
      <c r="F1840" s="58" t="s">
        <v>416</v>
      </c>
      <c r="G1840" s="58">
        <v>0</v>
      </c>
      <c r="H1840" s="58">
        <v>9.9999999999999998E-13</v>
      </c>
      <c r="I1840" s="58">
        <v>1</v>
      </c>
      <c r="J1840" s="58">
        <v>0</v>
      </c>
    </row>
    <row r="1841" spans="1:10" x14ac:dyDescent="0.2">
      <c r="A1841" s="47"/>
      <c r="B1841" s="5" t="s">
        <v>415</v>
      </c>
      <c r="C1841" s="47"/>
      <c r="D1841" s="47"/>
      <c r="E1841" s="47"/>
      <c r="F1841" s="59"/>
      <c r="G1841" s="59"/>
      <c r="H1841" s="59"/>
      <c r="I1841" s="59"/>
      <c r="J1841" s="59"/>
    </row>
    <row r="1842" spans="1:10" x14ac:dyDescent="0.2">
      <c r="A1842" s="46" t="s">
        <v>2507</v>
      </c>
      <c r="B1842" s="4" t="s">
        <v>126</v>
      </c>
      <c r="C1842" s="46" t="s">
        <v>8</v>
      </c>
      <c r="D1842" s="46" t="s">
        <v>2508</v>
      </c>
      <c r="E1842" s="46"/>
      <c r="F1842" s="58" t="s">
        <v>131</v>
      </c>
      <c r="G1842" s="58">
        <v>0</v>
      </c>
      <c r="H1842" s="58">
        <v>1E-4</v>
      </c>
      <c r="I1842" s="58">
        <v>1</v>
      </c>
      <c r="J1842" s="58">
        <v>0</v>
      </c>
    </row>
    <row r="1843" spans="1:10" x14ac:dyDescent="0.2">
      <c r="A1843" s="47"/>
      <c r="B1843" s="5" t="s">
        <v>127</v>
      </c>
      <c r="C1843" s="47"/>
      <c r="D1843" s="47"/>
      <c r="E1843" s="47"/>
      <c r="F1843" s="59"/>
      <c r="G1843" s="59"/>
      <c r="H1843" s="59"/>
      <c r="I1843" s="59"/>
      <c r="J1843" s="59"/>
    </row>
    <row r="1844" spans="1:10" x14ac:dyDescent="0.2">
      <c r="A1844" s="46" t="s">
        <v>2509</v>
      </c>
      <c r="B1844" s="4" t="s">
        <v>126</v>
      </c>
      <c r="C1844" s="46" t="s">
        <v>8</v>
      </c>
      <c r="D1844" s="46" t="s">
        <v>2117</v>
      </c>
      <c r="E1844" s="46" t="s">
        <v>2117</v>
      </c>
      <c r="F1844" s="58" t="s">
        <v>131</v>
      </c>
      <c r="G1844" s="58">
        <v>0</v>
      </c>
      <c r="H1844" s="58">
        <v>1E-3</v>
      </c>
      <c r="I1844" s="58">
        <v>1</v>
      </c>
      <c r="J1844" s="58">
        <v>0</v>
      </c>
    </row>
    <row r="1845" spans="1:10" x14ac:dyDescent="0.2">
      <c r="A1845" s="47"/>
      <c r="B1845" s="5" t="s">
        <v>127</v>
      </c>
      <c r="C1845" s="47"/>
      <c r="D1845" s="47"/>
      <c r="E1845" s="47"/>
      <c r="F1845" s="59"/>
      <c r="G1845" s="59"/>
      <c r="H1845" s="59"/>
      <c r="I1845" s="59"/>
      <c r="J1845" s="59"/>
    </row>
    <row r="1846" spans="1:10" x14ac:dyDescent="0.2">
      <c r="A1846" s="46" t="s">
        <v>2510</v>
      </c>
      <c r="B1846" s="4" t="s">
        <v>126</v>
      </c>
      <c r="C1846" s="46" t="s">
        <v>8</v>
      </c>
      <c r="D1846" s="46" t="s">
        <v>2511</v>
      </c>
      <c r="E1846" s="46" t="s">
        <v>2511</v>
      </c>
      <c r="F1846" s="58" t="s">
        <v>131</v>
      </c>
      <c r="G1846" s="58">
        <v>0</v>
      </c>
      <c r="H1846" s="58">
        <v>9.9999999999999995E-7</v>
      </c>
      <c r="I1846" s="58">
        <v>1</v>
      </c>
      <c r="J1846" s="58">
        <v>0</v>
      </c>
    </row>
    <row r="1847" spans="1:10" x14ac:dyDescent="0.2">
      <c r="A1847" s="47"/>
      <c r="B1847" s="5" t="s">
        <v>127</v>
      </c>
      <c r="C1847" s="47"/>
      <c r="D1847" s="47"/>
      <c r="E1847" s="47"/>
      <c r="F1847" s="59"/>
      <c r="G1847" s="59"/>
      <c r="H1847" s="59"/>
      <c r="I1847" s="59"/>
      <c r="J1847" s="59"/>
    </row>
    <row r="1848" spans="1:10" ht="71.25" x14ac:dyDescent="0.2">
      <c r="A1848" s="3" t="s">
        <v>2512</v>
      </c>
      <c r="B1848" s="3" t="s">
        <v>11</v>
      </c>
      <c r="C1848" s="3" t="s">
        <v>8</v>
      </c>
      <c r="D1848" s="3" t="s">
        <v>2513</v>
      </c>
      <c r="E1848" s="3" t="s">
        <v>2513</v>
      </c>
      <c r="F1848" s="1" t="s">
        <v>13</v>
      </c>
      <c r="G1848" s="1">
        <v>0</v>
      </c>
      <c r="H1848" s="1">
        <v>9.9999999999999995E-7</v>
      </c>
      <c r="I1848" s="1">
        <v>1</v>
      </c>
      <c r="J1848" s="1">
        <v>0</v>
      </c>
    </row>
    <row r="1849" spans="1:10" ht="85.5" x14ac:dyDescent="0.2">
      <c r="A1849" s="3" t="s">
        <v>2514</v>
      </c>
      <c r="B1849" s="3" t="s">
        <v>11</v>
      </c>
      <c r="C1849" s="3" t="s">
        <v>8</v>
      </c>
      <c r="D1849" s="3" t="s">
        <v>2515</v>
      </c>
      <c r="E1849" s="3" t="s">
        <v>2515</v>
      </c>
      <c r="F1849" s="1" t="s">
        <v>13</v>
      </c>
      <c r="G1849" s="1">
        <v>0</v>
      </c>
      <c r="H1849" s="1">
        <v>1.7999999999999999E-6</v>
      </c>
      <c r="I1849" s="1">
        <v>1</v>
      </c>
      <c r="J1849" s="1">
        <v>0</v>
      </c>
    </row>
    <row r="1850" spans="1:10" ht="28.5" x14ac:dyDescent="0.2">
      <c r="A1850" s="3" t="s">
        <v>2516</v>
      </c>
      <c r="B1850" s="3" t="s">
        <v>469</v>
      </c>
      <c r="C1850" s="3" t="s">
        <v>8</v>
      </c>
      <c r="D1850" s="3" t="s">
        <v>2517</v>
      </c>
      <c r="E1850" s="3" t="s">
        <v>2517</v>
      </c>
      <c r="F1850" s="1" t="s">
        <v>470</v>
      </c>
      <c r="G1850" s="1">
        <v>0</v>
      </c>
      <c r="H1850" s="1">
        <v>9.9999999999999998E-13</v>
      </c>
      <c r="I1850" s="1">
        <v>1</v>
      </c>
      <c r="J1850" s="1">
        <v>0</v>
      </c>
    </row>
    <row r="1851" spans="1:10" x14ac:dyDescent="0.2">
      <c r="A1851" s="46" t="s">
        <v>2518</v>
      </c>
      <c r="B1851" s="4" t="s">
        <v>463</v>
      </c>
      <c r="C1851" s="46" t="s">
        <v>8</v>
      </c>
      <c r="D1851" s="46" t="s">
        <v>2519</v>
      </c>
      <c r="E1851" s="46" t="s">
        <v>2519</v>
      </c>
      <c r="F1851" s="58" t="s">
        <v>466</v>
      </c>
      <c r="G1851" s="58">
        <v>0</v>
      </c>
      <c r="H1851" s="58">
        <v>1.0000000000000001E-9</v>
      </c>
      <c r="I1851" s="58">
        <v>1</v>
      </c>
      <c r="J1851" s="58">
        <v>0</v>
      </c>
    </row>
    <row r="1852" spans="1:10" x14ac:dyDescent="0.2">
      <c r="A1852" s="48"/>
      <c r="B1852" s="6" t="s">
        <v>464</v>
      </c>
      <c r="C1852" s="48"/>
      <c r="D1852" s="48"/>
      <c r="E1852" s="48"/>
      <c r="F1852" s="60"/>
      <c r="G1852" s="60"/>
      <c r="H1852" s="60"/>
      <c r="I1852" s="60"/>
      <c r="J1852" s="60"/>
    </row>
    <row r="1853" spans="1:10" x14ac:dyDescent="0.2">
      <c r="A1853" s="47"/>
      <c r="B1853" s="5" t="s">
        <v>465</v>
      </c>
      <c r="C1853" s="47"/>
      <c r="D1853" s="47"/>
      <c r="E1853" s="47"/>
      <c r="F1853" s="59"/>
      <c r="G1853" s="59"/>
      <c r="H1853" s="59"/>
      <c r="I1853" s="59"/>
      <c r="J1853" s="59"/>
    </row>
    <row r="1854" spans="1:10" x14ac:dyDescent="0.2">
      <c r="A1854" s="46" t="s">
        <v>2520</v>
      </c>
      <c r="B1854" s="4" t="s">
        <v>414</v>
      </c>
      <c r="C1854" s="46" t="s">
        <v>8</v>
      </c>
      <c r="D1854" s="4" t="s">
        <v>2521</v>
      </c>
      <c r="E1854" s="46" t="s">
        <v>1857</v>
      </c>
      <c r="F1854" s="58" t="s">
        <v>416</v>
      </c>
      <c r="G1854" s="58">
        <v>0</v>
      </c>
      <c r="H1854" s="58">
        <v>47.88026</v>
      </c>
      <c r="I1854" s="58">
        <v>1</v>
      </c>
      <c r="J1854" s="58">
        <v>0</v>
      </c>
    </row>
    <row r="1855" spans="1:10" ht="28.5" x14ac:dyDescent="0.2">
      <c r="A1855" s="47"/>
      <c r="B1855" s="5" t="s">
        <v>415</v>
      </c>
      <c r="C1855" s="47"/>
      <c r="D1855" s="5" t="s">
        <v>763</v>
      </c>
      <c r="E1855" s="47"/>
      <c r="F1855" s="59"/>
      <c r="G1855" s="59"/>
      <c r="H1855" s="59"/>
      <c r="I1855" s="59"/>
      <c r="J1855" s="59"/>
    </row>
    <row r="1856" spans="1:10" x14ac:dyDescent="0.2">
      <c r="A1856" s="46" t="s">
        <v>2522</v>
      </c>
      <c r="B1856" s="4" t="s">
        <v>414</v>
      </c>
      <c r="C1856" s="46" t="s">
        <v>8</v>
      </c>
      <c r="D1856" s="46" t="s">
        <v>2523</v>
      </c>
      <c r="E1856" s="4" t="s">
        <v>2523</v>
      </c>
      <c r="F1856" s="58" t="s">
        <v>416</v>
      </c>
      <c r="G1856" s="58">
        <v>0</v>
      </c>
      <c r="H1856" s="58">
        <v>6894.7569999999996</v>
      </c>
      <c r="I1856" s="58">
        <v>1</v>
      </c>
      <c r="J1856" s="58">
        <v>0</v>
      </c>
    </row>
    <row r="1857" spans="1:10" x14ac:dyDescent="0.2">
      <c r="A1857" s="47"/>
      <c r="B1857" s="5" t="s">
        <v>415</v>
      </c>
      <c r="C1857" s="47"/>
      <c r="D1857" s="47"/>
      <c r="E1857" s="5" t="s">
        <v>1866</v>
      </c>
      <c r="F1857" s="59"/>
      <c r="G1857" s="59"/>
      <c r="H1857" s="59"/>
      <c r="I1857" s="59"/>
      <c r="J1857" s="59"/>
    </row>
    <row r="1858" spans="1:10" ht="85.5" x14ac:dyDescent="0.2">
      <c r="A1858" s="3" t="s">
        <v>2524</v>
      </c>
      <c r="B1858" s="3" t="s">
        <v>423</v>
      </c>
      <c r="C1858" s="3" t="s">
        <v>8</v>
      </c>
      <c r="D1858" s="3" t="s">
        <v>2525</v>
      </c>
      <c r="E1858" s="3" t="s">
        <v>2525</v>
      </c>
      <c r="F1858" s="1" t="s">
        <v>425</v>
      </c>
      <c r="G1858" s="1">
        <v>0</v>
      </c>
      <c r="H1858" s="1">
        <v>1</v>
      </c>
      <c r="I1858" s="1">
        <v>23.059159999999999</v>
      </c>
      <c r="J1858" s="1">
        <v>0</v>
      </c>
    </row>
    <row r="1859" spans="1:10" ht="57" x14ac:dyDescent="0.2">
      <c r="A1859" s="3" t="s">
        <v>2526</v>
      </c>
      <c r="B1859" s="3" t="s">
        <v>419</v>
      </c>
      <c r="C1859" s="3" t="s">
        <v>8</v>
      </c>
      <c r="D1859" s="3" t="s">
        <v>2527</v>
      </c>
      <c r="E1859" s="3" t="s">
        <v>2527</v>
      </c>
      <c r="F1859" s="1" t="s">
        <v>421</v>
      </c>
      <c r="G1859" s="1">
        <v>0</v>
      </c>
      <c r="H1859" s="1">
        <v>6894.7569999999996</v>
      </c>
      <c r="I1859" s="1">
        <v>1</v>
      </c>
      <c r="J1859" s="1">
        <v>0</v>
      </c>
    </row>
    <row r="1860" spans="1:10" x14ac:dyDescent="0.2">
      <c r="A1860" s="46" t="s">
        <v>2528</v>
      </c>
      <c r="B1860" s="4" t="s">
        <v>389</v>
      </c>
      <c r="C1860" s="46" t="s">
        <v>8</v>
      </c>
      <c r="D1860" s="46" t="s">
        <v>2529</v>
      </c>
      <c r="E1860" s="46"/>
      <c r="F1860" s="58" t="s">
        <v>391</v>
      </c>
      <c r="G1860" s="58">
        <v>0</v>
      </c>
      <c r="H1860" s="58">
        <v>6894.7569999999996</v>
      </c>
      <c r="I1860" s="58">
        <v>30.48</v>
      </c>
      <c r="J1860" s="58">
        <v>0</v>
      </c>
    </row>
    <row r="1861" spans="1:10" x14ac:dyDescent="0.2">
      <c r="A1861" s="47"/>
      <c r="B1861" s="5" t="s">
        <v>390</v>
      </c>
      <c r="C1861" s="47"/>
      <c r="D1861" s="47"/>
      <c r="E1861" s="47"/>
      <c r="F1861" s="59"/>
      <c r="G1861" s="59"/>
      <c r="H1861" s="59"/>
      <c r="I1861" s="59"/>
      <c r="J1861" s="59"/>
    </row>
    <row r="1862" spans="1:10" x14ac:dyDescent="0.2">
      <c r="A1862" s="46" t="s">
        <v>2530</v>
      </c>
      <c r="B1862" s="4" t="s">
        <v>389</v>
      </c>
      <c r="C1862" s="46" t="s">
        <v>8</v>
      </c>
      <c r="D1862" s="46" t="s">
        <v>2531</v>
      </c>
      <c r="E1862" s="46" t="s">
        <v>2531</v>
      </c>
      <c r="F1862" s="58" t="s">
        <v>391</v>
      </c>
      <c r="G1862" s="58">
        <v>0</v>
      </c>
      <c r="H1862" s="58">
        <v>6894.7569999999996</v>
      </c>
      <c r="I1862" s="58">
        <v>0.30480000000000002</v>
      </c>
      <c r="J1862" s="58">
        <v>0</v>
      </c>
    </row>
    <row r="1863" spans="1:10" x14ac:dyDescent="0.2">
      <c r="A1863" s="47"/>
      <c r="B1863" s="5" t="s">
        <v>390</v>
      </c>
      <c r="C1863" s="47"/>
      <c r="D1863" s="47"/>
      <c r="E1863" s="47"/>
      <c r="F1863" s="59"/>
      <c r="G1863" s="59"/>
      <c r="H1863" s="59"/>
      <c r="I1863" s="59"/>
      <c r="J1863" s="59"/>
    </row>
    <row r="1864" spans="1:10" x14ac:dyDescent="0.2">
      <c r="A1864" s="46" t="s">
        <v>2528</v>
      </c>
      <c r="B1864" s="4" t="s">
        <v>389</v>
      </c>
      <c r="C1864" s="46" t="s">
        <v>8</v>
      </c>
      <c r="D1864" s="4" t="s">
        <v>2532</v>
      </c>
      <c r="E1864" s="46"/>
      <c r="F1864" s="58" t="s">
        <v>391</v>
      </c>
      <c r="G1864" s="58">
        <v>0</v>
      </c>
      <c r="H1864" s="58">
        <v>6894.7569999999996</v>
      </c>
      <c r="I1864" s="58">
        <v>30.48</v>
      </c>
      <c r="J1864" s="58">
        <v>0</v>
      </c>
    </row>
    <row r="1865" spans="1:10" ht="28.5" x14ac:dyDescent="0.2">
      <c r="A1865" s="47"/>
      <c r="B1865" s="5" t="s">
        <v>390</v>
      </c>
      <c r="C1865" s="47"/>
      <c r="D1865" s="5" t="s">
        <v>763</v>
      </c>
      <c r="E1865" s="47"/>
      <c r="F1865" s="59"/>
      <c r="G1865" s="59"/>
      <c r="H1865" s="59"/>
      <c r="I1865" s="59"/>
      <c r="J1865" s="59"/>
    </row>
    <row r="1866" spans="1:10" ht="57" x14ac:dyDescent="0.2">
      <c r="A1866" s="3" t="s">
        <v>2533</v>
      </c>
      <c r="B1866" s="3" t="s">
        <v>435</v>
      </c>
      <c r="C1866" s="3" t="s">
        <v>8</v>
      </c>
      <c r="D1866" s="3" t="s">
        <v>2534</v>
      </c>
      <c r="E1866" s="3" t="s">
        <v>2534</v>
      </c>
      <c r="F1866" s="1" t="s">
        <v>436</v>
      </c>
      <c r="G1866" s="1">
        <v>0</v>
      </c>
      <c r="H1866" s="1">
        <v>6894.7569999999996</v>
      </c>
      <c r="I1866" s="1">
        <v>3600</v>
      </c>
      <c r="J1866" s="1">
        <v>0</v>
      </c>
    </row>
    <row r="1867" spans="1:10" x14ac:dyDescent="0.2">
      <c r="A1867" s="46" t="s">
        <v>2535</v>
      </c>
      <c r="B1867" s="4" t="s">
        <v>389</v>
      </c>
      <c r="C1867" s="46" t="s">
        <v>8</v>
      </c>
      <c r="D1867" s="46" t="s">
        <v>2536</v>
      </c>
      <c r="E1867" s="46"/>
      <c r="F1867" s="58" t="s">
        <v>391</v>
      </c>
      <c r="G1867" s="58">
        <v>0</v>
      </c>
      <c r="H1867" s="58">
        <v>6894.7569999999996</v>
      </c>
      <c r="I1867" s="58">
        <v>304.8</v>
      </c>
      <c r="J1867" s="58">
        <v>0</v>
      </c>
    </row>
    <row r="1868" spans="1:10" x14ac:dyDescent="0.2">
      <c r="A1868" s="47"/>
      <c r="B1868" s="5" t="s">
        <v>390</v>
      </c>
      <c r="C1868" s="47"/>
      <c r="D1868" s="47"/>
      <c r="E1868" s="47"/>
      <c r="F1868" s="59"/>
      <c r="G1868" s="59"/>
      <c r="H1868" s="59"/>
      <c r="I1868" s="59"/>
      <c r="J1868" s="59"/>
    </row>
    <row r="1869" spans="1:10" x14ac:dyDescent="0.2">
      <c r="A1869" s="46" t="s">
        <v>2537</v>
      </c>
      <c r="B1869" s="4" t="s">
        <v>389</v>
      </c>
      <c r="C1869" s="46" t="s">
        <v>8</v>
      </c>
      <c r="D1869" s="46" t="s">
        <v>2538</v>
      </c>
      <c r="E1869" s="46" t="s">
        <v>2538</v>
      </c>
      <c r="F1869" s="58" t="s">
        <v>391</v>
      </c>
      <c r="G1869" s="58">
        <v>0</v>
      </c>
      <c r="H1869" s="58">
        <v>6894.7569999999996</v>
      </c>
      <c r="I1869" s="58">
        <v>1</v>
      </c>
      <c r="J1869" s="58">
        <v>0</v>
      </c>
    </row>
    <row r="1870" spans="1:10" x14ac:dyDescent="0.2">
      <c r="A1870" s="47"/>
      <c r="B1870" s="5" t="s">
        <v>390</v>
      </c>
      <c r="C1870" s="47"/>
      <c r="D1870" s="47"/>
      <c r="E1870" s="47"/>
      <c r="F1870" s="59"/>
      <c r="G1870" s="59"/>
      <c r="H1870" s="59"/>
      <c r="I1870" s="59"/>
      <c r="J1870" s="59"/>
    </row>
    <row r="1871" spans="1:10" ht="57" x14ac:dyDescent="0.2">
      <c r="A1871" s="3" t="s">
        <v>2539</v>
      </c>
      <c r="B1871" s="3" t="s">
        <v>435</v>
      </c>
      <c r="C1871" s="3" t="s">
        <v>8</v>
      </c>
      <c r="D1871" s="3" t="s">
        <v>2540</v>
      </c>
      <c r="E1871" s="3" t="s">
        <v>2540</v>
      </c>
      <c r="F1871" s="1" t="s">
        <v>436</v>
      </c>
      <c r="G1871" s="1">
        <v>0</v>
      </c>
      <c r="H1871" s="1">
        <v>6894.7569999999996</v>
      </c>
      <c r="I1871" s="1">
        <v>60</v>
      </c>
      <c r="J1871" s="1">
        <v>0</v>
      </c>
    </row>
    <row r="1872" spans="1:10" ht="57" x14ac:dyDescent="0.2">
      <c r="A1872" s="3" t="s">
        <v>2541</v>
      </c>
      <c r="B1872" s="3" t="s">
        <v>438</v>
      </c>
      <c r="C1872" s="3" t="s">
        <v>8</v>
      </c>
      <c r="D1872" s="3" t="s">
        <v>2542</v>
      </c>
      <c r="E1872" s="3" t="s">
        <v>2542</v>
      </c>
      <c r="F1872" s="1" t="s">
        <v>439</v>
      </c>
      <c r="G1872" s="1">
        <v>0</v>
      </c>
      <c r="H1872" s="1">
        <v>47537674</v>
      </c>
      <c r="I1872" s="1">
        <v>1</v>
      </c>
      <c r="J1872" s="1">
        <v>0</v>
      </c>
    </row>
    <row r="1873" spans="1:10" ht="85.5" x14ac:dyDescent="0.2">
      <c r="A1873" s="3" t="s">
        <v>2543</v>
      </c>
      <c r="B1873" s="3" t="s">
        <v>432</v>
      </c>
      <c r="C1873" s="3" t="s">
        <v>8</v>
      </c>
      <c r="D1873" s="3" t="s">
        <v>2544</v>
      </c>
      <c r="E1873" s="3" t="s">
        <v>2544</v>
      </c>
      <c r="F1873" s="1" t="s">
        <v>433</v>
      </c>
      <c r="G1873" s="1">
        <v>0</v>
      </c>
      <c r="H1873" s="1">
        <v>4107255041294</v>
      </c>
      <c r="I1873" s="1">
        <v>2.8316847000000002E-5</v>
      </c>
      <c r="J1873" s="1">
        <v>0</v>
      </c>
    </row>
    <row r="1874" spans="1:10" ht="28.5" x14ac:dyDescent="0.2">
      <c r="A1874" s="46" t="s">
        <v>2543</v>
      </c>
      <c r="B1874" s="46" t="s">
        <v>432</v>
      </c>
      <c r="C1874" s="46" t="s">
        <v>8</v>
      </c>
      <c r="D1874" s="4" t="s">
        <v>2545</v>
      </c>
      <c r="E1874" s="46" t="s">
        <v>2544</v>
      </c>
      <c r="F1874" s="58" t="s">
        <v>433</v>
      </c>
      <c r="G1874" s="58">
        <v>0</v>
      </c>
      <c r="H1874" s="58">
        <v>4107255041294</v>
      </c>
      <c r="I1874" s="58">
        <v>2.8316847000000002E-5</v>
      </c>
      <c r="J1874" s="58">
        <v>0</v>
      </c>
    </row>
    <row r="1875" spans="1:10" ht="28.5" x14ac:dyDescent="0.2">
      <c r="A1875" s="47"/>
      <c r="B1875" s="47"/>
      <c r="C1875" s="47"/>
      <c r="D1875" s="5" t="s">
        <v>763</v>
      </c>
      <c r="E1875" s="47"/>
      <c r="F1875" s="59"/>
      <c r="G1875" s="59"/>
      <c r="H1875" s="59"/>
      <c r="I1875" s="59"/>
      <c r="J1875" s="59"/>
    </row>
    <row r="1876" spans="1:10" ht="85.5" x14ac:dyDescent="0.2">
      <c r="A1876" s="3" t="s">
        <v>2546</v>
      </c>
      <c r="B1876" s="3" t="s">
        <v>427</v>
      </c>
      <c r="C1876" s="3" t="s">
        <v>8</v>
      </c>
      <c r="D1876" s="3" t="s">
        <v>2547</v>
      </c>
      <c r="E1876" s="3" t="s">
        <v>2547</v>
      </c>
      <c r="F1876" s="1" t="s">
        <v>428</v>
      </c>
      <c r="G1876" s="1">
        <v>0</v>
      </c>
      <c r="H1876" s="11">
        <v>3.5486698355E+17</v>
      </c>
      <c r="I1876" s="1">
        <v>8.0184379999999995E-7</v>
      </c>
      <c r="J1876" s="1">
        <v>0</v>
      </c>
    </row>
    <row r="1877" spans="1:10" ht="28.5" x14ac:dyDescent="0.2">
      <c r="A1877" s="46" t="s">
        <v>2546</v>
      </c>
      <c r="B1877" s="46" t="s">
        <v>427</v>
      </c>
      <c r="C1877" s="46" t="s">
        <v>8</v>
      </c>
      <c r="D1877" s="4" t="s">
        <v>2548</v>
      </c>
      <c r="E1877" s="46" t="s">
        <v>2547</v>
      </c>
      <c r="F1877" s="58" t="s">
        <v>428</v>
      </c>
      <c r="G1877" s="58">
        <v>0</v>
      </c>
      <c r="H1877" s="61">
        <v>3.5486698355E+17</v>
      </c>
      <c r="I1877" s="58">
        <v>8.0184379999999995E-7</v>
      </c>
      <c r="J1877" s="58">
        <v>0</v>
      </c>
    </row>
    <row r="1878" spans="1:10" ht="28.5" x14ac:dyDescent="0.2">
      <c r="A1878" s="47"/>
      <c r="B1878" s="47"/>
      <c r="C1878" s="47"/>
      <c r="D1878" s="5" t="s">
        <v>763</v>
      </c>
      <c r="E1878" s="47"/>
      <c r="F1878" s="59"/>
      <c r="G1878" s="59"/>
      <c r="H1878" s="62"/>
      <c r="I1878" s="59"/>
      <c r="J1878" s="59"/>
    </row>
    <row r="1879" spans="1:10" ht="85.5" x14ac:dyDescent="0.2">
      <c r="A1879" s="3" t="s">
        <v>2549</v>
      </c>
      <c r="B1879" s="3" t="s">
        <v>736</v>
      </c>
      <c r="C1879" s="3" t="s">
        <v>8</v>
      </c>
      <c r="D1879" s="3" t="s">
        <v>2550</v>
      </c>
      <c r="E1879" s="3" t="s">
        <v>2550</v>
      </c>
      <c r="F1879" s="1" t="s">
        <v>436</v>
      </c>
      <c r="G1879" s="1">
        <v>0</v>
      </c>
      <c r="H1879" s="1">
        <v>4753764090</v>
      </c>
      <c r="I1879" s="1">
        <v>1</v>
      </c>
      <c r="J1879" s="1">
        <v>0</v>
      </c>
    </row>
    <row r="1880" spans="1:10" x14ac:dyDescent="0.2">
      <c r="A1880" s="46" t="s">
        <v>2551</v>
      </c>
      <c r="B1880" s="4" t="s">
        <v>414</v>
      </c>
      <c r="C1880" s="46" t="s">
        <v>8</v>
      </c>
      <c r="D1880" s="4" t="s">
        <v>2552</v>
      </c>
      <c r="E1880" s="46"/>
      <c r="F1880" s="58" t="s">
        <v>416</v>
      </c>
      <c r="G1880" s="58">
        <v>0</v>
      </c>
      <c r="H1880" s="58">
        <v>6894.7569999999996</v>
      </c>
      <c r="I1880" s="58">
        <v>1</v>
      </c>
      <c r="J1880" s="58">
        <v>0</v>
      </c>
    </row>
    <row r="1881" spans="1:10" ht="28.5" x14ac:dyDescent="0.2">
      <c r="A1881" s="47"/>
      <c r="B1881" s="5" t="s">
        <v>415</v>
      </c>
      <c r="C1881" s="47"/>
      <c r="D1881" s="5" t="s">
        <v>763</v>
      </c>
      <c r="E1881" s="47"/>
      <c r="F1881" s="59"/>
      <c r="G1881" s="59"/>
      <c r="H1881" s="59"/>
      <c r="I1881" s="59"/>
      <c r="J1881" s="59"/>
    </row>
    <row r="1882" spans="1:10" x14ac:dyDescent="0.2">
      <c r="A1882" s="46" t="s">
        <v>2553</v>
      </c>
      <c r="B1882" s="4" t="s">
        <v>414</v>
      </c>
      <c r="C1882" s="46" t="s">
        <v>8</v>
      </c>
      <c r="D1882" s="4" t="s">
        <v>2554</v>
      </c>
      <c r="E1882" s="46"/>
      <c r="F1882" s="58" t="s">
        <v>416</v>
      </c>
      <c r="G1882" s="58">
        <v>101325</v>
      </c>
      <c r="H1882" s="58">
        <v>6894.7569999999996</v>
      </c>
      <c r="I1882" s="58">
        <v>1</v>
      </c>
      <c r="J1882" s="58">
        <v>0</v>
      </c>
    </row>
    <row r="1883" spans="1:10" ht="28.5" x14ac:dyDescent="0.2">
      <c r="A1883" s="47"/>
      <c r="B1883" s="5" t="s">
        <v>415</v>
      </c>
      <c r="C1883" s="47"/>
      <c r="D1883" s="5" t="s">
        <v>763</v>
      </c>
      <c r="E1883" s="47"/>
      <c r="F1883" s="59"/>
      <c r="G1883" s="59"/>
      <c r="H1883" s="59"/>
      <c r="I1883" s="59"/>
      <c r="J1883" s="59"/>
    </row>
    <row r="1884" spans="1:10" x14ac:dyDescent="0.2">
      <c r="A1884" s="3" t="s">
        <v>2555</v>
      </c>
      <c r="B1884" s="3" t="s">
        <v>321</v>
      </c>
      <c r="C1884" s="3" t="s">
        <v>8</v>
      </c>
      <c r="D1884" s="3" t="s">
        <v>2556</v>
      </c>
      <c r="E1884" s="3"/>
      <c r="F1884" s="1" t="s">
        <v>322</v>
      </c>
      <c r="G1884" s="1">
        <v>0</v>
      </c>
      <c r="H1884" s="1">
        <v>5.6826149999999998E-4</v>
      </c>
      <c r="I1884" s="1">
        <v>1</v>
      </c>
      <c r="J1884" s="1">
        <v>0</v>
      </c>
    </row>
    <row r="1885" spans="1:10" ht="57" x14ac:dyDescent="0.2">
      <c r="A1885" s="3" t="s">
        <v>2557</v>
      </c>
      <c r="B1885" s="3" t="s">
        <v>324</v>
      </c>
      <c r="C1885" s="3" t="s">
        <v>8</v>
      </c>
      <c r="D1885" s="3" t="s">
        <v>2558</v>
      </c>
      <c r="E1885" s="3"/>
      <c r="F1885" s="1" t="s">
        <v>325</v>
      </c>
      <c r="G1885" s="1">
        <v>0</v>
      </c>
      <c r="H1885" s="1">
        <v>2.1168089999999999E-10</v>
      </c>
      <c r="I1885" s="1">
        <v>1</v>
      </c>
      <c r="J1885" s="1">
        <v>0</v>
      </c>
    </row>
    <row r="1886" spans="1:10" ht="42.75" x14ac:dyDescent="0.2">
      <c r="A1886" s="3" t="s">
        <v>2559</v>
      </c>
      <c r="B1886" s="3" t="s">
        <v>659</v>
      </c>
      <c r="C1886" s="3" t="s">
        <v>8</v>
      </c>
      <c r="D1886" s="3" t="s">
        <v>2560</v>
      </c>
      <c r="E1886" s="3"/>
      <c r="F1886" s="1" t="s">
        <v>131</v>
      </c>
      <c r="G1886" s="1">
        <v>0</v>
      </c>
      <c r="H1886" s="1">
        <v>5.6826149999999998E-4</v>
      </c>
      <c r="I1886" s="1">
        <v>158.9873</v>
      </c>
      <c r="J1886" s="1">
        <v>0</v>
      </c>
    </row>
    <row r="1887" spans="1:10" x14ac:dyDescent="0.2">
      <c r="A1887" s="3" t="s">
        <v>2561</v>
      </c>
      <c r="B1887" s="3" t="s">
        <v>321</v>
      </c>
      <c r="C1887" s="3" t="s">
        <v>8</v>
      </c>
      <c r="D1887" s="3" t="s">
        <v>2562</v>
      </c>
      <c r="E1887" s="3"/>
      <c r="F1887" s="1" t="s">
        <v>322</v>
      </c>
      <c r="G1887" s="1">
        <v>0</v>
      </c>
      <c r="H1887" s="1">
        <v>4.7317650000000002E-4</v>
      </c>
      <c r="I1887" s="1">
        <v>1</v>
      </c>
      <c r="J1887" s="1">
        <v>0</v>
      </c>
    </row>
    <row r="1888" spans="1:10" ht="42.75" x14ac:dyDescent="0.2">
      <c r="A1888" s="3" t="s">
        <v>2563</v>
      </c>
      <c r="B1888" s="3" t="s">
        <v>659</v>
      </c>
      <c r="C1888" s="3" t="s">
        <v>8</v>
      </c>
      <c r="D1888" s="3" t="s">
        <v>2564</v>
      </c>
      <c r="E1888" s="3"/>
      <c r="F1888" s="1" t="s">
        <v>131</v>
      </c>
      <c r="G1888" s="1">
        <v>0</v>
      </c>
      <c r="H1888" s="1">
        <v>0.4731765</v>
      </c>
      <c r="I1888" s="1">
        <v>1.589873E-2</v>
      </c>
      <c r="J1888" s="1">
        <v>0</v>
      </c>
    </row>
    <row r="1889" spans="1:10" x14ac:dyDescent="0.2">
      <c r="A1889" s="3" t="s">
        <v>2565</v>
      </c>
      <c r="B1889" s="3" t="s">
        <v>321</v>
      </c>
      <c r="C1889" s="3" t="s">
        <v>8</v>
      </c>
      <c r="D1889" s="3" t="s">
        <v>2566</v>
      </c>
      <c r="E1889" s="3"/>
      <c r="F1889" s="1" t="s">
        <v>322</v>
      </c>
      <c r="G1889" s="1">
        <v>0</v>
      </c>
      <c r="H1889" s="1">
        <v>1.136523E-3</v>
      </c>
      <c r="I1889" s="1">
        <v>1</v>
      </c>
      <c r="J1889" s="1">
        <v>0</v>
      </c>
    </row>
    <row r="1890" spans="1:10" x14ac:dyDescent="0.2">
      <c r="A1890" s="3" t="s">
        <v>2567</v>
      </c>
      <c r="B1890" s="3" t="s">
        <v>321</v>
      </c>
      <c r="C1890" s="3" t="s">
        <v>8</v>
      </c>
      <c r="D1890" s="3" t="s">
        <v>2568</v>
      </c>
      <c r="E1890" s="3"/>
      <c r="F1890" s="1" t="s">
        <v>322</v>
      </c>
      <c r="G1890" s="1">
        <v>0</v>
      </c>
      <c r="H1890" s="1">
        <v>9.463529E-4</v>
      </c>
      <c r="I1890" s="1">
        <v>1</v>
      </c>
      <c r="J1890" s="1">
        <v>0</v>
      </c>
    </row>
    <row r="1891" spans="1:10" x14ac:dyDescent="0.2">
      <c r="A1891" s="46" t="s">
        <v>2569</v>
      </c>
      <c r="B1891" s="4" t="s">
        <v>166</v>
      </c>
      <c r="C1891" s="46" t="s">
        <v>8</v>
      </c>
      <c r="D1891" s="46" t="s">
        <v>2570</v>
      </c>
      <c r="E1891" s="46"/>
      <c r="F1891" s="58" t="s">
        <v>168</v>
      </c>
      <c r="G1891" s="58">
        <v>0</v>
      </c>
      <c r="H1891" s="61">
        <v>1.055056E+18</v>
      </c>
      <c r="I1891" s="58">
        <v>1</v>
      </c>
      <c r="J1891" s="58">
        <v>0</v>
      </c>
    </row>
    <row r="1892" spans="1:10" x14ac:dyDescent="0.2">
      <c r="A1892" s="47"/>
      <c r="B1892" s="5" t="s">
        <v>167</v>
      </c>
      <c r="C1892" s="47"/>
      <c r="D1892" s="47"/>
      <c r="E1892" s="47"/>
      <c r="F1892" s="59"/>
      <c r="G1892" s="59"/>
      <c r="H1892" s="62"/>
      <c r="I1892" s="59"/>
      <c r="J1892" s="59"/>
    </row>
    <row r="1893" spans="1:10" ht="28.5" x14ac:dyDescent="0.2">
      <c r="A1893" s="3" t="s">
        <v>2571</v>
      </c>
      <c r="B1893" s="3" t="s">
        <v>532</v>
      </c>
      <c r="C1893" s="3" t="s">
        <v>8</v>
      </c>
      <c r="D1893" s="3" t="s">
        <v>2572</v>
      </c>
      <c r="E1893" s="3"/>
      <c r="F1893" s="1" t="s">
        <v>533</v>
      </c>
      <c r="G1893" s="1">
        <v>0</v>
      </c>
      <c r="H1893" s="11">
        <v>1.055056E+18</v>
      </c>
      <c r="I1893" s="1">
        <v>31558150</v>
      </c>
      <c r="J1893" s="1">
        <v>0</v>
      </c>
    </row>
    <row r="1894" spans="1:10" ht="28.5" x14ac:dyDescent="0.2">
      <c r="A1894" s="3" t="s">
        <v>2573</v>
      </c>
      <c r="B1894" s="3" t="s">
        <v>447</v>
      </c>
      <c r="C1894" s="3" t="s">
        <v>8</v>
      </c>
      <c r="D1894" s="3" t="s">
        <v>2574</v>
      </c>
      <c r="E1894" s="3" t="s">
        <v>2574</v>
      </c>
      <c r="F1894" s="1" t="s">
        <v>448</v>
      </c>
      <c r="G1894" s="1">
        <v>0</v>
      </c>
      <c r="H1894" s="1">
        <v>1</v>
      </c>
      <c r="I1894" s="1">
        <v>0.30480000000000002</v>
      </c>
      <c r="J1894" s="1">
        <v>0</v>
      </c>
    </row>
    <row r="1895" spans="1:10" ht="42.75" x14ac:dyDescent="0.2">
      <c r="A1895" s="3" t="s">
        <v>2575</v>
      </c>
      <c r="B1895" s="3" t="s">
        <v>450</v>
      </c>
      <c r="C1895" s="3" t="s">
        <v>8</v>
      </c>
      <c r="D1895" s="3" t="s">
        <v>2576</v>
      </c>
      <c r="E1895" s="3" t="s">
        <v>2576</v>
      </c>
      <c r="F1895" s="1" t="s">
        <v>451</v>
      </c>
      <c r="G1895" s="1">
        <v>0</v>
      </c>
      <c r="H1895" s="1">
        <v>1</v>
      </c>
      <c r="I1895" s="1">
        <v>2.8316846592000001E-2</v>
      </c>
      <c r="J1895" s="1">
        <v>0</v>
      </c>
    </row>
    <row r="1896" spans="1:10" x14ac:dyDescent="0.2">
      <c r="A1896" s="3" t="s">
        <v>444</v>
      </c>
      <c r="B1896" s="3" t="s">
        <v>148</v>
      </c>
      <c r="C1896" s="3" t="s">
        <v>8</v>
      </c>
      <c r="D1896" s="3" t="s">
        <v>2577</v>
      </c>
      <c r="E1896" s="3"/>
      <c r="F1896" s="1" t="s">
        <v>149</v>
      </c>
      <c r="G1896" s="1">
        <v>0</v>
      </c>
      <c r="H1896" s="1">
        <v>0.01</v>
      </c>
      <c r="I1896" s="1">
        <v>1</v>
      </c>
      <c r="J1896" s="1">
        <v>0</v>
      </c>
    </row>
    <row r="1897" spans="1:10" x14ac:dyDescent="0.2">
      <c r="A1897" s="3" t="s">
        <v>2578</v>
      </c>
      <c r="B1897" s="3" t="s">
        <v>508</v>
      </c>
      <c r="C1897" s="3" t="s">
        <v>8</v>
      </c>
      <c r="D1897" s="3" t="s">
        <v>2578</v>
      </c>
      <c r="E1897" s="3"/>
      <c r="F1897" s="1" t="s">
        <v>509</v>
      </c>
      <c r="G1897" s="1">
        <v>0</v>
      </c>
      <c r="H1897" s="1">
        <v>0.01</v>
      </c>
      <c r="I1897" s="1">
        <v>1</v>
      </c>
      <c r="J1897" s="1">
        <v>0</v>
      </c>
    </row>
    <row r="1898" spans="1:10" ht="28.5" x14ac:dyDescent="0.2">
      <c r="A1898" s="3" t="s">
        <v>2579</v>
      </c>
      <c r="B1898" s="3" t="s">
        <v>512</v>
      </c>
      <c r="C1898" s="3" t="s">
        <v>8</v>
      </c>
      <c r="D1898" s="3" t="s">
        <v>2580</v>
      </c>
      <c r="E1898" s="3"/>
      <c r="F1898" s="1" t="s">
        <v>513</v>
      </c>
      <c r="G1898" s="1">
        <v>0</v>
      </c>
      <c r="H1898" s="1">
        <v>0.01</v>
      </c>
      <c r="I1898" s="1">
        <v>3600</v>
      </c>
      <c r="J1898" s="1">
        <v>0</v>
      </c>
    </row>
    <row r="1899" spans="1:10" x14ac:dyDescent="0.2">
      <c r="A1899" s="46" t="s">
        <v>2581</v>
      </c>
      <c r="B1899" s="46" t="s">
        <v>456</v>
      </c>
      <c r="C1899" s="46" t="s">
        <v>8</v>
      </c>
      <c r="D1899" s="4" t="s">
        <v>2582</v>
      </c>
      <c r="E1899" s="46"/>
      <c r="F1899" s="58" t="s">
        <v>458</v>
      </c>
      <c r="G1899" s="58">
        <v>0</v>
      </c>
      <c r="H1899" s="58">
        <v>6.2831853070000001</v>
      </c>
      <c r="I1899" s="58">
        <v>60</v>
      </c>
      <c r="J1899" s="58">
        <v>0</v>
      </c>
    </row>
    <row r="1900" spans="1:10" ht="28.5" x14ac:dyDescent="0.2">
      <c r="A1900" s="47"/>
      <c r="B1900" s="47"/>
      <c r="C1900" s="47"/>
      <c r="D1900" s="5" t="s">
        <v>763</v>
      </c>
      <c r="E1900" s="47"/>
      <c r="F1900" s="59"/>
      <c r="G1900" s="59"/>
      <c r="H1900" s="59"/>
      <c r="I1900" s="59"/>
      <c r="J1900" s="59"/>
    </row>
    <row r="1901" spans="1:10" ht="28.5" x14ac:dyDescent="0.2">
      <c r="A1901" s="3" t="s">
        <v>2583</v>
      </c>
      <c r="B1901" s="3" t="s">
        <v>456</v>
      </c>
      <c r="C1901" s="3" t="s">
        <v>8</v>
      </c>
      <c r="D1901" s="3" t="s">
        <v>2584</v>
      </c>
      <c r="E1901" s="3" t="s">
        <v>879</v>
      </c>
      <c r="F1901" s="1" t="s">
        <v>458</v>
      </c>
      <c r="G1901" s="1">
        <v>0</v>
      </c>
      <c r="H1901" s="1">
        <v>6.2831853070000001</v>
      </c>
      <c r="I1901" s="1">
        <v>1</v>
      </c>
      <c r="J1901" s="1">
        <v>0</v>
      </c>
    </row>
    <row r="1902" spans="1:10" ht="28.5" x14ac:dyDescent="0.2">
      <c r="A1902" s="3" t="s">
        <v>2581</v>
      </c>
      <c r="B1902" s="3" t="s">
        <v>456</v>
      </c>
      <c r="C1902" s="3" t="s">
        <v>8</v>
      </c>
      <c r="D1902" s="3" t="s">
        <v>2585</v>
      </c>
      <c r="E1902" s="3"/>
      <c r="F1902" s="1" t="s">
        <v>458</v>
      </c>
      <c r="G1902" s="1">
        <v>0</v>
      </c>
      <c r="H1902" s="1">
        <v>6.2831853070000001</v>
      </c>
      <c r="I1902" s="1">
        <v>60</v>
      </c>
      <c r="J1902" s="1">
        <v>0</v>
      </c>
    </row>
    <row r="1903" spans="1:10" ht="57" x14ac:dyDescent="0.2">
      <c r="A1903" s="3" t="s">
        <v>2586</v>
      </c>
      <c r="B1903" s="3" t="s">
        <v>460</v>
      </c>
      <c r="C1903" s="3" t="s">
        <v>8</v>
      </c>
      <c r="D1903" s="3" t="s">
        <v>2587</v>
      </c>
      <c r="E1903" s="3"/>
      <c r="F1903" s="1" t="s">
        <v>461</v>
      </c>
      <c r="G1903" s="1">
        <v>0</v>
      </c>
      <c r="H1903" s="1">
        <v>6.2831853070000001</v>
      </c>
      <c r="I1903" s="1">
        <v>60</v>
      </c>
      <c r="J1903" s="1">
        <v>0</v>
      </c>
    </row>
    <row r="1904" spans="1:10" x14ac:dyDescent="0.2">
      <c r="A1904" s="46" t="s">
        <v>2588</v>
      </c>
      <c r="B1904" s="4" t="s">
        <v>476</v>
      </c>
      <c r="C1904" s="46" t="s">
        <v>8</v>
      </c>
      <c r="D1904" s="46" t="s">
        <v>2589</v>
      </c>
      <c r="E1904" s="46" t="s">
        <v>2589</v>
      </c>
      <c r="F1904" s="58" t="s">
        <v>479</v>
      </c>
      <c r="G1904" s="58">
        <v>0</v>
      </c>
      <c r="H1904" s="58">
        <v>100</v>
      </c>
      <c r="I1904" s="58">
        <v>1</v>
      </c>
      <c r="J1904" s="58">
        <v>0</v>
      </c>
    </row>
    <row r="1905" spans="1:10" x14ac:dyDescent="0.2">
      <c r="A1905" s="47"/>
      <c r="B1905" s="5" t="s">
        <v>477</v>
      </c>
      <c r="C1905" s="47"/>
      <c r="D1905" s="47"/>
      <c r="E1905" s="47"/>
      <c r="F1905" s="59"/>
      <c r="G1905" s="59"/>
      <c r="H1905" s="59"/>
      <c r="I1905" s="59"/>
      <c r="J1905" s="59"/>
    </row>
    <row r="1906" spans="1:10" x14ac:dyDescent="0.2">
      <c r="A1906" s="46" t="s">
        <v>2590</v>
      </c>
      <c r="B1906" s="4" t="s">
        <v>476</v>
      </c>
      <c r="C1906" s="46" t="s">
        <v>8</v>
      </c>
      <c r="D1906" s="46" t="s">
        <v>2591</v>
      </c>
      <c r="E1906" s="46" t="s">
        <v>2591</v>
      </c>
      <c r="F1906" s="58" t="s">
        <v>479</v>
      </c>
      <c r="G1906" s="58">
        <v>0</v>
      </c>
      <c r="H1906" s="58">
        <v>1</v>
      </c>
      <c r="I1906" s="58">
        <v>0.30480000000000002</v>
      </c>
      <c r="J1906" s="58">
        <v>0</v>
      </c>
    </row>
    <row r="1907" spans="1:10" x14ac:dyDescent="0.2">
      <c r="A1907" s="47"/>
      <c r="B1907" s="5" t="s">
        <v>477</v>
      </c>
      <c r="C1907" s="47"/>
      <c r="D1907" s="47"/>
      <c r="E1907" s="47"/>
      <c r="F1907" s="59"/>
      <c r="G1907" s="59"/>
      <c r="H1907" s="59"/>
      <c r="I1907" s="59"/>
      <c r="J1907" s="59"/>
    </row>
    <row r="1908" spans="1:10" ht="42.75" x14ac:dyDescent="0.2">
      <c r="A1908" s="3" t="s">
        <v>2592</v>
      </c>
      <c r="B1908" s="3" t="s">
        <v>481</v>
      </c>
      <c r="C1908" s="3" t="s">
        <v>8</v>
      </c>
      <c r="D1908" s="3" t="s">
        <v>2593</v>
      </c>
      <c r="E1908" s="3" t="s">
        <v>2593</v>
      </c>
      <c r="F1908" s="1" t="s">
        <v>482</v>
      </c>
      <c r="G1908" s="1">
        <v>0</v>
      </c>
      <c r="H1908" s="1">
        <v>1</v>
      </c>
      <c r="I1908" s="1">
        <v>2.8316846592000001E-2</v>
      </c>
      <c r="J1908" s="1">
        <v>0</v>
      </c>
    </row>
    <row r="1909" spans="1:10" ht="28.5" x14ac:dyDescent="0.2">
      <c r="A1909" s="3" t="s">
        <v>2594</v>
      </c>
      <c r="B1909" s="3" t="s">
        <v>476</v>
      </c>
      <c r="C1909" s="3" t="s">
        <v>8</v>
      </c>
      <c r="D1909" s="3" t="s">
        <v>2595</v>
      </c>
      <c r="E1909" s="3" t="s">
        <v>2595</v>
      </c>
      <c r="F1909" s="1" t="s">
        <v>479</v>
      </c>
      <c r="G1909" s="1">
        <v>0</v>
      </c>
      <c r="H1909" s="1">
        <v>1</v>
      </c>
      <c r="I1909" s="1">
        <v>2.5399999999999999E-2</v>
      </c>
      <c r="J1909" s="1">
        <v>0</v>
      </c>
    </row>
    <row r="1910" spans="1:10" ht="28.5" x14ac:dyDescent="0.2">
      <c r="A1910" s="3" t="s">
        <v>2596</v>
      </c>
      <c r="B1910" s="3" t="s">
        <v>481</v>
      </c>
      <c r="C1910" s="3" t="s">
        <v>8</v>
      </c>
      <c r="D1910" s="3" t="s">
        <v>2597</v>
      </c>
      <c r="E1910" s="3" t="s">
        <v>2597</v>
      </c>
      <c r="F1910" s="1" t="s">
        <v>482</v>
      </c>
      <c r="G1910" s="1">
        <v>0</v>
      </c>
      <c r="H1910" s="1">
        <v>1</v>
      </c>
      <c r="I1910" s="1">
        <v>1E-3</v>
      </c>
      <c r="J1910" s="1">
        <v>0</v>
      </c>
    </row>
    <row r="1911" spans="1:10" ht="42.75" x14ac:dyDescent="0.2">
      <c r="A1911" s="3" t="s">
        <v>2598</v>
      </c>
      <c r="B1911" s="3" t="s">
        <v>481</v>
      </c>
      <c r="C1911" s="3" t="s">
        <v>8</v>
      </c>
      <c r="D1911" s="3" t="s">
        <v>2599</v>
      </c>
      <c r="E1911" s="3"/>
      <c r="F1911" s="1" t="s">
        <v>482</v>
      </c>
      <c r="G1911" s="1">
        <v>0</v>
      </c>
      <c r="H1911" s="1">
        <v>1</v>
      </c>
      <c r="I1911" s="1">
        <v>1.136523E-3</v>
      </c>
      <c r="J1911" s="1">
        <v>0</v>
      </c>
    </row>
    <row r="1912" spans="1:10" ht="42.75" x14ac:dyDescent="0.2">
      <c r="A1912" s="3" t="s">
        <v>2600</v>
      </c>
      <c r="B1912" s="3" t="s">
        <v>481</v>
      </c>
      <c r="C1912" s="3" t="s">
        <v>8</v>
      </c>
      <c r="D1912" s="3" t="s">
        <v>2601</v>
      </c>
      <c r="E1912" s="3"/>
      <c r="F1912" s="1" t="s">
        <v>482</v>
      </c>
      <c r="G1912" s="1">
        <v>0</v>
      </c>
      <c r="H1912" s="1">
        <v>1</v>
      </c>
      <c r="I1912" s="1">
        <v>9.463529E-4</v>
      </c>
      <c r="J1912" s="1">
        <v>0</v>
      </c>
    </row>
    <row r="1913" spans="1:10" x14ac:dyDescent="0.2">
      <c r="A1913" s="3" t="s">
        <v>2602</v>
      </c>
      <c r="B1913" s="3" t="s">
        <v>220</v>
      </c>
      <c r="C1913" s="3" t="s">
        <v>8</v>
      </c>
      <c r="D1913" s="3" t="s">
        <v>2603</v>
      </c>
      <c r="E1913" s="3"/>
      <c r="F1913" s="1" t="s">
        <v>221</v>
      </c>
      <c r="G1913" s="1">
        <v>0</v>
      </c>
      <c r="H1913" s="1">
        <v>42.637689999999999</v>
      </c>
      <c r="I1913" s="1">
        <v>1</v>
      </c>
      <c r="J1913" s="1">
        <v>0</v>
      </c>
    </row>
    <row r="1914" spans="1:10" ht="42.75" x14ac:dyDescent="0.2">
      <c r="A1914" s="3" t="s">
        <v>2604</v>
      </c>
      <c r="B1914" s="3" t="s">
        <v>484</v>
      </c>
      <c r="C1914" s="3" t="s">
        <v>8</v>
      </c>
      <c r="D1914" s="3" t="s">
        <v>2605</v>
      </c>
      <c r="E1914" s="3" t="s">
        <v>2605</v>
      </c>
      <c r="F1914" s="1" t="s">
        <v>494</v>
      </c>
      <c r="G1914" s="1">
        <v>0</v>
      </c>
      <c r="H1914" s="1">
        <v>2.8262356999999998E-2</v>
      </c>
      <c r="I1914" s="1">
        <v>1</v>
      </c>
      <c r="J1914" s="1">
        <v>0</v>
      </c>
    </row>
    <row r="1915" spans="1:10" ht="57" x14ac:dyDescent="0.2">
      <c r="A1915" s="3" t="s">
        <v>2606</v>
      </c>
      <c r="B1915" s="3" t="s">
        <v>491</v>
      </c>
      <c r="C1915" s="3" t="s">
        <v>8</v>
      </c>
      <c r="D1915" s="3" t="s">
        <v>2607</v>
      </c>
      <c r="E1915" s="3"/>
      <c r="F1915" s="1" t="s">
        <v>499</v>
      </c>
      <c r="G1915" s="1">
        <v>0</v>
      </c>
      <c r="H1915" s="1">
        <v>2.8262356999999998E-2</v>
      </c>
      <c r="I1915" s="1">
        <v>0.1589873</v>
      </c>
      <c r="J1915" s="1">
        <v>0</v>
      </c>
    </row>
    <row r="1916" spans="1:10" ht="42.75" x14ac:dyDescent="0.2">
      <c r="A1916" s="3" t="s">
        <v>2608</v>
      </c>
      <c r="B1916" s="3" t="s">
        <v>501</v>
      </c>
      <c r="C1916" s="3" t="s">
        <v>8</v>
      </c>
      <c r="D1916" s="3" t="s">
        <v>2609</v>
      </c>
      <c r="E1916" s="3"/>
      <c r="F1916" s="1" t="s">
        <v>502</v>
      </c>
      <c r="G1916" s="1">
        <v>0</v>
      </c>
      <c r="H1916" s="1">
        <v>2.8262356999999998E-2</v>
      </c>
      <c r="I1916" s="1">
        <v>86400</v>
      </c>
      <c r="J1916" s="1">
        <v>0</v>
      </c>
    </row>
    <row r="1917" spans="1:10" ht="71.25" x14ac:dyDescent="0.2">
      <c r="A1917" s="3" t="s">
        <v>2610</v>
      </c>
      <c r="B1917" s="3" t="s">
        <v>488</v>
      </c>
      <c r="C1917" s="3" t="s">
        <v>8</v>
      </c>
      <c r="D1917" s="3" t="s">
        <v>2611</v>
      </c>
      <c r="E1917" s="3"/>
      <c r="F1917" s="1" t="s">
        <v>497</v>
      </c>
      <c r="G1917" s="1">
        <v>0</v>
      </c>
      <c r="H1917" s="1">
        <v>2.8262356999999998E-2</v>
      </c>
      <c r="I1917" s="1">
        <v>9.2903040000000006E-2</v>
      </c>
      <c r="J1917" s="1">
        <v>0</v>
      </c>
    </row>
    <row r="1918" spans="1:10" ht="71.25" x14ac:dyDescent="0.2">
      <c r="A1918" s="3" t="s">
        <v>2612</v>
      </c>
      <c r="B1918" s="3" t="s">
        <v>491</v>
      </c>
      <c r="C1918" s="3" t="s">
        <v>8</v>
      </c>
      <c r="D1918" s="3" t="s">
        <v>2613</v>
      </c>
      <c r="E1918" s="3"/>
      <c r="F1918" s="1" t="s">
        <v>499</v>
      </c>
      <c r="G1918" s="1">
        <v>0</v>
      </c>
      <c r="H1918" s="1">
        <v>0.99807570000000001</v>
      </c>
      <c r="I1918" s="1">
        <v>1</v>
      </c>
      <c r="J1918" s="1">
        <v>0</v>
      </c>
    </row>
    <row r="1919" spans="1:10" ht="57" x14ac:dyDescent="0.2">
      <c r="A1919" s="3" t="s">
        <v>2614</v>
      </c>
      <c r="B1919" s="3" t="s">
        <v>501</v>
      </c>
      <c r="C1919" s="3" t="s">
        <v>8</v>
      </c>
      <c r="D1919" s="3" t="s">
        <v>2615</v>
      </c>
      <c r="E1919" s="3"/>
      <c r="F1919" s="1" t="s">
        <v>502</v>
      </c>
      <c r="G1919" s="1">
        <v>0</v>
      </c>
      <c r="H1919" s="1">
        <v>1</v>
      </c>
      <c r="I1919" s="1">
        <v>86400</v>
      </c>
      <c r="J1919" s="1">
        <v>0</v>
      </c>
    </row>
    <row r="1920" spans="1:10" ht="71.25" x14ac:dyDescent="0.2">
      <c r="A1920" s="3" t="s">
        <v>2616</v>
      </c>
      <c r="B1920" s="3" t="s">
        <v>659</v>
      </c>
      <c r="C1920" s="3" t="s">
        <v>8</v>
      </c>
      <c r="D1920" s="3" t="s">
        <v>2617</v>
      </c>
      <c r="E1920" s="3"/>
      <c r="F1920" s="1" t="s">
        <v>131</v>
      </c>
      <c r="G1920" s="1">
        <v>0</v>
      </c>
      <c r="H1920" s="1">
        <v>1</v>
      </c>
      <c r="I1920" s="1">
        <v>0.1589873</v>
      </c>
      <c r="J1920" s="1">
        <v>0</v>
      </c>
    </row>
    <row r="1921" spans="1:10" ht="28.5" x14ac:dyDescent="0.2">
      <c r="A1921" s="3" t="s">
        <v>2618</v>
      </c>
      <c r="B1921" s="3" t="s">
        <v>443</v>
      </c>
      <c r="C1921" s="3" t="s">
        <v>8</v>
      </c>
      <c r="D1921" s="3" t="s">
        <v>2619</v>
      </c>
      <c r="E1921" s="3" t="s">
        <v>2619</v>
      </c>
      <c r="F1921" s="1" t="s">
        <v>444</v>
      </c>
      <c r="G1921" s="1">
        <v>0</v>
      </c>
      <c r="H1921" s="1">
        <v>4.8481399999999996E-6</v>
      </c>
      <c r="I1921" s="1">
        <v>1</v>
      </c>
      <c r="J1921" s="1">
        <v>0</v>
      </c>
    </row>
    <row r="1922" spans="1:10" x14ac:dyDescent="0.2">
      <c r="A1922" s="46" t="s">
        <v>978</v>
      </c>
      <c r="B1922" s="46" t="s">
        <v>722</v>
      </c>
      <c r="C1922" s="46" t="s">
        <v>8</v>
      </c>
      <c r="D1922" s="4" t="s">
        <v>2620</v>
      </c>
      <c r="E1922" s="46" t="s">
        <v>979</v>
      </c>
      <c r="F1922" s="58" t="s">
        <v>20</v>
      </c>
      <c r="G1922" s="58">
        <v>0</v>
      </c>
      <c r="H1922" s="58">
        <v>0.1</v>
      </c>
      <c r="I1922" s="58">
        <v>1</v>
      </c>
      <c r="J1922" s="58">
        <v>0</v>
      </c>
    </row>
    <row r="1923" spans="1:10" ht="28.5" x14ac:dyDescent="0.2">
      <c r="A1923" s="47"/>
      <c r="B1923" s="47"/>
      <c r="C1923" s="47"/>
      <c r="D1923" s="5" t="s">
        <v>763</v>
      </c>
      <c r="E1923" s="47"/>
      <c r="F1923" s="59"/>
      <c r="G1923" s="59"/>
      <c r="H1923" s="59"/>
      <c r="I1923" s="59"/>
      <c r="J1923" s="59"/>
    </row>
    <row r="1924" spans="1:10" ht="71.25" x14ac:dyDescent="0.2">
      <c r="A1924" s="3" t="s">
        <v>2621</v>
      </c>
      <c r="B1924" s="3" t="s">
        <v>659</v>
      </c>
      <c r="C1924" s="3" t="s">
        <v>8</v>
      </c>
      <c r="D1924" s="3" t="s">
        <v>2622</v>
      </c>
      <c r="E1924" s="3"/>
      <c r="F1924" s="1" t="s">
        <v>131</v>
      </c>
      <c r="G1924" s="1">
        <v>0</v>
      </c>
      <c r="H1924" s="1">
        <v>1</v>
      </c>
      <c r="I1924" s="1">
        <v>1000</v>
      </c>
      <c r="J1924" s="1">
        <v>0</v>
      </c>
    </row>
    <row r="1925" spans="1:10" ht="57" x14ac:dyDescent="0.2">
      <c r="A1925" s="3" t="s">
        <v>2623</v>
      </c>
      <c r="B1925" s="3" t="s">
        <v>659</v>
      </c>
      <c r="C1925" s="3" t="s">
        <v>8</v>
      </c>
      <c r="D1925" s="3" t="s">
        <v>2624</v>
      </c>
      <c r="E1925" s="3"/>
      <c r="F1925" s="1" t="s">
        <v>131</v>
      </c>
      <c r="G1925" s="1">
        <v>0</v>
      </c>
      <c r="H1925" s="1">
        <v>1</v>
      </c>
      <c r="I1925" s="1">
        <v>1</v>
      </c>
      <c r="J1925" s="1">
        <v>0</v>
      </c>
    </row>
    <row r="1926" spans="1:10" x14ac:dyDescent="0.2">
      <c r="A1926" s="46" t="s">
        <v>2625</v>
      </c>
      <c r="B1926" s="46" t="s">
        <v>302</v>
      </c>
      <c r="C1926" s="46" t="s">
        <v>8</v>
      </c>
      <c r="D1926" s="4" t="s">
        <v>2626</v>
      </c>
      <c r="E1926" s="46" t="s">
        <v>1239</v>
      </c>
      <c r="F1926" s="58" t="s">
        <v>303</v>
      </c>
      <c r="G1926" s="58">
        <v>0</v>
      </c>
      <c r="H1926" s="58">
        <v>9.2903040000000006E-2</v>
      </c>
      <c r="I1926" s="58">
        <v>1</v>
      </c>
      <c r="J1926" s="58">
        <v>0</v>
      </c>
    </row>
    <row r="1927" spans="1:10" ht="28.5" x14ac:dyDescent="0.2">
      <c r="A1927" s="47"/>
      <c r="B1927" s="47"/>
      <c r="C1927" s="47"/>
      <c r="D1927" s="5" t="s">
        <v>763</v>
      </c>
      <c r="E1927" s="47"/>
      <c r="F1927" s="59"/>
      <c r="G1927" s="59"/>
      <c r="H1927" s="59"/>
      <c r="I1927" s="59"/>
      <c r="J1927" s="59"/>
    </row>
    <row r="1928" spans="1:10" x14ac:dyDescent="0.2">
      <c r="A1928" s="46" t="s">
        <v>1538</v>
      </c>
      <c r="B1928" s="46" t="s">
        <v>302</v>
      </c>
      <c r="C1928" s="46" t="s">
        <v>8</v>
      </c>
      <c r="D1928" s="4" t="s">
        <v>2627</v>
      </c>
      <c r="E1928" s="46" t="s">
        <v>1539</v>
      </c>
      <c r="F1928" s="58" t="s">
        <v>303</v>
      </c>
      <c r="G1928" s="58">
        <v>0</v>
      </c>
      <c r="H1928" s="58">
        <v>6.4515999999999998E-4</v>
      </c>
      <c r="I1928" s="58">
        <v>1</v>
      </c>
      <c r="J1928" s="58">
        <v>0</v>
      </c>
    </row>
    <row r="1929" spans="1:10" ht="28.5" x14ac:dyDescent="0.2">
      <c r="A1929" s="47"/>
      <c r="B1929" s="47"/>
      <c r="C1929" s="47"/>
      <c r="D1929" s="5" t="s">
        <v>763</v>
      </c>
      <c r="E1929" s="47"/>
      <c r="F1929" s="59"/>
      <c r="G1929" s="59"/>
      <c r="H1929" s="59"/>
      <c r="I1929" s="59"/>
      <c r="J1929" s="59"/>
    </row>
    <row r="1930" spans="1:10" x14ac:dyDescent="0.2">
      <c r="A1930" s="46" t="s">
        <v>2182</v>
      </c>
      <c r="B1930" s="46" t="s">
        <v>302</v>
      </c>
      <c r="C1930" s="46" t="s">
        <v>8</v>
      </c>
      <c r="D1930" s="4" t="s">
        <v>2628</v>
      </c>
      <c r="E1930" s="46" t="s">
        <v>2183</v>
      </c>
      <c r="F1930" s="58" t="s">
        <v>303</v>
      </c>
      <c r="G1930" s="58">
        <v>0</v>
      </c>
      <c r="H1930" s="58">
        <v>2589988</v>
      </c>
      <c r="I1930" s="58">
        <v>1</v>
      </c>
      <c r="J1930" s="58">
        <v>0</v>
      </c>
    </row>
    <row r="1931" spans="1:10" ht="28.5" x14ac:dyDescent="0.2">
      <c r="A1931" s="47"/>
      <c r="B1931" s="47"/>
      <c r="C1931" s="47"/>
      <c r="D1931" s="5" t="s">
        <v>763</v>
      </c>
      <c r="E1931" s="47"/>
      <c r="F1931" s="59"/>
      <c r="G1931" s="59"/>
      <c r="H1931" s="59"/>
      <c r="I1931" s="59"/>
      <c r="J1931" s="59"/>
    </row>
    <row r="1932" spans="1:10" x14ac:dyDescent="0.2">
      <c r="A1932" s="46" t="s">
        <v>2629</v>
      </c>
      <c r="B1932" s="46" t="s">
        <v>302</v>
      </c>
      <c r="C1932" s="46" t="s">
        <v>8</v>
      </c>
      <c r="D1932" s="4" t="s">
        <v>2630</v>
      </c>
      <c r="E1932" s="46" t="s">
        <v>2631</v>
      </c>
      <c r="F1932" s="58" t="s">
        <v>303</v>
      </c>
      <c r="G1932" s="58">
        <v>0</v>
      </c>
      <c r="H1932" s="58">
        <v>0.83612739999999997</v>
      </c>
      <c r="I1932" s="58">
        <v>1</v>
      </c>
      <c r="J1932" s="58">
        <v>0</v>
      </c>
    </row>
    <row r="1933" spans="1:10" ht="28.5" x14ac:dyDescent="0.2">
      <c r="A1933" s="47"/>
      <c r="B1933" s="47"/>
      <c r="C1933" s="47"/>
      <c r="D1933" s="5" t="s">
        <v>763</v>
      </c>
      <c r="E1933" s="47"/>
      <c r="F1933" s="59"/>
      <c r="G1933" s="59"/>
      <c r="H1933" s="59"/>
      <c r="I1933" s="59"/>
      <c r="J1933" s="59"/>
    </row>
    <row r="1934" spans="1:10" ht="57" x14ac:dyDescent="0.2">
      <c r="A1934" s="3" t="s">
        <v>2632</v>
      </c>
      <c r="B1934" s="3" t="s">
        <v>484</v>
      </c>
      <c r="C1934" s="3" t="s">
        <v>8</v>
      </c>
      <c r="D1934" s="3" t="s">
        <v>2633</v>
      </c>
      <c r="E1934" s="3"/>
      <c r="F1934" s="1" t="s">
        <v>494</v>
      </c>
      <c r="G1934" s="1">
        <v>0</v>
      </c>
      <c r="H1934" s="1">
        <v>0.1589873</v>
      </c>
      <c r="I1934" s="1">
        <v>1</v>
      </c>
      <c r="J1934" s="1">
        <v>0</v>
      </c>
    </row>
    <row r="1935" spans="1:10" ht="71.25" x14ac:dyDescent="0.2">
      <c r="A1935" s="3" t="s">
        <v>2634</v>
      </c>
      <c r="B1935" s="3" t="s">
        <v>488</v>
      </c>
      <c r="C1935" s="3" t="s">
        <v>8</v>
      </c>
      <c r="D1935" s="3" t="s">
        <v>2635</v>
      </c>
      <c r="E1935" s="3"/>
      <c r="F1935" s="1" t="s">
        <v>497</v>
      </c>
      <c r="G1935" s="1">
        <v>0</v>
      </c>
      <c r="H1935" s="1">
        <v>0.1589873</v>
      </c>
      <c r="I1935" s="1">
        <v>4046.873</v>
      </c>
      <c r="J1935" s="1">
        <v>0</v>
      </c>
    </row>
    <row r="1936" spans="1:10" ht="71.25" x14ac:dyDescent="0.2">
      <c r="A1936" s="3" t="s">
        <v>2636</v>
      </c>
      <c r="B1936" s="3" t="s">
        <v>491</v>
      </c>
      <c r="C1936" s="3" t="s">
        <v>8</v>
      </c>
      <c r="D1936" s="3" t="s">
        <v>2637</v>
      </c>
      <c r="E1936" s="3"/>
      <c r="F1936" s="1" t="s">
        <v>499</v>
      </c>
      <c r="G1936" s="1">
        <v>0</v>
      </c>
      <c r="H1936" s="1">
        <v>1</v>
      </c>
      <c r="I1936" s="1">
        <v>1</v>
      </c>
      <c r="J1936" s="1">
        <v>0</v>
      </c>
    </row>
    <row r="1937" spans="1:10" ht="71.25" x14ac:dyDescent="0.2">
      <c r="A1937" s="3" t="s">
        <v>2638</v>
      </c>
      <c r="B1937" s="3" t="s">
        <v>501</v>
      </c>
      <c r="C1937" s="3" t="s">
        <v>8</v>
      </c>
      <c r="D1937" s="3" t="s">
        <v>2639</v>
      </c>
      <c r="E1937" s="3"/>
      <c r="F1937" s="1" t="s">
        <v>502</v>
      </c>
      <c r="G1937" s="1">
        <v>0</v>
      </c>
      <c r="H1937" s="1">
        <v>0.1589873</v>
      </c>
      <c r="I1937" s="1">
        <v>86400</v>
      </c>
      <c r="J1937" s="1">
        <v>0</v>
      </c>
    </row>
    <row r="1938" spans="1:10" ht="71.25" x14ac:dyDescent="0.2">
      <c r="A1938" s="3" t="s">
        <v>2640</v>
      </c>
      <c r="B1938" s="3" t="s">
        <v>659</v>
      </c>
      <c r="C1938" s="3" t="s">
        <v>8</v>
      </c>
      <c r="D1938" s="3" t="s">
        <v>2641</v>
      </c>
      <c r="E1938" s="3"/>
      <c r="F1938" s="1" t="s">
        <v>131</v>
      </c>
      <c r="G1938" s="1">
        <v>0</v>
      </c>
      <c r="H1938" s="1">
        <v>0.1589873</v>
      </c>
      <c r="I1938" s="1">
        <v>28262.357</v>
      </c>
      <c r="J1938" s="1">
        <v>0</v>
      </c>
    </row>
    <row r="1939" spans="1:10" ht="71.25" x14ac:dyDescent="0.2">
      <c r="A1939" s="3" t="s">
        <v>2642</v>
      </c>
      <c r="B1939" s="3" t="s">
        <v>659</v>
      </c>
      <c r="C1939" s="3" t="s">
        <v>8</v>
      </c>
      <c r="D1939" s="3" t="s">
        <v>2643</v>
      </c>
      <c r="E1939" s="3"/>
      <c r="F1939" s="1" t="s">
        <v>131</v>
      </c>
      <c r="G1939" s="1">
        <v>0</v>
      </c>
      <c r="H1939" s="1">
        <v>0.1589873</v>
      </c>
      <c r="I1939" s="1">
        <v>1000000</v>
      </c>
      <c r="J1939" s="1">
        <v>0</v>
      </c>
    </row>
    <row r="1940" spans="1:10" ht="71.25" x14ac:dyDescent="0.2">
      <c r="A1940" s="3" t="s">
        <v>2644</v>
      </c>
      <c r="B1940" s="3" t="s">
        <v>659</v>
      </c>
      <c r="C1940" s="3" t="s">
        <v>8</v>
      </c>
      <c r="D1940" s="3" t="s">
        <v>2645</v>
      </c>
      <c r="E1940" s="3"/>
      <c r="F1940" s="1" t="s">
        <v>131</v>
      </c>
      <c r="G1940" s="1">
        <v>0</v>
      </c>
      <c r="H1940" s="1">
        <v>0.1589873</v>
      </c>
      <c r="I1940" s="1">
        <v>28.262357000000002</v>
      </c>
      <c r="J1940" s="1">
        <v>0</v>
      </c>
    </row>
    <row r="1941" spans="1:10" ht="85.5" x14ac:dyDescent="0.2">
      <c r="A1941" s="3" t="s">
        <v>2646</v>
      </c>
      <c r="B1941" s="3" t="s">
        <v>659</v>
      </c>
      <c r="C1941" s="3" t="s">
        <v>8</v>
      </c>
      <c r="D1941" s="3" t="s">
        <v>2647</v>
      </c>
      <c r="E1941" s="3"/>
      <c r="F1941" s="1" t="s">
        <v>131</v>
      </c>
      <c r="G1941" s="1">
        <v>0</v>
      </c>
      <c r="H1941" s="1">
        <v>0.1589873</v>
      </c>
      <c r="I1941" s="1">
        <v>1000</v>
      </c>
      <c r="J1941" s="1">
        <v>0</v>
      </c>
    </row>
    <row r="1942" spans="1:10" ht="71.25" x14ac:dyDescent="0.2">
      <c r="A1942" s="3" t="s">
        <v>2648</v>
      </c>
      <c r="B1942" s="3" t="s">
        <v>659</v>
      </c>
      <c r="C1942" s="3" t="s">
        <v>8</v>
      </c>
      <c r="D1942" s="3" t="s">
        <v>2649</v>
      </c>
      <c r="E1942" s="3"/>
      <c r="F1942" s="1" t="s">
        <v>131</v>
      </c>
      <c r="G1942" s="1">
        <v>0</v>
      </c>
      <c r="H1942" s="1">
        <v>0.1589873</v>
      </c>
      <c r="I1942" s="1">
        <v>1</v>
      </c>
      <c r="J1942" s="1">
        <v>0</v>
      </c>
    </row>
    <row r="1943" spans="1:10" ht="28.5" x14ac:dyDescent="0.2">
      <c r="A1943" s="3" t="s">
        <v>2650</v>
      </c>
      <c r="B1943" s="3" t="s">
        <v>512</v>
      </c>
      <c r="C1943" s="3" t="s">
        <v>8</v>
      </c>
      <c r="D1943" s="3" t="s">
        <v>2651</v>
      </c>
      <c r="E1943" s="3"/>
      <c r="F1943" s="1" t="s">
        <v>513</v>
      </c>
      <c r="G1943" s="1">
        <v>0</v>
      </c>
      <c r="H1943" s="1">
        <v>1</v>
      </c>
      <c r="I1943" s="1">
        <v>3600</v>
      </c>
      <c r="J1943" s="1">
        <v>0</v>
      </c>
    </row>
    <row r="1944" spans="1:10" x14ac:dyDescent="0.2">
      <c r="A1944" s="3" t="s">
        <v>2652</v>
      </c>
      <c r="B1944" s="3" t="s">
        <v>220</v>
      </c>
      <c r="C1944" s="3" t="s">
        <v>8</v>
      </c>
      <c r="D1944" s="3" t="s">
        <v>2653</v>
      </c>
      <c r="E1944" s="3" t="s">
        <v>2653</v>
      </c>
      <c r="F1944" s="1" t="s">
        <v>221</v>
      </c>
      <c r="G1944" s="1">
        <v>0</v>
      </c>
      <c r="H1944" s="1">
        <v>1000</v>
      </c>
      <c r="I1944" s="1">
        <v>1</v>
      </c>
      <c r="J1944" s="1">
        <v>0</v>
      </c>
    </row>
    <row r="1945" spans="1:10" ht="28.5" x14ac:dyDescent="0.2">
      <c r="A1945" s="3" t="s">
        <v>2654</v>
      </c>
      <c r="B1945" s="3" t="s">
        <v>257</v>
      </c>
      <c r="C1945" s="3" t="s">
        <v>8</v>
      </c>
      <c r="D1945" s="3" t="s">
        <v>2655</v>
      </c>
      <c r="E1945" s="3" t="s">
        <v>2655</v>
      </c>
      <c r="F1945" s="1" t="s">
        <v>258</v>
      </c>
      <c r="G1945" s="1">
        <v>0</v>
      </c>
      <c r="H1945" s="1">
        <v>1000</v>
      </c>
      <c r="I1945" s="1">
        <v>31558150</v>
      </c>
      <c r="J1945" s="1">
        <v>0</v>
      </c>
    </row>
    <row r="1946" spans="1:10" ht="28.5" x14ac:dyDescent="0.2">
      <c r="A1946" s="3" t="s">
        <v>2656</v>
      </c>
      <c r="B1946" s="3" t="s">
        <v>257</v>
      </c>
      <c r="C1946" s="3" t="s">
        <v>8</v>
      </c>
      <c r="D1946" s="3" t="s">
        <v>2657</v>
      </c>
      <c r="E1946" s="3" t="s">
        <v>2657</v>
      </c>
      <c r="F1946" s="1" t="s">
        <v>258</v>
      </c>
      <c r="G1946" s="1">
        <v>0</v>
      </c>
      <c r="H1946" s="1">
        <v>1000</v>
      </c>
      <c r="I1946" s="1">
        <v>86400</v>
      </c>
      <c r="J1946" s="1">
        <v>0</v>
      </c>
    </row>
    <row r="1947" spans="1:10" ht="28.5" x14ac:dyDescent="0.2">
      <c r="A1947" s="3" t="s">
        <v>2658</v>
      </c>
      <c r="B1947" s="3" t="s">
        <v>257</v>
      </c>
      <c r="C1947" s="3" t="s">
        <v>8</v>
      </c>
      <c r="D1947" s="3" t="s">
        <v>2659</v>
      </c>
      <c r="E1947" s="3" t="s">
        <v>2659</v>
      </c>
      <c r="F1947" s="1" t="s">
        <v>258</v>
      </c>
      <c r="G1947" s="1">
        <v>0</v>
      </c>
      <c r="H1947" s="1">
        <v>1000</v>
      </c>
      <c r="I1947" s="1">
        <v>3600</v>
      </c>
      <c r="J1947" s="1">
        <v>0</v>
      </c>
    </row>
    <row r="1948" spans="1:10" ht="42.75" x14ac:dyDescent="0.2">
      <c r="A1948" s="3" t="s">
        <v>2660</v>
      </c>
      <c r="B1948" s="3" t="s">
        <v>257</v>
      </c>
      <c r="C1948" s="3" t="s">
        <v>8</v>
      </c>
      <c r="D1948" s="3" t="s">
        <v>2661</v>
      </c>
      <c r="E1948" s="3" t="s">
        <v>2661</v>
      </c>
      <c r="F1948" s="1" t="s">
        <v>258</v>
      </c>
      <c r="G1948" s="1">
        <v>0</v>
      </c>
      <c r="H1948" s="1">
        <v>1000</v>
      </c>
      <c r="I1948" s="1">
        <v>60</v>
      </c>
      <c r="J1948" s="1">
        <v>0</v>
      </c>
    </row>
    <row r="1949" spans="1:10" x14ac:dyDescent="0.2">
      <c r="A1949" s="3" t="s">
        <v>2662</v>
      </c>
      <c r="B1949" s="3" t="s">
        <v>264</v>
      </c>
      <c r="C1949" s="3" t="s">
        <v>8</v>
      </c>
      <c r="D1949" s="3" t="s">
        <v>2662</v>
      </c>
      <c r="E1949" s="3" t="s">
        <v>265</v>
      </c>
      <c r="F1949" s="1" t="s">
        <v>265</v>
      </c>
      <c r="G1949" s="1">
        <v>0</v>
      </c>
      <c r="H1949" s="1">
        <v>1</v>
      </c>
      <c r="I1949" s="1">
        <v>1</v>
      </c>
      <c r="J1949" s="1">
        <v>0</v>
      </c>
    </row>
    <row r="1950" spans="1:10" ht="28.5" x14ac:dyDescent="0.2">
      <c r="A1950" s="3" t="s">
        <v>2663</v>
      </c>
      <c r="B1950" s="3" t="s">
        <v>80</v>
      </c>
      <c r="C1950" s="3" t="s">
        <v>8</v>
      </c>
      <c r="D1950" s="3" t="s">
        <v>2664</v>
      </c>
      <c r="E1950" s="3" t="s">
        <v>2664</v>
      </c>
      <c r="F1950" s="1" t="s">
        <v>81</v>
      </c>
      <c r="G1950" s="1">
        <v>0</v>
      </c>
      <c r="H1950" s="11">
        <v>1000000000000</v>
      </c>
      <c r="I1950" s="1">
        <v>1</v>
      </c>
      <c r="J1950" s="1">
        <v>0</v>
      </c>
    </row>
    <row r="1951" spans="1:10" ht="28.5" x14ac:dyDescent="0.2">
      <c r="A1951" s="3" t="s">
        <v>2665</v>
      </c>
      <c r="B1951" s="3" t="s">
        <v>321</v>
      </c>
      <c r="C1951" s="3" t="s">
        <v>8</v>
      </c>
      <c r="D1951" s="3" t="s">
        <v>2666</v>
      </c>
      <c r="E1951" s="3"/>
      <c r="F1951" s="1" t="s">
        <v>322</v>
      </c>
      <c r="G1951" s="1">
        <v>0</v>
      </c>
      <c r="H1951" s="1">
        <v>28316850000</v>
      </c>
      <c r="I1951" s="1">
        <v>1</v>
      </c>
      <c r="J1951" s="1">
        <v>0</v>
      </c>
    </row>
    <row r="1952" spans="1:10" x14ac:dyDescent="0.2">
      <c r="A1952" s="46" t="s">
        <v>2667</v>
      </c>
      <c r="B1952" s="4" t="s">
        <v>166</v>
      </c>
      <c r="C1952" s="46" t="s">
        <v>8</v>
      </c>
      <c r="D1952" s="46" t="s">
        <v>2668</v>
      </c>
      <c r="E1952" s="46" t="s">
        <v>2668</v>
      </c>
      <c r="F1952" s="58" t="s">
        <v>168</v>
      </c>
      <c r="G1952" s="58">
        <v>0</v>
      </c>
      <c r="H1952" s="58">
        <v>1.6021770000000001E-7</v>
      </c>
      <c r="I1952" s="58">
        <v>1</v>
      </c>
      <c r="J1952" s="58">
        <v>0</v>
      </c>
    </row>
    <row r="1953" spans="1:10" x14ac:dyDescent="0.2">
      <c r="A1953" s="47"/>
      <c r="B1953" s="5" t="s">
        <v>167</v>
      </c>
      <c r="C1953" s="47"/>
      <c r="D1953" s="47"/>
      <c r="E1953" s="47"/>
      <c r="F1953" s="59"/>
      <c r="G1953" s="59"/>
      <c r="H1953" s="59"/>
      <c r="I1953" s="59"/>
      <c r="J1953" s="59"/>
    </row>
    <row r="1954" spans="1:10" x14ac:dyDescent="0.2">
      <c r="A1954" s="46" t="s">
        <v>2669</v>
      </c>
      <c r="B1954" s="4" t="s">
        <v>166</v>
      </c>
      <c r="C1954" s="46" t="s">
        <v>8</v>
      </c>
      <c r="D1954" s="46" t="s">
        <v>2670</v>
      </c>
      <c r="E1954" s="46"/>
      <c r="F1954" s="58" t="s">
        <v>168</v>
      </c>
      <c r="G1954" s="58">
        <v>0</v>
      </c>
      <c r="H1954" s="58">
        <v>105505600</v>
      </c>
      <c r="I1954" s="58">
        <v>1</v>
      </c>
      <c r="J1954" s="58">
        <v>0</v>
      </c>
    </row>
    <row r="1955" spans="1:10" x14ac:dyDescent="0.2">
      <c r="A1955" s="47"/>
      <c r="B1955" s="5" t="s">
        <v>167</v>
      </c>
      <c r="C1955" s="47"/>
      <c r="D1955" s="47"/>
      <c r="E1955" s="47"/>
      <c r="F1955" s="59"/>
      <c r="G1955" s="59"/>
      <c r="H1955" s="59"/>
      <c r="I1955" s="59"/>
      <c r="J1955" s="59"/>
    </row>
    <row r="1956" spans="1:10" x14ac:dyDescent="0.2">
      <c r="A1956" s="46" t="s">
        <v>2671</v>
      </c>
      <c r="B1956" s="4" t="s">
        <v>181</v>
      </c>
      <c r="C1956" s="46" t="s">
        <v>8</v>
      </c>
      <c r="D1956" s="46" t="s">
        <v>2672</v>
      </c>
      <c r="E1956" s="46"/>
      <c r="F1956" s="58" t="s">
        <v>190</v>
      </c>
      <c r="G1956" s="58">
        <v>0</v>
      </c>
      <c r="H1956" s="58">
        <v>105505600</v>
      </c>
      <c r="I1956" s="58">
        <v>2.8316850000000001E-2</v>
      </c>
      <c r="J1956" s="58">
        <v>0</v>
      </c>
    </row>
    <row r="1957" spans="1:10" x14ac:dyDescent="0.2">
      <c r="A1957" s="48"/>
      <c r="B1957" s="6" t="s">
        <v>182</v>
      </c>
      <c r="C1957" s="48"/>
      <c r="D1957" s="48"/>
      <c r="E1957" s="48"/>
      <c r="F1957" s="60"/>
      <c r="G1957" s="60"/>
      <c r="H1957" s="60"/>
      <c r="I1957" s="60"/>
      <c r="J1957" s="60"/>
    </row>
    <row r="1958" spans="1:10" x14ac:dyDescent="0.2">
      <c r="A1958" s="48"/>
      <c r="B1958" s="6" t="s">
        <v>183</v>
      </c>
      <c r="C1958" s="48"/>
      <c r="D1958" s="48"/>
      <c r="E1958" s="48"/>
      <c r="F1958" s="60"/>
      <c r="G1958" s="60"/>
      <c r="H1958" s="60"/>
      <c r="I1958" s="60"/>
      <c r="J1958" s="60"/>
    </row>
    <row r="1959" spans="1:10" x14ac:dyDescent="0.2">
      <c r="A1959" s="48"/>
      <c r="B1959" s="6" t="s">
        <v>184</v>
      </c>
      <c r="C1959" s="48"/>
      <c r="D1959" s="48"/>
      <c r="E1959" s="48"/>
      <c r="F1959" s="60"/>
      <c r="G1959" s="60"/>
      <c r="H1959" s="60"/>
      <c r="I1959" s="60"/>
      <c r="J1959" s="60"/>
    </row>
    <row r="1960" spans="1:10" x14ac:dyDescent="0.2">
      <c r="A1960" s="48"/>
      <c r="B1960" s="6" t="s">
        <v>185</v>
      </c>
      <c r="C1960" s="48"/>
      <c r="D1960" s="48"/>
      <c r="E1960" s="48"/>
      <c r="F1960" s="60"/>
      <c r="G1960" s="60"/>
      <c r="H1960" s="60"/>
      <c r="I1960" s="60"/>
      <c r="J1960" s="60"/>
    </row>
    <row r="1961" spans="1:10" x14ac:dyDescent="0.2">
      <c r="A1961" s="48"/>
      <c r="B1961" s="6" t="s">
        <v>186</v>
      </c>
      <c r="C1961" s="48"/>
      <c r="D1961" s="48"/>
      <c r="E1961" s="48"/>
      <c r="F1961" s="60"/>
      <c r="G1961" s="60"/>
      <c r="H1961" s="60"/>
      <c r="I1961" s="60"/>
      <c r="J1961" s="60"/>
    </row>
    <row r="1962" spans="1:10" x14ac:dyDescent="0.2">
      <c r="A1962" s="48"/>
      <c r="B1962" s="6" t="s">
        <v>187</v>
      </c>
      <c r="C1962" s="48"/>
      <c r="D1962" s="48"/>
      <c r="E1962" s="48"/>
      <c r="F1962" s="60"/>
      <c r="G1962" s="60"/>
      <c r="H1962" s="60"/>
      <c r="I1962" s="60"/>
      <c r="J1962" s="60"/>
    </row>
    <row r="1963" spans="1:10" x14ac:dyDescent="0.2">
      <c r="A1963" s="48"/>
      <c r="B1963" s="6" t="s">
        <v>188</v>
      </c>
      <c r="C1963" s="48"/>
      <c r="D1963" s="48"/>
      <c r="E1963" s="48"/>
      <c r="F1963" s="60"/>
      <c r="G1963" s="60"/>
      <c r="H1963" s="60"/>
      <c r="I1963" s="60"/>
      <c r="J1963" s="60"/>
    </row>
    <row r="1964" spans="1:10" x14ac:dyDescent="0.2">
      <c r="A1964" s="47"/>
      <c r="B1964" s="5" t="s">
        <v>189</v>
      </c>
      <c r="C1964" s="47"/>
      <c r="D1964" s="47"/>
      <c r="E1964" s="47"/>
      <c r="F1964" s="59"/>
      <c r="G1964" s="59"/>
      <c r="H1964" s="59"/>
      <c r="I1964" s="59"/>
      <c r="J1964" s="59"/>
    </row>
    <row r="1965" spans="1:10" x14ac:dyDescent="0.2">
      <c r="A1965" s="46" t="s">
        <v>2673</v>
      </c>
      <c r="B1965" s="4" t="s">
        <v>181</v>
      </c>
      <c r="C1965" s="46" t="s">
        <v>8</v>
      </c>
      <c r="D1965" s="46" t="s">
        <v>2674</v>
      </c>
      <c r="E1965" s="46" t="s">
        <v>2674</v>
      </c>
      <c r="F1965" s="58" t="s">
        <v>190</v>
      </c>
      <c r="G1965" s="58">
        <v>0</v>
      </c>
      <c r="H1965" s="58">
        <v>23208000000</v>
      </c>
      <c r="I1965" s="58">
        <v>1</v>
      </c>
      <c r="J1965" s="58">
        <v>0</v>
      </c>
    </row>
    <row r="1966" spans="1:10" x14ac:dyDescent="0.2">
      <c r="A1966" s="48"/>
      <c r="B1966" s="6" t="s">
        <v>182</v>
      </c>
      <c r="C1966" s="48"/>
      <c r="D1966" s="48"/>
      <c r="E1966" s="48"/>
      <c r="F1966" s="60"/>
      <c r="G1966" s="60"/>
      <c r="H1966" s="60"/>
      <c r="I1966" s="60"/>
      <c r="J1966" s="60"/>
    </row>
    <row r="1967" spans="1:10" x14ac:dyDescent="0.2">
      <c r="A1967" s="48"/>
      <c r="B1967" s="6" t="s">
        <v>183</v>
      </c>
      <c r="C1967" s="48"/>
      <c r="D1967" s="48"/>
      <c r="E1967" s="48"/>
      <c r="F1967" s="60"/>
      <c r="G1967" s="60"/>
      <c r="H1967" s="60"/>
      <c r="I1967" s="60"/>
      <c r="J1967" s="60"/>
    </row>
    <row r="1968" spans="1:10" x14ac:dyDescent="0.2">
      <c r="A1968" s="48"/>
      <c r="B1968" s="6" t="s">
        <v>184</v>
      </c>
      <c r="C1968" s="48"/>
      <c r="D1968" s="48"/>
      <c r="E1968" s="48"/>
      <c r="F1968" s="60"/>
      <c r="G1968" s="60"/>
      <c r="H1968" s="60"/>
      <c r="I1968" s="60"/>
      <c r="J1968" s="60"/>
    </row>
    <row r="1969" spans="1:10" x14ac:dyDescent="0.2">
      <c r="A1969" s="48"/>
      <c r="B1969" s="6" t="s">
        <v>185</v>
      </c>
      <c r="C1969" s="48"/>
      <c r="D1969" s="48"/>
      <c r="E1969" s="48"/>
      <c r="F1969" s="60"/>
      <c r="G1969" s="60"/>
      <c r="H1969" s="60"/>
      <c r="I1969" s="60"/>
      <c r="J1969" s="60"/>
    </row>
    <row r="1970" spans="1:10" x14ac:dyDescent="0.2">
      <c r="A1970" s="48"/>
      <c r="B1970" s="6" t="s">
        <v>186</v>
      </c>
      <c r="C1970" s="48"/>
      <c r="D1970" s="48"/>
      <c r="E1970" s="48"/>
      <c r="F1970" s="60"/>
      <c r="G1970" s="60"/>
      <c r="H1970" s="60"/>
      <c r="I1970" s="60"/>
      <c r="J1970" s="60"/>
    </row>
    <row r="1971" spans="1:10" x14ac:dyDescent="0.2">
      <c r="A1971" s="48"/>
      <c r="B1971" s="6" t="s">
        <v>187</v>
      </c>
      <c r="C1971" s="48"/>
      <c r="D1971" s="48"/>
      <c r="E1971" s="48"/>
      <c r="F1971" s="60"/>
      <c r="G1971" s="60"/>
      <c r="H1971" s="60"/>
      <c r="I1971" s="60"/>
      <c r="J1971" s="60"/>
    </row>
    <row r="1972" spans="1:10" x14ac:dyDescent="0.2">
      <c r="A1972" s="48"/>
      <c r="B1972" s="6" t="s">
        <v>188</v>
      </c>
      <c r="C1972" s="48"/>
      <c r="D1972" s="48"/>
      <c r="E1972" s="48"/>
      <c r="F1972" s="60"/>
      <c r="G1972" s="60"/>
      <c r="H1972" s="60"/>
      <c r="I1972" s="60"/>
      <c r="J1972" s="60"/>
    </row>
    <row r="1973" spans="1:10" x14ac:dyDescent="0.2">
      <c r="A1973" s="47"/>
      <c r="B1973" s="5" t="s">
        <v>189</v>
      </c>
      <c r="C1973" s="47"/>
      <c r="D1973" s="47"/>
      <c r="E1973" s="47"/>
      <c r="F1973" s="59"/>
      <c r="G1973" s="59"/>
      <c r="H1973" s="59"/>
      <c r="I1973" s="59"/>
      <c r="J1973" s="59"/>
    </row>
    <row r="1974" spans="1:10" ht="42.75" x14ac:dyDescent="0.2">
      <c r="A1974" s="3" t="s">
        <v>2675</v>
      </c>
      <c r="B1974" s="3" t="s">
        <v>174</v>
      </c>
      <c r="C1974" s="3" t="s">
        <v>8</v>
      </c>
      <c r="D1974" s="3" t="s">
        <v>2676</v>
      </c>
      <c r="E1974" s="3" t="s">
        <v>2676</v>
      </c>
      <c r="F1974" s="1" t="s">
        <v>175</v>
      </c>
      <c r="G1974" s="1">
        <v>0</v>
      </c>
      <c r="H1974" s="1">
        <v>105505600</v>
      </c>
      <c r="I1974" s="1">
        <v>0.45359240000000001</v>
      </c>
      <c r="J1974" s="1">
        <v>0</v>
      </c>
    </row>
    <row r="1975" spans="1:10" x14ac:dyDescent="0.2">
      <c r="A1975" s="46" t="s">
        <v>2677</v>
      </c>
      <c r="B1975" s="4" t="s">
        <v>166</v>
      </c>
      <c r="C1975" s="46" t="s">
        <v>8</v>
      </c>
      <c r="D1975" s="46" t="s">
        <v>2678</v>
      </c>
      <c r="E1975" s="46" t="s">
        <v>2678</v>
      </c>
      <c r="F1975" s="58" t="s">
        <v>168</v>
      </c>
      <c r="G1975" s="58">
        <v>0</v>
      </c>
      <c r="H1975" s="58">
        <v>1000000000000</v>
      </c>
      <c r="I1975" s="58">
        <v>1</v>
      </c>
      <c r="J1975" s="58">
        <v>0</v>
      </c>
    </row>
    <row r="1976" spans="1:10" x14ac:dyDescent="0.2">
      <c r="A1976" s="47"/>
      <c r="B1976" s="5" t="s">
        <v>167</v>
      </c>
      <c r="C1976" s="47"/>
      <c r="D1976" s="47"/>
      <c r="E1976" s="47"/>
      <c r="F1976" s="59"/>
      <c r="G1976" s="59"/>
      <c r="H1976" s="59"/>
      <c r="I1976" s="59"/>
      <c r="J1976" s="59"/>
    </row>
    <row r="1977" spans="1:10" ht="28.5" x14ac:dyDescent="0.2">
      <c r="A1977" s="3" t="s">
        <v>2679</v>
      </c>
      <c r="B1977" s="3" t="s">
        <v>532</v>
      </c>
      <c r="C1977" s="3" t="s">
        <v>8</v>
      </c>
      <c r="D1977" s="3" t="s">
        <v>2680</v>
      </c>
      <c r="E1977" s="3" t="s">
        <v>2680</v>
      </c>
      <c r="F1977" s="1" t="s">
        <v>533</v>
      </c>
      <c r="G1977" s="1">
        <v>0</v>
      </c>
      <c r="H1977" s="1">
        <v>1000000000000</v>
      </c>
      <c r="I1977" s="1">
        <v>31558150</v>
      </c>
      <c r="J1977" s="1">
        <v>0</v>
      </c>
    </row>
    <row r="1978" spans="1:10" x14ac:dyDescent="0.2">
      <c r="A1978" s="46" t="s">
        <v>2681</v>
      </c>
      <c r="B1978" s="4" t="s">
        <v>404</v>
      </c>
      <c r="C1978" s="46" t="s">
        <v>8</v>
      </c>
      <c r="D1978" s="46" t="s">
        <v>2682</v>
      </c>
      <c r="E1978" s="46" t="s">
        <v>2682</v>
      </c>
      <c r="F1978" s="58" t="s">
        <v>403</v>
      </c>
      <c r="G1978" s="58">
        <v>0</v>
      </c>
      <c r="H1978" s="58">
        <v>1000000000000</v>
      </c>
      <c r="I1978" s="58">
        <v>1</v>
      </c>
      <c r="J1978" s="58">
        <v>0</v>
      </c>
    </row>
    <row r="1979" spans="1:10" x14ac:dyDescent="0.2">
      <c r="A1979" s="47"/>
      <c r="B1979" s="5" t="s">
        <v>405</v>
      </c>
      <c r="C1979" s="47"/>
      <c r="D1979" s="47"/>
      <c r="E1979" s="47"/>
      <c r="F1979" s="59"/>
      <c r="G1979" s="59"/>
      <c r="H1979" s="59"/>
      <c r="I1979" s="59"/>
      <c r="J1979" s="59"/>
    </row>
    <row r="1980" spans="1:10" ht="42.75" x14ac:dyDescent="0.2">
      <c r="A1980" s="3" t="s">
        <v>2683</v>
      </c>
      <c r="B1980" s="3" t="s">
        <v>531</v>
      </c>
      <c r="C1980" s="3" t="s">
        <v>8</v>
      </c>
      <c r="D1980" s="3" t="s">
        <v>2684</v>
      </c>
      <c r="E1980" s="3"/>
      <c r="F1980" s="1" t="s">
        <v>533</v>
      </c>
      <c r="G1980" s="1">
        <v>0</v>
      </c>
      <c r="H1980" s="1">
        <v>3516.8530000000001</v>
      </c>
      <c r="I1980" s="1">
        <v>1</v>
      </c>
      <c r="J1980" s="1">
        <v>0</v>
      </c>
    </row>
    <row r="1981" spans="1:10" ht="28.5" x14ac:dyDescent="0.2">
      <c r="A1981" s="3" t="s">
        <v>2685</v>
      </c>
      <c r="B1981" s="3" t="s">
        <v>378</v>
      </c>
      <c r="C1981" s="3" t="s">
        <v>8</v>
      </c>
      <c r="D1981" s="3" t="s">
        <v>2686</v>
      </c>
      <c r="E1981" s="3"/>
      <c r="F1981" s="1" t="s">
        <v>379</v>
      </c>
      <c r="G1981" s="1">
        <v>0</v>
      </c>
      <c r="H1981" s="1">
        <v>9964.0159999999996</v>
      </c>
      <c r="I1981" s="1">
        <v>1</v>
      </c>
      <c r="J1981" s="1">
        <v>0</v>
      </c>
    </row>
    <row r="1982" spans="1:10" ht="42.75" x14ac:dyDescent="0.2">
      <c r="A1982" s="3" t="s">
        <v>2687</v>
      </c>
      <c r="B1982" s="3" t="s">
        <v>382</v>
      </c>
      <c r="C1982" s="3" t="s">
        <v>8</v>
      </c>
      <c r="D1982" s="3" t="s">
        <v>2688</v>
      </c>
      <c r="E1982" s="3"/>
      <c r="F1982" s="1" t="s">
        <v>383</v>
      </c>
      <c r="G1982" s="1">
        <v>0</v>
      </c>
      <c r="H1982" s="1">
        <v>925.68740000000003</v>
      </c>
      <c r="I1982" s="1">
        <v>1</v>
      </c>
      <c r="J1982" s="1">
        <v>0</v>
      </c>
    </row>
    <row r="1983" spans="1:10" ht="28.5" x14ac:dyDescent="0.2">
      <c r="A1983" s="3" t="s">
        <v>2689</v>
      </c>
      <c r="B1983" s="3" t="s">
        <v>385</v>
      </c>
      <c r="C1983" s="3" t="s">
        <v>8</v>
      </c>
      <c r="D1983" s="3" t="s">
        <v>2690</v>
      </c>
      <c r="E1983" s="3"/>
      <c r="F1983" s="1" t="s">
        <v>387</v>
      </c>
      <c r="G1983" s="1">
        <v>0</v>
      </c>
      <c r="H1983" s="1">
        <v>9964.0159999999996</v>
      </c>
      <c r="I1983" s="1">
        <v>0.30480000000000002</v>
      </c>
      <c r="J1983" s="1">
        <v>0</v>
      </c>
    </row>
    <row r="1984" spans="1:10" ht="42.75" x14ac:dyDescent="0.2">
      <c r="A1984" s="3" t="s">
        <v>2691</v>
      </c>
      <c r="B1984" s="3" t="s">
        <v>415</v>
      </c>
      <c r="C1984" s="3" t="s">
        <v>8</v>
      </c>
      <c r="D1984" s="3" t="s">
        <v>2692</v>
      </c>
      <c r="E1984" s="3"/>
      <c r="F1984" s="1" t="s">
        <v>416</v>
      </c>
      <c r="G1984" s="1">
        <v>0</v>
      </c>
      <c r="H1984" s="1">
        <v>9964.0159999999996</v>
      </c>
      <c r="I1984" s="1">
        <v>9.2903040000000006E-2</v>
      </c>
      <c r="J1984" s="1">
        <v>0</v>
      </c>
    </row>
    <row r="1985" spans="1:10" ht="28.5" x14ac:dyDescent="0.2">
      <c r="A1985" s="3" t="s">
        <v>2693</v>
      </c>
      <c r="B1985" s="3" t="s">
        <v>378</v>
      </c>
      <c r="C1985" s="3" t="s">
        <v>8</v>
      </c>
      <c r="D1985" s="3" t="s">
        <v>2694</v>
      </c>
      <c r="E1985" s="3"/>
      <c r="F1985" s="1" t="s">
        <v>379</v>
      </c>
      <c r="G1985" s="1">
        <v>0</v>
      </c>
      <c r="H1985" s="1">
        <v>8896.4429999999993</v>
      </c>
      <c r="I1985" s="1">
        <v>1</v>
      </c>
      <c r="J1985" s="1">
        <v>0</v>
      </c>
    </row>
    <row r="1986" spans="1:10" x14ac:dyDescent="0.2">
      <c r="A1986" s="46" t="s">
        <v>2695</v>
      </c>
      <c r="B1986" s="4" t="s">
        <v>163</v>
      </c>
      <c r="C1986" s="46" t="s">
        <v>8</v>
      </c>
      <c r="D1986" s="46" t="s">
        <v>2696</v>
      </c>
      <c r="E1986" s="46"/>
      <c r="F1986" s="58" t="s">
        <v>168</v>
      </c>
      <c r="G1986" s="58">
        <v>0</v>
      </c>
      <c r="H1986" s="58">
        <v>2711.636</v>
      </c>
      <c r="I1986" s="58">
        <v>1</v>
      </c>
      <c r="J1986" s="58">
        <v>0</v>
      </c>
    </row>
    <row r="1987" spans="1:10" x14ac:dyDescent="0.2">
      <c r="A1987" s="48"/>
      <c r="B1987" s="6" t="s">
        <v>164</v>
      </c>
      <c r="C1987" s="48"/>
      <c r="D1987" s="48"/>
      <c r="E1987" s="48"/>
      <c r="F1987" s="60"/>
      <c r="G1987" s="60"/>
      <c r="H1987" s="60"/>
      <c r="I1987" s="60"/>
      <c r="J1987" s="60"/>
    </row>
    <row r="1988" spans="1:10" x14ac:dyDescent="0.2">
      <c r="A1988" s="47"/>
      <c r="B1988" s="5" t="s">
        <v>165</v>
      </c>
      <c r="C1988" s="47"/>
      <c r="D1988" s="47"/>
      <c r="E1988" s="47"/>
      <c r="F1988" s="59"/>
      <c r="G1988" s="59"/>
      <c r="H1988" s="59"/>
      <c r="I1988" s="59"/>
      <c r="J1988" s="59"/>
    </row>
    <row r="1989" spans="1:10" ht="42.75" x14ac:dyDescent="0.2">
      <c r="A1989" s="3" t="s">
        <v>2697</v>
      </c>
      <c r="B1989" s="3" t="s">
        <v>382</v>
      </c>
      <c r="C1989" s="3" t="s">
        <v>8</v>
      </c>
      <c r="D1989" s="3" t="s">
        <v>2698</v>
      </c>
      <c r="E1989" s="3"/>
      <c r="F1989" s="1" t="s">
        <v>383</v>
      </c>
      <c r="G1989" s="1">
        <v>0</v>
      </c>
      <c r="H1989" s="1">
        <v>826.50670000000002</v>
      </c>
      <c r="I1989" s="1">
        <v>1</v>
      </c>
      <c r="J1989" s="1">
        <v>0</v>
      </c>
    </row>
    <row r="1990" spans="1:10" x14ac:dyDescent="0.2">
      <c r="A1990" s="46" t="s">
        <v>2699</v>
      </c>
      <c r="B1990" s="4" t="s">
        <v>163</v>
      </c>
      <c r="C1990" s="46" t="s">
        <v>8</v>
      </c>
      <c r="D1990" s="46" t="s">
        <v>2700</v>
      </c>
      <c r="E1990" s="46"/>
      <c r="F1990" s="58" t="s">
        <v>168</v>
      </c>
      <c r="G1990" s="58">
        <v>0</v>
      </c>
      <c r="H1990" s="58">
        <v>14317440</v>
      </c>
      <c r="I1990" s="58">
        <v>1</v>
      </c>
      <c r="J1990" s="58">
        <v>0</v>
      </c>
    </row>
    <row r="1991" spans="1:10" x14ac:dyDescent="0.2">
      <c r="A1991" s="48"/>
      <c r="B1991" s="6" t="s">
        <v>164</v>
      </c>
      <c r="C1991" s="48"/>
      <c r="D1991" s="48"/>
      <c r="E1991" s="48"/>
      <c r="F1991" s="60"/>
      <c r="G1991" s="60"/>
      <c r="H1991" s="60"/>
      <c r="I1991" s="60"/>
      <c r="J1991" s="60"/>
    </row>
    <row r="1992" spans="1:10" x14ac:dyDescent="0.2">
      <c r="A1992" s="47"/>
      <c r="B1992" s="5" t="s">
        <v>165</v>
      </c>
      <c r="C1992" s="47"/>
      <c r="D1992" s="47"/>
      <c r="E1992" s="47"/>
      <c r="F1992" s="59"/>
      <c r="G1992" s="59"/>
      <c r="H1992" s="59"/>
      <c r="I1992" s="59"/>
      <c r="J1992" s="59"/>
    </row>
    <row r="1993" spans="1:10" x14ac:dyDescent="0.2">
      <c r="A1993" s="46" t="s">
        <v>2701</v>
      </c>
      <c r="B1993" s="4" t="s">
        <v>181</v>
      </c>
      <c r="C1993" s="46" t="s">
        <v>8</v>
      </c>
      <c r="D1993" s="46" t="s">
        <v>2702</v>
      </c>
      <c r="E1993" s="46"/>
      <c r="F1993" s="58" t="s">
        <v>190</v>
      </c>
      <c r="G1993" s="58">
        <v>0</v>
      </c>
      <c r="H1993" s="58">
        <v>14317440</v>
      </c>
      <c r="I1993" s="58">
        <v>0.1589873</v>
      </c>
      <c r="J1993" s="58">
        <v>0</v>
      </c>
    </row>
    <row r="1994" spans="1:10" x14ac:dyDescent="0.2">
      <c r="A1994" s="48"/>
      <c r="B1994" s="6" t="s">
        <v>182</v>
      </c>
      <c r="C1994" s="48"/>
      <c r="D1994" s="48"/>
      <c r="E1994" s="48"/>
      <c r="F1994" s="60"/>
      <c r="G1994" s="60"/>
      <c r="H1994" s="60"/>
      <c r="I1994" s="60"/>
      <c r="J1994" s="60"/>
    </row>
    <row r="1995" spans="1:10" x14ac:dyDescent="0.2">
      <c r="A1995" s="48"/>
      <c r="B1995" s="6" t="s">
        <v>183</v>
      </c>
      <c r="C1995" s="48"/>
      <c r="D1995" s="48"/>
      <c r="E1995" s="48"/>
      <c r="F1995" s="60"/>
      <c r="G1995" s="60"/>
      <c r="H1995" s="60"/>
      <c r="I1995" s="60"/>
      <c r="J1995" s="60"/>
    </row>
    <row r="1996" spans="1:10" x14ac:dyDescent="0.2">
      <c r="A1996" s="48"/>
      <c r="B1996" s="6" t="s">
        <v>184</v>
      </c>
      <c r="C1996" s="48"/>
      <c r="D1996" s="48"/>
      <c r="E1996" s="48"/>
      <c r="F1996" s="60"/>
      <c r="G1996" s="60"/>
      <c r="H1996" s="60"/>
      <c r="I1996" s="60"/>
      <c r="J1996" s="60"/>
    </row>
    <row r="1997" spans="1:10" x14ac:dyDescent="0.2">
      <c r="A1997" s="48"/>
      <c r="B1997" s="6" t="s">
        <v>185</v>
      </c>
      <c r="C1997" s="48"/>
      <c r="D1997" s="48"/>
      <c r="E1997" s="48"/>
      <c r="F1997" s="60"/>
      <c r="G1997" s="60"/>
      <c r="H1997" s="60"/>
      <c r="I1997" s="60"/>
      <c r="J1997" s="60"/>
    </row>
    <row r="1998" spans="1:10" x14ac:dyDescent="0.2">
      <c r="A1998" s="48"/>
      <c r="B1998" s="6" t="s">
        <v>186</v>
      </c>
      <c r="C1998" s="48"/>
      <c r="D1998" s="48"/>
      <c r="E1998" s="48"/>
      <c r="F1998" s="60"/>
      <c r="G1998" s="60"/>
      <c r="H1998" s="60"/>
      <c r="I1998" s="60"/>
      <c r="J1998" s="60"/>
    </row>
    <row r="1999" spans="1:10" x14ac:dyDescent="0.2">
      <c r="A1999" s="48"/>
      <c r="B1999" s="6" t="s">
        <v>187</v>
      </c>
      <c r="C1999" s="48"/>
      <c r="D1999" s="48"/>
      <c r="E1999" s="48"/>
      <c r="F1999" s="60"/>
      <c r="G1999" s="60"/>
      <c r="H1999" s="60"/>
      <c r="I1999" s="60"/>
      <c r="J1999" s="60"/>
    </row>
    <row r="2000" spans="1:10" x14ac:dyDescent="0.2">
      <c r="A2000" s="48"/>
      <c r="B2000" s="6" t="s">
        <v>188</v>
      </c>
      <c r="C2000" s="48"/>
      <c r="D2000" s="48"/>
      <c r="E2000" s="48"/>
      <c r="F2000" s="60"/>
      <c r="G2000" s="60"/>
      <c r="H2000" s="60"/>
      <c r="I2000" s="60"/>
      <c r="J2000" s="60"/>
    </row>
    <row r="2001" spans="1:10" x14ac:dyDescent="0.2">
      <c r="A2001" s="47"/>
      <c r="B2001" s="5" t="s">
        <v>189</v>
      </c>
      <c r="C2001" s="47"/>
      <c r="D2001" s="47"/>
      <c r="E2001" s="47"/>
      <c r="F2001" s="59"/>
      <c r="G2001" s="59"/>
      <c r="H2001" s="59"/>
      <c r="I2001" s="59"/>
      <c r="J2001" s="59"/>
    </row>
    <row r="2002" spans="1:10" ht="42.75" x14ac:dyDescent="0.2">
      <c r="A2002" s="3" t="s">
        <v>2703</v>
      </c>
      <c r="B2002" s="3" t="s">
        <v>1657</v>
      </c>
      <c r="C2002" s="3" t="s">
        <v>8</v>
      </c>
      <c r="D2002" s="3" t="s">
        <v>2704</v>
      </c>
      <c r="E2002" s="3"/>
      <c r="F2002" s="1" t="s">
        <v>379</v>
      </c>
      <c r="G2002" s="1">
        <v>0</v>
      </c>
      <c r="H2002" s="1">
        <v>14317440</v>
      </c>
      <c r="I2002" s="1">
        <v>0.30480000000000002</v>
      </c>
      <c r="J2002" s="1">
        <v>0</v>
      </c>
    </row>
    <row r="2003" spans="1:10" ht="28.5" x14ac:dyDescent="0.2">
      <c r="A2003" s="3" t="s">
        <v>2705</v>
      </c>
      <c r="B2003" s="3" t="s">
        <v>385</v>
      </c>
      <c r="C2003" s="3" t="s">
        <v>8</v>
      </c>
      <c r="D2003" s="3" t="s">
        <v>2706</v>
      </c>
      <c r="E2003" s="3"/>
      <c r="F2003" s="1" t="s">
        <v>387</v>
      </c>
      <c r="G2003" s="1">
        <v>0</v>
      </c>
      <c r="H2003" s="1">
        <v>8896.4429999999993</v>
      </c>
      <c r="I2003" s="1">
        <v>0.30480000000000002</v>
      </c>
      <c r="J2003" s="1">
        <v>0</v>
      </c>
    </row>
    <row r="2004" spans="1:10" x14ac:dyDescent="0.2">
      <c r="A2004" s="46" t="s">
        <v>2707</v>
      </c>
      <c r="B2004" s="4" t="s">
        <v>414</v>
      </c>
      <c r="C2004" s="46" t="s">
        <v>8</v>
      </c>
      <c r="D2004" s="46" t="s">
        <v>2708</v>
      </c>
      <c r="E2004" s="46"/>
      <c r="F2004" s="58" t="s">
        <v>416</v>
      </c>
      <c r="G2004" s="58">
        <v>0</v>
      </c>
      <c r="H2004" s="58">
        <v>95760.52</v>
      </c>
      <c r="I2004" s="58">
        <v>1</v>
      </c>
      <c r="J2004" s="58">
        <v>0</v>
      </c>
    </row>
    <row r="2005" spans="1:10" x14ac:dyDescent="0.2">
      <c r="A2005" s="47"/>
      <c r="B2005" s="5" t="s">
        <v>415</v>
      </c>
      <c r="C2005" s="47"/>
      <c r="D2005" s="47"/>
      <c r="E2005" s="47"/>
      <c r="F2005" s="59"/>
      <c r="G2005" s="59"/>
      <c r="H2005" s="59"/>
      <c r="I2005" s="59"/>
      <c r="J2005" s="59"/>
    </row>
    <row r="2006" spans="1:10" x14ac:dyDescent="0.2">
      <c r="A2006" s="46" t="s">
        <v>2709</v>
      </c>
      <c r="B2006" s="4" t="s">
        <v>414</v>
      </c>
      <c r="C2006" s="46" t="s">
        <v>8</v>
      </c>
      <c r="D2006" s="46" t="s">
        <v>2710</v>
      </c>
      <c r="E2006" s="46"/>
      <c r="F2006" s="58" t="s">
        <v>416</v>
      </c>
      <c r="G2006" s="58">
        <v>0</v>
      </c>
      <c r="H2006" s="58">
        <v>13789510</v>
      </c>
      <c r="I2006" s="58">
        <v>1</v>
      </c>
      <c r="J2006" s="58">
        <v>0</v>
      </c>
    </row>
    <row r="2007" spans="1:10" x14ac:dyDescent="0.2">
      <c r="A2007" s="47"/>
      <c r="B2007" s="5" t="s">
        <v>415</v>
      </c>
      <c r="C2007" s="47"/>
      <c r="D2007" s="47"/>
      <c r="E2007" s="47"/>
      <c r="F2007" s="59"/>
      <c r="G2007" s="59"/>
      <c r="H2007" s="59"/>
      <c r="I2007" s="59"/>
      <c r="J2007" s="59"/>
    </row>
    <row r="2008" spans="1:10" x14ac:dyDescent="0.2">
      <c r="A2008" s="3" t="s">
        <v>2711</v>
      </c>
      <c r="B2008" s="3" t="s">
        <v>220</v>
      </c>
      <c r="C2008" s="3" t="s">
        <v>8</v>
      </c>
      <c r="D2008" s="3" t="s">
        <v>2712</v>
      </c>
      <c r="E2008" s="3" t="s">
        <v>2712</v>
      </c>
      <c r="F2008" s="1" t="s">
        <v>221</v>
      </c>
      <c r="G2008" s="1">
        <v>0</v>
      </c>
      <c r="H2008" s="1">
        <v>1016.047</v>
      </c>
      <c r="I2008" s="1">
        <v>1</v>
      </c>
      <c r="J2008" s="1">
        <v>0</v>
      </c>
    </row>
    <row r="2009" spans="1:10" ht="28.5" x14ac:dyDescent="0.2">
      <c r="A2009" s="3" t="s">
        <v>2713</v>
      </c>
      <c r="B2009" s="3" t="s">
        <v>257</v>
      </c>
      <c r="C2009" s="3" t="s">
        <v>8</v>
      </c>
      <c r="D2009" s="3" t="s">
        <v>2714</v>
      </c>
      <c r="E2009" s="3" t="s">
        <v>2714</v>
      </c>
      <c r="F2009" s="1" t="s">
        <v>258</v>
      </c>
      <c r="G2009" s="1">
        <v>0</v>
      </c>
      <c r="H2009" s="1">
        <v>1016.047</v>
      </c>
      <c r="I2009" s="1">
        <v>31558150</v>
      </c>
      <c r="J2009" s="1">
        <v>0</v>
      </c>
    </row>
    <row r="2010" spans="1:10" ht="28.5" x14ac:dyDescent="0.2">
      <c r="A2010" s="3" t="s">
        <v>2715</v>
      </c>
      <c r="B2010" s="3" t="s">
        <v>257</v>
      </c>
      <c r="C2010" s="3" t="s">
        <v>8</v>
      </c>
      <c r="D2010" s="3" t="s">
        <v>2716</v>
      </c>
      <c r="E2010" s="3" t="s">
        <v>2716</v>
      </c>
      <c r="F2010" s="1" t="s">
        <v>258</v>
      </c>
      <c r="G2010" s="1">
        <v>0</v>
      </c>
      <c r="H2010" s="1">
        <v>1016.047</v>
      </c>
      <c r="I2010" s="1">
        <v>86400</v>
      </c>
      <c r="J2010" s="1">
        <v>0</v>
      </c>
    </row>
    <row r="2011" spans="1:10" ht="28.5" x14ac:dyDescent="0.2">
      <c r="A2011" s="3" t="s">
        <v>2717</v>
      </c>
      <c r="B2011" s="3" t="s">
        <v>257</v>
      </c>
      <c r="C2011" s="3" t="s">
        <v>8</v>
      </c>
      <c r="D2011" s="3" t="s">
        <v>2718</v>
      </c>
      <c r="E2011" s="3" t="s">
        <v>2718</v>
      </c>
      <c r="F2011" s="1" t="s">
        <v>258</v>
      </c>
      <c r="G2011" s="1">
        <v>0</v>
      </c>
      <c r="H2011" s="1">
        <v>1016.047</v>
      </c>
      <c r="I2011" s="1">
        <v>3600</v>
      </c>
      <c r="J2011" s="1">
        <v>0</v>
      </c>
    </row>
    <row r="2012" spans="1:10" ht="42.75" x14ac:dyDescent="0.2">
      <c r="A2012" s="3" t="s">
        <v>2719</v>
      </c>
      <c r="B2012" s="3" t="s">
        <v>257</v>
      </c>
      <c r="C2012" s="3" t="s">
        <v>8</v>
      </c>
      <c r="D2012" s="3" t="s">
        <v>2720</v>
      </c>
      <c r="E2012" s="3" t="s">
        <v>2720</v>
      </c>
      <c r="F2012" s="1" t="s">
        <v>258</v>
      </c>
      <c r="G2012" s="1">
        <v>0</v>
      </c>
      <c r="H2012" s="1">
        <v>1016.047</v>
      </c>
      <c r="I2012" s="1">
        <v>60</v>
      </c>
      <c r="J2012" s="1">
        <v>0</v>
      </c>
    </row>
    <row r="2013" spans="1:10" x14ac:dyDescent="0.2">
      <c r="A2013" s="3" t="s">
        <v>2721</v>
      </c>
      <c r="B2013" s="3" t="s">
        <v>220</v>
      </c>
      <c r="C2013" s="3" t="s">
        <v>8</v>
      </c>
      <c r="D2013" s="3" t="s">
        <v>2722</v>
      </c>
      <c r="E2013" s="3" t="s">
        <v>2722</v>
      </c>
      <c r="F2013" s="1" t="s">
        <v>221</v>
      </c>
      <c r="G2013" s="1">
        <v>0</v>
      </c>
      <c r="H2013" s="1">
        <v>907.18470000000002</v>
      </c>
      <c r="I2013" s="1">
        <v>1</v>
      </c>
      <c r="J2013" s="1">
        <v>0</v>
      </c>
    </row>
    <row r="2014" spans="1:10" ht="28.5" x14ac:dyDescent="0.2">
      <c r="A2014" s="3" t="s">
        <v>2723</v>
      </c>
      <c r="B2014" s="3" t="s">
        <v>257</v>
      </c>
      <c r="C2014" s="3" t="s">
        <v>8</v>
      </c>
      <c r="D2014" s="3" t="s">
        <v>2724</v>
      </c>
      <c r="E2014" s="3" t="s">
        <v>2724</v>
      </c>
      <c r="F2014" s="1" t="s">
        <v>258</v>
      </c>
      <c r="G2014" s="1">
        <v>0</v>
      </c>
      <c r="H2014" s="1">
        <v>907.18470000000002</v>
      </c>
      <c r="I2014" s="1">
        <v>31558150</v>
      </c>
      <c r="J2014" s="1">
        <v>0</v>
      </c>
    </row>
    <row r="2015" spans="1:10" ht="28.5" x14ac:dyDescent="0.2">
      <c r="A2015" s="3" t="s">
        <v>2725</v>
      </c>
      <c r="B2015" s="3" t="s">
        <v>257</v>
      </c>
      <c r="C2015" s="3" t="s">
        <v>8</v>
      </c>
      <c r="D2015" s="3" t="s">
        <v>2726</v>
      </c>
      <c r="E2015" s="3" t="s">
        <v>2726</v>
      </c>
      <c r="F2015" s="1" t="s">
        <v>258</v>
      </c>
      <c r="G2015" s="1">
        <v>0</v>
      </c>
      <c r="H2015" s="1">
        <v>907.18470000000002</v>
      </c>
      <c r="I2015" s="1">
        <v>86400</v>
      </c>
      <c r="J2015" s="1">
        <v>0</v>
      </c>
    </row>
    <row r="2016" spans="1:10" x14ac:dyDescent="0.2">
      <c r="A2016" s="46" t="s">
        <v>2727</v>
      </c>
      <c r="B2016" s="4" t="s">
        <v>242</v>
      </c>
      <c r="C2016" s="46" t="s">
        <v>8</v>
      </c>
      <c r="D2016" s="46" t="s">
        <v>2728</v>
      </c>
      <c r="E2016" s="46" t="s">
        <v>2728</v>
      </c>
      <c r="F2016" s="58" t="s">
        <v>244</v>
      </c>
      <c r="G2016" s="58">
        <v>0</v>
      </c>
      <c r="H2016" s="58">
        <v>9764.8549999999996</v>
      </c>
      <c r="I2016" s="58">
        <v>1</v>
      </c>
      <c r="J2016" s="58">
        <v>0</v>
      </c>
    </row>
    <row r="2017" spans="1:10" x14ac:dyDescent="0.2">
      <c r="A2017" s="47"/>
      <c r="B2017" s="5" t="s">
        <v>243</v>
      </c>
      <c r="C2017" s="47"/>
      <c r="D2017" s="47"/>
      <c r="E2017" s="47"/>
      <c r="F2017" s="59"/>
      <c r="G2017" s="59"/>
      <c r="H2017" s="59"/>
      <c r="I2017" s="59"/>
      <c r="J2017" s="59"/>
    </row>
    <row r="2018" spans="1:10" ht="28.5" x14ac:dyDescent="0.2">
      <c r="A2018" s="3" t="s">
        <v>2729</v>
      </c>
      <c r="B2018" s="3" t="s">
        <v>257</v>
      </c>
      <c r="C2018" s="3" t="s">
        <v>8</v>
      </c>
      <c r="D2018" s="3" t="s">
        <v>2730</v>
      </c>
      <c r="E2018" s="3" t="s">
        <v>2730</v>
      </c>
      <c r="F2018" s="1" t="s">
        <v>258</v>
      </c>
      <c r="G2018" s="1">
        <v>0</v>
      </c>
      <c r="H2018" s="1">
        <v>907.18470000000002</v>
      </c>
      <c r="I2018" s="1">
        <v>3600</v>
      </c>
      <c r="J2018" s="1">
        <v>0</v>
      </c>
    </row>
    <row r="2019" spans="1:10" ht="42.75" x14ac:dyDescent="0.2">
      <c r="A2019" s="3" t="s">
        <v>2731</v>
      </c>
      <c r="B2019" s="3" t="s">
        <v>257</v>
      </c>
      <c r="C2019" s="3" t="s">
        <v>8</v>
      </c>
      <c r="D2019" s="3" t="s">
        <v>2732</v>
      </c>
      <c r="E2019" s="3" t="s">
        <v>2732</v>
      </c>
      <c r="F2019" s="1" t="s">
        <v>258</v>
      </c>
      <c r="G2019" s="1">
        <v>0</v>
      </c>
      <c r="H2019" s="1">
        <v>907.18470000000002</v>
      </c>
      <c r="I2019" s="1">
        <v>60</v>
      </c>
      <c r="J2019" s="1">
        <v>0</v>
      </c>
    </row>
    <row r="2020" spans="1:10" x14ac:dyDescent="0.2">
      <c r="A2020" s="46" t="s">
        <v>2733</v>
      </c>
      <c r="B2020" s="4" t="s">
        <v>414</v>
      </c>
      <c r="C2020" s="46" t="s">
        <v>8</v>
      </c>
      <c r="D2020" s="46" t="s">
        <v>2733</v>
      </c>
      <c r="E2020" s="46"/>
      <c r="F2020" s="58" t="s">
        <v>416</v>
      </c>
      <c r="G2020" s="58">
        <v>0</v>
      </c>
      <c r="H2020" s="58">
        <v>133.32239999999999</v>
      </c>
      <c r="I2020" s="58">
        <v>1</v>
      </c>
      <c r="J2020" s="58">
        <v>0</v>
      </c>
    </row>
    <row r="2021" spans="1:10" x14ac:dyDescent="0.2">
      <c r="A2021" s="47"/>
      <c r="B2021" s="5" t="s">
        <v>415</v>
      </c>
      <c r="C2021" s="47"/>
      <c r="D2021" s="47"/>
      <c r="E2021" s="47"/>
      <c r="F2021" s="59"/>
      <c r="G2021" s="59"/>
      <c r="H2021" s="59"/>
      <c r="I2021" s="59"/>
      <c r="J2021" s="59"/>
    </row>
    <row r="2022" spans="1:10" x14ac:dyDescent="0.2">
      <c r="A2022" s="46" t="s">
        <v>2734</v>
      </c>
      <c r="B2022" s="4" t="s">
        <v>531</v>
      </c>
      <c r="C2022" s="46" t="s">
        <v>8</v>
      </c>
      <c r="D2022" s="46" t="s">
        <v>2735</v>
      </c>
      <c r="E2022" s="46" t="s">
        <v>2735</v>
      </c>
      <c r="F2022" s="58" t="s">
        <v>533</v>
      </c>
      <c r="G2022" s="58">
        <v>0</v>
      </c>
      <c r="H2022" s="58">
        <v>1000000000000</v>
      </c>
      <c r="I2022" s="58">
        <v>1</v>
      </c>
      <c r="J2022" s="58">
        <v>0</v>
      </c>
    </row>
    <row r="2023" spans="1:10" x14ac:dyDescent="0.2">
      <c r="A2023" s="47"/>
      <c r="B2023" s="5" t="s">
        <v>532</v>
      </c>
      <c r="C2023" s="47"/>
      <c r="D2023" s="47"/>
      <c r="E2023" s="47"/>
      <c r="F2023" s="59"/>
      <c r="G2023" s="59"/>
      <c r="H2023" s="59"/>
      <c r="I2023" s="59"/>
      <c r="J2023" s="59"/>
    </row>
    <row r="2024" spans="1:10" x14ac:dyDescent="0.2">
      <c r="A2024" s="46" t="s">
        <v>2736</v>
      </c>
      <c r="B2024" s="4" t="s">
        <v>166</v>
      </c>
      <c r="C2024" s="46" t="s">
        <v>8</v>
      </c>
      <c r="D2024" s="46" t="s">
        <v>2737</v>
      </c>
      <c r="E2024" s="46" t="s">
        <v>2737</v>
      </c>
      <c r="F2024" s="58" t="s">
        <v>168</v>
      </c>
      <c r="G2024" s="58">
        <v>0</v>
      </c>
      <c r="H2024" s="61">
        <v>3600000000000000</v>
      </c>
      <c r="I2024" s="58">
        <v>1</v>
      </c>
      <c r="J2024" s="58">
        <v>0</v>
      </c>
    </row>
    <row r="2025" spans="1:10" x14ac:dyDescent="0.2">
      <c r="A2025" s="47"/>
      <c r="B2025" s="5" t="s">
        <v>167</v>
      </c>
      <c r="C2025" s="47"/>
      <c r="D2025" s="47"/>
      <c r="E2025" s="47"/>
      <c r="F2025" s="59"/>
      <c r="G2025" s="59"/>
      <c r="H2025" s="62"/>
      <c r="I2025" s="59"/>
      <c r="J2025" s="59"/>
    </row>
    <row r="2026" spans="1:10" x14ac:dyDescent="0.2">
      <c r="A2026" s="46" t="s">
        <v>2738</v>
      </c>
      <c r="B2026" s="4" t="s">
        <v>43</v>
      </c>
      <c r="C2026" s="46" t="s">
        <v>8</v>
      </c>
      <c r="D2026" s="46" t="s">
        <v>2739</v>
      </c>
      <c r="E2026" s="46" t="s">
        <v>2739</v>
      </c>
      <c r="F2026" s="58" t="s">
        <v>46</v>
      </c>
      <c r="G2026" s="58">
        <v>0</v>
      </c>
      <c r="H2026" s="58">
        <v>9.9999999999999995E-7</v>
      </c>
      <c r="I2026" s="58">
        <v>1</v>
      </c>
      <c r="J2026" s="58">
        <v>0</v>
      </c>
    </row>
    <row r="2027" spans="1:10" x14ac:dyDescent="0.2">
      <c r="A2027" s="48"/>
      <c r="B2027" s="6" t="s">
        <v>44</v>
      </c>
      <c r="C2027" s="48"/>
      <c r="D2027" s="48"/>
      <c r="E2027" s="48"/>
      <c r="F2027" s="60"/>
      <c r="G2027" s="60"/>
      <c r="H2027" s="60"/>
      <c r="I2027" s="60"/>
      <c r="J2027" s="60"/>
    </row>
    <row r="2028" spans="1:10" x14ac:dyDescent="0.2">
      <c r="A2028" s="47"/>
      <c r="B2028" s="5" t="s">
        <v>45</v>
      </c>
      <c r="C2028" s="47"/>
      <c r="D2028" s="47"/>
      <c r="E2028" s="47"/>
      <c r="F2028" s="59"/>
      <c r="G2028" s="59"/>
      <c r="H2028" s="59"/>
      <c r="I2028" s="59"/>
      <c r="J2028" s="59"/>
    </row>
    <row r="2029" spans="1:10" ht="71.25" x14ac:dyDescent="0.2">
      <c r="A2029" s="3" t="s">
        <v>2740</v>
      </c>
      <c r="B2029" s="3" t="s">
        <v>57</v>
      </c>
      <c r="C2029" s="3" t="s">
        <v>8</v>
      </c>
      <c r="D2029" s="3" t="s">
        <v>2741</v>
      </c>
      <c r="E2029" s="3" t="s">
        <v>2741</v>
      </c>
      <c r="F2029" s="1" t="s">
        <v>58</v>
      </c>
      <c r="G2029" s="1">
        <v>0</v>
      </c>
      <c r="H2029" s="1">
        <v>0.01</v>
      </c>
      <c r="I2029" s="1">
        <v>1</v>
      </c>
      <c r="J2029" s="1">
        <v>0</v>
      </c>
    </row>
    <row r="2030" spans="1:10" ht="57" x14ac:dyDescent="0.2">
      <c r="A2030" s="3" t="s">
        <v>2742</v>
      </c>
      <c r="B2030" s="3" t="s">
        <v>57</v>
      </c>
      <c r="C2030" s="3" t="s">
        <v>8</v>
      </c>
      <c r="D2030" s="3" t="s">
        <v>2743</v>
      </c>
      <c r="E2030" s="3" t="s">
        <v>2743</v>
      </c>
      <c r="F2030" s="1" t="s">
        <v>58</v>
      </c>
      <c r="G2030" s="1">
        <v>0</v>
      </c>
      <c r="H2030" s="1">
        <v>9.9999999999999995E-7</v>
      </c>
      <c r="I2030" s="1">
        <v>6.4515999999999998E-4</v>
      </c>
      <c r="J2030" s="1">
        <v>0</v>
      </c>
    </row>
    <row r="2031" spans="1:10" x14ac:dyDescent="0.2">
      <c r="A2031" s="46" t="s">
        <v>2744</v>
      </c>
      <c r="B2031" s="4" t="s">
        <v>414</v>
      </c>
      <c r="C2031" s="46" t="s">
        <v>8</v>
      </c>
      <c r="D2031" s="46" t="s">
        <v>2745</v>
      </c>
      <c r="E2031" s="46" t="s">
        <v>2745</v>
      </c>
      <c r="F2031" s="58" t="s">
        <v>416</v>
      </c>
      <c r="G2031" s="58">
        <v>0</v>
      </c>
      <c r="H2031" s="58">
        <v>0.1</v>
      </c>
      <c r="I2031" s="58">
        <v>1</v>
      </c>
      <c r="J2031" s="58">
        <v>0</v>
      </c>
    </row>
    <row r="2032" spans="1:10" x14ac:dyDescent="0.2">
      <c r="A2032" s="47"/>
      <c r="B2032" s="5" t="s">
        <v>415</v>
      </c>
      <c r="C2032" s="47"/>
      <c r="D2032" s="47"/>
      <c r="E2032" s="47"/>
      <c r="F2032" s="59"/>
      <c r="G2032" s="59"/>
      <c r="H2032" s="59"/>
      <c r="I2032" s="59"/>
      <c r="J2032" s="59"/>
    </row>
    <row r="2033" spans="1:10" x14ac:dyDescent="0.2">
      <c r="A2033" s="46" t="s">
        <v>2746</v>
      </c>
      <c r="B2033" s="4" t="s">
        <v>90</v>
      </c>
      <c r="C2033" s="46" t="s">
        <v>8</v>
      </c>
      <c r="D2033" s="46" t="s">
        <v>2747</v>
      </c>
      <c r="E2033" s="46" t="s">
        <v>2747</v>
      </c>
      <c r="F2033" s="58" t="s">
        <v>93</v>
      </c>
      <c r="G2033" s="58">
        <v>0</v>
      </c>
      <c r="H2033" s="58">
        <v>9.9999999999999995E-7</v>
      </c>
      <c r="I2033" s="58">
        <v>1</v>
      </c>
      <c r="J2033" s="58">
        <v>0</v>
      </c>
    </row>
    <row r="2034" spans="1:10" x14ac:dyDescent="0.2">
      <c r="A2034" s="48"/>
      <c r="B2034" s="6" t="s">
        <v>91</v>
      </c>
      <c r="C2034" s="48"/>
      <c r="D2034" s="48"/>
      <c r="E2034" s="48"/>
      <c r="F2034" s="60"/>
      <c r="G2034" s="60"/>
      <c r="H2034" s="60"/>
      <c r="I2034" s="60"/>
      <c r="J2034" s="60"/>
    </row>
    <row r="2035" spans="1:10" x14ac:dyDescent="0.2">
      <c r="A2035" s="47"/>
      <c r="B2035" s="5" t="s">
        <v>92</v>
      </c>
      <c r="C2035" s="47"/>
      <c r="D2035" s="47"/>
      <c r="E2035" s="47"/>
      <c r="F2035" s="59"/>
      <c r="G2035" s="59"/>
      <c r="H2035" s="59"/>
      <c r="I2035" s="59"/>
      <c r="J2035" s="59"/>
    </row>
    <row r="2036" spans="1:10" x14ac:dyDescent="0.2">
      <c r="A2036" s="46" t="s">
        <v>2748</v>
      </c>
      <c r="B2036" s="4" t="s">
        <v>543</v>
      </c>
      <c r="C2036" s="46" t="s">
        <v>8</v>
      </c>
      <c r="D2036" s="46" t="s">
        <v>2749</v>
      </c>
      <c r="E2036" s="46"/>
      <c r="F2036" s="58" t="s">
        <v>551</v>
      </c>
      <c r="G2036" s="58">
        <v>0</v>
      </c>
      <c r="H2036" s="58">
        <v>4.1840000000000002E-2</v>
      </c>
      <c r="I2036" s="58">
        <v>1</v>
      </c>
      <c r="J2036" s="58">
        <v>0</v>
      </c>
    </row>
    <row r="2037" spans="1:10" x14ac:dyDescent="0.2">
      <c r="A2037" s="48"/>
      <c r="B2037" s="6" t="s">
        <v>544</v>
      </c>
      <c r="C2037" s="48"/>
      <c r="D2037" s="48"/>
      <c r="E2037" s="48"/>
      <c r="F2037" s="60"/>
      <c r="G2037" s="60"/>
      <c r="H2037" s="60"/>
      <c r="I2037" s="60"/>
      <c r="J2037" s="60"/>
    </row>
    <row r="2038" spans="1:10" x14ac:dyDescent="0.2">
      <c r="A2038" s="48"/>
      <c r="B2038" s="6" t="s">
        <v>545</v>
      </c>
      <c r="C2038" s="48"/>
      <c r="D2038" s="48"/>
      <c r="E2038" s="48"/>
      <c r="F2038" s="60"/>
      <c r="G2038" s="60"/>
      <c r="H2038" s="60"/>
      <c r="I2038" s="60"/>
      <c r="J2038" s="60"/>
    </row>
    <row r="2039" spans="1:10" x14ac:dyDescent="0.2">
      <c r="A2039" s="48"/>
      <c r="B2039" s="6" t="s">
        <v>546</v>
      </c>
      <c r="C2039" s="48"/>
      <c r="D2039" s="48"/>
      <c r="E2039" s="48"/>
      <c r="F2039" s="60"/>
      <c r="G2039" s="60"/>
      <c r="H2039" s="60"/>
      <c r="I2039" s="60"/>
      <c r="J2039" s="60"/>
    </row>
    <row r="2040" spans="1:10" x14ac:dyDescent="0.2">
      <c r="A2040" s="48"/>
      <c r="B2040" s="6" t="s">
        <v>547</v>
      </c>
      <c r="C2040" s="48"/>
      <c r="D2040" s="48"/>
      <c r="E2040" s="48"/>
      <c r="F2040" s="60"/>
      <c r="G2040" s="60"/>
      <c r="H2040" s="60"/>
      <c r="I2040" s="60"/>
      <c r="J2040" s="60"/>
    </row>
    <row r="2041" spans="1:10" x14ac:dyDescent="0.2">
      <c r="A2041" s="48"/>
      <c r="B2041" s="6" t="s">
        <v>548</v>
      </c>
      <c r="C2041" s="48"/>
      <c r="D2041" s="48"/>
      <c r="E2041" s="48"/>
      <c r="F2041" s="60"/>
      <c r="G2041" s="60"/>
      <c r="H2041" s="60"/>
      <c r="I2041" s="60"/>
      <c r="J2041" s="60"/>
    </row>
    <row r="2042" spans="1:10" x14ac:dyDescent="0.2">
      <c r="A2042" s="48"/>
      <c r="B2042" s="6" t="s">
        <v>549</v>
      </c>
      <c r="C2042" s="48"/>
      <c r="D2042" s="48"/>
      <c r="E2042" s="48"/>
      <c r="F2042" s="60"/>
      <c r="G2042" s="60"/>
      <c r="H2042" s="60"/>
      <c r="I2042" s="60"/>
      <c r="J2042" s="60"/>
    </row>
    <row r="2043" spans="1:10" x14ac:dyDescent="0.2">
      <c r="A2043" s="47"/>
      <c r="B2043" s="5" t="s">
        <v>550</v>
      </c>
      <c r="C2043" s="47"/>
      <c r="D2043" s="47"/>
      <c r="E2043" s="47"/>
      <c r="F2043" s="59"/>
      <c r="G2043" s="59"/>
      <c r="H2043" s="59"/>
      <c r="I2043" s="59"/>
      <c r="J2043" s="59"/>
    </row>
    <row r="2044" spans="1:10" x14ac:dyDescent="0.2">
      <c r="A2044" s="3"/>
      <c r="B2044" s="3" t="s">
        <v>80</v>
      </c>
      <c r="C2044" s="3" t="s">
        <v>8</v>
      </c>
      <c r="D2044" s="3" t="s">
        <v>2750</v>
      </c>
      <c r="E2044" s="3" t="s">
        <v>2750</v>
      </c>
      <c r="F2044" s="1" t="s">
        <v>81</v>
      </c>
      <c r="G2044" s="1">
        <v>0</v>
      </c>
      <c r="H2044" s="1">
        <v>37000</v>
      </c>
      <c r="I2044" s="1">
        <v>1</v>
      </c>
      <c r="J2044" s="1">
        <v>0</v>
      </c>
    </row>
    <row r="2045" spans="1:10" x14ac:dyDescent="0.2">
      <c r="A2045" s="46" t="s">
        <v>2751</v>
      </c>
      <c r="B2045" s="46" t="s">
        <v>80</v>
      </c>
      <c r="C2045" s="46" t="s">
        <v>8</v>
      </c>
      <c r="D2045" s="4" t="s">
        <v>2752</v>
      </c>
      <c r="E2045" s="46"/>
      <c r="F2045" s="58" t="s">
        <v>81</v>
      </c>
      <c r="G2045" s="58">
        <v>0</v>
      </c>
      <c r="H2045" s="58">
        <v>37000</v>
      </c>
      <c r="I2045" s="58">
        <v>1</v>
      </c>
      <c r="J2045" s="58">
        <v>0</v>
      </c>
    </row>
    <row r="2046" spans="1:10" ht="28.5" x14ac:dyDescent="0.2">
      <c r="A2046" s="47"/>
      <c r="B2046" s="47"/>
      <c r="C2046" s="47"/>
      <c r="D2046" s="5" t="s">
        <v>763</v>
      </c>
      <c r="E2046" s="47"/>
      <c r="F2046" s="59"/>
      <c r="G2046" s="59"/>
      <c r="H2046" s="59"/>
      <c r="I2046" s="59"/>
      <c r="J2046" s="59"/>
    </row>
    <row r="2047" spans="1:10" x14ac:dyDescent="0.2">
      <c r="A2047" s="46" t="s">
        <v>2753</v>
      </c>
      <c r="B2047" s="4" t="s">
        <v>125</v>
      </c>
      <c r="C2047" s="46" t="s">
        <v>8</v>
      </c>
      <c r="D2047" s="46" t="s">
        <v>2754</v>
      </c>
      <c r="E2047" s="46" t="s">
        <v>2511</v>
      </c>
      <c r="F2047" s="58" t="s">
        <v>131</v>
      </c>
      <c r="G2047" s="58">
        <v>0</v>
      </c>
      <c r="H2047" s="58">
        <v>9.9999999999999995E-7</v>
      </c>
      <c r="I2047" s="58">
        <v>1</v>
      </c>
      <c r="J2047" s="58">
        <v>0</v>
      </c>
    </row>
    <row r="2048" spans="1:10" x14ac:dyDescent="0.2">
      <c r="A2048" s="47"/>
      <c r="B2048" s="5" t="s">
        <v>130</v>
      </c>
      <c r="C2048" s="47"/>
      <c r="D2048" s="47"/>
      <c r="E2048" s="47"/>
      <c r="F2048" s="59"/>
      <c r="G2048" s="59"/>
      <c r="H2048" s="59"/>
      <c r="I2048" s="59"/>
      <c r="J2048" s="59"/>
    </row>
    <row r="2049" spans="1:10" ht="28.5" x14ac:dyDescent="0.2">
      <c r="A2049" s="3" t="s">
        <v>2755</v>
      </c>
      <c r="B2049" s="3" t="s">
        <v>134</v>
      </c>
      <c r="C2049" s="3" t="s">
        <v>8</v>
      </c>
      <c r="D2049" s="3" t="s">
        <v>2756</v>
      </c>
      <c r="E2049" s="3" t="s">
        <v>2756</v>
      </c>
      <c r="F2049" s="1" t="s">
        <v>135</v>
      </c>
      <c r="G2049" s="1">
        <v>0</v>
      </c>
      <c r="H2049" s="1">
        <v>9.9999999999999995E-7</v>
      </c>
      <c r="I2049" s="1">
        <v>1</v>
      </c>
      <c r="J2049" s="1">
        <v>0</v>
      </c>
    </row>
    <row r="2050" spans="1:10" ht="28.5" x14ac:dyDescent="0.2">
      <c r="A2050" s="3" t="s">
        <v>2757</v>
      </c>
      <c r="B2050" s="3" t="s">
        <v>138</v>
      </c>
      <c r="C2050" s="3" t="s">
        <v>8</v>
      </c>
      <c r="D2050" s="3" t="s">
        <v>2758</v>
      </c>
      <c r="E2050" s="3" t="s">
        <v>2758</v>
      </c>
      <c r="F2050" s="1" t="s">
        <v>139</v>
      </c>
      <c r="G2050" s="1">
        <v>0</v>
      </c>
      <c r="H2050" s="1">
        <v>9.9999999999999995E-7</v>
      </c>
      <c r="I2050" s="1">
        <v>1</v>
      </c>
      <c r="J2050" s="1">
        <v>0</v>
      </c>
    </row>
    <row r="2051" spans="1:10" ht="28.5" x14ac:dyDescent="0.2">
      <c r="A2051" s="3" t="s">
        <v>2759</v>
      </c>
      <c r="B2051" s="3" t="s">
        <v>220</v>
      </c>
      <c r="C2051" s="3" t="s">
        <v>8</v>
      </c>
      <c r="D2051" s="3" t="s">
        <v>2760</v>
      </c>
      <c r="E2051" s="3" t="s">
        <v>2760</v>
      </c>
      <c r="F2051" s="1" t="s">
        <v>221</v>
      </c>
      <c r="G2051" s="1">
        <v>0</v>
      </c>
      <c r="H2051" s="1">
        <v>1.0000000000000001E-9</v>
      </c>
      <c r="I2051" s="1">
        <v>1</v>
      </c>
      <c r="J2051" s="1">
        <v>0</v>
      </c>
    </row>
    <row r="2052" spans="1:10" x14ac:dyDescent="0.2">
      <c r="A2052" s="46" t="s">
        <v>2761</v>
      </c>
      <c r="B2052" s="4" t="s">
        <v>249</v>
      </c>
      <c r="C2052" s="46" t="s">
        <v>8</v>
      </c>
      <c r="D2052" s="46" t="s">
        <v>2762</v>
      </c>
      <c r="E2052" s="46" t="s">
        <v>2762</v>
      </c>
      <c r="F2052" s="58" t="s">
        <v>252</v>
      </c>
      <c r="G2052" s="58">
        <v>0</v>
      </c>
      <c r="H2052" s="58">
        <v>1E-3</v>
      </c>
      <c r="I2052" s="58">
        <v>1</v>
      </c>
      <c r="J2052" s="58">
        <v>0</v>
      </c>
    </row>
    <row r="2053" spans="1:10" x14ac:dyDescent="0.2">
      <c r="A2053" s="48"/>
      <c r="B2053" s="6" t="s">
        <v>250</v>
      </c>
      <c r="C2053" s="48"/>
      <c r="D2053" s="48"/>
      <c r="E2053" s="48"/>
      <c r="F2053" s="60"/>
      <c r="G2053" s="60"/>
      <c r="H2053" s="60"/>
      <c r="I2053" s="60"/>
      <c r="J2053" s="60"/>
    </row>
    <row r="2054" spans="1:10" x14ac:dyDescent="0.2">
      <c r="A2054" s="47"/>
      <c r="B2054" s="5" t="s">
        <v>251</v>
      </c>
      <c r="C2054" s="47"/>
      <c r="D2054" s="47"/>
      <c r="E2054" s="47"/>
      <c r="F2054" s="59"/>
      <c r="G2054" s="59"/>
      <c r="H2054" s="59"/>
      <c r="I2054" s="59"/>
      <c r="J2054" s="59"/>
    </row>
    <row r="2055" spans="1:10" x14ac:dyDescent="0.2">
      <c r="A2055" s="46" t="s">
        <v>2763</v>
      </c>
      <c r="B2055" s="4" t="s">
        <v>152</v>
      </c>
      <c r="C2055" s="46" t="s">
        <v>8</v>
      </c>
      <c r="D2055" s="46" t="s">
        <v>2764</v>
      </c>
      <c r="E2055" s="46" t="s">
        <v>2764</v>
      </c>
      <c r="F2055" s="58" t="s">
        <v>154</v>
      </c>
      <c r="G2055" s="58">
        <v>0</v>
      </c>
      <c r="H2055" s="58">
        <v>9.9999999999999995E-7</v>
      </c>
      <c r="I2055" s="58">
        <v>1</v>
      </c>
      <c r="J2055" s="58">
        <v>0</v>
      </c>
    </row>
    <row r="2056" spans="1:10" x14ac:dyDescent="0.2">
      <c r="A2056" s="47"/>
      <c r="B2056" s="5" t="s">
        <v>153</v>
      </c>
      <c r="C2056" s="47"/>
      <c r="D2056" s="47"/>
      <c r="E2056" s="47"/>
      <c r="F2056" s="59"/>
      <c r="G2056" s="59"/>
      <c r="H2056" s="59"/>
      <c r="I2056" s="59"/>
      <c r="J2056" s="59"/>
    </row>
    <row r="2057" spans="1:10" ht="42.75" x14ac:dyDescent="0.2">
      <c r="A2057" s="3" t="s">
        <v>2765</v>
      </c>
      <c r="B2057" s="3" t="s">
        <v>157</v>
      </c>
      <c r="C2057" s="3" t="s">
        <v>8</v>
      </c>
      <c r="D2057" s="3" t="s">
        <v>2766</v>
      </c>
      <c r="E2057" s="3" t="s">
        <v>2766</v>
      </c>
      <c r="F2057" s="1" t="s">
        <v>158</v>
      </c>
      <c r="G2057" s="1">
        <v>0</v>
      </c>
      <c r="H2057" s="1">
        <v>9.9999999999999995E-7</v>
      </c>
      <c r="I2057" s="1">
        <v>1</v>
      </c>
      <c r="J2057" s="1">
        <v>0</v>
      </c>
    </row>
    <row r="2058" spans="1:10" ht="28.5" x14ac:dyDescent="0.2">
      <c r="A2058" s="3" t="s">
        <v>2767</v>
      </c>
      <c r="B2058" s="3" t="s">
        <v>37</v>
      </c>
      <c r="C2058" s="3" t="s">
        <v>8</v>
      </c>
      <c r="D2058" s="3" t="s">
        <v>2768</v>
      </c>
      <c r="E2058" s="3" t="s">
        <v>2768</v>
      </c>
      <c r="F2058" s="19" t="s">
        <v>160</v>
      </c>
      <c r="G2058" s="1">
        <v>0</v>
      </c>
      <c r="H2058" s="19">
        <f>10^-6</f>
        <v>9.9999999999999995E-7</v>
      </c>
      <c r="I2058" s="1">
        <v>1</v>
      </c>
      <c r="J2058" s="1">
        <v>0</v>
      </c>
    </row>
    <row r="2059" spans="1:10" x14ac:dyDescent="0.2">
      <c r="A2059" s="46" t="s">
        <v>2769</v>
      </c>
      <c r="B2059" s="4" t="s">
        <v>166</v>
      </c>
      <c r="C2059" s="46" t="s">
        <v>8</v>
      </c>
      <c r="D2059" s="46" t="s">
        <v>2770</v>
      </c>
      <c r="E2059" s="46" t="s">
        <v>2770</v>
      </c>
      <c r="F2059" s="58" t="s">
        <v>168</v>
      </c>
      <c r="G2059" s="58">
        <v>0</v>
      </c>
      <c r="H2059" s="58">
        <v>9.9999999999999995E-7</v>
      </c>
      <c r="I2059" s="58">
        <v>1</v>
      </c>
      <c r="J2059" s="58">
        <v>0</v>
      </c>
    </row>
    <row r="2060" spans="1:10" x14ac:dyDescent="0.2">
      <c r="A2060" s="47"/>
      <c r="B2060" s="5" t="s">
        <v>167</v>
      </c>
      <c r="C2060" s="47"/>
      <c r="D2060" s="47"/>
      <c r="E2060" s="47"/>
      <c r="F2060" s="59"/>
      <c r="G2060" s="59"/>
      <c r="H2060" s="59"/>
      <c r="I2060" s="59"/>
      <c r="J2060" s="59"/>
    </row>
    <row r="2061" spans="1:10" x14ac:dyDescent="0.2">
      <c r="A2061" s="46" t="s">
        <v>2771</v>
      </c>
      <c r="B2061" s="4" t="s">
        <v>277</v>
      </c>
      <c r="C2061" s="46" t="s">
        <v>8</v>
      </c>
      <c r="D2061" s="46" t="s">
        <v>2772</v>
      </c>
      <c r="E2061" s="46" t="s">
        <v>2772</v>
      </c>
      <c r="F2061" s="58" t="s">
        <v>290</v>
      </c>
      <c r="G2061" s="58">
        <v>0</v>
      </c>
      <c r="H2061" s="58">
        <v>9.9999999999999995E-7</v>
      </c>
      <c r="I2061" s="58">
        <v>1</v>
      </c>
      <c r="J2061" s="58">
        <v>0</v>
      </c>
    </row>
    <row r="2062" spans="1:10" x14ac:dyDescent="0.2">
      <c r="A2062" s="48"/>
      <c r="B2062" s="6" t="s">
        <v>278</v>
      </c>
      <c r="C2062" s="48"/>
      <c r="D2062" s="48"/>
      <c r="E2062" s="48"/>
      <c r="F2062" s="60"/>
      <c r="G2062" s="60"/>
      <c r="H2062" s="60"/>
      <c r="I2062" s="60"/>
      <c r="J2062" s="60"/>
    </row>
    <row r="2063" spans="1:10" x14ac:dyDescent="0.2">
      <c r="A2063" s="48"/>
      <c r="B2063" s="6" t="s">
        <v>279</v>
      </c>
      <c r="C2063" s="48"/>
      <c r="D2063" s="48"/>
      <c r="E2063" s="48"/>
      <c r="F2063" s="60"/>
      <c r="G2063" s="60"/>
      <c r="H2063" s="60"/>
      <c r="I2063" s="60"/>
      <c r="J2063" s="60"/>
    </row>
    <row r="2064" spans="1:10" x14ac:dyDescent="0.2">
      <c r="A2064" s="48"/>
      <c r="B2064" s="6" t="s">
        <v>281</v>
      </c>
      <c r="C2064" s="48"/>
      <c r="D2064" s="48"/>
      <c r="E2064" s="48"/>
      <c r="F2064" s="60"/>
      <c r="G2064" s="60"/>
      <c r="H2064" s="60"/>
      <c r="I2064" s="60"/>
      <c r="J2064" s="60"/>
    </row>
    <row r="2065" spans="1:10" x14ac:dyDescent="0.2">
      <c r="A2065" s="48"/>
      <c r="B2065" s="6" t="s">
        <v>282</v>
      </c>
      <c r="C2065" s="48"/>
      <c r="D2065" s="48"/>
      <c r="E2065" s="48"/>
      <c r="F2065" s="60"/>
      <c r="G2065" s="60"/>
      <c r="H2065" s="60"/>
      <c r="I2065" s="60"/>
      <c r="J2065" s="60"/>
    </row>
    <row r="2066" spans="1:10" x14ac:dyDescent="0.2">
      <c r="A2066" s="48"/>
      <c r="B2066" s="6" t="s">
        <v>283</v>
      </c>
      <c r="C2066" s="48"/>
      <c r="D2066" s="48"/>
      <c r="E2066" s="48"/>
      <c r="F2066" s="60"/>
      <c r="G2066" s="60"/>
      <c r="H2066" s="60"/>
      <c r="I2066" s="60"/>
      <c r="J2066" s="60"/>
    </row>
    <row r="2067" spans="1:10" x14ac:dyDescent="0.2">
      <c r="A2067" s="48"/>
      <c r="B2067" s="6" t="s">
        <v>285</v>
      </c>
      <c r="C2067" s="48"/>
      <c r="D2067" s="48"/>
      <c r="E2067" s="48"/>
      <c r="F2067" s="60"/>
      <c r="G2067" s="60"/>
      <c r="H2067" s="60"/>
      <c r="I2067" s="60"/>
      <c r="J2067" s="60"/>
    </row>
    <row r="2068" spans="1:10" x14ac:dyDescent="0.2">
      <c r="A2068" s="48"/>
      <c r="B2068" s="6" t="s">
        <v>286</v>
      </c>
      <c r="C2068" s="48"/>
      <c r="D2068" s="48"/>
      <c r="E2068" s="48"/>
      <c r="F2068" s="60"/>
      <c r="G2068" s="60"/>
      <c r="H2068" s="60"/>
      <c r="I2068" s="60"/>
      <c r="J2068" s="60"/>
    </row>
    <row r="2069" spans="1:10" x14ac:dyDescent="0.2">
      <c r="A2069" s="48"/>
      <c r="B2069" s="6" t="s">
        <v>288</v>
      </c>
      <c r="C2069" s="48"/>
      <c r="D2069" s="48"/>
      <c r="E2069" s="48"/>
      <c r="F2069" s="60"/>
      <c r="G2069" s="60"/>
      <c r="H2069" s="60"/>
      <c r="I2069" s="60"/>
      <c r="J2069" s="60"/>
    </row>
    <row r="2070" spans="1:10" x14ac:dyDescent="0.2">
      <c r="A2070" s="47"/>
      <c r="B2070" s="5" t="s">
        <v>289</v>
      </c>
      <c r="C2070" s="47"/>
      <c r="D2070" s="47"/>
      <c r="E2070" s="47"/>
      <c r="F2070" s="59"/>
      <c r="G2070" s="59"/>
      <c r="H2070" s="59"/>
      <c r="I2070" s="59"/>
      <c r="J2070" s="59"/>
    </row>
    <row r="2071" spans="1:10" ht="42.75" x14ac:dyDescent="0.2">
      <c r="A2071" s="3" t="s">
        <v>2773</v>
      </c>
      <c r="B2071" s="3" t="s">
        <v>296</v>
      </c>
      <c r="C2071" s="3" t="s">
        <v>8</v>
      </c>
      <c r="D2071" s="3" t="s">
        <v>2774</v>
      </c>
      <c r="E2071" s="3" t="s">
        <v>2774</v>
      </c>
      <c r="F2071" s="1" t="s">
        <v>297</v>
      </c>
      <c r="G2071" s="1">
        <v>0</v>
      </c>
      <c r="H2071" s="1">
        <v>9.9999999999999995E-7</v>
      </c>
      <c r="I2071" s="1">
        <v>1</v>
      </c>
      <c r="J2071" s="1">
        <v>0</v>
      </c>
    </row>
    <row r="2072" spans="1:10" ht="28.5" x14ac:dyDescent="0.2">
      <c r="A2072" s="3" t="s">
        <v>2775</v>
      </c>
      <c r="B2072" s="3" t="s">
        <v>302</v>
      </c>
      <c r="C2072" s="3" t="s">
        <v>8</v>
      </c>
      <c r="D2072" s="3" t="s">
        <v>2776</v>
      </c>
      <c r="E2072" s="3" t="s">
        <v>2776</v>
      </c>
      <c r="F2072" s="1" t="s">
        <v>303</v>
      </c>
      <c r="G2072" s="1">
        <v>0</v>
      </c>
      <c r="H2072" s="1">
        <v>9.9999999999999998E-13</v>
      </c>
      <c r="I2072" s="1">
        <v>1</v>
      </c>
      <c r="J2072" s="1">
        <v>0</v>
      </c>
    </row>
    <row r="2073" spans="1:10" ht="42.75" x14ac:dyDescent="0.2">
      <c r="A2073" s="3" t="s">
        <v>2777</v>
      </c>
      <c r="B2073" s="3" t="s">
        <v>321</v>
      </c>
      <c r="C2073" s="3" t="s">
        <v>8</v>
      </c>
      <c r="D2073" s="3" t="s">
        <v>2778</v>
      </c>
      <c r="E2073" s="3" t="s">
        <v>2778</v>
      </c>
      <c r="F2073" s="1" t="s">
        <v>322</v>
      </c>
      <c r="G2073" s="1">
        <v>0</v>
      </c>
      <c r="H2073" s="1">
        <v>9.9999999999999998E-13</v>
      </c>
      <c r="I2073" s="1">
        <v>1</v>
      </c>
      <c r="J2073" s="1">
        <v>0</v>
      </c>
    </row>
    <row r="2074" spans="1:10" x14ac:dyDescent="0.2">
      <c r="A2074" s="46" t="s">
        <v>2779</v>
      </c>
      <c r="B2074" s="4" t="s">
        <v>414</v>
      </c>
      <c r="C2074" s="46" t="s">
        <v>8</v>
      </c>
      <c r="D2074" s="46" t="s">
        <v>2780</v>
      </c>
      <c r="E2074" s="46"/>
      <c r="F2074" s="58" t="s">
        <v>416</v>
      </c>
      <c r="G2074" s="58">
        <v>0</v>
      </c>
      <c r="H2074" s="58">
        <v>0.13332240000000001</v>
      </c>
      <c r="I2074" s="58">
        <v>1</v>
      </c>
      <c r="J2074" s="58">
        <v>0</v>
      </c>
    </row>
    <row r="2075" spans="1:10" x14ac:dyDescent="0.2">
      <c r="A2075" s="47"/>
      <c r="B2075" s="5" t="s">
        <v>415</v>
      </c>
      <c r="C2075" s="47"/>
      <c r="D2075" s="47"/>
      <c r="E2075" s="47"/>
      <c r="F2075" s="59"/>
      <c r="G2075" s="59"/>
      <c r="H2075" s="59"/>
      <c r="I2075" s="59"/>
      <c r="J2075" s="59"/>
    </row>
    <row r="2076" spans="1:10" ht="28.5" x14ac:dyDescent="0.2">
      <c r="A2076" s="3" t="s">
        <v>2781</v>
      </c>
      <c r="B2076" s="3" t="s">
        <v>361</v>
      </c>
      <c r="C2076" s="3" t="s">
        <v>8</v>
      </c>
      <c r="D2076" s="3" t="s">
        <v>2782</v>
      </c>
      <c r="E2076" s="3" t="s">
        <v>2782</v>
      </c>
      <c r="F2076" s="1" t="s">
        <v>362</v>
      </c>
      <c r="G2076" s="1">
        <v>0</v>
      </c>
      <c r="H2076" s="1">
        <v>9.9999999999999995E-7</v>
      </c>
      <c r="I2076" s="1">
        <v>1</v>
      </c>
      <c r="J2076" s="1">
        <v>0</v>
      </c>
    </row>
    <row r="2077" spans="1:10" ht="28.5" x14ac:dyDescent="0.2">
      <c r="A2077" s="3" t="s">
        <v>2783</v>
      </c>
      <c r="B2077" s="3" t="s">
        <v>378</v>
      </c>
      <c r="C2077" s="3" t="s">
        <v>8</v>
      </c>
      <c r="D2077" s="3" t="s">
        <v>2784</v>
      </c>
      <c r="E2077" s="3" t="s">
        <v>2784</v>
      </c>
      <c r="F2077" s="1" t="s">
        <v>379</v>
      </c>
      <c r="G2077" s="1">
        <v>0</v>
      </c>
      <c r="H2077" s="1">
        <v>9.9999999999999995E-7</v>
      </c>
      <c r="I2077" s="1">
        <v>1</v>
      </c>
      <c r="J2077" s="1">
        <v>0</v>
      </c>
    </row>
    <row r="2078" spans="1:10" x14ac:dyDescent="0.2">
      <c r="A2078" s="46" t="s">
        <v>2785</v>
      </c>
      <c r="B2078" s="46" t="s">
        <v>125</v>
      </c>
      <c r="C2078" s="46" t="s">
        <v>8</v>
      </c>
      <c r="D2078" s="4" t="s">
        <v>2785</v>
      </c>
      <c r="E2078" s="46"/>
      <c r="F2078" s="58" t="s">
        <v>131</v>
      </c>
      <c r="G2078" s="58">
        <v>0</v>
      </c>
      <c r="H2078" s="58">
        <v>1</v>
      </c>
      <c r="I2078" s="58">
        <v>1</v>
      </c>
      <c r="J2078" s="58">
        <v>0</v>
      </c>
    </row>
    <row r="2079" spans="1:10" ht="28.5" x14ac:dyDescent="0.2">
      <c r="A2079" s="47"/>
      <c r="B2079" s="47"/>
      <c r="C2079" s="47"/>
      <c r="D2079" s="5" t="s">
        <v>763</v>
      </c>
      <c r="E2079" s="47"/>
      <c r="F2079" s="59"/>
      <c r="G2079" s="59"/>
      <c r="H2079" s="59"/>
      <c r="I2079" s="59"/>
      <c r="J2079" s="59"/>
    </row>
    <row r="2080" spans="1:10" x14ac:dyDescent="0.2">
      <c r="A2080" s="46" t="s">
        <v>2786</v>
      </c>
      <c r="B2080" s="4" t="s">
        <v>404</v>
      </c>
      <c r="C2080" s="46" t="s">
        <v>8</v>
      </c>
      <c r="D2080" s="46" t="s">
        <v>2787</v>
      </c>
      <c r="E2080" s="46" t="s">
        <v>2787</v>
      </c>
      <c r="F2080" s="58" t="s">
        <v>403</v>
      </c>
      <c r="G2080" s="58">
        <v>0</v>
      </c>
      <c r="H2080" s="58">
        <v>9.9999999999999995E-7</v>
      </c>
      <c r="I2080" s="58">
        <v>1</v>
      </c>
      <c r="J2080" s="58">
        <v>0</v>
      </c>
    </row>
    <row r="2081" spans="1:10" x14ac:dyDescent="0.2">
      <c r="A2081" s="47"/>
      <c r="B2081" s="5" t="s">
        <v>405</v>
      </c>
      <c r="C2081" s="47"/>
      <c r="D2081" s="47"/>
      <c r="E2081" s="47"/>
      <c r="F2081" s="59"/>
      <c r="G2081" s="59"/>
      <c r="H2081" s="59"/>
      <c r="I2081" s="59"/>
      <c r="J2081" s="59"/>
    </row>
    <row r="2082" spans="1:10" ht="28.5" x14ac:dyDescent="0.2">
      <c r="A2082" s="3" t="s">
        <v>2788</v>
      </c>
      <c r="B2082" s="3" t="s">
        <v>411</v>
      </c>
      <c r="C2082" s="3" t="s">
        <v>8</v>
      </c>
      <c r="D2082" s="3" t="s">
        <v>2789</v>
      </c>
      <c r="E2082" s="3" t="s">
        <v>2789</v>
      </c>
      <c r="F2082" s="1" t="s">
        <v>412</v>
      </c>
      <c r="G2082" s="1">
        <v>0</v>
      </c>
      <c r="H2082" s="1">
        <v>9.9999999999999995E-7</v>
      </c>
      <c r="I2082" s="1">
        <v>0.30480000000000002</v>
      </c>
      <c r="J2082" s="1">
        <v>0</v>
      </c>
    </row>
    <row r="2083" spans="1:10" ht="28.5" x14ac:dyDescent="0.2">
      <c r="A2083" s="3" t="s">
        <v>2790</v>
      </c>
      <c r="B2083" s="3" t="s">
        <v>411</v>
      </c>
      <c r="C2083" s="3" t="s">
        <v>8</v>
      </c>
      <c r="D2083" s="3" t="s">
        <v>2791</v>
      </c>
      <c r="E2083" s="3" t="s">
        <v>2791</v>
      </c>
      <c r="F2083" s="1" t="s">
        <v>412</v>
      </c>
      <c r="G2083" s="1">
        <v>0</v>
      </c>
      <c r="H2083" s="1">
        <v>9.9999999999999995E-7</v>
      </c>
      <c r="I2083" s="1">
        <v>1</v>
      </c>
      <c r="J2083" s="1">
        <v>0</v>
      </c>
    </row>
    <row r="2084" spans="1:10" x14ac:dyDescent="0.2">
      <c r="A2084" s="46" t="s">
        <v>2792</v>
      </c>
      <c r="B2084" s="4" t="s">
        <v>414</v>
      </c>
      <c r="C2084" s="46" t="s">
        <v>8</v>
      </c>
      <c r="D2084" s="46" t="s">
        <v>2793</v>
      </c>
      <c r="E2084" s="46" t="s">
        <v>2793</v>
      </c>
      <c r="F2084" s="58" t="s">
        <v>416</v>
      </c>
      <c r="G2084" s="58">
        <v>0</v>
      </c>
      <c r="H2084" s="58">
        <v>9.9999999999999995E-7</v>
      </c>
      <c r="I2084" s="58">
        <v>1</v>
      </c>
      <c r="J2084" s="58">
        <v>0</v>
      </c>
    </row>
    <row r="2085" spans="1:10" x14ac:dyDescent="0.2">
      <c r="A2085" s="47"/>
      <c r="B2085" s="5" t="s">
        <v>415</v>
      </c>
      <c r="C2085" s="47"/>
      <c r="D2085" s="47"/>
      <c r="E2085" s="47"/>
      <c r="F2085" s="59"/>
      <c r="G2085" s="59"/>
      <c r="H2085" s="59"/>
      <c r="I2085" s="59"/>
      <c r="J2085" s="59"/>
    </row>
    <row r="2086" spans="1:10" x14ac:dyDescent="0.2">
      <c r="A2086" s="46" t="s">
        <v>2794</v>
      </c>
      <c r="B2086" s="4" t="s">
        <v>414</v>
      </c>
      <c r="C2086" s="46" t="s">
        <v>8</v>
      </c>
      <c r="D2086" s="46" t="s">
        <v>2795</v>
      </c>
      <c r="E2086" s="46" t="s">
        <v>2795</v>
      </c>
      <c r="F2086" s="58" t="s">
        <v>416</v>
      </c>
      <c r="G2086" s="58">
        <v>0</v>
      </c>
      <c r="H2086" s="58">
        <v>6.8947569999999996E-3</v>
      </c>
      <c r="I2086" s="58">
        <v>1</v>
      </c>
      <c r="J2086" s="58">
        <v>0</v>
      </c>
    </row>
    <row r="2087" spans="1:10" x14ac:dyDescent="0.2">
      <c r="A2087" s="47"/>
      <c r="B2087" s="5" t="s">
        <v>415</v>
      </c>
      <c r="C2087" s="47"/>
      <c r="D2087" s="47"/>
      <c r="E2087" s="47"/>
      <c r="F2087" s="59"/>
      <c r="G2087" s="59"/>
      <c r="H2087" s="59"/>
      <c r="I2087" s="59"/>
      <c r="J2087" s="59"/>
    </row>
    <row r="2088" spans="1:10" ht="28.5" x14ac:dyDescent="0.2">
      <c r="A2088" s="3" t="s">
        <v>2796</v>
      </c>
      <c r="B2088" s="3" t="s">
        <v>443</v>
      </c>
      <c r="C2088" s="3" t="s">
        <v>8</v>
      </c>
      <c r="D2088" s="3" t="s">
        <v>2797</v>
      </c>
      <c r="E2088" s="3" t="s">
        <v>2797</v>
      </c>
      <c r="F2088" s="1" t="s">
        <v>444</v>
      </c>
      <c r="G2088" s="1">
        <v>0</v>
      </c>
      <c r="H2088" s="1">
        <v>9.9999999999999995E-7</v>
      </c>
      <c r="I2088" s="1">
        <v>1</v>
      </c>
      <c r="J2088" s="1">
        <v>0</v>
      </c>
    </row>
    <row r="2089" spans="1:10" x14ac:dyDescent="0.2">
      <c r="A2089" s="46" t="s">
        <v>2798</v>
      </c>
      <c r="B2089" s="4" t="s">
        <v>463</v>
      </c>
      <c r="C2089" s="46" t="s">
        <v>8</v>
      </c>
      <c r="D2089" s="46" t="s">
        <v>2799</v>
      </c>
      <c r="E2089" s="46" t="s">
        <v>2799</v>
      </c>
      <c r="F2089" s="58" t="s">
        <v>466</v>
      </c>
      <c r="G2089" s="58">
        <v>0</v>
      </c>
      <c r="H2089" s="58">
        <v>9.9999999999999995E-7</v>
      </c>
      <c r="I2089" s="58">
        <v>1</v>
      </c>
      <c r="J2089" s="58">
        <v>0</v>
      </c>
    </row>
    <row r="2090" spans="1:10" x14ac:dyDescent="0.2">
      <c r="A2090" s="48"/>
      <c r="B2090" s="6" t="s">
        <v>464</v>
      </c>
      <c r="C2090" s="48"/>
      <c r="D2090" s="48"/>
      <c r="E2090" s="48"/>
      <c r="F2090" s="60"/>
      <c r="G2090" s="60"/>
      <c r="H2090" s="60"/>
      <c r="I2090" s="60"/>
      <c r="J2090" s="60"/>
    </row>
    <row r="2091" spans="1:10" x14ac:dyDescent="0.2">
      <c r="A2091" s="47"/>
      <c r="B2091" s="5" t="s">
        <v>465</v>
      </c>
      <c r="C2091" s="47"/>
      <c r="D2091" s="47"/>
      <c r="E2091" s="47"/>
      <c r="F2091" s="59"/>
      <c r="G2091" s="59"/>
      <c r="H2091" s="59"/>
      <c r="I2091" s="59"/>
      <c r="J2091" s="59"/>
    </row>
    <row r="2092" spans="1:10" ht="28.5" x14ac:dyDescent="0.2">
      <c r="A2092" s="3" t="s">
        <v>2800</v>
      </c>
      <c r="B2092" s="3" t="s">
        <v>469</v>
      </c>
      <c r="C2092" s="3" t="s">
        <v>8</v>
      </c>
      <c r="D2092" s="3" t="s">
        <v>2801</v>
      </c>
      <c r="E2092" s="3" t="s">
        <v>2801</v>
      </c>
      <c r="F2092" s="1" t="s">
        <v>470</v>
      </c>
      <c r="G2092" s="1">
        <v>0</v>
      </c>
      <c r="H2092" s="1">
        <v>9.9999999999999995E-7</v>
      </c>
      <c r="I2092" s="1">
        <v>1</v>
      </c>
      <c r="J2092" s="1">
        <v>0</v>
      </c>
    </row>
    <row r="2093" spans="1:10" x14ac:dyDescent="0.2">
      <c r="A2093" s="46" t="s">
        <v>2802</v>
      </c>
      <c r="B2093" s="4" t="s">
        <v>476</v>
      </c>
      <c r="C2093" s="46" t="s">
        <v>8</v>
      </c>
      <c r="D2093" s="46" t="s">
        <v>2803</v>
      </c>
      <c r="E2093" s="46" t="s">
        <v>2803</v>
      </c>
      <c r="F2093" s="58" t="s">
        <v>479</v>
      </c>
      <c r="G2093" s="58">
        <v>0</v>
      </c>
      <c r="H2093" s="58">
        <v>9.9999999999999995E-7</v>
      </c>
      <c r="I2093" s="58">
        <v>0.30480000000000002</v>
      </c>
      <c r="J2093" s="58">
        <v>0</v>
      </c>
    </row>
    <row r="2094" spans="1:10" x14ac:dyDescent="0.2">
      <c r="A2094" s="47"/>
      <c r="B2094" s="5" t="s">
        <v>477</v>
      </c>
      <c r="C2094" s="47"/>
      <c r="D2094" s="47"/>
      <c r="E2094" s="47"/>
      <c r="F2094" s="59"/>
      <c r="G2094" s="59"/>
      <c r="H2094" s="59"/>
      <c r="I2094" s="59"/>
      <c r="J2094" s="59"/>
    </row>
    <row r="2095" spans="1:10" x14ac:dyDescent="0.2">
      <c r="A2095" s="46" t="s">
        <v>2804</v>
      </c>
      <c r="B2095" s="4" t="s">
        <v>476</v>
      </c>
      <c r="C2095" s="46" t="s">
        <v>8</v>
      </c>
      <c r="D2095" s="46" t="s">
        <v>2805</v>
      </c>
      <c r="E2095" s="46" t="s">
        <v>2805</v>
      </c>
      <c r="F2095" s="58" t="s">
        <v>479</v>
      </c>
      <c r="G2095" s="58">
        <v>0</v>
      </c>
      <c r="H2095" s="58">
        <v>9.9999999999999995E-7</v>
      </c>
      <c r="I2095" s="58">
        <v>1</v>
      </c>
      <c r="J2095" s="58">
        <v>0</v>
      </c>
    </row>
    <row r="2096" spans="1:10" x14ac:dyDescent="0.2">
      <c r="A2096" s="47"/>
      <c r="B2096" s="5" t="s">
        <v>477</v>
      </c>
      <c r="C2096" s="47"/>
      <c r="D2096" s="47"/>
      <c r="E2096" s="47"/>
      <c r="F2096" s="59"/>
      <c r="G2096" s="59"/>
      <c r="H2096" s="59"/>
      <c r="I2096" s="59"/>
      <c r="J2096" s="59"/>
    </row>
    <row r="2097" spans="1:10" x14ac:dyDescent="0.2">
      <c r="A2097" s="46" t="s">
        <v>2806</v>
      </c>
      <c r="B2097" s="4" t="s">
        <v>516</v>
      </c>
      <c r="C2097" s="46" t="s">
        <v>8</v>
      </c>
      <c r="D2097" s="46" t="s">
        <v>2807</v>
      </c>
      <c r="E2097" s="46" t="s">
        <v>2807</v>
      </c>
      <c r="F2097" s="58" t="s">
        <v>518</v>
      </c>
      <c r="G2097" s="58">
        <v>0</v>
      </c>
      <c r="H2097" s="58">
        <v>9.9999999999999995E-7</v>
      </c>
      <c r="I2097" s="58">
        <v>1</v>
      </c>
      <c r="J2097" s="58">
        <v>0</v>
      </c>
    </row>
    <row r="2098" spans="1:10" x14ac:dyDescent="0.2">
      <c r="A2098" s="47"/>
      <c r="B2098" s="5" t="s">
        <v>517</v>
      </c>
      <c r="C2098" s="47"/>
      <c r="D2098" s="47"/>
      <c r="E2098" s="47"/>
      <c r="F2098" s="59"/>
      <c r="G2098" s="59"/>
      <c r="H2098" s="59"/>
      <c r="I2098" s="59"/>
      <c r="J2098" s="59"/>
    </row>
    <row r="2099" spans="1:10" ht="28.5" x14ac:dyDescent="0.2">
      <c r="A2099" s="3" t="s">
        <v>2808</v>
      </c>
      <c r="B2099" s="3" t="s">
        <v>521</v>
      </c>
      <c r="C2099" s="3" t="s">
        <v>8</v>
      </c>
      <c r="D2099" s="3" t="s">
        <v>2809</v>
      </c>
      <c r="E2099" s="3" t="s">
        <v>2809</v>
      </c>
      <c r="F2099" s="1" t="s">
        <v>522</v>
      </c>
      <c r="G2099" s="1">
        <v>0</v>
      </c>
      <c r="H2099" s="1">
        <v>9.9999999999999995E-7</v>
      </c>
      <c r="I2099" s="1">
        <v>1</v>
      </c>
      <c r="J2099" s="1">
        <v>0</v>
      </c>
    </row>
    <row r="2100" spans="1:10" ht="28.5" x14ac:dyDescent="0.2">
      <c r="A2100" s="3" t="s">
        <v>2810</v>
      </c>
      <c r="B2100" s="3" t="s">
        <v>528</v>
      </c>
      <c r="C2100" s="3" t="s">
        <v>8</v>
      </c>
      <c r="D2100" s="3" t="s">
        <v>2811</v>
      </c>
      <c r="E2100" s="3" t="s">
        <v>2811</v>
      </c>
      <c r="F2100" s="1" t="s">
        <v>529</v>
      </c>
      <c r="G2100" s="1">
        <v>0</v>
      </c>
      <c r="H2100" s="1">
        <v>9.9999999999999995E-7</v>
      </c>
      <c r="I2100" s="1">
        <v>0.30480000000000002</v>
      </c>
      <c r="J2100" s="1">
        <v>0</v>
      </c>
    </row>
    <row r="2101" spans="1:10" ht="28.5" x14ac:dyDescent="0.2">
      <c r="A2101" s="3" t="s">
        <v>2812</v>
      </c>
      <c r="B2101" s="3" t="s">
        <v>528</v>
      </c>
      <c r="C2101" s="3" t="s">
        <v>8</v>
      </c>
      <c r="D2101" s="3" t="s">
        <v>2813</v>
      </c>
      <c r="E2101" s="3" t="s">
        <v>2813</v>
      </c>
      <c r="F2101" s="1" t="s">
        <v>529</v>
      </c>
      <c r="G2101" s="1">
        <v>0</v>
      </c>
      <c r="H2101" s="1">
        <v>9.9999999999999995E-7</v>
      </c>
      <c r="I2101" s="1">
        <v>1</v>
      </c>
      <c r="J2101" s="1">
        <v>0</v>
      </c>
    </row>
    <row r="2102" spans="1:10" x14ac:dyDescent="0.2">
      <c r="A2102" s="46" t="s">
        <v>2814</v>
      </c>
      <c r="B2102" s="4" t="s">
        <v>531</v>
      </c>
      <c r="C2102" s="46" t="s">
        <v>8</v>
      </c>
      <c r="D2102" s="46" t="s">
        <v>2815</v>
      </c>
      <c r="E2102" s="46" t="s">
        <v>2815</v>
      </c>
      <c r="F2102" s="58" t="s">
        <v>533</v>
      </c>
      <c r="G2102" s="58">
        <v>0</v>
      </c>
      <c r="H2102" s="58">
        <v>9.9999999999999995E-7</v>
      </c>
      <c r="I2102" s="58">
        <v>1</v>
      </c>
      <c r="J2102" s="58">
        <v>0</v>
      </c>
    </row>
    <row r="2103" spans="1:10" x14ac:dyDescent="0.2">
      <c r="A2103" s="47"/>
      <c r="B2103" s="5" t="s">
        <v>532</v>
      </c>
      <c r="C2103" s="47"/>
      <c r="D2103" s="47"/>
      <c r="E2103" s="47"/>
      <c r="F2103" s="59"/>
      <c r="G2103" s="59"/>
      <c r="H2103" s="59"/>
      <c r="I2103" s="59"/>
      <c r="J2103" s="59"/>
    </row>
    <row r="2104" spans="1:10" ht="42.75" x14ac:dyDescent="0.2">
      <c r="A2104" s="3" t="s">
        <v>2816</v>
      </c>
      <c r="B2104" s="3" t="s">
        <v>559</v>
      </c>
      <c r="C2104" s="3" t="s">
        <v>8</v>
      </c>
      <c r="D2104" s="3" t="s">
        <v>2817</v>
      </c>
      <c r="E2104" s="3" t="s">
        <v>2817</v>
      </c>
      <c r="F2104" s="1" t="s">
        <v>560</v>
      </c>
      <c r="G2104" s="1">
        <v>0</v>
      </c>
      <c r="H2104" s="1">
        <v>9.9999999999999995E-7</v>
      </c>
      <c r="I2104" s="1">
        <v>1</v>
      </c>
      <c r="J2104" s="1">
        <v>0</v>
      </c>
    </row>
    <row r="2105" spans="1:10" ht="28.5" x14ac:dyDescent="0.2">
      <c r="A2105" s="3" t="s">
        <v>2818</v>
      </c>
      <c r="B2105" s="3" t="s">
        <v>568</v>
      </c>
      <c r="C2105" s="3" t="s">
        <v>8</v>
      </c>
      <c r="D2105" s="3" t="s">
        <v>2819</v>
      </c>
      <c r="E2105" s="3" t="s">
        <v>2819</v>
      </c>
      <c r="F2105" s="1" t="s">
        <v>569</v>
      </c>
      <c r="G2105" s="1">
        <v>0</v>
      </c>
      <c r="H2105" s="1">
        <v>9.9999999999999995E-7</v>
      </c>
      <c r="I2105" s="1">
        <v>1</v>
      </c>
      <c r="J2105" s="1">
        <v>0</v>
      </c>
    </row>
    <row r="2106" spans="1:10" ht="28.5" x14ac:dyDescent="0.2">
      <c r="A2106" s="3" t="s">
        <v>2820</v>
      </c>
      <c r="B2106" s="3" t="s">
        <v>525</v>
      </c>
      <c r="C2106" s="3" t="s">
        <v>8</v>
      </c>
      <c r="D2106" s="3" t="s">
        <v>2821</v>
      </c>
      <c r="E2106" s="3" t="s">
        <v>2821</v>
      </c>
      <c r="F2106" s="1" t="s">
        <v>526</v>
      </c>
      <c r="G2106" s="1">
        <v>0</v>
      </c>
      <c r="H2106" s="1">
        <v>10</v>
      </c>
      <c r="I2106" s="1">
        <v>1</v>
      </c>
      <c r="J2106" s="1">
        <v>0</v>
      </c>
    </row>
    <row r="2107" spans="1:10" ht="28.5" x14ac:dyDescent="0.2">
      <c r="A2107" s="46" t="s">
        <v>2822</v>
      </c>
      <c r="B2107" s="46" t="s">
        <v>659</v>
      </c>
      <c r="C2107" s="46" t="s">
        <v>8</v>
      </c>
      <c r="D2107" s="4" t="s">
        <v>2823</v>
      </c>
      <c r="E2107" s="46" t="s">
        <v>588</v>
      </c>
      <c r="F2107" s="58" t="s">
        <v>131</v>
      </c>
      <c r="G2107" s="58">
        <v>0</v>
      </c>
      <c r="H2107" s="58">
        <v>0.01</v>
      </c>
      <c r="I2107" s="58">
        <v>1</v>
      </c>
      <c r="J2107" s="58">
        <v>0</v>
      </c>
    </row>
    <row r="2108" spans="1:10" ht="28.5" x14ac:dyDescent="0.2">
      <c r="A2108" s="47"/>
      <c r="B2108" s="47"/>
      <c r="C2108" s="47"/>
      <c r="D2108" s="5" t="s">
        <v>763</v>
      </c>
      <c r="E2108" s="47"/>
      <c r="F2108" s="59"/>
      <c r="G2108" s="59"/>
      <c r="H2108" s="59"/>
      <c r="I2108" s="59"/>
      <c r="J2108" s="59"/>
    </row>
    <row r="2109" spans="1:10" x14ac:dyDescent="0.2">
      <c r="A2109" s="46" t="s">
        <v>2824</v>
      </c>
      <c r="B2109" s="46" t="s">
        <v>659</v>
      </c>
      <c r="C2109" s="46" t="s">
        <v>8</v>
      </c>
      <c r="D2109" s="4" t="s">
        <v>2825</v>
      </c>
      <c r="E2109" s="46" t="s">
        <v>2511</v>
      </c>
      <c r="F2109" s="58" t="s">
        <v>131</v>
      </c>
      <c r="G2109" s="58">
        <v>0</v>
      </c>
      <c r="H2109" s="58">
        <v>9.9999999999999995E-7</v>
      </c>
      <c r="I2109" s="58">
        <v>1</v>
      </c>
      <c r="J2109" s="58">
        <v>0</v>
      </c>
    </row>
    <row r="2110" spans="1:10" ht="28.5" x14ac:dyDescent="0.2">
      <c r="A2110" s="47"/>
      <c r="B2110" s="47"/>
      <c r="C2110" s="47"/>
      <c r="D2110" s="5" t="s">
        <v>763</v>
      </c>
      <c r="E2110" s="47"/>
      <c r="F2110" s="59"/>
      <c r="G2110" s="59"/>
      <c r="H2110" s="59"/>
      <c r="I2110" s="59"/>
      <c r="J2110" s="59"/>
    </row>
    <row r="2111" spans="1:10" x14ac:dyDescent="0.2">
      <c r="A2111" s="46" t="s">
        <v>2826</v>
      </c>
      <c r="B2111" s="4" t="s">
        <v>543</v>
      </c>
      <c r="C2111" s="46" t="s">
        <v>8</v>
      </c>
      <c r="D2111" s="46" t="s">
        <v>2827</v>
      </c>
      <c r="E2111" s="46" t="s">
        <v>2827</v>
      </c>
      <c r="F2111" s="58" t="s">
        <v>551</v>
      </c>
      <c r="G2111" s="58">
        <v>0</v>
      </c>
      <c r="H2111" s="58">
        <v>10000</v>
      </c>
      <c r="I2111" s="58">
        <v>1</v>
      </c>
      <c r="J2111" s="58">
        <v>0</v>
      </c>
    </row>
    <row r="2112" spans="1:10" x14ac:dyDescent="0.2">
      <c r="A2112" s="48"/>
      <c r="B2112" s="6" t="s">
        <v>544</v>
      </c>
      <c r="C2112" s="48"/>
      <c r="D2112" s="48"/>
      <c r="E2112" s="48"/>
      <c r="F2112" s="60"/>
      <c r="G2112" s="60"/>
      <c r="H2112" s="60"/>
      <c r="I2112" s="60"/>
      <c r="J2112" s="60"/>
    </row>
    <row r="2113" spans="1:10" x14ac:dyDescent="0.2">
      <c r="A2113" s="48"/>
      <c r="B2113" s="6" t="s">
        <v>545</v>
      </c>
      <c r="C2113" s="48"/>
      <c r="D2113" s="48"/>
      <c r="E2113" s="48"/>
      <c r="F2113" s="60"/>
      <c r="G2113" s="60"/>
      <c r="H2113" s="60"/>
      <c r="I2113" s="60"/>
      <c r="J2113" s="60"/>
    </row>
    <row r="2114" spans="1:10" x14ac:dyDescent="0.2">
      <c r="A2114" s="48"/>
      <c r="B2114" s="6" t="s">
        <v>546</v>
      </c>
      <c r="C2114" s="48"/>
      <c r="D2114" s="48"/>
      <c r="E2114" s="48"/>
      <c r="F2114" s="60"/>
      <c r="G2114" s="60"/>
      <c r="H2114" s="60"/>
      <c r="I2114" s="60"/>
      <c r="J2114" s="60"/>
    </row>
    <row r="2115" spans="1:10" x14ac:dyDescent="0.2">
      <c r="A2115" s="48"/>
      <c r="B2115" s="6" t="s">
        <v>547</v>
      </c>
      <c r="C2115" s="48"/>
      <c r="D2115" s="48"/>
      <c r="E2115" s="48"/>
      <c r="F2115" s="60"/>
      <c r="G2115" s="60"/>
      <c r="H2115" s="60"/>
      <c r="I2115" s="60"/>
      <c r="J2115" s="60"/>
    </row>
    <row r="2116" spans="1:10" x14ac:dyDescent="0.2">
      <c r="A2116" s="48"/>
      <c r="B2116" s="6" t="s">
        <v>548</v>
      </c>
      <c r="C2116" s="48"/>
      <c r="D2116" s="48"/>
      <c r="E2116" s="48"/>
      <c r="F2116" s="60"/>
      <c r="G2116" s="60"/>
      <c r="H2116" s="60"/>
      <c r="I2116" s="60"/>
      <c r="J2116" s="60"/>
    </row>
    <row r="2117" spans="1:10" x14ac:dyDescent="0.2">
      <c r="A2117" s="48"/>
      <c r="B2117" s="6" t="s">
        <v>549</v>
      </c>
      <c r="C2117" s="48"/>
      <c r="D2117" s="48"/>
      <c r="E2117" s="48"/>
      <c r="F2117" s="60"/>
      <c r="G2117" s="60"/>
      <c r="H2117" s="60"/>
      <c r="I2117" s="60"/>
      <c r="J2117" s="60"/>
    </row>
    <row r="2118" spans="1:10" x14ac:dyDescent="0.2">
      <c r="A2118" s="47"/>
      <c r="B2118" s="5" t="s">
        <v>550</v>
      </c>
      <c r="C2118" s="47"/>
      <c r="D2118" s="47"/>
      <c r="E2118" s="47"/>
      <c r="F2118" s="59"/>
      <c r="G2118" s="59"/>
      <c r="H2118" s="59"/>
      <c r="I2118" s="59"/>
      <c r="J2118" s="59"/>
    </row>
    <row r="2119" spans="1:10" ht="28.5" x14ac:dyDescent="0.2">
      <c r="A2119" s="3" t="s">
        <v>2828</v>
      </c>
      <c r="B2119" s="3" t="s">
        <v>586</v>
      </c>
      <c r="C2119" s="3" t="s">
        <v>8</v>
      </c>
      <c r="D2119" s="3" t="s">
        <v>2829</v>
      </c>
      <c r="E2119" s="3" t="s">
        <v>2829</v>
      </c>
      <c r="F2119" s="1" t="s">
        <v>131</v>
      </c>
      <c r="G2119" s="1">
        <v>0</v>
      </c>
      <c r="H2119" s="1">
        <v>1E-3</v>
      </c>
      <c r="I2119" s="1">
        <v>1</v>
      </c>
      <c r="J2119" s="1">
        <v>0</v>
      </c>
    </row>
    <row r="2120" spans="1:10" x14ac:dyDescent="0.2">
      <c r="A2120" s="46" t="s">
        <v>2830</v>
      </c>
      <c r="B2120" s="4" t="s">
        <v>543</v>
      </c>
      <c r="C2120" s="46" t="s">
        <v>8</v>
      </c>
      <c r="D2120" s="46" t="s">
        <v>2831</v>
      </c>
      <c r="E2120" s="46" t="s">
        <v>2831</v>
      </c>
      <c r="F2120" s="58" t="s">
        <v>551</v>
      </c>
      <c r="G2120" s="58">
        <v>0</v>
      </c>
      <c r="H2120" s="58">
        <v>1000000</v>
      </c>
      <c r="I2120" s="58">
        <v>1</v>
      </c>
      <c r="J2120" s="58">
        <v>0</v>
      </c>
    </row>
    <row r="2121" spans="1:10" x14ac:dyDescent="0.2">
      <c r="A2121" s="48"/>
      <c r="B2121" s="6" t="s">
        <v>544</v>
      </c>
      <c r="C2121" s="48"/>
      <c r="D2121" s="48"/>
      <c r="E2121" s="48"/>
      <c r="F2121" s="60"/>
      <c r="G2121" s="60"/>
      <c r="H2121" s="60"/>
      <c r="I2121" s="60"/>
      <c r="J2121" s="60"/>
    </row>
    <row r="2122" spans="1:10" x14ac:dyDescent="0.2">
      <c r="A2122" s="48"/>
      <c r="B2122" s="6" t="s">
        <v>545</v>
      </c>
      <c r="C2122" s="48"/>
      <c r="D2122" s="48"/>
      <c r="E2122" s="48"/>
      <c r="F2122" s="60"/>
      <c r="G2122" s="60"/>
      <c r="H2122" s="60"/>
      <c r="I2122" s="60"/>
      <c r="J2122" s="60"/>
    </row>
    <row r="2123" spans="1:10" x14ac:dyDescent="0.2">
      <c r="A2123" s="48"/>
      <c r="B2123" s="6" t="s">
        <v>546</v>
      </c>
      <c r="C2123" s="48"/>
      <c r="D2123" s="48"/>
      <c r="E2123" s="48"/>
      <c r="F2123" s="60"/>
      <c r="G2123" s="60"/>
      <c r="H2123" s="60"/>
      <c r="I2123" s="60"/>
      <c r="J2123" s="60"/>
    </row>
    <row r="2124" spans="1:10" x14ac:dyDescent="0.2">
      <c r="A2124" s="48"/>
      <c r="B2124" s="6" t="s">
        <v>547</v>
      </c>
      <c r="C2124" s="48"/>
      <c r="D2124" s="48"/>
      <c r="E2124" s="48"/>
      <c r="F2124" s="60"/>
      <c r="G2124" s="60"/>
      <c r="H2124" s="60"/>
      <c r="I2124" s="60"/>
      <c r="J2124" s="60"/>
    </row>
    <row r="2125" spans="1:10" x14ac:dyDescent="0.2">
      <c r="A2125" s="48"/>
      <c r="B2125" s="6" t="s">
        <v>548</v>
      </c>
      <c r="C2125" s="48"/>
      <c r="D2125" s="48"/>
      <c r="E2125" s="48"/>
      <c r="F2125" s="60"/>
      <c r="G2125" s="60"/>
      <c r="H2125" s="60"/>
      <c r="I2125" s="60"/>
      <c r="J2125" s="60"/>
    </row>
    <row r="2126" spans="1:10" x14ac:dyDescent="0.2">
      <c r="A2126" s="48"/>
      <c r="B2126" s="6" t="s">
        <v>549</v>
      </c>
      <c r="C2126" s="48"/>
      <c r="D2126" s="48"/>
      <c r="E2126" s="48"/>
      <c r="F2126" s="60"/>
      <c r="G2126" s="60"/>
      <c r="H2126" s="60"/>
      <c r="I2126" s="60"/>
      <c r="J2126" s="60"/>
    </row>
    <row r="2127" spans="1:10" x14ac:dyDescent="0.2">
      <c r="A2127" s="47"/>
      <c r="B2127" s="5" t="s">
        <v>550</v>
      </c>
      <c r="C2127" s="47"/>
      <c r="D2127" s="47"/>
      <c r="E2127" s="47"/>
      <c r="F2127" s="59"/>
      <c r="G2127" s="59"/>
      <c r="H2127" s="59"/>
      <c r="I2127" s="59"/>
      <c r="J2127" s="59"/>
    </row>
    <row r="2128" spans="1:10" ht="28.5" x14ac:dyDescent="0.2">
      <c r="A2128" s="3" t="s">
        <v>2832</v>
      </c>
      <c r="B2128" s="3" t="s">
        <v>586</v>
      </c>
      <c r="C2128" s="3" t="s">
        <v>8</v>
      </c>
      <c r="D2128" s="3" t="s">
        <v>2833</v>
      </c>
      <c r="E2128" s="3" t="s">
        <v>2833</v>
      </c>
      <c r="F2128" s="1" t="s">
        <v>131</v>
      </c>
      <c r="G2128" s="1">
        <v>0</v>
      </c>
      <c r="H2128" s="1">
        <v>1</v>
      </c>
      <c r="I2128" s="1">
        <v>1</v>
      </c>
      <c r="J2128" s="1">
        <v>0</v>
      </c>
    </row>
    <row r="2129" spans="1:10" ht="28.5" x14ac:dyDescent="0.2">
      <c r="A2129" s="3" t="s">
        <v>2834</v>
      </c>
      <c r="B2129" s="3" t="s">
        <v>575</v>
      </c>
      <c r="C2129" s="3" t="s">
        <v>8</v>
      </c>
      <c r="D2129" s="3" t="s">
        <v>2835</v>
      </c>
      <c r="E2129" s="3" t="s">
        <v>2835</v>
      </c>
      <c r="F2129" s="1" t="s">
        <v>576</v>
      </c>
      <c r="G2129" s="1">
        <v>0</v>
      </c>
      <c r="H2129" s="1">
        <v>1000</v>
      </c>
      <c r="I2129" s="1">
        <v>1</v>
      </c>
      <c r="J2129" s="1">
        <v>0</v>
      </c>
    </row>
    <row r="2130" spans="1:10" x14ac:dyDescent="0.2">
      <c r="A2130" s="3" t="s">
        <v>2836</v>
      </c>
      <c r="B2130" s="3" t="s">
        <v>469</v>
      </c>
      <c r="C2130" s="3" t="s">
        <v>8</v>
      </c>
      <c r="D2130" s="3" t="s">
        <v>2837</v>
      </c>
      <c r="E2130" s="3"/>
      <c r="F2130" s="1" t="s">
        <v>470</v>
      </c>
      <c r="G2130" s="1">
        <v>0</v>
      </c>
      <c r="H2130" s="1">
        <v>604800</v>
      </c>
      <c r="I2130" s="1">
        <v>1</v>
      </c>
      <c r="J2130" s="1">
        <v>0</v>
      </c>
    </row>
    <row r="2131" spans="1:10" x14ac:dyDescent="0.2">
      <c r="A2131" s="46" t="s">
        <v>2838</v>
      </c>
      <c r="B2131" s="46" t="s">
        <v>127</v>
      </c>
      <c r="C2131" s="46" t="s">
        <v>8</v>
      </c>
      <c r="D2131" s="4" t="s">
        <v>2839</v>
      </c>
      <c r="E2131" s="46" t="s">
        <v>588</v>
      </c>
      <c r="F2131" s="58" t="s">
        <v>131</v>
      </c>
      <c r="G2131" s="58">
        <v>0</v>
      </c>
      <c r="H2131" s="58">
        <v>0.01</v>
      </c>
      <c r="I2131" s="58">
        <v>1</v>
      </c>
      <c r="J2131" s="58">
        <v>0</v>
      </c>
    </row>
    <row r="2132" spans="1:10" ht="28.5" x14ac:dyDescent="0.2">
      <c r="A2132" s="47"/>
      <c r="B2132" s="47"/>
      <c r="C2132" s="47"/>
      <c r="D2132" s="5" t="s">
        <v>763</v>
      </c>
      <c r="E2132" s="47"/>
      <c r="F2132" s="59"/>
      <c r="G2132" s="59"/>
      <c r="H2132" s="59"/>
      <c r="I2132" s="59"/>
      <c r="J2132" s="59"/>
    </row>
    <row r="2133" spans="1:10" x14ac:dyDescent="0.2">
      <c r="A2133" s="46" t="s">
        <v>2840</v>
      </c>
      <c r="B2133" s="46" t="s">
        <v>127</v>
      </c>
      <c r="C2133" s="46" t="s">
        <v>8</v>
      </c>
      <c r="D2133" s="4" t="s">
        <v>2841</v>
      </c>
      <c r="E2133" s="46" t="s">
        <v>2511</v>
      </c>
      <c r="F2133" s="58" t="s">
        <v>131</v>
      </c>
      <c r="G2133" s="58">
        <v>0</v>
      </c>
      <c r="H2133" s="58">
        <v>9.9999999999999995E-7</v>
      </c>
      <c r="I2133" s="58">
        <v>1</v>
      </c>
      <c r="J2133" s="58">
        <v>0</v>
      </c>
    </row>
    <row r="2134" spans="1:10" ht="28.5" x14ac:dyDescent="0.2">
      <c r="A2134" s="47"/>
      <c r="B2134" s="47"/>
      <c r="C2134" s="47"/>
      <c r="D2134" s="5" t="s">
        <v>763</v>
      </c>
      <c r="E2134" s="47"/>
      <c r="F2134" s="59"/>
      <c r="G2134" s="59"/>
      <c r="H2134" s="59"/>
      <c r="I2134" s="59"/>
      <c r="J2134" s="59"/>
    </row>
    <row r="2135" spans="1:10" x14ac:dyDescent="0.2">
      <c r="A2135" s="46" t="s">
        <v>2842</v>
      </c>
      <c r="B2135" s="4" t="s">
        <v>277</v>
      </c>
      <c r="C2135" s="46" t="s">
        <v>8</v>
      </c>
      <c r="D2135" s="46" t="s">
        <v>2843</v>
      </c>
      <c r="E2135" s="46"/>
      <c r="F2135" s="58" t="s">
        <v>290</v>
      </c>
      <c r="G2135" s="58">
        <v>0</v>
      </c>
      <c r="H2135" s="58">
        <v>0.91439999999999999</v>
      </c>
      <c r="I2135" s="58">
        <v>1</v>
      </c>
      <c r="J2135" s="58">
        <v>0</v>
      </c>
    </row>
    <row r="2136" spans="1:10" x14ac:dyDescent="0.2">
      <c r="A2136" s="48"/>
      <c r="B2136" s="6" t="s">
        <v>278</v>
      </c>
      <c r="C2136" s="48"/>
      <c r="D2136" s="48"/>
      <c r="E2136" s="48"/>
      <c r="F2136" s="60"/>
      <c r="G2136" s="60"/>
      <c r="H2136" s="60"/>
      <c r="I2136" s="60"/>
      <c r="J2136" s="60"/>
    </row>
    <row r="2137" spans="1:10" x14ac:dyDescent="0.2">
      <c r="A2137" s="48"/>
      <c r="B2137" s="6" t="s">
        <v>279</v>
      </c>
      <c r="C2137" s="48"/>
      <c r="D2137" s="48"/>
      <c r="E2137" s="48"/>
      <c r="F2137" s="60"/>
      <c r="G2137" s="60"/>
      <c r="H2137" s="60"/>
      <c r="I2137" s="60"/>
      <c r="J2137" s="60"/>
    </row>
    <row r="2138" spans="1:10" x14ac:dyDescent="0.2">
      <c r="A2138" s="48"/>
      <c r="B2138" s="6" t="s">
        <v>281</v>
      </c>
      <c r="C2138" s="48"/>
      <c r="D2138" s="48"/>
      <c r="E2138" s="48"/>
      <c r="F2138" s="60"/>
      <c r="G2138" s="60"/>
      <c r="H2138" s="60"/>
      <c r="I2138" s="60"/>
      <c r="J2138" s="60"/>
    </row>
    <row r="2139" spans="1:10" x14ac:dyDescent="0.2">
      <c r="A2139" s="48"/>
      <c r="B2139" s="6" t="s">
        <v>282</v>
      </c>
      <c r="C2139" s="48"/>
      <c r="D2139" s="48"/>
      <c r="E2139" s="48"/>
      <c r="F2139" s="60"/>
      <c r="G2139" s="60"/>
      <c r="H2139" s="60"/>
      <c r="I2139" s="60"/>
      <c r="J2139" s="60"/>
    </row>
    <row r="2140" spans="1:10" x14ac:dyDescent="0.2">
      <c r="A2140" s="48"/>
      <c r="B2140" s="6" t="s">
        <v>283</v>
      </c>
      <c r="C2140" s="48"/>
      <c r="D2140" s="48"/>
      <c r="E2140" s="48"/>
      <c r="F2140" s="60"/>
      <c r="G2140" s="60"/>
      <c r="H2140" s="60"/>
      <c r="I2140" s="60"/>
      <c r="J2140" s="60"/>
    </row>
    <row r="2141" spans="1:10" x14ac:dyDescent="0.2">
      <c r="A2141" s="48"/>
      <c r="B2141" s="6" t="s">
        <v>284</v>
      </c>
      <c r="C2141" s="48"/>
      <c r="D2141" s="48"/>
      <c r="E2141" s="48"/>
      <c r="F2141" s="60"/>
      <c r="G2141" s="60"/>
      <c r="H2141" s="60"/>
      <c r="I2141" s="60"/>
      <c r="J2141" s="60"/>
    </row>
    <row r="2142" spans="1:10" x14ac:dyDescent="0.2">
      <c r="A2142" s="48"/>
      <c r="B2142" s="6" t="s">
        <v>285</v>
      </c>
      <c r="C2142" s="48"/>
      <c r="D2142" s="48"/>
      <c r="E2142" s="48"/>
      <c r="F2142" s="60"/>
      <c r="G2142" s="60"/>
      <c r="H2142" s="60"/>
      <c r="I2142" s="60"/>
      <c r="J2142" s="60"/>
    </row>
    <row r="2143" spans="1:10" x14ac:dyDescent="0.2">
      <c r="A2143" s="48"/>
      <c r="B2143" s="6" t="s">
        <v>286</v>
      </c>
      <c r="C2143" s="48"/>
      <c r="D2143" s="48"/>
      <c r="E2143" s="48"/>
      <c r="F2143" s="60"/>
      <c r="G2143" s="60"/>
      <c r="H2143" s="60"/>
      <c r="I2143" s="60"/>
      <c r="J2143" s="60"/>
    </row>
    <row r="2144" spans="1:10" x14ac:dyDescent="0.2">
      <c r="A2144" s="47"/>
      <c r="B2144" s="5" t="s">
        <v>287</v>
      </c>
      <c r="C2144" s="47"/>
      <c r="D2144" s="47"/>
      <c r="E2144" s="47"/>
      <c r="F2144" s="59"/>
      <c r="G2144" s="59"/>
      <c r="H2144" s="59"/>
      <c r="I2144" s="59"/>
      <c r="J2144" s="59"/>
    </row>
    <row r="2145" spans="1:10" ht="28.5" x14ac:dyDescent="0.2">
      <c r="A2145" s="3" t="s">
        <v>2629</v>
      </c>
      <c r="B2145" s="3" t="s">
        <v>302</v>
      </c>
      <c r="C2145" s="3" t="s">
        <v>8</v>
      </c>
      <c r="D2145" s="3" t="s">
        <v>2631</v>
      </c>
      <c r="E2145" s="3"/>
      <c r="F2145" s="1" t="s">
        <v>303</v>
      </c>
      <c r="G2145" s="1">
        <v>0</v>
      </c>
      <c r="H2145" s="1">
        <v>0.83612735999999999</v>
      </c>
      <c r="I2145" s="1">
        <v>1</v>
      </c>
      <c r="J2145" s="1">
        <v>0</v>
      </c>
    </row>
    <row r="2146" spans="1:10" ht="28.5" x14ac:dyDescent="0.2">
      <c r="A2146" s="3" t="s">
        <v>986</v>
      </c>
      <c r="B2146" s="3" t="s">
        <v>321</v>
      </c>
      <c r="C2146" s="3" t="s">
        <v>8</v>
      </c>
      <c r="D2146" s="3" t="s">
        <v>2844</v>
      </c>
      <c r="E2146" s="3" t="s">
        <v>988</v>
      </c>
      <c r="F2146" s="1" t="s">
        <v>322</v>
      </c>
      <c r="G2146" s="1">
        <v>0</v>
      </c>
      <c r="H2146" s="1">
        <v>0.76455490000000004</v>
      </c>
      <c r="I2146" s="1">
        <v>1</v>
      </c>
      <c r="J2146" s="1">
        <v>0</v>
      </c>
    </row>
    <row r="2147" spans="1:10" x14ac:dyDescent="0.2">
      <c r="A2147" s="46" t="s">
        <v>2845</v>
      </c>
      <c r="B2147" s="4" t="s">
        <v>277</v>
      </c>
      <c r="C2147" s="46" t="s">
        <v>8</v>
      </c>
      <c r="D2147" s="46" t="s">
        <v>2846</v>
      </c>
      <c r="E2147" s="46"/>
      <c r="F2147" s="58" t="s">
        <v>290</v>
      </c>
      <c r="G2147" s="58">
        <v>0</v>
      </c>
      <c r="H2147" s="58">
        <v>0.91439919999999997</v>
      </c>
      <c r="I2147" s="58">
        <v>1</v>
      </c>
      <c r="J2147" s="58">
        <v>0</v>
      </c>
    </row>
    <row r="2148" spans="1:10" x14ac:dyDescent="0.2">
      <c r="A2148" s="48"/>
      <c r="B2148" s="6" t="s">
        <v>280</v>
      </c>
      <c r="C2148" s="48"/>
      <c r="D2148" s="48"/>
      <c r="E2148" s="48"/>
      <c r="F2148" s="60"/>
      <c r="G2148" s="60"/>
      <c r="H2148" s="60"/>
      <c r="I2148" s="60"/>
      <c r="J2148" s="60"/>
    </row>
    <row r="2149" spans="1:10" x14ac:dyDescent="0.2">
      <c r="A2149" s="48"/>
      <c r="B2149" s="6" t="s">
        <v>284</v>
      </c>
      <c r="C2149" s="48"/>
      <c r="D2149" s="48"/>
      <c r="E2149" s="48"/>
      <c r="F2149" s="60"/>
      <c r="G2149" s="60"/>
      <c r="H2149" s="60"/>
      <c r="I2149" s="60"/>
      <c r="J2149" s="60"/>
    </row>
    <row r="2150" spans="1:10" x14ac:dyDescent="0.2">
      <c r="A2150" s="47"/>
      <c r="B2150" s="5" t="s">
        <v>287</v>
      </c>
      <c r="C2150" s="47"/>
      <c r="D2150" s="47"/>
      <c r="E2150" s="47"/>
      <c r="F2150" s="59"/>
      <c r="G2150" s="59"/>
      <c r="H2150" s="59"/>
      <c r="I2150" s="59"/>
      <c r="J2150" s="59"/>
    </row>
    <row r="2151" spans="1:10" x14ac:dyDescent="0.2">
      <c r="A2151" s="46" t="s">
        <v>2847</v>
      </c>
      <c r="B2151" s="4" t="s">
        <v>277</v>
      </c>
      <c r="C2151" s="46" t="s">
        <v>8</v>
      </c>
      <c r="D2151" s="46" t="s">
        <v>2848</v>
      </c>
      <c r="E2151" s="46"/>
      <c r="F2151" s="58" t="s">
        <v>290</v>
      </c>
      <c r="G2151" s="58">
        <v>0</v>
      </c>
      <c r="H2151" s="58">
        <v>36</v>
      </c>
      <c r="I2151" s="58">
        <v>39.370113000000003</v>
      </c>
      <c r="J2151" s="58">
        <v>0</v>
      </c>
    </row>
    <row r="2152" spans="1:10" x14ac:dyDescent="0.2">
      <c r="A2152" s="48"/>
      <c r="B2152" s="6" t="s">
        <v>280</v>
      </c>
      <c r="C2152" s="48"/>
      <c r="D2152" s="48"/>
      <c r="E2152" s="48"/>
      <c r="F2152" s="60"/>
      <c r="G2152" s="60"/>
      <c r="H2152" s="60"/>
      <c r="I2152" s="60"/>
      <c r="J2152" s="60"/>
    </row>
    <row r="2153" spans="1:10" x14ac:dyDescent="0.2">
      <c r="A2153" s="48"/>
      <c r="B2153" s="6" t="s">
        <v>284</v>
      </c>
      <c r="C2153" s="48"/>
      <c r="D2153" s="48"/>
      <c r="E2153" s="48"/>
      <c r="F2153" s="60"/>
      <c r="G2153" s="60"/>
      <c r="H2153" s="60"/>
      <c r="I2153" s="60"/>
      <c r="J2153" s="60"/>
    </row>
    <row r="2154" spans="1:10" x14ac:dyDescent="0.2">
      <c r="A2154" s="47"/>
      <c r="B2154" s="5" t="s">
        <v>287</v>
      </c>
      <c r="C2154" s="47"/>
      <c r="D2154" s="47"/>
      <c r="E2154" s="47"/>
      <c r="F2154" s="59"/>
      <c r="G2154" s="59"/>
      <c r="H2154" s="59"/>
      <c r="I2154" s="59"/>
      <c r="J2154" s="59"/>
    </row>
    <row r="2155" spans="1:10" x14ac:dyDescent="0.2">
      <c r="A2155" s="46" t="s">
        <v>2849</v>
      </c>
      <c r="B2155" s="4" t="s">
        <v>277</v>
      </c>
      <c r="C2155" s="46" t="s">
        <v>8</v>
      </c>
      <c r="D2155" s="46" t="s">
        <v>2850</v>
      </c>
      <c r="E2155" s="46"/>
      <c r="F2155" s="58" t="s">
        <v>290</v>
      </c>
      <c r="G2155" s="58">
        <v>0</v>
      </c>
      <c r="H2155" s="58">
        <v>0.91439179500000001</v>
      </c>
      <c r="I2155" s="58">
        <v>1</v>
      </c>
      <c r="J2155" s="58">
        <v>0</v>
      </c>
    </row>
    <row r="2156" spans="1:10" x14ac:dyDescent="0.2">
      <c r="A2156" s="48"/>
      <c r="B2156" s="6" t="s">
        <v>280</v>
      </c>
      <c r="C2156" s="48"/>
      <c r="D2156" s="48"/>
      <c r="E2156" s="48"/>
      <c r="F2156" s="60"/>
      <c r="G2156" s="60"/>
      <c r="H2156" s="60"/>
      <c r="I2156" s="60"/>
      <c r="J2156" s="60"/>
    </row>
    <row r="2157" spans="1:10" x14ac:dyDescent="0.2">
      <c r="A2157" s="48"/>
      <c r="B2157" s="6" t="s">
        <v>284</v>
      </c>
      <c r="C2157" s="48"/>
      <c r="D2157" s="48"/>
      <c r="E2157" s="48"/>
      <c r="F2157" s="60"/>
      <c r="G2157" s="60"/>
      <c r="H2157" s="60"/>
      <c r="I2157" s="60"/>
      <c r="J2157" s="60"/>
    </row>
    <row r="2158" spans="1:10" x14ac:dyDescent="0.2">
      <c r="A2158" s="47"/>
      <c r="B2158" s="5" t="s">
        <v>287</v>
      </c>
      <c r="C2158" s="47"/>
      <c r="D2158" s="47"/>
      <c r="E2158" s="47"/>
      <c r="F2158" s="59"/>
      <c r="G2158" s="59"/>
      <c r="H2158" s="59"/>
      <c r="I2158" s="59"/>
      <c r="J2158" s="59"/>
    </row>
    <row r="2159" spans="1:10" x14ac:dyDescent="0.2">
      <c r="A2159" s="46" t="s">
        <v>2851</v>
      </c>
      <c r="B2159" s="4" t="s">
        <v>277</v>
      </c>
      <c r="C2159" s="46" t="s">
        <v>8</v>
      </c>
      <c r="D2159" s="46" t="s">
        <v>2852</v>
      </c>
      <c r="E2159" s="46"/>
      <c r="F2159" s="58" t="s">
        <v>290</v>
      </c>
      <c r="G2159" s="58">
        <v>0</v>
      </c>
      <c r="H2159" s="58">
        <v>0.91439179500000001</v>
      </c>
      <c r="I2159" s="58">
        <v>1</v>
      </c>
      <c r="J2159" s="58">
        <v>0</v>
      </c>
    </row>
    <row r="2160" spans="1:10" x14ac:dyDescent="0.2">
      <c r="A2160" s="48"/>
      <c r="B2160" s="6" t="s">
        <v>280</v>
      </c>
      <c r="C2160" s="48"/>
      <c r="D2160" s="48"/>
      <c r="E2160" s="48"/>
      <c r="F2160" s="60"/>
      <c r="G2160" s="60"/>
      <c r="H2160" s="60"/>
      <c r="I2160" s="60"/>
      <c r="J2160" s="60"/>
    </row>
    <row r="2161" spans="1:10" x14ac:dyDescent="0.2">
      <c r="A2161" s="48"/>
      <c r="B2161" s="6" t="s">
        <v>284</v>
      </c>
      <c r="C2161" s="48"/>
      <c r="D2161" s="48"/>
      <c r="E2161" s="48"/>
      <c r="F2161" s="60"/>
      <c r="G2161" s="60"/>
      <c r="H2161" s="60"/>
      <c r="I2161" s="60"/>
      <c r="J2161" s="60"/>
    </row>
    <row r="2162" spans="1:10" x14ac:dyDescent="0.2">
      <c r="A2162" s="47"/>
      <c r="B2162" s="5" t="s">
        <v>287</v>
      </c>
      <c r="C2162" s="47"/>
      <c r="D2162" s="47"/>
      <c r="E2162" s="47"/>
      <c r="F2162" s="59"/>
      <c r="G2162" s="59"/>
      <c r="H2162" s="59"/>
      <c r="I2162" s="59"/>
      <c r="J2162" s="59"/>
    </row>
    <row r="2163" spans="1:10" x14ac:dyDescent="0.2">
      <c r="A2163" s="46" t="s">
        <v>2853</v>
      </c>
      <c r="B2163" s="4" t="s">
        <v>277</v>
      </c>
      <c r="C2163" s="46" t="s">
        <v>8</v>
      </c>
      <c r="D2163" s="46" t="s">
        <v>2854</v>
      </c>
      <c r="E2163" s="46"/>
      <c r="F2163" s="58" t="s">
        <v>290</v>
      </c>
      <c r="G2163" s="58">
        <v>0</v>
      </c>
      <c r="H2163" s="58">
        <v>36</v>
      </c>
      <c r="I2163" s="58">
        <v>39.370142000000001</v>
      </c>
      <c r="J2163" s="58">
        <v>0</v>
      </c>
    </row>
    <row r="2164" spans="1:10" x14ac:dyDescent="0.2">
      <c r="A2164" s="48"/>
      <c r="B2164" s="6" t="s">
        <v>280</v>
      </c>
      <c r="C2164" s="48"/>
      <c r="D2164" s="48"/>
      <c r="E2164" s="48"/>
      <c r="F2164" s="60"/>
      <c r="G2164" s="60"/>
      <c r="H2164" s="60"/>
      <c r="I2164" s="60"/>
      <c r="J2164" s="60"/>
    </row>
    <row r="2165" spans="1:10" x14ac:dyDescent="0.2">
      <c r="A2165" s="48"/>
      <c r="B2165" s="6" t="s">
        <v>284</v>
      </c>
      <c r="C2165" s="48"/>
      <c r="D2165" s="48"/>
      <c r="E2165" s="48"/>
      <c r="F2165" s="60"/>
      <c r="G2165" s="60"/>
      <c r="H2165" s="60"/>
      <c r="I2165" s="60"/>
      <c r="J2165" s="60"/>
    </row>
    <row r="2166" spans="1:10" x14ac:dyDescent="0.2">
      <c r="A2166" s="47"/>
      <c r="B2166" s="5" t="s">
        <v>287</v>
      </c>
      <c r="C2166" s="47"/>
      <c r="D2166" s="47"/>
      <c r="E2166" s="47"/>
      <c r="F2166" s="59"/>
      <c r="G2166" s="59"/>
      <c r="H2166" s="59"/>
      <c r="I2166" s="59"/>
      <c r="J2166" s="59"/>
    </row>
    <row r="2167" spans="1:10" x14ac:dyDescent="0.2">
      <c r="A2167" s="46" t="s">
        <v>2855</v>
      </c>
      <c r="B2167" s="4" t="s">
        <v>277</v>
      </c>
      <c r="C2167" s="46" t="s">
        <v>8</v>
      </c>
      <c r="D2167" s="46" t="s">
        <v>2856</v>
      </c>
      <c r="E2167" s="46"/>
      <c r="F2167" s="58" t="s">
        <v>290</v>
      </c>
      <c r="G2167" s="58">
        <v>0</v>
      </c>
      <c r="H2167" s="58">
        <v>0.91439523</v>
      </c>
      <c r="I2167" s="58">
        <v>1</v>
      </c>
      <c r="J2167" s="58">
        <v>0</v>
      </c>
    </row>
    <row r="2168" spans="1:10" x14ac:dyDescent="0.2">
      <c r="A2168" s="48"/>
      <c r="B2168" s="6" t="s">
        <v>280</v>
      </c>
      <c r="C2168" s="48"/>
      <c r="D2168" s="48"/>
      <c r="E2168" s="48"/>
      <c r="F2168" s="60"/>
      <c r="G2168" s="60"/>
      <c r="H2168" s="60"/>
      <c r="I2168" s="60"/>
      <c r="J2168" s="60"/>
    </row>
    <row r="2169" spans="1:10" x14ac:dyDescent="0.2">
      <c r="A2169" s="48"/>
      <c r="B2169" s="6" t="s">
        <v>284</v>
      </c>
      <c r="C2169" s="48"/>
      <c r="D2169" s="48"/>
      <c r="E2169" s="48"/>
      <c r="F2169" s="60"/>
      <c r="G2169" s="60"/>
      <c r="H2169" s="60"/>
      <c r="I2169" s="60"/>
      <c r="J2169" s="60"/>
    </row>
    <row r="2170" spans="1:10" x14ac:dyDescent="0.2">
      <c r="A2170" s="47"/>
      <c r="B2170" s="5" t="s">
        <v>287</v>
      </c>
      <c r="C2170" s="47"/>
      <c r="D2170" s="47"/>
      <c r="E2170" s="47"/>
      <c r="F2170" s="59"/>
      <c r="G2170" s="59"/>
      <c r="H2170" s="59"/>
      <c r="I2170" s="59"/>
      <c r="J2170" s="59"/>
    </row>
    <row r="2171" spans="1:10" x14ac:dyDescent="0.2">
      <c r="A2171" s="46" t="s">
        <v>2857</v>
      </c>
      <c r="B2171" s="4" t="s">
        <v>277</v>
      </c>
      <c r="C2171" s="46" t="s">
        <v>8</v>
      </c>
      <c r="D2171" s="46" t="s">
        <v>2858</v>
      </c>
      <c r="E2171" s="46"/>
      <c r="F2171" s="58" t="s">
        <v>290</v>
      </c>
      <c r="G2171" s="58">
        <v>0</v>
      </c>
      <c r="H2171" s="58">
        <v>0.91439879999999996</v>
      </c>
      <c r="I2171" s="58">
        <v>1</v>
      </c>
      <c r="J2171" s="58">
        <v>0</v>
      </c>
    </row>
    <row r="2172" spans="1:10" x14ac:dyDescent="0.2">
      <c r="A2172" s="48"/>
      <c r="B2172" s="6" t="s">
        <v>280</v>
      </c>
      <c r="C2172" s="48"/>
      <c r="D2172" s="48"/>
      <c r="E2172" s="48"/>
      <c r="F2172" s="60"/>
      <c r="G2172" s="60"/>
      <c r="H2172" s="60"/>
      <c r="I2172" s="60"/>
      <c r="J2172" s="60"/>
    </row>
    <row r="2173" spans="1:10" x14ac:dyDescent="0.2">
      <c r="A2173" s="48"/>
      <c r="B2173" s="6" t="s">
        <v>284</v>
      </c>
      <c r="C2173" s="48"/>
      <c r="D2173" s="48"/>
      <c r="E2173" s="48"/>
      <c r="F2173" s="60"/>
      <c r="G2173" s="60"/>
      <c r="H2173" s="60"/>
      <c r="I2173" s="60"/>
      <c r="J2173" s="60"/>
    </row>
    <row r="2174" spans="1:10" x14ac:dyDescent="0.2">
      <c r="A2174" s="47"/>
      <c r="B2174" s="5" t="s">
        <v>287</v>
      </c>
      <c r="C2174" s="47"/>
      <c r="D2174" s="47"/>
      <c r="E2174" s="47"/>
      <c r="F2174" s="59"/>
      <c r="G2174" s="59"/>
      <c r="H2174" s="59"/>
      <c r="I2174" s="59"/>
      <c r="J2174" s="59"/>
    </row>
    <row r="2175" spans="1:10" x14ac:dyDescent="0.2">
      <c r="A2175" s="46" t="s">
        <v>2859</v>
      </c>
      <c r="B2175" s="4" t="s">
        <v>277</v>
      </c>
      <c r="C2175" s="46" t="s">
        <v>8</v>
      </c>
      <c r="D2175" s="46" t="s">
        <v>2860</v>
      </c>
      <c r="E2175" s="46"/>
      <c r="F2175" s="58" t="s">
        <v>290</v>
      </c>
      <c r="G2175" s="58">
        <v>0</v>
      </c>
      <c r="H2175" s="58">
        <v>0.9143985</v>
      </c>
      <c r="I2175" s="58">
        <v>1</v>
      </c>
      <c r="J2175" s="58">
        <v>0</v>
      </c>
    </row>
    <row r="2176" spans="1:10" x14ac:dyDescent="0.2">
      <c r="A2176" s="48"/>
      <c r="B2176" s="6" t="s">
        <v>280</v>
      </c>
      <c r="C2176" s="48"/>
      <c r="D2176" s="48"/>
      <c r="E2176" s="48"/>
      <c r="F2176" s="60"/>
      <c r="G2176" s="60"/>
      <c r="H2176" s="60"/>
      <c r="I2176" s="60"/>
      <c r="J2176" s="60"/>
    </row>
    <row r="2177" spans="1:10" x14ac:dyDescent="0.2">
      <c r="A2177" s="48"/>
      <c r="B2177" s="6" t="s">
        <v>284</v>
      </c>
      <c r="C2177" s="48"/>
      <c r="D2177" s="48"/>
      <c r="E2177" s="48"/>
      <c r="F2177" s="60"/>
      <c r="G2177" s="60"/>
      <c r="H2177" s="60"/>
      <c r="I2177" s="60"/>
      <c r="J2177" s="60"/>
    </row>
    <row r="2178" spans="1:10" x14ac:dyDescent="0.2">
      <c r="A2178" s="47"/>
      <c r="B2178" s="5" t="s">
        <v>287</v>
      </c>
      <c r="C2178" s="47"/>
      <c r="D2178" s="47"/>
      <c r="E2178" s="47"/>
      <c r="F2178" s="59"/>
      <c r="G2178" s="59"/>
      <c r="H2178" s="59"/>
      <c r="I2178" s="59"/>
      <c r="J2178" s="59"/>
    </row>
    <row r="2179" spans="1:10" x14ac:dyDescent="0.2">
      <c r="A2179" s="46" t="s">
        <v>2861</v>
      </c>
      <c r="B2179" s="4" t="s">
        <v>277</v>
      </c>
      <c r="C2179" s="46" t="s">
        <v>8</v>
      </c>
      <c r="D2179" s="46" t="s">
        <v>2862</v>
      </c>
      <c r="E2179" s="46"/>
      <c r="F2179" s="58" t="s">
        <v>290</v>
      </c>
      <c r="G2179" s="58">
        <v>0</v>
      </c>
      <c r="H2179" s="58">
        <v>36</v>
      </c>
      <c r="I2179" s="58">
        <v>39.370147000000003</v>
      </c>
      <c r="J2179" s="58">
        <v>0</v>
      </c>
    </row>
    <row r="2180" spans="1:10" x14ac:dyDescent="0.2">
      <c r="A2180" s="48"/>
      <c r="B2180" s="6" t="s">
        <v>280</v>
      </c>
      <c r="C2180" s="48"/>
      <c r="D2180" s="48"/>
      <c r="E2180" s="48"/>
      <c r="F2180" s="60"/>
      <c r="G2180" s="60"/>
      <c r="H2180" s="60"/>
      <c r="I2180" s="60"/>
      <c r="J2180" s="60"/>
    </row>
    <row r="2181" spans="1:10" x14ac:dyDescent="0.2">
      <c r="A2181" s="48"/>
      <c r="B2181" s="6" t="s">
        <v>284</v>
      </c>
      <c r="C2181" s="48"/>
      <c r="D2181" s="48"/>
      <c r="E2181" s="48"/>
      <c r="F2181" s="60"/>
      <c r="G2181" s="60"/>
      <c r="H2181" s="60"/>
      <c r="I2181" s="60"/>
      <c r="J2181" s="60"/>
    </row>
    <row r="2182" spans="1:10" x14ac:dyDescent="0.2">
      <c r="A2182" s="47"/>
      <c r="B2182" s="5" t="s">
        <v>287</v>
      </c>
      <c r="C2182" s="47"/>
      <c r="D2182" s="47"/>
      <c r="E2182" s="47"/>
      <c r="F2182" s="59"/>
      <c r="G2182" s="59"/>
      <c r="H2182" s="59"/>
      <c r="I2182" s="59"/>
      <c r="J2182" s="59"/>
    </row>
    <row r="2183" spans="1:10" x14ac:dyDescent="0.2">
      <c r="A2183" s="46" t="s">
        <v>680</v>
      </c>
      <c r="B2183" s="46" t="s">
        <v>469</v>
      </c>
      <c r="C2183" s="46" t="s">
        <v>8</v>
      </c>
      <c r="D2183" s="4" t="s">
        <v>2863</v>
      </c>
      <c r="E2183" s="46"/>
      <c r="F2183" s="58" t="s">
        <v>470</v>
      </c>
      <c r="G2183" s="58">
        <v>0</v>
      </c>
      <c r="H2183" s="58">
        <v>3155815000000</v>
      </c>
      <c r="I2183" s="58">
        <v>1</v>
      </c>
      <c r="J2183" s="58">
        <v>0</v>
      </c>
    </row>
    <row r="2184" spans="1:10" ht="28.5" x14ac:dyDescent="0.2">
      <c r="A2184" s="47"/>
      <c r="B2184" s="47"/>
      <c r="C2184" s="47"/>
      <c r="D2184" s="5" t="s">
        <v>763</v>
      </c>
      <c r="E2184" s="47"/>
      <c r="F2184" s="59"/>
      <c r="G2184" s="59"/>
      <c r="H2184" s="59"/>
      <c r="I2184" s="59"/>
      <c r="J2184" s="59"/>
    </row>
  </sheetData>
  <mergeCells count="4024">
    <mergeCell ref="H2183:H2184"/>
    <mergeCell ref="I2183:I2184"/>
    <mergeCell ref="J2183:J2184"/>
    <mergeCell ref="A2183:A2184"/>
    <mergeCell ref="B2183:B2184"/>
    <mergeCell ref="C2183:C2184"/>
    <mergeCell ref="E2183:E2184"/>
    <mergeCell ref="F2183:F2184"/>
    <mergeCell ref="G2183:G2184"/>
    <mergeCell ref="J2175:J2178"/>
    <mergeCell ref="A2179:A2182"/>
    <mergeCell ref="C2179:C2182"/>
    <mergeCell ref="D2179:D2182"/>
    <mergeCell ref="E2179:E2182"/>
    <mergeCell ref="F2179:F2182"/>
    <mergeCell ref="G2179:G2182"/>
    <mergeCell ref="H2179:H2182"/>
    <mergeCell ref="I2179:I2182"/>
    <mergeCell ref="J2179:J2182"/>
    <mergeCell ref="I2171:I2174"/>
    <mergeCell ref="J2171:J2174"/>
    <mergeCell ref="A2175:A2178"/>
    <mergeCell ref="C2175:C2178"/>
    <mergeCell ref="D2175:D2178"/>
    <mergeCell ref="E2175:E2178"/>
    <mergeCell ref="F2175:F2178"/>
    <mergeCell ref="G2175:G2178"/>
    <mergeCell ref="H2175:H2178"/>
    <mergeCell ref="I2175:I2178"/>
    <mergeCell ref="H2167:H2170"/>
    <mergeCell ref="I2167:I2170"/>
    <mergeCell ref="J2167:J2170"/>
    <mergeCell ref="A2171:A2174"/>
    <mergeCell ref="C2171:C2174"/>
    <mergeCell ref="D2171:D2174"/>
    <mergeCell ref="E2171:E2174"/>
    <mergeCell ref="F2171:F2174"/>
    <mergeCell ref="G2171:G2174"/>
    <mergeCell ref="H2171:H2174"/>
    <mergeCell ref="A2167:A2170"/>
    <mergeCell ref="C2167:C2170"/>
    <mergeCell ref="D2167:D2170"/>
    <mergeCell ref="E2167:E2170"/>
    <mergeCell ref="F2167:F2170"/>
    <mergeCell ref="G2167:G2170"/>
    <mergeCell ref="J2159:J2162"/>
    <mergeCell ref="A2163:A2166"/>
    <mergeCell ref="C2163:C2166"/>
    <mergeCell ref="D2163:D2166"/>
    <mergeCell ref="E2163:E2166"/>
    <mergeCell ref="F2163:F2166"/>
    <mergeCell ref="G2163:G2166"/>
    <mergeCell ref="H2163:H2166"/>
    <mergeCell ref="I2163:I2166"/>
    <mergeCell ref="J2163:J2166"/>
    <mergeCell ref="I2155:I2158"/>
    <mergeCell ref="J2155:J2158"/>
    <mergeCell ref="A2159:A2162"/>
    <mergeCell ref="C2159:C2162"/>
    <mergeCell ref="D2159:D2162"/>
    <mergeCell ref="E2159:E2162"/>
    <mergeCell ref="F2159:F2162"/>
    <mergeCell ref="G2159:G2162"/>
    <mergeCell ref="H2159:H2162"/>
    <mergeCell ref="I2159:I2162"/>
    <mergeCell ref="H2151:H2154"/>
    <mergeCell ref="I2151:I2154"/>
    <mergeCell ref="J2151:J2154"/>
    <mergeCell ref="A2155:A2158"/>
    <mergeCell ref="C2155:C2158"/>
    <mergeCell ref="D2155:D2158"/>
    <mergeCell ref="E2155:E2158"/>
    <mergeCell ref="F2155:F2158"/>
    <mergeCell ref="G2155:G2158"/>
    <mergeCell ref="H2155:H2158"/>
    <mergeCell ref="A2151:A2154"/>
    <mergeCell ref="C2151:C2154"/>
    <mergeCell ref="D2151:D2154"/>
    <mergeCell ref="E2151:E2154"/>
    <mergeCell ref="F2151:F2154"/>
    <mergeCell ref="G2151:G2154"/>
    <mergeCell ref="J2135:J2144"/>
    <mergeCell ref="A2147:A2150"/>
    <mergeCell ref="C2147:C2150"/>
    <mergeCell ref="D2147:D2150"/>
    <mergeCell ref="E2147:E2150"/>
    <mergeCell ref="F2147:F2150"/>
    <mergeCell ref="G2147:G2150"/>
    <mergeCell ref="H2147:H2150"/>
    <mergeCell ref="I2147:I2150"/>
    <mergeCell ref="J2147:J2150"/>
    <mergeCell ref="I2133:I2134"/>
    <mergeCell ref="J2133:J2134"/>
    <mergeCell ref="A2135:A2144"/>
    <mergeCell ref="C2135:C2144"/>
    <mergeCell ref="D2135:D2144"/>
    <mergeCell ref="E2135:E2144"/>
    <mergeCell ref="F2135:F2144"/>
    <mergeCell ref="G2135:G2144"/>
    <mergeCell ref="H2135:H2144"/>
    <mergeCell ref="I2135:I2144"/>
    <mergeCell ref="H2131:H2132"/>
    <mergeCell ref="I2131:I2132"/>
    <mergeCell ref="J2131:J2132"/>
    <mergeCell ref="A2133:A2134"/>
    <mergeCell ref="B2133:B2134"/>
    <mergeCell ref="C2133:C2134"/>
    <mergeCell ref="E2133:E2134"/>
    <mergeCell ref="F2133:F2134"/>
    <mergeCell ref="G2133:G2134"/>
    <mergeCell ref="H2133:H2134"/>
    <mergeCell ref="A2131:A2132"/>
    <mergeCell ref="B2131:B2132"/>
    <mergeCell ref="C2131:C2132"/>
    <mergeCell ref="E2131:E2132"/>
    <mergeCell ref="F2131:F2132"/>
    <mergeCell ref="G2131:G2132"/>
    <mergeCell ref="J2111:J2118"/>
    <mergeCell ref="A2120:A2127"/>
    <mergeCell ref="C2120:C2127"/>
    <mergeCell ref="D2120:D2127"/>
    <mergeCell ref="E2120:E2127"/>
    <mergeCell ref="F2120:F2127"/>
    <mergeCell ref="G2120:G2127"/>
    <mergeCell ref="H2120:H2127"/>
    <mergeCell ref="I2120:I2127"/>
    <mergeCell ref="J2120:J2127"/>
    <mergeCell ref="I2109:I2110"/>
    <mergeCell ref="J2109:J2110"/>
    <mergeCell ref="A2111:A2118"/>
    <mergeCell ref="C2111:C2118"/>
    <mergeCell ref="D2111:D2118"/>
    <mergeCell ref="E2111:E2118"/>
    <mergeCell ref="F2111:F2118"/>
    <mergeCell ref="G2111:G2118"/>
    <mergeCell ref="H2111:H2118"/>
    <mergeCell ref="I2111:I2118"/>
    <mergeCell ref="H2107:H2108"/>
    <mergeCell ref="I2107:I2108"/>
    <mergeCell ref="J2107:J2108"/>
    <mergeCell ref="A2109:A2110"/>
    <mergeCell ref="B2109:B2110"/>
    <mergeCell ref="C2109:C2110"/>
    <mergeCell ref="E2109:E2110"/>
    <mergeCell ref="F2109:F2110"/>
    <mergeCell ref="G2109:G2110"/>
    <mergeCell ref="H2109:H2110"/>
    <mergeCell ref="A2107:A2108"/>
    <mergeCell ref="B2107:B2108"/>
    <mergeCell ref="C2107:C2108"/>
    <mergeCell ref="E2107:E2108"/>
    <mergeCell ref="F2107:F2108"/>
    <mergeCell ref="G2107:G2108"/>
    <mergeCell ref="J2097:J2098"/>
    <mergeCell ref="A2102:A2103"/>
    <mergeCell ref="C2102:C2103"/>
    <mergeCell ref="D2102:D2103"/>
    <mergeCell ref="E2102:E2103"/>
    <mergeCell ref="F2102:F2103"/>
    <mergeCell ref="G2102:G2103"/>
    <mergeCell ref="H2102:H2103"/>
    <mergeCell ref="I2102:I2103"/>
    <mergeCell ref="J2102:J2103"/>
    <mergeCell ref="I2095:I2096"/>
    <mergeCell ref="J2095:J2096"/>
    <mergeCell ref="A2097:A2098"/>
    <mergeCell ref="C2097:C2098"/>
    <mergeCell ref="D2097:D2098"/>
    <mergeCell ref="E2097:E2098"/>
    <mergeCell ref="F2097:F2098"/>
    <mergeCell ref="G2097:G2098"/>
    <mergeCell ref="H2097:H2098"/>
    <mergeCell ref="I2097:I2098"/>
    <mergeCell ref="H2093:H2094"/>
    <mergeCell ref="I2093:I2094"/>
    <mergeCell ref="J2093:J2094"/>
    <mergeCell ref="A2095:A2096"/>
    <mergeCell ref="C2095:C2096"/>
    <mergeCell ref="D2095:D2096"/>
    <mergeCell ref="E2095:E2096"/>
    <mergeCell ref="F2095:F2096"/>
    <mergeCell ref="G2095:G2096"/>
    <mergeCell ref="H2095:H2096"/>
    <mergeCell ref="A2093:A2094"/>
    <mergeCell ref="C2093:C2094"/>
    <mergeCell ref="D2093:D2094"/>
    <mergeCell ref="E2093:E2094"/>
    <mergeCell ref="F2093:F2094"/>
    <mergeCell ref="G2093:G2094"/>
    <mergeCell ref="J2086:J2087"/>
    <mergeCell ref="A2089:A2091"/>
    <mergeCell ref="C2089:C2091"/>
    <mergeCell ref="D2089:D2091"/>
    <mergeCell ref="E2089:E2091"/>
    <mergeCell ref="F2089:F2091"/>
    <mergeCell ref="G2089:G2091"/>
    <mergeCell ref="H2089:H2091"/>
    <mergeCell ref="I2089:I2091"/>
    <mergeCell ref="J2089:J2091"/>
    <mergeCell ref="I2084:I2085"/>
    <mergeCell ref="J2084:J2085"/>
    <mergeCell ref="A2086:A2087"/>
    <mergeCell ref="C2086:C2087"/>
    <mergeCell ref="D2086:D2087"/>
    <mergeCell ref="E2086:E2087"/>
    <mergeCell ref="F2086:F2087"/>
    <mergeCell ref="G2086:G2087"/>
    <mergeCell ref="H2086:H2087"/>
    <mergeCell ref="I2086:I2087"/>
    <mergeCell ref="H2080:H2081"/>
    <mergeCell ref="I2080:I2081"/>
    <mergeCell ref="J2080:J2081"/>
    <mergeCell ref="A2084:A2085"/>
    <mergeCell ref="C2084:C2085"/>
    <mergeCell ref="D2084:D2085"/>
    <mergeCell ref="E2084:E2085"/>
    <mergeCell ref="F2084:F2085"/>
    <mergeCell ref="G2084:G2085"/>
    <mergeCell ref="H2084:H2085"/>
    <mergeCell ref="A2080:A2081"/>
    <mergeCell ref="C2080:C2081"/>
    <mergeCell ref="D2080:D2081"/>
    <mergeCell ref="E2080:E2081"/>
    <mergeCell ref="F2080:F2081"/>
    <mergeCell ref="G2080:G2081"/>
    <mergeCell ref="J2074:J2075"/>
    <mergeCell ref="A2078:A2079"/>
    <mergeCell ref="B2078:B2079"/>
    <mergeCell ref="C2078:C2079"/>
    <mergeCell ref="E2078:E2079"/>
    <mergeCell ref="F2078:F2079"/>
    <mergeCell ref="G2078:G2079"/>
    <mergeCell ref="H2078:H2079"/>
    <mergeCell ref="I2078:I2079"/>
    <mergeCell ref="J2078:J2079"/>
    <mergeCell ref="I2061:I2070"/>
    <mergeCell ref="J2061:J2070"/>
    <mergeCell ref="A2074:A2075"/>
    <mergeCell ref="C2074:C2075"/>
    <mergeCell ref="D2074:D2075"/>
    <mergeCell ref="E2074:E2075"/>
    <mergeCell ref="F2074:F2075"/>
    <mergeCell ref="G2074:G2075"/>
    <mergeCell ref="H2074:H2075"/>
    <mergeCell ref="I2074:I2075"/>
    <mergeCell ref="H2059:H2060"/>
    <mergeCell ref="I2059:I2060"/>
    <mergeCell ref="J2059:J2060"/>
    <mergeCell ref="A2061:A2070"/>
    <mergeCell ref="C2061:C2070"/>
    <mergeCell ref="D2061:D2070"/>
    <mergeCell ref="E2061:E2070"/>
    <mergeCell ref="F2061:F2070"/>
    <mergeCell ref="G2061:G2070"/>
    <mergeCell ref="H2061:H2070"/>
    <mergeCell ref="A2059:A2060"/>
    <mergeCell ref="C2059:C2060"/>
    <mergeCell ref="D2059:D2060"/>
    <mergeCell ref="E2059:E2060"/>
    <mergeCell ref="F2059:F2060"/>
    <mergeCell ref="G2059:G2060"/>
    <mergeCell ref="J2052:J2054"/>
    <mergeCell ref="A2055:A2056"/>
    <mergeCell ref="C2055:C2056"/>
    <mergeCell ref="D2055:D2056"/>
    <mergeCell ref="E2055:E2056"/>
    <mergeCell ref="F2055:F2056"/>
    <mergeCell ref="G2055:G2056"/>
    <mergeCell ref="H2055:H2056"/>
    <mergeCell ref="I2055:I2056"/>
    <mergeCell ref="J2055:J2056"/>
    <mergeCell ref="I2047:I2048"/>
    <mergeCell ref="J2047:J2048"/>
    <mergeCell ref="A2052:A2054"/>
    <mergeCell ref="C2052:C2054"/>
    <mergeCell ref="D2052:D2054"/>
    <mergeCell ref="E2052:E2054"/>
    <mergeCell ref="F2052:F2054"/>
    <mergeCell ref="G2052:G2054"/>
    <mergeCell ref="H2052:H2054"/>
    <mergeCell ref="I2052:I2054"/>
    <mergeCell ref="H2045:H2046"/>
    <mergeCell ref="I2045:I2046"/>
    <mergeCell ref="J2045:J2046"/>
    <mergeCell ref="A2047:A2048"/>
    <mergeCell ref="C2047:C2048"/>
    <mergeCell ref="D2047:D2048"/>
    <mergeCell ref="E2047:E2048"/>
    <mergeCell ref="F2047:F2048"/>
    <mergeCell ref="G2047:G2048"/>
    <mergeCell ref="H2047:H2048"/>
    <mergeCell ref="A2045:A2046"/>
    <mergeCell ref="B2045:B2046"/>
    <mergeCell ref="C2045:C2046"/>
    <mergeCell ref="E2045:E2046"/>
    <mergeCell ref="F2045:F2046"/>
    <mergeCell ref="G2045:G2046"/>
    <mergeCell ref="J2033:J2035"/>
    <mergeCell ref="A2036:A2043"/>
    <mergeCell ref="C2036:C2043"/>
    <mergeCell ref="D2036:D2043"/>
    <mergeCell ref="E2036:E2043"/>
    <mergeCell ref="F2036:F2043"/>
    <mergeCell ref="G2036:G2043"/>
    <mergeCell ref="H2036:H2043"/>
    <mergeCell ref="I2036:I2043"/>
    <mergeCell ref="J2036:J2043"/>
    <mergeCell ref="I2031:I2032"/>
    <mergeCell ref="J2031:J2032"/>
    <mergeCell ref="A2033:A2035"/>
    <mergeCell ref="C2033:C2035"/>
    <mergeCell ref="D2033:D2035"/>
    <mergeCell ref="E2033:E2035"/>
    <mergeCell ref="F2033:F2035"/>
    <mergeCell ref="G2033:G2035"/>
    <mergeCell ref="H2033:H2035"/>
    <mergeCell ref="I2033:I2035"/>
    <mergeCell ref="H2026:H2028"/>
    <mergeCell ref="I2026:I2028"/>
    <mergeCell ref="J2026:J2028"/>
    <mergeCell ref="A2031:A2032"/>
    <mergeCell ref="C2031:C2032"/>
    <mergeCell ref="D2031:D2032"/>
    <mergeCell ref="E2031:E2032"/>
    <mergeCell ref="F2031:F2032"/>
    <mergeCell ref="G2031:G2032"/>
    <mergeCell ref="H2031:H2032"/>
    <mergeCell ref="A2026:A2028"/>
    <mergeCell ref="C2026:C2028"/>
    <mergeCell ref="D2026:D2028"/>
    <mergeCell ref="E2026:E2028"/>
    <mergeCell ref="F2026:F2028"/>
    <mergeCell ref="G2026:G2028"/>
    <mergeCell ref="J2022:J2023"/>
    <mergeCell ref="A2024:A2025"/>
    <mergeCell ref="C2024:C2025"/>
    <mergeCell ref="D2024:D2025"/>
    <mergeCell ref="E2024:E2025"/>
    <mergeCell ref="F2024:F2025"/>
    <mergeCell ref="G2024:G2025"/>
    <mergeCell ref="H2024:H2025"/>
    <mergeCell ref="I2024:I2025"/>
    <mergeCell ref="J2024:J2025"/>
    <mergeCell ref="I2020:I2021"/>
    <mergeCell ref="J2020:J2021"/>
    <mergeCell ref="A2022:A2023"/>
    <mergeCell ref="C2022:C2023"/>
    <mergeCell ref="D2022:D2023"/>
    <mergeCell ref="E2022:E2023"/>
    <mergeCell ref="F2022:F2023"/>
    <mergeCell ref="G2022:G2023"/>
    <mergeCell ref="H2022:H2023"/>
    <mergeCell ref="I2022:I2023"/>
    <mergeCell ref="H2016:H2017"/>
    <mergeCell ref="I2016:I2017"/>
    <mergeCell ref="J2016:J2017"/>
    <mergeCell ref="A2020:A2021"/>
    <mergeCell ref="C2020:C2021"/>
    <mergeCell ref="D2020:D2021"/>
    <mergeCell ref="E2020:E2021"/>
    <mergeCell ref="F2020:F2021"/>
    <mergeCell ref="G2020:G2021"/>
    <mergeCell ref="H2020:H2021"/>
    <mergeCell ref="A2016:A2017"/>
    <mergeCell ref="C2016:C2017"/>
    <mergeCell ref="D2016:D2017"/>
    <mergeCell ref="E2016:E2017"/>
    <mergeCell ref="F2016:F2017"/>
    <mergeCell ref="G2016:G2017"/>
    <mergeCell ref="J2004:J2005"/>
    <mergeCell ref="A2006:A2007"/>
    <mergeCell ref="C2006:C2007"/>
    <mergeCell ref="D2006:D2007"/>
    <mergeCell ref="E2006:E2007"/>
    <mergeCell ref="F2006:F2007"/>
    <mergeCell ref="G2006:G2007"/>
    <mergeCell ref="H2006:H2007"/>
    <mergeCell ref="I2006:I2007"/>
    <mergeCell ref="J2006:J2007"/>
    <mergeCell ref="I1993:I2001"/>
    <mergeCell ref="J1993:J2001"/>
    <mergeCell ref="A2004:A2005"/>
    <mergeCell ref="C2004:C2005"/>
    <mergeCell ref="D2004:D2005"/>
    <mergeCell ref="E2004:E2005"/>
    <mergeCell ref="F2004:F2005"/>
    <mergeCell ref="G2004:G2005"/>
    <mergeCell ref="H2004:H2005"/>
    <mergeCell ref="I2004:I2005"/>
    <mergeCell ref="H1990:H1992"/>
    <mergeCell ref="I1990:I1992"/>
    <mergeCell ref="J1990:J1992"/>
    <mergeCell ref="A1993:A2001"/>
    <mergeCell ref="C1993:C2001"/>
    <mergeCell ref="D1993:D2001"/>
    <mergeCell ref="E1993:E2001"/>
    <mergeCell ref="F1993:F2001"/>
    <mergeCell ref="G1993:G2001"/>
    <mergeCell ref="H1993:H2001"/>
    <mergeCell ref="A1990:A1992"/>
    <mergeCell ref="C1990:C1992"/>
    <mergeCell ref="D1990:D1992"/>
    <mergeCell ref="E1990:E1992"/>
    <mergeCell ref="F1990:F1992"/>
    <mergeCell ref="G1990:G1992"/>
    <mergeCell ref="J1978:J1979"/>
    <mergeCell ref="A1986:A1988"/>
    <mergeCell ref="C1986:C1988"/>
    <mergeCell ref="D1986:D1988"/>
    <mergeCell ref="E1986:E1988"/>
    <mergeCell ref="F1986:F1988"/>
    <mergeCell ref="G1986:G1988"/>
    <mergeCell ref="H1986:H1988"/>
    <mergeCell ref="I1986:I1988"/>
    <mergeCell ref="J1986:J1988"/>
    <mergeCell ref="I1975:I1976"/>
    <mergeCell ref="J1975:J1976"/>
    <mergeCell ref="A1978:A1979"/>
    <mergeCell ref="C1978:C1979"/>
    <mergeCell ref="D1978:D1979"/>
    <mergeCell ref="E1978:E1979"/>
    <mergeCell ref="F1978:F1979"/>
    <mergeCell ref="G1978:G1979"/>
    <mergeCell ref="H1978:H1979"/>
    <mergeCell ref="I1978:I1979"/>
    <mergeCell ref="H1965:H1973"/>
    <mergeCell ref="I1965:I1973"/>
    <mergeCell ref="J1965:J1973"/>
    <mergeCell ref="A1975:A1976"/>
    <mergeCell ref="C1975:C1976"/>
    <mergeCell ref="D1975:D1976"/>
    <mergeCell ref="E1975:E1976"/>
    <mergeCell ref="F1975:F1976"/>
    <mergeCell ref="G1975:G1976"/>
    <mergeCell ref="H1975:H1976"/>
    <mergeCell ref="A1965:A1973"/>
    <mergeCell ref="C1965:C1973"/>
    <mergeCell ref="D1965:D1973"/>
    <mergeCell ref="E1965:E1973"/>
    <mergeCell ref="F1965:F1973"/>
    <mergeCell ref="G1965:G1973"/>
    <mergeCell ref="J1954:J1955"/>
    <mergeCell ref="A1956:A1964"/>
    <mergeCell ref="C1956:C1964"/>
    <mergeCell ref="D1956:D1964"/>
    <mergeCell ref="E1956:E1964"/>
    <mergeCell ref="F1956:F1964"/>
    <mergeCell ref="G1956:G1964"/>
    <mergeCell ref="H1956:H1964"/>
    <mergeCell ref="I1956:I1964"/>
    <mergeCell ref="J1956:J1964"/>
    <mergeCell ref="I1952:I1953"/>
    <mergeCell ref="J1952:J1953"/>
    <mergeCell ref="A1954:A1955"/>
    <mergeCell ref="C1954:C1955"/>
    <mergeCell ref="D1954:D1955"/>
    <mergeCell ref="E1954:E1955"/>
    <mergeCell ref="F1954:F1955"/>
    <mergeCell ref="G1954:G1955"/>
    <mergeCell ref="H1954:H1955"/>
    <mergeCell ref="I1954:I1955"/>
    <mergeCell ref="H1932:H1933"/>
    <mergeCell ref="I1932:I1933"/>
    <mergeCell ref="J1932:J1933"/>
    <mergeCell ref="A1952:A1953"/>
    <mergeCell ref="C1952:C1953"/>
    <mergeCell ref="D1952:D1953"/>
    <mergeCell ref="E1952:E1953"/>
    <mergeCell ref="F1952:F1953"/>
    <mergeCell ref="G1952:G1953"/>
    <mergeCell ref="H1952:H1953"/>
    <mergeCell ref="A1932:A1933"/>
    <mergeCell ref="B1932:B1933"/>
    <mergeCell ref="C1932:C1933"/>
    <mergeCell ref="E1932:E1933"/>
    <mergeCell ref="F1932:F1933"/>
    <mergeCell ref="G1932:G1933"/>
    <mergeCell ref="J1928:J1929"/>
    <mergeCell ref="A1930:A1931"/>
    <mergeCell ref="B1930:B1931"/>
    <mergeCell ref="C1930:C1931"/>
    <mergeCell ref="E1930:E1931"/>
    <mergeCell ref="F1930:F1931"/>
    <mergeCell ref="G1930:G1931"/>
    <mergeCell ref="H1930:H1931"/>
    <mergeCell ref="I1930:I1931"/>
    <mergeCell ref="J1930:J1931"/>
    <mergeCell ref="I1926:I1927"/>
    <mergeCell ref="J1926:J1927"/>
    <mergeCell ref="A1928:A1929"/>
    <mergeCell ref="B1928:B1929"/>
    <mergeCell ref="C1928:C1929"/>
    <mergeCell ref="E1928:E1929"/>
    <mergeCell ref="F1928:F1929"/>
    <mergeCell ref="G1928:G1929"/>
    <mergeCell ref="H1928:H1929"/>
    <mergeCell ref="I1928:I1929"/>
    <mergeCell ref="H1922:H1923"/>
    <mergeCell ref="I1922:I1923"/>
    <mergeCell ref="J1922:J1923"/>
    <mergeCell ref="A1926:A1927"/>
    <mergeCell ref="B1926:B1927"/>
    <mergeCell ref="C1926:C1927"/>
    <mergeCell ref="E1926:E1927"/>
    <mergeCell ref="F1926:F1927"/>
    <mergeCell ref="G1926:G1927"/>
    <mergeCell ref="H1926:H1927"/>
    <mergeCell ref="A1922:A1923"/>
    <mergeCell ref="B1922:B1923"/>
    <mergeCell ref="C1922:C1923"/>
    <mergeCell ref="E1922:E1923"/>
    <mergeCell ref="F1922:F1923"/>
    <mergeCell ref="G1922:G1923"/>
    <mergeCell ref="J1904:J1905"/>
    <mergeCell ref="A1906:A1907"/>
    <mergeCell ref="C1906:C1907"/>
    <mergeCell ref="D1906:D1907"/>
    <mergeCell ref="E1906:E1907"/>
    <mergeCell ref="F1906:F1907"/>
    <mergeCell ref="G1906:G1907"/>
    <mergeCell ref="H1906:H1907"/>
    <mergeCell ref="I1906:I1907"/>
    <mergeCell ref="J1906:J1907"/>
    <mergeCell ref="I1899:I1900"/>
    <mergeCell ref="J1899:J1900"/>
    <mergeCell ref="A1904:A1905"/>
    <mergeCell ref="C1904:C1905"/>
    <mergeCell ref="D1904:D1905"/>
    <mergeCell ref="E1904:E1905"/>
    <mergeCell ref="F1904:F1905"/>
    <mergeCell ref="G1904:G1905"/>
    <mergeCell ref="H1904:H1905"/>
    <mergeCell ref="I1904:I1905"/>
    <mergeCell ref="H1891:H1892"/>
    <mergeCell ref="I1891:I1892"/>
    <mergeCell ref="J1891:J1892"/>
    <mergeCell ref="A1899:A1900"/>
    <mergeCell ref="B1899:B1900"/>
    <mergeCell ref="C1899:C1900"/>
    <mergeCell ref="E1899:E1900"/>
    <mergeCell ref="F1899:F1900"/>
    <mergeCell ref="G1899:G1900"/>
    <mergeCell ref="H1899:H1900"/>
    <mergeCell ref="A1891:A1892"/>
    <mergeCell ref="C1891:C1892"/>
    <mergeCell ref="D1891:D1892"/>
    <mergeCell ref="E1891:E1892"/>
    <mergeCell ref="F1891:F1892"/>
    <mergeCell ref="G1891:G1892"/>
    <mergeCell ref="I1880:I1881"/>
    <mergeCell ref="J1880:J1881"/>
    <mergeCell ref="A1882:A1883"/>
    <mergeCell ref="C1882:C1883"/>
    <mergeCell ref="E1882:E1883"/>
    <mergeCell ref="F1882:F1883"/>
    <mergeCell ref="G1882:G1883"/>
    <mergeCell ref="H1882:H1883"/>
    <mergeCell ref="I1882:I1883"/>
    <mergeCell ref="J1882:J1883"/>
    <mergeCell ref="A1880:A1881"/>
    <mergeCell ref="C1880:C1881"/>
    <mergeCell ref="E1880:E1881"/>
    <mergeCell ref="F1880:F1881"/>
    <mergeCell ref="G1880:G1881"/>
    <mergeCell ref="H1880:H1881"/>
    <mergeCell ref="J1874:J1875"/>
    <mergeCell ref="A1877:A1878"/>
    <mergeCell ref="B1877:B1878"/>
    <mergeCell ref="C1877:C1878"/>
    <mergeCell ref="E1877:E1878"/>
    <mergeCell ref="F1877:F1878"/>
    <mergeCell ref="G1877:G1878"/>
    <mergeCell ref="H1877:H1878"/>
    <mergeCell ref="I1877:I1878"/>
    <mergeCell ref="J1877:J1878"/>
    <mergeCell ref="I1869:I1870"/>
    <mergeCell ref="J1869:J1870"/>
    <mergeCell ref="A1874:A1875"/>
    <mergeCell ref="B1874:B1875"/>
    <mergeCell ref="C1874:C1875"/>
    <mergeCell ref="E1874:E1875"/>
    <mergeCell ref="F1874:F1875"/>
    <mergeCell ref="G1874:G1875"/>
    <mergeCell ref="H1874:H1875"/>
    <mergeCell ref="I1874:I1875"/>
    <mergeCell ref="H1867:H1868"/>
    <mergeCell ref="I1867:I1868"/>
    <mergeCell ref="J1867:J1868"/>
    <mergeCell ref="A1869:A1870"/>
    <mergeCell ref="C1869:C1870"/>
    <mergeCell ref="D1869:D1870"/>
    <mergeCell ref="E1869:E1870"/>
    <mergeCell ref="F1869:F1870"/>
    <mergeCell ref="G1869:G1870"/>
    <mergeCell ref="H1869:H1870"/>
    <mergeCell ref="A1867:A1868"/>
    <mergeCell ref="C1867:C1868"/>
    <mergeCell ref="D1867:D1868"/>
    <mergeCell ref="E1867:E1868"/>
    <mergeCell ref="F1867:F1868"/>
    <mergeCell ref="G1867:G1868"/>
    <mergeCell ref="I1862:I1863"/>
    <mergeCell ref="J1862:J1863"/>
    <mergeCell ref="A1864:A1865"/>
    <mergeCell ref="C1864:C1865"/>
    <mergeCell ref="E1864:E1865"/>
    <mergeCell ref="F1864:F1865"/>
    <mergeCell ref="G1864:G1865"/>
    <mergeCell ref="H1864:H1865"/>
    <mergeCell ref="I1864:I1865"/>
    <mergeCell ref="J1864:J1865"/>
    <mergeCell ref="H1860:H1861"/>
    <mergeCell ref="I1860:I1861"/>
    <mergeCell ref="J1860:J1861"/>
    <mergeCell ref="A1862:A1863"/>
    <mergeCell ref="C1862:C1863"/>
    <mergeCell ref="D1862:D1863"/>
    <mergeCell ref="E1862:E1863"/>
    <mergeCell ref="F1862:F1863"/>
    <mergeCell ref="G1862:G1863"/>
    <mergeCell ref="H1862:H1863"/>
    <mergeCell ref="A1860:A1861"/>
    <mergeCell ref="C1860:C1861"/>
    <mergeCell ref="D1860:D1861"/>
    <mergeCell ref="E1860:E1861"/>
    <mergeCell ref="F1860:F1861"/>
    <mergeCell ref="G1860:G1861"/>
    <mergeCell ref="I1854:I1855"/>
    <mergeCell ref="J1854:J1855"/>
    <mergeCell ref="A1856:A1857"/>
    <mergeCell ref="C1856:C1857"/>
    <mergeCell ref="D1856:D1857"/>
    <mergeCell ref="F1856:F1857"/>
    <mergeCell ref="G1856:G1857"/>
    <mergeCell ref="H1856:H1857"/>
    <mergeCell ref="I1856:I1857"/>
    <mergeCell ref="J1856:J1857"/>
    <mergeCell ref="A1854:A1855"/>
    <mergeCell ref="C1854:C1855"/>
    <mergeCell ref="E1854:E1855"/>
    <mergeCell ref="F1854:F1855"/>
    <mergeCell ref="G1854:G1855"/>
    <mergeCell ref="H1854:H1855"/>
    <mergeCell ref="J1846:J1847"/>
    <mergeCell ref="A1851:A1853"/>
    <mergeCell ref="C1851:C1853"/>
    <mergeCell ref="D1851:D1853"/>
    <mergeCell ref="E1851:E1853"/>
    <mergeCell ref="F1851:F1853"/>
    <mergeCell ref="G1851:G1853"/>
    <mergeCell ref="H1851:H1853"/>
    <mergeCell ref="I1851:I1853"/>
    <mergeCell ref="J1851:J1853"/>
    <mergeCell ref="I1844:I1845"/>
    <mergeCell ref="J1844:J1845"/>
    <mergeCell ref="A1846:A1847"/>
    <mergeCell ref="C1846:C1847"/>
    <mergeCell ref="D1846:D1847"/>
    <mergeCell ref="E1846:E1847"/>
    <mergeCell ref="F1846:F1847"/>
    <mergeCell ref="G1846:G1847"/>
    <mergeCell ref="H1846:H1847"/>
    <mergeCell ref="I1846:I1847"/>
    <mergeCell ref="H1842:H1843"/>
    <mergeCell ref="I1842:I1843"/>
    <mergeCell ref="J1842:J1843"/>
    <mergeCell ref="A1844:A1845"/>
    <mergeCell ref="C1844:C1845"/>
    <mergeCell ref="D1844:D1845"/>
    <mergeCell ref="E1844:E1845"/>
    <mergeCell ref="F1844:F1845"/>
    <mergeCell ref="G1844:G1845"/>
    <mergeCell ref="H1844:H1845"/>
    <mergeCell ref="A1842:A1843"/>
    <mergeCell ref="C1842:C1843"/>
    <mergeCell ref="D1842:D1843"/>
    <mergeCell ref="E1842:E1843"/>
    <mergeCell ref="F1842:F1843"/>
    <mergeCell ref="G1842:G1843"/>
    <mergeCell ref="J1830:J1839"/>
    <mergeCell ref="A1840:A1841"/>
    <mergeCell ref="C1840:C1841"/>
    <mergeCell ref="D1840:D1841"/>
    <mergeCell ref="E1840:E1841"/>
    <mergeCell ref="F1840:F1841"/>
    <mergeCell ref="G1840:G1841"/>
    <mergeCell ref="H1840:H1841"/>
    <mergeCell ref="I1840:I1841"/>
    <mergeCell ref="J1840:J1841"/>
    <mergeCell ref="I1827:I1828"/>
    <mergeCell ref="J1827:J1828"/>
    <mergeCell ref="A1830:A1839"/>
    <mergeCell ref="C1830:C1839"/>
    <mergeCell ref="D1830:D1839"/>
    <mergeCell ref="E1830:E1839"/>
    <mergeCell ref="F1830:F1839"/>
    <mergeCell ref="G1830:G1839"/>
    <mergeCell ref="H1830:H1839"/>
    <mergeCell ref="I1830:I1839"/>
    <mergeCell ref="H1823:H1825"/>
    <mergeCell ref="I1823:I1825"/>
    <mergeCell ref="J1823:J1825"/>
    <mergeCell ref="A1827:A1828"/>
    <mergeCell ref="C1827:C1828"/>
    <mergeCell ref="D1827:D1828"/>
    <mergeCell ref="E1827:E1828"/>
    <mergeCell ref="F1827:F1828"/>
    <mergeCell ref="G1827:G1828"/>
    <mergeCell ref="H1827:H1828"/>
    <mergeCell ref="A1823:A1825"/>
    <mergeCell ref="C1823:C1825"/>
    <mergeCell ref="D1823:D1825"/>
    <mergeCell ref="E1823:E1825"/>
    <mergeCell ref="F1823:F1825"/>
    <mergeCell ref="G1823:G1825"/>
    <mergeCell ref="J1814:J1816"/>
    <mergeCell ref="A1819:A1820"/>
    <mergeCell ref="B1819:B1820"/>
    <mergeCell ref="C1819:C1820"/>
    <mergeCell ref="E1819:E1820"/>
    <mergeCell ref="F1819:F1820"/>
    <mergeCell ref="G1819:G1820"/>
    <mergeCell ref="H1819:H1820"/>
    <mergeCell ref="I1819:I1820"/>
    <mergeCell ref="J1819:J1820"/>
    <mergeCell ref="I1811:I1812"/>
    <mergeCell ref="J1811:J1812"/>
    <mergeCell ref="A1814:A1816"/>
    <mergeCell ref="C1814:C1816"/>
    <mergeCell ref="D1814:D1816"/>
    <mergeCell ref="E1814:E1816"/>
    <mergeCell ref="F1814:F1816"/>
    <mergeCell ref="G1814:G1816"/>
    <mergeCell ref="H1814:H1816"/>
    <mergeCell ref="I1814:I1816"/>
    <mergeCell ref="H1807:H1809"/>
    <mergeCell ref="I1807:I1809"/>
    <mergeCell ref="J1807:J1809"/>
    <mergeCell ref="A1811:A1812"/>
    <mergeCell ref="C1811:C1812"/>
    <mergeCell ref="D1811:D1812"/>
    <mergeCell ref="E1811:E1812"/>
    <mergeCell ref="F1811:F1812"/>
    <mergeCell ref="G1811:G1812"/>
    <mergeCell ref="H1811:H1812"/>
    <mergeCell ref="A1807:A1809"/>
    <mergeCell ref="C1807:C1809"/>
    <mergeCell ref="D1807:D1809"/>
    <mergeCell ref="E1807:E1809"/>
    <mergeCell ref="F1807:F1809"/>
    <mergeCell ref="G1807:G1809"/>
    <mergeCell ref="J1796:J1797"/>
    <mergeCell ref="A1798:A1800"/>
    <mergeCell ref="C1798:C1800"/>
    <mergeCell ref="D1798:D1800"/>
    <mergeCell ref="E1798:E1800"/>
    <mergeCell ref="F1798:F1800"/>
    <mergeCell ref="G1798:G1800"/>
    <mergeCell ref="H1798:H1800"/>
    <mergeCell ref="I1798:I1800"/>
    <mergeCell ref="J1798:J1800"/>
    <mergeCell ref="I1794:I1795"/>
    <mergeCell ref="J1794:J1795"/>
    <mergeCell ref="A1796:A1797"/>
    <mergeCell ref="C1796:C1797"/>
    <mergeCell ref="D1796:D1797"/>
    <mergeCell ref="E1796:E1797"/>
    <mergeCell ref="F1796:F1797"/>
    <mergeCell ref="G1796:G1797"/>
    <mergeCell ref="H1796:H1797"/>
    <mergeCell ref="I1796:I1797"/>
    <mergeCell ref="H1792:H1793"/>
    <mergeCell ref="I1792:I1793"/>
    <mergeCell ref="J1792:J1793"/>
    <mergeCell ref="A1794:A1795"/>
    <mergeCell ref="C1794:C1795"/>
    <mergeCell ref="D1794:D1795"/>
    <mergeCell ref="E1794:E1795"/>
    <mergeCell ref="F1794:F1795"/>
    <mergeCell ref="G1794:G1795"/>
    <mergeCell ref="H1794:H1795"/>
    <mergeCell ref="A1792:A1793"/>
    <mergeCell ref="C1792:C1793"/>
    <mergeCell ref="D1792:D1793"/>
    <mergeCell ref="E1792:E1793"/>
    <mergeCell ref="F1792:F1793"/>
    <mergeCell ref="G1792:G1793"/>
    <mergeCell ref="J1787:J1788"/>
    <mergeCell ref="A1790:A1791"/>
    <mergeCell ref="C1790:C1791"/>
    <mergeCell ref="D1790:D1791"/>
    <mergeCell ref="E1790:E1791"/>
    <mergeCell ref="F1790:F1791"/>
    <mergeCell ref="G1790:G1791"/>
    <mergeCell ref="H1790:H1791"/>
    <mergeCell ref="I1790:I1791"/>
    <mergeCell ref="J1790:J1791"/>
    <mergeCell ref="I1776:I1785"/>
    <mergeCell ref="J1776:J1785"/>
    <mergeCell ref="A1787:A1788"/>
    <mergeCell ref="C1787:C1788"/>
    <mergeCell ref="D1787:D1788"/>
    <mergeCell ref="E1787:E1788"/>
    <mergeCell ref="F1787:F1788"/>
    <mergeCell ref="G1787:G1788"/>
    <mergeCell ref="H1787:H1788"/>
    <mergeCell ref="I1787:I1788"/>
    <mergeCell ref="H1774:H1775"/>
    <mergeCell ref="I1774:I1775"/>
    <mergeCell ref="J1774:J1775"/>
    <mergeCell ref="A1776:A1785"/>
    <mergeCell ref="C1776:C1785"/>
    <mergeCell ref="D1776:D1785"/>
    <mergeCell ref="E1776:E1785"/>
    <mergeCell ref="F1776:F1785"/>
    <mergeCell ref="G1776:G1785"/>
    <mergeCell ref="H1776:H1785"/>
    <mergeCell ref="A1774:A1775"/>
    <mergeCell ref="C1774:C1775"/>
    <mergeCell ref="D1774:D1775"/>
    <mergeCell ref="E1774:E1775"/>
    <mergeCell ref="F1774:F1775"/>
    <mergeCell ref="G1774:G1775"/>
    <mergeCell ref="J1770:J1771"/>
    <mergeCell ref="A1772:A1773"/>
    <mergeCell ref="C1772:C1773"/>
    <mergeCell ref="D1772:D1773"/>
    <mergeCell ref="E1772:E1773"/>
    <mergeCell ref="F1772:F1773"/>
    <mergeCell ref="G1772:G1773"/>
    <mergeCell ref="H1772:H1773"/>
    <mergeCell ref="I1772:I1773"/>
    <mergeCell ref="J1772:J1773"/>
    <mergeCell ref="I1768:I1769"/>
    <mergeCell ref="J1768:J1769"/>
    <mergeCell ref="A1770:A1771"/>
    <mergeCell ref="C1770:C1771"/>
    <mergeCell ref="D1770:D1771"/>
    <mergeCell ref="E1770:E1771"/>
    <mergeCell ref="F1770:F1771"/>
    <mergeCell ref="G1770:G1771"/>
    <mergeCell ref="H1770:H1771"/>
    <mergeCell ref="I1770:I1771"/>
    <mergeCell ref="H1764:H1766"/>
    <mergeCell ref="I1764:I1766"/>
    <mergeCell ref="J1764:J1766"/>
    <mergeCell ref="A1768:A1769"/>
    <mergeCell ref="B1768:B1769"/>
    <mergeCell ref="C1768:C1769"/>
    <mergeCell ref="E1768:E1769"/>
    <mergeCell ref="F1768:F1769"/>
    <mergeCell ref="G1768:G1769"/>
    <mergeCell ref="H1768:H1769"/>
    <mergeCell ref="A1764:A1766"/>
    <mergeCell ref="C1764:C1766"/>
    <mergeCell ref="D1764:D1766"/>
    <mergeCell ref="E1764:E1766"/>
    <mergeCell ref="F1764:F1766"/>
    <mergeCell ref="G1764:G1766"/>
    <mergeCell ref="J1757:J1759"/>
    <mergeCell ref="A1760:A1763"/>
    <mergeCell ref="C1760:C1763"/>
    <mergeCell ref="D1760:D1763"/>
    <mergeCell ref="E1760:E1763"/>
    <mergeCell ref="F1760:F1763"/>
    <mergeCell ref="G1760:G1763"/>
    <mergeCell ref="H1760:H1763"/>
    <mergeCell ref="I1760:I1763"/>
    <mergeCell ref="J1760:J1763"/>
    <mergeCell ref="I1755:I1756"/>
    <mergeCell ref="J1755:J1756"/>
    <mergeCell ref="A1757:A1759"/>
    <mergeCell ref="C1757:C1759"/>
    <mergeCell ref="D1757:D1759"/>
    <mergeCell ref="E1757:E1759"/>
    <mergeCell ref="F1757:F1759"/>
    <mergeCell ref="G1757:G1759"/>
    <mergeCell ref="H1757:H1759"/>
    <mergeCell ref="I1757:I1759"/>
    <mergeCell ref="H1753:H1754"/>
    <mergeCell ref="I1753:I1754"/>
    <mergeCell ref="J1753:J1754"/>
    <mergeCell ref="A1755:A1756"/>
    <mergeCell ref="C1755:C1756"/>
    <mergeCell ref="D1755:D1756"/>
    <mergeCell ref="E1755:E1756"/>
    <mergeCell ref="F1755:F1756"/>
    <mergeCell ref="G1755:G1756"/>
    <mergeCell ref="H1755:H1756"/>
    <mergeCell ref="A1753:A1754"/>
    <mergeCell ref="C1753:C1754"/>
    <mergeCell ref="D1753:D1754"/>
    <mergeCell ref="E1753:E1754"/>
    <mergeCell ref="F1753:F1754"/>
    <mergeCell ref="G1753:G1754"/>
    <mergeCell ref="J1745:J1746"/>
    <mergeCell ref="A1747:A1749"/>
    <mergeCell ref="C1747:C1749"/>
    <mergeCell ref="D1747:D1749"/>
    <mergeCell ref="E1747:E1749"/>
    <mergeCell ref="F1747:F1749"/>
    <mergeCell ref="G1747:G1749"/>
    <mergeCell ref="H1747:H1749"/>
    <mergeCell ref="I1747:I1749"/>
    <mergeCell ref="J1747:J1749"/>
    <mergeCell ref="I1736:I1743"/>
    <mergeCell ref="J1736:J1743"/>
    <mergeCell ref="A1745:A1746"/>
    <mergeCell ref="B1745:B1746"/>
    <mergeCell ref="C1745:C1746"/>
    <mergeCell ref="E1745:E1746"/>
    <mergeCell ref="F1745:F1746"/>
    <mergeCell ref="G1745:G1746"/>
    <mergeCell ref="H1745:H1746"/>
    <mergeCell ref="I1745:I1746"/>
    <mergeCell ref="H1727:H1735"/>
    <mergeCell ref="I1727:I1735"/>
    <mergeCell ref="J1727:J1735"/>
    <mergeCell ref="A1736:A1743"/>
    <mergeCell ref="C1736:C1743"/>
    <mergeCell ref="D1736:D1743"/>
    <mergeCell ref="E1736:E1743"/>
    <mergeCell ref="F1736:F1743"/>
    <mergeCell ref="G1736:G1743"/>
    <mergeCell ref="H1736:H1743"/>
    <mergeCell ref="A1727:A1735"/>
    <mergeCell ref="C1727:C1735"/>
    <mergeCell ref="D1727:D1735"/>
    <mergeCell ref="E1727:E1735"/>
    <mergeCell ref="F1727:F1735"/>
    <mergeCell ref="G1727:G1735"/>
    <mergeCell ref="J1722:J1723"/>
    <mergeCell ref="A1724:A1725"/>
    <mergeCell ref="C1724:C1725"/>
    <mergeCell ref="D1724:D1725"/>
    <mergeCell ref="E1724:E1725"/>
    <mergeCell ref="F1724:F1725"/>
    <mergeCell ref="G1724:G1725"/>
    <mergeCell ref="H1724:H1725"/>
    <mergeCell ref="I1724:I1725"/>
    <mergeCell ref="J1724:J1725"/>
    <mergeCell ref="I1720:I1721"/>
    <mergeCell ref="J1720:J1721"/>
    <mergeCell ref="A1722:A1723"/>
    <mergeCell ref="C1722:C1723"/>
    <mergeCell ref="D1722:D1723"/>
    <mergeCell ref="E1722:E1723"/>
    <mergeCell ref="F1722:F1723"/>
    <mergeCell ref="G1722:G1723"/>
    <mergeCell ref="H1722:H1723"/>
    <mergeCell ref="I1722:I1723"/>
    <mergeCell ref="H1714:H1715"/>
    <mergeCell ref="I1714:I1715"/>
    <mergeCell ref="J1714:J1715"/>
    <mergeCell ref="A1720:A1721"/>
    <mergeCell ref="C1720:C1721"/>
    <mergeCell ref="D1720:D1721"/>
    <mergeCell ref="E1720:E1721"/>
    <mergeCell ref="F1720:F1721"/>
    <mergeCell ref="G1720:G1721"/>
    <mergeCell ref="H1720:H1721"/>
    <mergeCell ref="A1714:A1715"/>
    <mergeCell ref="C1714:C1715"/>
    <mergeCell ref="D1714:D1715"/>
    <mergeCell ref="E1714:E1715"/>
    <mergeCell ref="F1714:F1715"/>
    <mergeCell ref="G1714:G1715"/>
    <mergeCell ref="J1700:J1701"/>
    <mergeCell ref="A1708:A1709"/>
    <mergeCell ref="B1708:B1709"/>
    <mergeCell ref="C1708:C1709"/>
    <mergeCell ref="E1708:E1709"/>
    <mergeCell ref="F1708:F1709"/>
    <mergeCell ref="G1708:G1709"/>
    <mergeCell ref="H1708:H1709"/>
    <mergeCell ref="I1708:I1709"/>
    <mergeCell ref="J1708:J1709"/>
    <mergeCell ref="I1697:I1698"/>
    <mergeCell ref="J1697:J1698"/>
    <mergeCell ref="A1700:A1701"/>
    <mergeCell ref="C1700:C1701"/>
    <mergeCell ref="D1700:D1701"/>
    <mergeCell ref="E1700:E1701"/>
    <mergeCell ref="F1700:F1701"/>
    <mergeCell ref="G1700:G1701"/>
    <mergeCell ref="H1700:H1701"/>
    <mergeCell ref="I1700:I1701"/>
    <mergeCell ref="H1695:H1696"/>
    <mergeCell ref="I1695:I1696"/>
    <mergeCell ref="J1695:J1696"/>
    <mergeCell ref="A1697:A1698"/>
    <mergeCell ref="C1697:C1698"/>
    <mergeCell ref="D1697:D1698"/>
    <mergeCell ref="E1697:E1698"/>
    <mergeCell ref="F1697:F1698"/>
    <mergeCell ref="G1697:G1698"/>
    <mergeCell ref="H1697:H1698"/>
    <mergeCell ref="A1695:A1696"/>
    <mergeCell ref="C1695:C1696"/>
    <mergeCell ref="D1695:D1696"/>
    <mergeCell ref="E1695:E1696"/>
    <mergeCell ref="F1695:F1696"/>
    <mergeCell ref="G1695:G1696"/>
    <mergeCell ref="J1688:J1690"/>
    <mergeCell ref="A1693:A1694"/>
    <mergeCell ref="C1693:C1694"/>
    <mergeCell ref="D1693:D1694"/>
    <mergeCell ref="E1693:E1694"/>
    <mergeCell ref="F1693:F1694"/>
    <mergeCell ref="G1693:G1694"/>
    <mergeCell ref="H1693:H1694"/>
    <mergeCell ref="I1693:I1694"/>
    <mergeCell ref="J1693:J1694"/>
    <mergeCell ref="I1682:I1683"/>
    <mergeCell ref="J1682:J1683"/>
    <mergeCell ref="A1688:A1690"/>
    <mergeCell ref="C1688:C1690"/>
    <mergeCell ref="D1688:D1690"/>
    <mergeCell ref="E1688:E1690"/>
    <mergeCell ref="F1688:F1690"/>
    <mergeCell ref="G1688:G1690"/>
    <mergeCell ref="H1688:H1690"/>
    <mergeCell ref="I1688:I1690"/>
    <mergeCell ref="H1680:H1681"/>
    <mergeCell ref="I1680:I1681"/>
    <mergeCell ref="J1680:J1681"/>
    <mergeCell ref="A1682:A1683"/>
    <mergeCell ref="C1682:C1683"/>
    <mergeCell ref="D1682:D1683"/>
    <mergeCell ref="E1682:E1683"/>
    <mergeCell ref="F1682:F1683"/>
    <mergeCell ref="G1682:G1683"/>
    <mergeCell ref="H1682:H1683"/>
    <mergeCell ref="A1680:A1681"/>
    <mergeCell ref="C1680:C1681"/>
    <mergeCell ref="D1680:D1681"/>
    <mergeCell ref="E1680:E1681"/>
    <mergeCell ref="F1680:F1681"/>
    <mergeCell ref="G1680:G1681"/>
    <mergeCell ref="J1673:J1674"/>
    <mergeCell ref="A1675:A1676"/>
    <mergeCell ref="C1675:C1676"/>
    <mergeCell ref="D1675:D1676"/>
    <mergeCell ref="E1675:E1676"/>
    <mergeCell ref="F1675:F1676"/>
    <mergeCell ref="G1675:G1676"/>
    <mergeCell ref="H1675:H1676"/>
    <mergeCell ref="I1675:I1676"/>
    <mergeCell ref="J1675:J1676"/>
    <mergeCell ref="I1671:I1672"/>
    <mergeCell ref="J1671:J1672"/>
    <mergeCell ref="A1673:A1674"/>
    <mergeCell ref="C1673:C1674"/>
    <mergeCell ref="D1673:D1674"/>
    <mergeCell ref="E1673:E1674"/>
    <mergeCell ref="F1673:F1674"/>
    <mergeCell ref="G1673:G1674"/>
    <mergeCell ref="H1673:H1674"/>
    <mergeCell ref="I1673:I1674"/>
    <mergeCell ref="H1668:H1669"/>
    <mergeCell ref="I1668:I1669"/>
    <mergeCell ref="J1668:J1669"/>
    <mergeCell ref="A1671:A1672"/>
    <mergeCell ref="B1671:B1672"/>
    <mergeCell ref="C1671:C1672"/>
    <mergeCell ref="E1671:E1672"/>
    <mergeCell ref="F1671:F1672"/>
    <mergeCell ref="G1671:G1672"/>
    <mergeCell ref="H1671:H1672"/>
    <mergeCell ref="A1668:A1669"/>
    <mergeCell ref="B1668:B1669"/>
    <mergeCell ref="C1668:C1669"/>
    <mergeCell ref="E1668:E1669"/>
    <mergeCell ref="F1668:F1669"/>
    <mergeCell ref="G1668:G1669"/>
    <mergeCell ref="J1662:J1663"/>
    <mergeCell ref="A1664:A1665"/>
    <mergeCell ref="B1664:B1665"/>
    <mergeCell ref="C1664:C1665"/>
    <mergeCell ref="E1664:E1665"/>
    <mergeCell ref="F1664:F1665"/>
    <mergeCell ref="G1664:G1665"/>
    <mergeCell ref="H1664:H1665"/>
    <mergeCell ref="I1664:I1665"/>
    <mergeCell ref="J1664:J1665"/>
    <mergeCell ref="I1659:I1660"/>
    <mergeCell ref="J1659:J1660"/>
    <mergeCell ref="A1662:A1663"/>
    <mergeCell ref="B1662:B1663"/>
    <mergeCell ref="C1662:C1663"/>
    <mergeCell ref="E1662:E1663"/>
    <mergeCell ref="F1662:F1663"/>
    <mergeCell ref="G1662:G1663"/>
    <mergeCell ref="H1662:H1663"/>
    <mergeCell ref="I1662:I1663"/>
    <mergeCell ref="A1659:A1660"/>
    <mergeCell ref="C1659:C1660"/>
    <mergeCell ref="E1659:E1660"/>
    <mergeCell ref="F1659:F1660"/>
    <mergeCell ref="G1659:G1660"/>
    <mergeCell ref="H1659:H1660"/>
    <mergeCell ref="J1655:J1656"/>
    <mergeCell ref="A1657:A1658"/>
    <mergeCell ref="C1657:C1658"/>
    <mergeCell ref="D1657:D1658"/>
    <mergeCell ref="E1657:E1658"/>
    <mergeCell ref="F1657:F1658"/>
    <mergeCell ref="G1657:G1658"/>
    <mergeCell ref="H1657:H1658"/>
    <mergeCell ref="I1657:I1658"/>
    <mergeCell ref="J1657:J1658"/>
    <mergeCell ref="H1653:H1654"/>
    <mergeCell ref="I1653:I1654"/>
    <mergeCell ref="J1653:J1654"/>
    <mergeCell ref="A1655:A1656"/>
    <mergeCell ref="C1655:C1656"/>
    <mergeCell ref="E1655:E1656"/>
    <mergeCell ref="F1655:F1656"/>
    <mergeCell ref="G1655:G1656"/>
    <mergeCell ref="H1655:H1656"/>
    <mergeCell ref="I1655:I1656"/>
    <mergeCell ref="A1653:A1654"/>
    <mergeCell ref="C1653:C1654"/>
    <mergeCell ref="D1653:D1654"/>
    <mergeCell ref="E1653:E1654"/>
    <mergeCell ref="F1653:F1654"/>
    <mergeCell ref="G1653:G1654"/>
    <mergeCell ref="J1649:J1650"/>
    <mergeCell ref="A1651:A1652"/>
    <mergeCell ref="C1651:C1652"/>
    <mergeCell ref="E1651:E1652"/>
    <mergeCell ref="F1651:F1652"/>
    <mergeCell ref="G1651:G1652"/>
    <mergeCell ref="H1651:H1652"/>
    <mergeCell ref="I1651:I1652"/>
    <mergeCell ref="J1651:J1652"/>
    <mergeCell ref="I1647:I1648"/>
    <mergeCell ref="J1647:J1648"/>
    <mergeCell ref="A1649:A1650"/>
    <mergeCell ref="C1649:C1650"/>
    <mergeCell ref="D1649:D1650"/>
    <mergeCell ref="E1649:E1650"/>
    <mergeCell ref="F1649:F1650"/>
    <mergeCell ref="G1649:G1650"/>
    <mergeCell ref="H1649:H1650"/>
    <mergeCell ref="I1649:I1650"/>
    <mergeCell ref="H1644:H1645"/>
    <mergeCell ref="I1644:I1645"/>
    <mergeCell ref="J1644:J1645"/>
    <mergeCell ref="A1647:A1648"/>
    <mergeCell ref="B1647:B1648"/>
    <mergeCell ref="C1647:C1648"/>
    <mergeCell ref="E1647:E1648"/>
    <mergeCell ref="F1647:F1648"/>
    <mergeCell ref="G1647:G1648"/>
    <mergeCell ref="H1647:H1648"/>
    <mergeCell ref="A1644:A1645"/>
    <mergeCell ref="B1644:B1645"/>
    <mergeCell ref="C1644:C1645"/>
    <mergeCell ref="E1644:E1645"/>
    <mergeCell ref="F1644:F1645"/>
    <mergeCell ref="G1644:G1645"/>
    <mergeCell ref="I1639:I1640"/>
    <mergeCell ref="J1639:J1640"/>
    <mergeCell ref="A1641:A1642"/>
    <mergeCell ref="C1641:C1642"/>
    <mergeCell ref="E1641:E1642"/>
    <mergeCell ref="F1641:F1642"/>
    <mergeCell ref="G1641:G1642"/>
    <mergeCell ref="H1641:H1642"/>
    <mergeCell ref="I1641:I1642"/>
    <mergeCell ref="J1641:J1642"/>
    <mergeCell ref="H1637:H1638"/>
    <mergeCell ref="I1637:I1638"/>
    <mergeCell ref="J1637:J1638"/>
    <mergeCell ref="A1639:A1640"/>
    <mergeCell ref="C1639:C1640"/>
    <mergeCell ref="D1639:D1640"/>
    <mergeCell ref="E1639:E1640"/>
    <mergeCell ref="F1639:F1640"/>
    <mergeCell ref="G1639:G1640"/>
    <mergeCell ref="H1639:H1640"/>
    <mergeCell ref="A1637:A1638"/>
    <mergeCell ref="B1637:B1638"/>
    <mergeCell ref="C1637:C1638"/>
    <mergeCell ref="E1637:E1638"/>
    <mergeCell ref="F1637:F1638"/>
    <mergeCell ref="G1637:G1638"/>
    <mergeCell ref="J1632:J1633"/>
    <mergeCell ref="A1634:A1635"/>
    <mergeCell ref="B1634:B1635"/>
    <mergeCell ref="C1634:C1635"/>
    <mergeCell ref="E1634:E1635"/>
    <mergeCell ref="F1634:F1635"/>
    <mergeCell ref="G1634:G1635"/>
    <mergeCell ref="H1634:H1635"/>
    <mergeCell ref="I1634:I1635"/>
    <mergeCell ref="J1634:J1635"/>
    <mergeCell ref="I1630:I1631"/>
    <mergeCell ref="J1630:J1631"/>
    <mergeCell ref="A1632:A1633"/>
    <mergeCell ref="B1632:B1633"/>
    <mergeCell ref="C1632:C1633"/>
    <mergeCell ref="E1632:E1633"/>
    <mergeCell ref="F1632:F1633"/>
    <mergeCell ref="G1632:G1633"/>
    <mergeCell ref="H1632:H1633"/>
    <mergeCell ref="I1632:I1633"/>
    <mergeCell ref="H1628:H1629"/>
    <mergeCell ref="I1628:I1629"/>
    <mergeCell ref="J1628:J1629"/>
    <mergeCell ref="A1630:A1631"/>
    <mergeCell ref="C1630:C1631"/>
    <mergeCell ref="D1630:D1631"/>
    <mergeCell ref="E1630:E1631"/>
    <mergeCell ref="F1630:F1631"/>
    <mergeCell ref="G1630:G1631"/>
    <mergeCell ref="H1630:H1631"/>
    <mergeCell ref="A1628:A1629"/>
    <mergeCell ref="C1628:C1629"/>
    <mergeCell ref="D1628:D1629"/>
    <mergeCell ref="E1628:E1629"/>
    <mergeCell ref="F1628:F1629"/>
    <mergeCell ref="G1628:G1629"/>
    <mergeCell ref="J1608:J1609"/>
    <mergeCell ref="A1610:A1611"/>
    <mergeCell ref="C1610:C1611"/>
    <mergeCell ref="D1610:D1611"/>
    <mergeCell ref="E1610:E1611"/>
    <mergeCell ref="F1610:F1611"/>
    <mergeCell ref="G1610:G1611"/>
    <mergeCell ref="H1610:H1611"/>
    <mergeCell ref="I1610:I1611"/>
    <mergeCell ref="J1610:J1611"/>
    <mergeCell ref="I1601:I1603"/>
    <mergeCell ref="J1601:J1603"/>
    <mergeCell ref="A1608:A1609"/>
    <mergeCell ref="B1608:B1609"/>
    <mergeCell ref="C1608:C1609"/>
    <mergeCell ref="E1608:E1609"/>
    <mergeCell ref="F1608:F1609"/>
    <mergeCell ref="G1608:G1609"/>
    <mergeCell ref="H1608:H1609"/>
    <mergeCell ref="I1608:I1609"/>
    <mergeCell ref="H1599:H1600"/>
    <mergeCell ref="I1599:I1600"/>
    <mergeCell ref="J1599:J1600"/>
    <mergeCell ref="A1601:A1603"/>
    <mergeCell ref="C1601:C1603"/>
    <mergeCell ref="D1601:D1603"/>
    <mergeCell ref="E1601:E1603"/>
    <mergeCell ref="F1601:F1603"/>
    <mergeCell ref="G1601:G1603"/>
    <mergeCell ref="H1601:H1603"/>
    <mergeCell ref="A1599:A1600"/>
    <mergeCell ref="C1599:C1600"/>
    <mergeCell ref="D1599:D1600"/>
    <mergeCell ref="E1599:E1600"/>
    <mergeCell ref="F1599:F1600"/>
    <mergeCell ref="G1599:G1600"/>
    <mergeCell ref="I1581:I1583"/>
    <mergeCell ref="J1581:J1583"/>
    <mergeCell ref="A1584:A1586"/>
    <mergeCell ref="C1584:C1586"/>
    <mergeCell ref="E1584:E1586"/>
    <mergeCell ref="F1584:F1586"/>
    <mergeCell ref="G1584:G1586"/>
    <mergeCell ref="H1584:H1586"/>
    <mergeCell ref="I1584:I1586"/>
    <mergeCell ref="J1584:J1586"/>
    <mergeCell ref="H1572:H1580"/>
    <mergeCell ref="I1572:I1580"/>
    <mergeCell ref="J1572:J1580"/>
    <mergeCell ref="A1581:A1583"/>
    <mergeCell ref="C1581:C1583"/>
    <mergeCell ref="D1581:D1583"/>
    <mergeCell ref="E1581:E1583"/>
    <mergeCell ref="F1581:F1583"/>
    <mergeCell ref="G1581:G1583"/>
    <mergeCell ref="H1581:H1583"/>
    <mergeCell ref="A1572:A1580"/>
    <mergeCell ref="C1572:C1580"/>
    <mergeCell ref="D1572:D1580"/>
    <mergeCell ref="E1572:E1580"/>
    <mergeCell ref="F1572:F1580"/>
    <mergeCell ref="G1572:G1580"/>
    <mergeCell ref="J1563:J1564"/>
    <mergeCell ref="A1565:A1566"/>
    <mergeCell ref="C1565:C1566"/>
    <mergeCell ref="D1565:D1566"/>
    <mergeCell ref="E1565:E1566"/>
    <mergeCell ref="F1565:F1566"/>
    <mergeCell ref="G1565:G1566"/>
    <mergeCell ref="H1565:H1566"/>
    <mergeCell ref="I1565:I1566"/>
    <mergeCell ref="J1565:J1566"/>
    <mergeCell ref="I1558:I1561"/>
    <mergeCell ref="J1558:J1561"/>
    <mergeCell ref="A1563:A1564"/>
    <mergeCell ref="C1563:C1564"/>
    <mergeCell ref="D1563:D1564"/>
    <mergeCell ref="E1563:E1564"/>
    <mergeCell ref="F1563:F1564"/>
    <mergeCell ref="G1563:G1564"/>
    <mergeCell ref="H1563:H1564"/>
    <mergeCell ref="I1563:I1564"/>
    <mergeCell ref="H1541:H1551"/>
    <mergeCell ref="I1541:I1551"/>
    <mergeCell ref="J1541:J1551"/>
    <mergeCell ref="A1558:A1561"/>
    <mergeCell ref="C1558:C1561"/>
    <mergeCell ref="D1558:D1561"/>
    <mergeCell ref="E1558:E1561"/>
    <mergeCell ref="F1558:F1561"/>
    <mergeCell ref="G1558:G1561"/>
    <mergeCell ref="H1558:H1561"/>
    <mergeCell ref="A1541:A1551"/>
    <mergeCell ref="C1541:C1551"/>
    <mergeCell ref="D1541:D1551"/>
    <mergeCell ref="E1541:E1551"/>
    <mergeCell ref="F1541:F1551"/>
    <mergeCell ref="G1541:G1551"/>
    <mergeCell ref="J1523:J1533"/>
    <mergeCell ref="A1537:A1538"/>
    <mergeCell ref="C1537:C1538"/>
    <mergeCell ref="D1537:D1538"/>
    <mergeCell ref="E1537:E1538"/>
    <mergeCell ref="F1537:F1538"/>
    <mergeCell ref="G1537:G1538"/>
    <mergeCell ref="H1537:H1538"/>
    <mergeCell ref="I1537:I1538"/>
    <mergeCell ref="J1537:J1538"/>
    <mergeCell ref="I1517:I1519"/>
    <mergeCell ref="J1517:J1519"/>
    <mergeCell ref="A1523:A1533"/>
    <mergeCell ref="C1523:C1533"/>
    <mergeCell ref="D1523:D1533"/>
    <mergeCell ref="E1523:E1533"/>
    <mergeCell ref="F1523:F1533"/>
    <mergeCell ref="G1523:G1533"/>
    <mergeCell ref="H1523:H1533"/>
    <mergeCell ref="I1523:I1533"/>
    <mergeCell ref="H1515:H1516"/>
    <mergeCell ref="I1515:I1516"/>
    <mergeCell ref="J1515:J1516"/>
    <mergeCell ref="A1517:A1519"/>
    <mergeCell ref="C1517:C1519"/>
    <mergeCell ref="D1517:D1519"/>
    <mergeCell ref="E1517:E1519"/>
    <mergeCell ref="F1517:F1519"/>
    <mergeCell ref="G1517:G1519"/>
    <mergeCell ref="H1517:H1519"/>
    <mergeCell ref="A1515:A1516"/>
    <mergeCell ref="C1515:C1516"/>
    <mergeCell ref="D1515:D1516"/>
    <mergeCell ref="E1515:E1516"/>
    <mergeCell ref="F1515:F1516"/>
    <mergeCell ref="G1515:G1516"/>
    <mergeCell ref="J1506:J1507"/>
    <mergeCell ref="A1508:A1511"/>
    <mergeCell ref="C1508:C1511"/>
    <mergeCell ref="D1508:D1511"/>
    <mergeCell ref="E1508:E1511"/>
    <mergeCell ref="F1508:F1511"/>
    <mergeCell ref="G1508:G1511"/>
    <mergeCell ref="H1508:H1511"/>
    <mergeCell ref="I1508:I1511"/>
    <mergeCell ref="J1508:J1511"/>
    <mergeCell ref="I1502:I1504"/>
    <mergeCell ref="J1502:J1504"/>
    <mergeCell ref="A1506:A1507"/>
    <mergeCell ref="C1506:C1507"/>
    <mergeCell ref="D1506:D1507"/>
    <mergeCell ref="E1506:E1507"/>
    <mergeCell ref="F1506:F1507"/>
    <mergeCell ref="G1506:G1507"/>
    <mergeCell ref="H1506:H1507"/>
    <mergeCell ref="I1506:I1507"/>
    <mergeCell ref="H1499:H1501"/>
    <mergeCell ref="I1499:I1501"/>
    <mergeCell ref="J1499:J1501"/>
    <mergeCell ref="A1502:A1504"/>
    <mergeCell ref="C1502:C1504"/>
    <mergeCell ref="D1502:D1504"/>
    <mergeCell ref="E1502:E1504"/>
    <mergeCell ref="F1502:F1504"/>
    <mergeCell ref="G1502:G1504"/>
    <mergeCell ref="H1502:H1504"/>
    <mergeCell ref="A1499:A1501"/>
    <mergeCell ref="C1499:C1501"/>
    <mergeCell ref="D1499:D1501"/>
    <mergeCell ref="E1499:E1501"/>
    <mergeCell ref="F1499:F1501"/>
    <mergeCell ref="G1499:G1501"/>
    <mergeCell ref="J1494:J1496"/>
    <mergeCell ref="A1497:A1498"/>
    <mergeCell ref="C1497:C1498"/>
    <mergeCell ref="D1497:D1498"/>
    <mergeCell ref="E1497:E1498"/>
    <mergeCell ref="F1497:F1498"/>
    <mergeCell ref="G1497:G1498"/>
    <mergeCell ref="H1497:H1498"/>
    <mergeCell ref="I1497:I1498"/>
    <mergeCell ref="J1497:J1498"/>
    <mergeCell ref="I1490:I1491"/>
    <mergeCell ref="J1490:J1491"/>
    <mergeCell ref="A1494:A1496"/>
    <mergeCell ref="C1494:C1496"/>
    <mergeCell ref="D1494:D1496"/>
    <mergeCell ref="E1494:E1496"/>
    <mergeCell ref="F1494:F1496"/>
    <mergeCell ref="G1494:G1496"/>
    <mergeCell ref="H1494:H1496"/>
    <mergeCell ref="I1494:I1496"/>
    <mergeCell ref="H1486:H1488"/>
    <mergeCell ref="I1486:I1488"/>
    <mergeCell ref="J1486:J1488"/>
    <mergeCell ref="A1490:A1491"/>
    <mergeCell ref="C1490:C1491"/>
    <mergeCell ref="D1490:D1491"/>
    <mergeCell ref="E1490:E1491"/>
    <mergeCell ref="F1490:F1491"/>
    <mergeCell ref="G1490:G1491"/>
    <mergeCell ref="H1490:H1491"/>
    <mergeCell ref="A1486:A1488"/>
    <mergeCell ref="C1486:C1488"/>
    <mergeCell ref="D1486:D1488"/>
    <mergeCell ref="E1486:E1488"/>
    <mergeCell ref="F1486:F1488"/>
    <mergeCell ref="G1486:G1488"/>
    <mergeCell ref="J1476:J1477"/>
    <mergeCell ref="A1483:A1485"/>
    <mergeCell ref="C1483:C1485"/>
    <mergeCell ref="D1483:D1485"/>
    <mergeCell ref="E1483:E1485"/>
    <mergeCell ref="F1483:F1485"/>
    <mergeCell ref="G1483:G1485"/>
    <mergeCell ref="H1483:H1485"/>
    <mergeCell ref="I1483:I1485"/>
    <mergeCell ref="J1483:J1485"/>
    <mergeCell ref="I1474:I1475"/>
    <mergeCell ref="J1474:J1475"/>
    <mergeCell ref="A1476:A1477"/>
    <mergeCell ref="C1476:C1477"/>
    <mergeCell ref="D1476:D1477"/>
    <mergeCell ref="E1476:E1477"/>
    <mergeCell ref="F1476:F1477"/>
    <mergeCell ref="G1476:G1477"/>
    <mergeCell ref="H1476:H1477"/>
    <mergeCell ref="I1476:I1477"/>
    <mergeCell ref="H1461:H1462"/>
    <mergeCell ref="I1461:I1462"/>
    <mergeCell ref="J1461:J1462"/>
    <mergeCell ref="A1474:A1475"/>
    <mergeCell ref="C1474:C1475"/>
    <mergeCell ref="D1474:D1475"/>
    <mergeCell ref="E1474:E1475"/>
    <mergeCell ref="F1474:F1475"/>
    <mergeCell ref="G1474:G1475"/>
    <mergeCell ref="H1474:H1475"/>
    <mergeCell ref="A1461:A1462"/>
    <mergeCell ref="B1461:B1462"/>
    <mergeCell ref="C1461:C1462"/>
    <mergeCell ref="E1461:E1462"/>
    <mergeCell ref="F1461:F1462"/>
    <mergeCell ref="G1461:G1462"/>
    <mergeCell ref="J1447:J1448"/>
    <mergeCell ref="A1455:A1457"/>
    <mergeCell ref="C1455:C1457"/>
    <mergeCell ref="D1455:D1457"/>
    <mergeCell ref="E1455:E1457"/>
    <mergeCell ref="F1455:F1457"/>
    <mergeCell ref="G1455:G1457"/>
    <mergeCell ref="H1455:H1457"/>
    <mergeCell ref="I1455:I1457"/>
    <mergeCell ref="J1455:J1457"/>
    <mergeCell ref="I1442:I1444"/>
    <mergeCell ref="J1442:J1444"/>
    <mergeCell ref="A1447:A1448"/>
    <mergeCell ref="C1447:C1448"/>
    <mergeCell ref="D1447:D1448"/>
    <mergeCell ref="E1447:E1448"/>
    <mergeCell ref="F1447:F1448"/>
    <mergeCell ref="G1447:G1448"/>
    <mergeCell ref="H1447:H1448"/>
    <mergeCell ref="I1447:I1448"/>
    <mergeCell ref="H1438:H1440"/>
    <mergeCell ref="I1438:I1440"/>
    <mergeCell ref="J1438:J1440"/>
    <mergeCell ref="A1442:A1444"/>
    <mergeCell ref="C1442:C1444"/>
    <mergeCell ref="D1442:D1444"/>
    <mergeCell ref="E1442:E1444"/>
    <mergeCell ref="F1442:F1444"/>
    <mergeCell ref="G1442:G1444"/>
    <mergeCell ref="H1442:H1444"/>
    <mergeCell ref="A1438:A1440"/>
    <mergeCell ref="C1438:C1440"/>
    <mergeCell ref="D1438:D1440"/>
    <mergeCell ref="E1438:E1440"/>
    <mergeCell ref="F1438:F1440"/>
    <mergeCell ref="G1438:G1440"/>
    <mergeCell ref="J1434:J1435"/>
    <mergeCell ref="A1436:A1437"/>
    <mergeCell ref="C1436:C1437"/>
    <mergeCell ref="D1436:D1437"/>
    <mergeCell ref="E1436:E1437"/>
    <mergeCell ref="F1436:F1437"/>
    <mergeCell ref="G1436:G1437"/>
    <mergeCell ref="H1436:H1437"/>
    <mergeCell ref="I1436:I1437"/>
    <mergeCell ref="J1436:J1437"/>
    <mergeCell ref="I1432:I1433"/>
    <mergeCell ref="J1432:J1433"/>
    <mergeCell ref="A1434:A1435"/>
    <mergeCell ref="C1434:C1435"/>
    <mergeCell ref="D1434:D1435"/>
    <mergeCell ref="E1434:E1435"/>
    <mergeCell ref="F1434:F1435"/>
    <mergeCell ref="G1434:G1435"/>
    <mergeCell ref="H1434:H1435"/>
    <mergeCell ref="I1434:I1435"/>
    <mergeCell ref="H1428:H1429"/>
    <mergeCell ref="I1428:I1429"/>
    <mergeCell ref="J1428:J1429"/>
    <mergeCell ref="A1432:A1433"/>
    <mergeCell ref="C1432:C1433"/>
    <mergeCell ref="D1432:D1433"/>
    <mergeCell ref="E1432:E1433"/>
    <mergeCell ref="F1432:F1433"/>
    <mergeCell ref="G1432:G1433"/>
    <mergeCell ref="H1432:H1433"/>
    <mergeCell ref="A1428:A1429"/>
    <mergeCell ref="B1428:B1429"/>
    <mergeCell ref="C1428:C1429"/>
    <mergeCell ref="D1428:D1429"/>
    <mergeCell ref="F1428:F1429"/>
    <mergeCell ref="G1428:G1429"/>
    <mergeCell ref="J1424:J1425"/>
    <mergeCell ref="A1426:A1427"/>
    <mergeCell ref="B1426:B1427"/>
    <mergeCell ref="C1426:C1427"/>
    <mergeCell ref="D1426:D1427"/>
    <mergeCell ref="F1426:F1427"/>
    <mergeCell ref="G1426:G1427"/>
    <mergeCell ref="H1426:H1427"/>
    <mergeCell ref="I1426:I1427"/>
    <mergeCell ref="J1426:J1427"/>
    <mergeCell ref="H1422:H1423"/>
    <mergeCell ref="I1422:I1423"/>
    <mergeCell ref="J1422:J1423"/>
    <mergeCell ref="A1424:A1425"/>
    <mergeCell ref="B1424:B1425"/>
    <mergeCell ref="C1424:C1425"/>
    <mergeCell ref="F1424:F1425"/>
    <mergeCell ref="G1424:G1425"/>
    <mergeCell ref="H1424:H1425"/>
    <mergeCell ref="I1424:I1425"/>
    <mergeCell ref="A1422:A1423"/>
    <mergeCell ref="B1422:B1423"/>
    <mergeCell ref="C1422:C1423"/>
    <mergeCell ref="D1422:D1423"/>
    <mergeCell ref="F1422:F1423"/>
    <mergeCell ref="G1422:G1423"/>
    <mergeCell ref="J1412:J1414"/>
    <mergeCell ref="A1415:A1416"/>
    <mergeCell ref="B1415:B1416"/>
    <mergeCell ref="C1415:C1416"/>
    <mergeCell ref="D1415:D1416"/>
    <mergeCell ref="F1415:F1416"/>
    <mergeCell ref="G1415:G1416"/>
    <mergeCell ref="H1415:H1416"/>
    <mergeCell ref="I1415:I1416"/>
    <mergeCell ref="J1415:J1416"/>
    <mergeCell ref="I1408:I1409"/>
    <mergeCell ref="J1408:J1409"/>
    <mergeCell ref="A1412:A1414"/>
    <mergeCell ref="B1412:B1414"/>
    <mergeCell ref="C1412:C1414"/>
    <mergeCell ref="D1412:D1414"/>
    <mergeCell ref="F1412:F1414"/>
    <mergeCell ref="G1412:G1414"/>
    <mergeCell ref="H1412:H1414"/>
    <mergeCell ref="I1412:I1414"/>
    <mergeCell ref="H1405:H1406"/>
    <mergeCell ref="I1405:I1406"/>
    <mergeCell ref="J1405:J1406"/>
    <mergeCell ref="A1408:A1409"/>
    <mergeCell ref="B1408:B1409"/>
    <mergeCell ref="C1408:C1409"/>
    <mergeCell ref="D1408:D1409"/>
    <mergeCell ref="F1408:F1409"/>
    <mergeCell ref="G1408:G1409"/>
    <mergeCell ref="H1408:H1409"/>
    <mergeCell ref="A1405:A1406"/>
    <mergeCell ref="C1405:C1406"/>
    <mergeCell ref="D1405:D1406"/>
    <mergeCell ref="E1405:E1406"/>
    <mergeCell ref="F1405:F1406"/>
    <mergeCell ref="G1405:G1406"/>
    <mergeCell ref="J1399:J1401"/>
    <mergeCell ref="A1402:A1403"/>
    <mergeCell ref="B1402:B1403"/>
    <mergeCell ref="C1402:C1403"/>
    <mergeCell ref="D1402:D1403"/>
    <mergeCell ref="F1402:F1403"/>
    <mergeCell ref="G1402:G1403"/>
    <mergeCell ref="H1402:H1403"/>
    <mergeCell ref="I1402:I1403"/>
    <mergeCell ref="J1402:J1403"/>
    <mergeCell ref="H1393:H1395"/>
    <mergeCell ref="I1393:I1395"/>
    <mergeCell ref="J1393:J1395"/>
    <mergeCell ref="A1399:A1401"/>
    <mergeCell ref="B1399:B1401"/>
    <mergeCell ref="C1399:C1401"/>
    <mergeCell ref="F1399:F1401"/>
    <mergeCell ref="G1399:G1401"/>
    <mergeCell ref="H1399:H1401"/>
    <mergeCell ref="I1399:I1401"/>
    <mergeCell ref="A1393:A1395"/>
    <mergeCell ref="B1393:B1395"/>
    <mergeCell ref="C1393:C1395"/>
    <mergeCell ref="D1393:D1395"/>
    <mergeCell ref="F1393:F1395"/>
    <mergeCell ref="G1393:G1395"/>
    <mergeCell ref="J1387:J1389"/>
    <mergeCell ref="A1390:A1392"/>
    <mergeCell ref="B1390:B1392"/>
    <mergeCell ref="C1390:C1392"/>
    <mergeCell ref="D1390:D1392"/>
    <mergeCell ref="F1390:F1392"/>
    <mergeCell ref="G1390:G1392"/>
    <mergeCell ref="H1390:H1392"/>
    <mergeCell ref="I1390:I1392"/>
    <mergeCell ref="J1390:J1392"/>
    <mergeCell ref="I1385:I1386"/>
    <mergeCell ref="J1385:J1386"/>
    <mergeCell ref="A1387:A1389"/>
    <mergeCell ref="B1387:B1389"/>
    <mergeCell ref="C1387:C1389"/>
    <mergeCell ref="D1387:D1389"/>
    <mergeCell ref="F1387:F1389"/>
    <mergeCell ref="G1387:G1389"/>
    <mergeCell ref="H1387:H1389"/>
    <mergeCell ref="I1387:I1389"/>
    <mergeCell ref="H1383:H1384"/>
    <mergeCell ref="I1383:I1384"/>
    <mergeCell ref="J1383:J1384"/>
    <mergeCell ref="A1385:A1386"/>
    <mergeCell ref="B1385:B1386"/>
    <mergeCell ref="C1385:C1386"/>
    <mergeCell ref="E1385:E1386"/>
    <mergeCell ref="F1385:F1386"/>
    <mergeCell ref="G1385:G1386"/>
    <mergeCell ref="H1385:H1386"/>
    <mergeCell ref="A1383:A1384"/>
    <mergeCell ref="B1383:B1384"/>
    <mergeCell ref="C1383:C1384"/>
    <mergeCell ref="E1383:E1384"/>
    <mergeCell ref="F1383:F1384"/>
    <mergeCell ref="G1383:G1384"/>
    <mergeCell ref="J1377:J1379"/>
    <mergeCell ref="A1380:A1381"/>
    <mergeCell ref="C1380:C1381"/>
    <mergeCell ref="D1380:D1381"/>
    <mergeCell ref="E1380:E1381"/>
    <mergeCell ref="F1380:F1381"/>
    <mergeCell ref="G1380:G1381"/>
    <mergeCell ref="H1380:H1381"/>
    <mergeCell ref="I1380:I1381"/>
    <mergeCell ref="J1380:J1381"/>
    <mergeCell ref="I1365:I1369"/>
    <mergeCell ref="J1365:J1369"/>
    <mergeCell ref="A1377:A1379"/>
    <mergeCell ref="C1377:C1379"/>
    <mergeCell ref="D1377:D1379"/>
    <mergeCell ref="E1377:E1379"/>
    <mergeCell ref="F1377:F1379"/>
    <mergeCell ref="G1377:G1379"/>
    <mergeCell ref="H1377:H1379"/>
    <mergeCell ref="I1377:I1379"/>
    <mergeCell ref="H1360:H1364"/>
    <mergeCell ref="I1360:I1364"/>
    <mergeCell ref="J1360:J1364"/>
    <mergeCell ref="A1365:A1369"/>
    <mergeCell ref="C1365:C1369"/>
    <mergeCell ref="D1365:D1369"/>
    <mergeCell ref="E1365:E1369"/>
    <mergeCell ref="F1365:F1369"/>
    <mergeCell ref="G1365:G1369"/>
    <mergeCell ref="H1365:H1369"/>
    <mergeCell ref="A1360:A1364"/>
    <mergeCell ref="C1360:C1364"/>
    <mergeCell ref="D1360:D1364"/>
    <mergeCell ref="E1360:E1364"/>
    <mergeCell ref="F1360:F1364"/>
    <mergeCell ref="G1360:G1364"/>
    <mergeCell ref="J1351:J1355"/>
    <mergeCell ref="A1356:A1357"/>
    <mergeCell ref="C1356:C1357"/>
    <mergeCell ref="D1356:D1357"/>
    <mergeCell ref="E1356:E1357"/>
    <mergeCell ref="F1356:F1357"/>
    <mergeCell ref="G1356:G1357"/>
    <mergeCell ref="H1356:H1357"/>
    <mergeCell ref="I1356:I1357"/>
    <mergeCell ref="J1356:J1357"/>
    <mergeCell ref="I1344:I1345"/>
    <mergeCell ref="J1344:J1345"/>
    <mergeCell ref="A1351:A1355"/>
    <mergeCell ref="C1351:C1355"/>
    <mergeCell ref="D1351:D1355"/>
    <mergeCell ref="E1351:E1355"/>
    <mergeCell ref="F1351:F1355"/>
    <mergeCell ref="G1351:G1355"/>
    <mergeCell ref="H1351:H1355"/>
    <mergeCell ref="I1351:I1355"/>
    <mergeCell ref="H1340:H1343"/>
    <mergeCell ref="I1340:I1343"/>
    <mergeCell ref="J1340:J1343"/>
    <mergeCell ref="A1344:A1345"/>
    <mergeCell ref="B1344:B1345"/>
    <mergeCell ref="C1344:C1345"/>
    <mergeCell ref="D1344:D1345"/>
    <mergeCell ref="F1344:F1345"/>
    <mergeCell ref="G1344:G1345"/>
    <mergeCell ref="H1344:H1345"/>
    <mergeCell ref="A1340:A1343"/>
    <mergeCell ref="C1340:C1343"/>
    <mergeCell ref="D1340:D1343"/>
    <mergeCell ref="E1340:E1343"/>
    <mergeCell ref="F1340:F1343"/>
    <mergeCell ref="G1340:G1343"/>
    <mergeCell ref="J1332:J1335"/>
    <mergeCell ref="A1336:A1339"/>
    <mergeCell ref="C1336:C1339"/>
    <mergeCell ref="D1336:D1339"/>
    <mergeCell ref="E1336:E1339"/>
    <mergeCell ref="F1336:F1339"/>
    <mergeCell ref="G1336:G1339"/>
    <mergeCell ref="H1336:H1339"/>
    <mergeCell ref="I1336:I1339"/>
    <mergeCell ref="J1336:J1339"/>
    <mergeCell ref="I1328:I1331"/>
    <mergeCell ref="J1328:J1331"/>
    <mergeCell ref="A1332:A1335"/>
    <mergeCell ref="C1332:C1335"/>
    <mergeCell ref="D1332:D1335"/>
    <mergeCell ref="E1332:E1335"/>
    <mergeCell ref="F1332:F1335"/>
    <mergeCell ref="G1332:G1335"/>
    <mergeCell ref="H1332:H1335"/>
    <mergeCell ref="I1332:I1335"/>
    <mergeCell ref="H1324:H1327"/>
    <mergeCell ref="I1324:I1327"/>
    <mergeCell ref="J1324:J1327"/>
    <mergeCell ref="A1328:A1331"/>
    <mergeCell ref="C1328:C1331"/>
    <mergeCell ref="D1328:D1331"/>
    <mergeCell ref="E1328:E1331"/>
    <mergeCell ref="F1328:F1331"/>
    <mergeCell ref="G1328:G1331"/>
    <mergeCell ref="H1328:H1331"/>
    <mergeCell ref="A1324:A1327"/>
    <mergeCell ref="C1324:C1327"/>
    <mergeCell ref="D1324:D1327"/>
    <mergeCell ref="E1324:E1327"/>
    <mergeCell ref="F1324:F1327"/>
    <mergeCell ref="G1324:G1327"/>
    <mergeCell ref="J1314:J1316"/>
    <mergeCell ref="A1317:A1319"/>
    <mergeCell ref="C1317:C1319"/>
    <mergeCell ref="D1317:D1319"/>
    <mergeCell ref="E1317:E1319"/>
    <mergeCell ref="F1317:F1319"/>
    <mergeCell ref="G1317:G1319"/>
    <mergeCell ref="H1317:H1319"/>
    <mergeCell ref="I1317:I1319"/>
    <mergeCell ref="J1317:J1319"/>
    <mergeCell ref="I1307:I1309"/>
    <mergeCell ref="J1307:J1309"/>
    <mergeCell ref="A1314:A1316"/>
    <mergeCell ref="C1314:C1316"/>
    <mergeCell ref="D1314:D1316"/>
    <mergeCell ref="E1314:E1316"/>
    <mergeCell ref="F1314:F1316"/>
    <mergeCell ref="G1314:G1316"/>
    <mergeCell ref="H1314:H1316"/>
    <mergeCell ref="I1314:I1316"/>
    <mergeCell ref="A1307:A1309"/>
    <mergeCell ref="C1307:C1309"/>
    <mergeCell ref="E1307:E1309"/>
    <mergeCell ref="F1307:F1309"/>
    <mergeCell ref="G1307:G1309"/>
    <mergeCell ref="H1307:H1309"/>
    <mergeCell ref="J1300:J1302"/>
    <mergeCell ref="A1303:A1305"/>
    <mergeCell ref="C1303:C1305"/>
    <mergeCell ref="D1303:D1305"/>
    <mergeCell ref="E1303:E1305"/>
    <mergeCell ref="F1303:F1305"/>
    <mergeCell ref="G1303:G1305"/>
    <mergeCell ref="H1303:H1305"/>
    <mergeCell ref="I1303:I1305"/>
    <mergeCell ref="J1303:J1305"/>
    <mergeCell ref="H1296:H1298"/>
    <mergeCell ref="I1296:I1298"/>
    <mergeCell ref="J1296:J1298"/>
    <mergeCell ref="A1300:A1302"/>
    <mergeCell ref="C1300:C1302"/>
    <mergeCell ref="E1300:E1302"/>
    <mergeCell ref="F1300:F1302"/>
    <mergeCell ref="G1300:G1302"/>
    <mergeCell ref="H1300:H1302"/>
    <mergeCell ref="I1300:I1302"/>
    <mergeCell ref="A1296:A1298"/>
    <mergeCell ref="C1296:C1298"/>
    <mergeCell ref="D1296:D1298"/>
    <mergeCell ref="E1296:E1298"/>
    <mergeCell ref="F1296:F1298"/>
    <mergeCell ref="G1296:G1298"/>
    <mergeCell ref="J1290:J1291"/>
    <mergeCell ref="A1292:A1294"/>
    <mergeCell ref="C1292:C1294"/>
    <mergeCell ref="D1292:D1294"/>
    <mergeCell ref="E1292:E1294"/>
    <mergeCell ref="F1292:F1294"/>
    <mergeCell ref="G1292:G1294"/>
    <mergeCell ref="H1292:H1294"/>
    <mergeCell ref="I1292:I1294"/>
    <mergeCell ref="J1292:J1294"/>
    <mergeCell ref="I1288:I1289"/>
    <mergeCell ref="J1288:J1289"/>
    <mergeCell ref="A1290:A1291"/>
    <mergeCell ref="C1290:C1291"/>
    <mergeCell ref="D1290:D1291"/>
    <mergeCell ref="E1290:E1291"/>
    <mergeCell ref="F1290:F1291"/>
    <mergeCell ref="G1290:G1291"/>
    <mergeCell ref="H1290:H1291"/>
    <mergeCell ref="I1290:I1291"/>
    <mergeCell ref="H1286:H1287"/>
    <mergeCell ref="I1286:I1287"/>
    <mergeCell ref="J1286:J1287"/>
    <mergeCell ref="A1288:A1289"/>
    <mergeCell ref="B1288:B1289"/>
    <mergeCell ref="C1288:C1289"/>
    <mergeCell ref="E1288:E1289"/>
    <mergeCell ref="F1288:F1289"/>
    <mergeCell ref="G1288:G1289"/>
    <mergeCell ref="H1288:H1289"/>
    <mergeCell ref="A1286:A1287"/>
    <mergeCell ref="B1286:B1287"/>
    <mergeCell ref="C1286:C1287"/>
    <mergeCell ref="E1286:E1287"/>
    <mergeCell ref="F1286:F1287"/>
    <mergeCell ref="G1286:G1287"/>
    <mergeCell ref="J1280:J1282"/>
    <mergeCell ref="A1284:A1285"/>
    <mergeCell ref="C1284:C1285"/>
    <mergeCell ref="D1284:D1285"/>
    <mergeCell ref="E1284:E1285"/>
    <mergeCell ref="F1284:F1285"/>
    <mergeCell ref="G1284:G1285"/>
    <mergeCell ref="H1284:H1285"/>
    <mergeCell ref="I1284:I1285"/>
    <mergeCell ref="J1284:J1285"/>
    <mergeCell ref="I1277:I1279"/>
    <mergeCell ref="J1277:J1279"/>
    <mergeCell ref="A1280:A1282"/>
    <mergeCell ref="C1280:C1282"/>
    <mergeCell ref="D1280:D1282"/>
    <mergeCell ref="E1280:E1282"/>
    <mergeCell ref="F1280:F1282"/>
    <mergeCell ref="G1280:G1282"/>
    <mergeCell ref="H1280:H1282"/>
    <mergeCell ref="I1280:I1282"/>
    <mergeCell ref="H1275:H1276"/>
    <mergeCell ref="I1275:I1276"/>
    <mergeCell ref="J1275:J1276"/>
    <mergeCell ref="A1277:A1279"/>
    <mergeCell ref="C1277:C1279"/>
    <mergeCell ref="D1277:D1279"/>
    <mergeCell ref="E1277:E1279"/>
    <mergeCell ref="F1277:F1279"/>
    <mergeCell ref="G1277:G1279"/>
    <mergeCell ref="H1277:H1279"/>
    <mergeCell ref="A1275:A1276"/>
    <mergeCell ref="C1275:C1276"/>
    <mergeCell ref="D1275:D1276"/>
    <mergeCell ref="E1275:E1276"/>
    <mergeCell ref="F1275:F1276"/>
    <mergeCell ref="G1275:G1276"/>
    <mergeCell ref="J1269:J1271"/>
    <mergeCell ref="A1272:A1274"/>
    <mergeCell ref="C1272:C1274"/>
    <mergeCell ref="D1272:D1274"/>
    <mergeCell ref="E1272:E1274"/>
    <mergeCell ref="F1272:F1274"/>
    <mergeCell ref="G1272:G1274"/>
    <mergeCell ref="H1272:H1274"/>
    <mergeCell ref="I1272:I1274"/>
    <mergeCell ref="J1272:J1274"/>
    <mergeCell ref="I1267:I1268"/>
    <mergeCell ref="J1267:J1268"/>
    <mergeCell ref="A1269:A1271"/>
    <mergeCell ref="C1269:C1271"/>
    <mergeCell ref="D1269:D1271"/>
    <mergeCell ref="E1269:E1271"/>
    <mergeCell ref="F1269:F1271"/>
    <mergeCell ref="G1269:G1271"/>
    <mergeCell ref="H1269:H1271"/>
    <mergeCell ref="I1269:I1271"/>
    <mergeCell ref="H1264:H1266"/>
    <mergeCell ref="I1264:I1266"/>
    <mergeCell ref="J1264:J1266"/>
    <mergeCell ref="A1267:A1268"/>
    <mergeCell ref="B1267:B1268"/>
    <mergeCell ref="C1267:C1268"/>
    <mergeCell ref="E1267:E1268"/>
    <mergeCell ref="F1267:F1268"/>
    <mergeCell ref="G1267:G1268"/>
    <mergeCell ref="H1267:H1268"/>
    <mergeCell ref="A1264:A1266"/>
    <mergeCell ref="C1264:C1266"/>
    <mergeCell ref="D1264:D1266"/>
    <mergeCell ref="E1264:E1266"/>
    <mergeCell ref="F1264:F1266"/>
    <mergeCell ref="G1264:G1266"/>
    <mergeCell ref="J1257:J1258"/>
    <mergeCell ref="A1261:A1262"/>
    <mergeCell ref="C1261:C1262"/>
    <mergeCell ref="D1261:D1262"/>
    <mergeCell ref="E1261:E1262"/>
    <mergeCell ref="F1261:F1262"/>
    <mergeCell ref="G1261:G1262"/>
    <mergeCell ref="H1261:H1262"/>
    <mergeCell ref="I1261:I1262"/>
    <mergeCell ref="J1261:J1262"/>
    <mergeCell ref="I1254:I1255"/>
    <mergeCell ref="J1254:J1255"/>
    <mergeCell ref="A1257:A1258"/>
    <mergeCell ref="C1257:C1258"/>
    <mergeCell ref="D1257:D1258"/>
    <mergeCell ref="E1257:E1258"/>
    <mergeCell ref="F1257:F1258"/>
    <mergeCell ref="G1257:G1258"/>
    <mergeCell ref="H1257:H1258"/>
    <mergeCell ref="I1257:I1258"/>
    <mergeCell ref="H1252:H1253"/>
    <mergeCell ref="I1252:I1253"/>
    <mergeCell ref="J1252:J1253"/>
    <mergeCell ref="A1254:A1255"/>
    <mergeCell ref="C1254:C1255"/>
    <mergeCell ref="D1254:D1255"/>
    <mergeCell ref="E1254:E1255"/>
    <mergeCell ref="F1254:F1255"/>
    <mergeCell ref="G1254:G1255"/>
    <mergeCell ref="H1254:H1255"/>
    <mergeCell ref="A1252:A1253"/>
    <mergeCell ref="C1252:C1253"/>
    <mergeCell ref="D1252:D1253"/>
    <mergeCell ref="E1252:E1253"/>
    <mergeCell ref="F1252:F1253"/>
    <mergeCell ref="G1252:G1253"/>
    <mergeCell ref="I1248:I1249"/>
    <mergeCell ref="J1248:J1249"/>
    <mergeCell ref="A1250:A1251"/>
    <mergeCell ref="C1250:C1251"/>
    <mergeCell ref="E1250:E1251"/>
    <mergeCell ref="F1250:F1251"/>
    <mergeCell ref="G1250:G1251"/>
    <mergeCell ref="H1250:H1251"/>
    <mergeCell ref="I1250:I1251"/>
    <mergeCell ref="J1250:J1251"/>
    <mergeCell ref="H1244:H1245"/>
    <mergeCell ref="I1244:I1245"/>
    <mergeCell ref="J1244:J1245"/>
    <mergeCell ref="A1248:A1249"/>
    <mergeCell ref="C1248:C1249"/>
    <mergeCell ref="D1248:D1249"/>
    <mergeCell ref="E1248:E1249"/>
    <mergeCell ref="F1248:F1249"/>
    <mergeCell ref="G1248:G1249"/>
    <mergeCell ref="H1248:H1249"/>
    <mergeCell ref="A1244:A1245"/>
    <mergeCell ref="C1244:C1245"/>
    <mergeCell ref="D1244:D1245"/>
    <mergeCell ref="E1244:E1245"/>
    <mergeCell ref="F1244:F1245"/>
    <mergeCell ref="G1244:G1245"/>
    <mergeCell ref="J1224:J1232"/>
    <mergeCell ref="A1236:A1238"/>
    <mergeCell ref="C1236:C1238"/>
    <mergeCell ref="D1236:D1238"/>
    <mergeCell ref="E1236:E1238"/>
    <mergeCell ref="F1236:F1238"/>
    <mergeCell ref="G1236:G1238"/>
    <mergeCell ref="H1236:H1238"/>
    <mergeCell ref="I1236:I1238"/>
    <mergeCell ref="J1236:J1238"/>
    <mergeCell ref="I1221:I1223"/>
    <mergeCell ref="J1221:J1223"/>
    <mergeCell ref="A1224:A1232"/>
    <mergeCell ref="C1224:C1232"/>
    <mergeCell ref="D1224:D1232"/>
    <mergeCell ref="E1224:E1232"/>
    <mergeCell ref="F1224:F1232"/>
    <mergeCell ref="G1224:G1232"/>
    <mergeCell ref="H1224:H1232"/>
    <mergeCell ref="I1224:I1232"/>
    <mergeCell ref="H1218:H1219"/>
    <mergeCell ref="I1218:I1219"/>
    <mergeCell ref="J1218:J1219"/>
    <mergeCell ref="A1221:A1223"/>
    <mergeCell ref="C1221:C1223"/>
    <mergeCell ref="D1221:D1223"/>
    <mergeCell ref="E1221:E1223"/>
    <mergeCell ref="F1221:F1223"/>
    <mergeCell ref="G1221:G1223"/>
    <mergeCell ref="H1221:H1223"/>
    <mergeCell ref="A1218:A1219"/>
    <mergeCell ref="C1218:C1219"/>
    <mergeCell ref="D1218:D1219"/>
    <mergeCell ref="E1218:E1219"/>
    <mergeCell ref="F1218:F1219"/>
    <mergeCell ref="G1218:G1219"/>
    <mergeCell ref="J1212:J1213"/>
    <mergeCell ref="A1216:A1217"/>
    <mergeCell ref="C1216:C1217"/>
    <mergeCell ref="D1216:D1217"/>
    <mergeCell ref="E1216:E1217"/>
    <mergeCell ref="F1216:F1217"/>
    <mergeCell ref="G1216:G1217"/>
    <mergeCell ref="H1216:H1217"/>
    <mergeCell ref="I1216:I1217"/>
    <mergeCell ref="J1216:J1217"/>
    <mergeCell ref="I1209:I1210"/>
    <mergeCell ref="J1209:J1210"/>
    <mergeCell ref="A1212:A1213"/>
    <mergeCell ref="B1212:B1213"/>
    <mergeCell ref="C1212:C1213"/>
    <mergeCell ref="E1212:E1213"/>
    <mergeCell ref="F1212:F1213"/>
    <mergeCell ref="G1212:G1213"/>
    <mergeCell ref="H1212:H1213"/>
    <mergeCell ref="I1212:I1213"/>
    <mergeCell ref="H1203:H1204"/>
    <mergeCell ref="I1203:I1204"/>
    <mergeCell ref="J1203:J1204"/>
    <mergeCell ref="A1209:A1210"/>
    <mergeCell ref="B1209:B1210"/>
    <mergeCell ref="C1209:C1210"/>
    <mergeCell ref="E1209:E1210"/>
    <mergeCell ref="F1209:F1210"/>
    <mergeCell ref="G1209:G1210"/>
    <mergeCell ref="H1209:H1210"/>
    <mergeCell ref="A1203:A1204"/>
    <mergeCell ref="B1203:B1204"/>
    <mergeCell ref="C1203:C1204"/>
    <mergeCell ref="E1203:E1204"/>
    <mergeCell ref="F1203:F1204"/>
    <mergeCell ref="G1203:G1204"/>
    <mergeCell ref="J1195:J1196"/>
    <mergeCell ref="A1201:A1202"/>
    <mergeCell ref="C1201:C1202"/>
    <mergeCell ref="D1201:D1202"/>
    <mergeCell ref="E1201:E1202"/>
    <mergeCell ref="F1201:F1202"/>
    <mergeCell ref="G1201:G1202"/>
    <mergeCell ref="H1201:H1202"/>
    <mergeCell ref="I1201:I1202"/>
    <mergeCell ref="J1201:J1202"/>
    <mergeCell ref="I1193:I1194"/>
    <mergeCell ref="J1193:J1194"/>
    <mergeCell ref="A1195:A1196"/>
    <mergeCell ref="C1195:C1196"/>
    <mergeCell ref="D1195:D1196"/>
    <mergeCell ref="E1195:E1196"/>
    <mergeCell ref="F1195:F1196"/>
    <mergeCell ref="G1195:G1196"/>
    <mergeCell ref="H1195:H1196"/>
    <mergeCell ref="I1195:I1196"/>
    <mergeCell ref="H1182:H1189"/>
    <mergeCell ref="I1182:I1189"/>
    <mergeCell ref="J1182:J1189"/>
    <mergeCell ref="A1193:A1194"/>
    <mergeCell ref="B1193:B1194"/>
    <mergeCell ref="C1193:C1194"/>
    <mergeCell ref="D1193:D1194"/>
    <mergeCell ref="F1193:F1194"/>
    <mergeCell ref="G1193:G1194"/>
    <mergeCell ref="H1193:H1194"/>
    <mergeCell ref="A1182:A1189"/>
    <mergeCell ref="C1182:C1189"/>
    <mergeCell ref="D1182:D1189"/>
    <mergeCell ref="E1182:E1189"/>
    <mergeCell ref="F1182:F1189"/>
    <mergeCell ref="G1182:G1189"/>
    <mergeCell ref="J1165:J1173"/>
    <mergeCell ref="A1174:A1181"/>
    <mergeCell ref="C1174:C1181"/>
    <mergeCell ref="D1174:D1181"/>
    <mergeCell ref="E1174:E1181"/>
    <mergeCell ref="F1174:F1181"/>
    <mergeCell ref="G1174:G1181"/>
    <mergeCell ref="H1174:H1181"/>
    <mergeCell ref="I1174:I1181"/>
    <mergeCell ref="J1174:J1181"/>
    <mergeCell ref="I1163:I1164"/>
    <mergeCell ref="J1163:J1164"/>
    <mergeCell ref="A1165:A1173"/>
    <mergeCell ref="C1165:C1173"/>
    <mergeCell ref="D1165:D1173"/>
    <mergeCell ref="E1165:E1173"/>
    <mergeCell ref="F1165:F1173"/>
    <mergeCell ref="G1165:G1173"/>
    <mergeCell ref="H1165:H1173"/>
    <mergeCell ref="I1165:I1173"/>
    <mergeCell ref="H1153:H1161"/>
    <mergeCell ref="I1153:I1161"/>
    <mergeCell ref="J1153:J1161"/>
    <mergeCell ref="A1163:A1164"/>
    <mergeCell ref="C1163:C1164"/>
    <mergeCell ref="D1163:D1164"/>
    <mergeCell ref="E1163:E1164"/>
    <mergeCell ref="F1163:F1164"/>
    <mergeCell ref="G1163:G1164"/>
    <mergeCell ref="H1163:H1164"/>
    <mergeCell ref="A1153:A1161"/>
    <mergeCell ref="C1153:C1161"/>
    <mergeCell ref="D1153:D1161"/>
    <mergeCell ref="E1153:E1161"/>
    <mergeCell ref="F1153:F1161"/>
    <mergeCell ref="G1153:G1161"/>
    <mergeCell ref="J1149:J1150"/>
    <mergeCell ref="A1151:A1152"/>
    <mergeCell ref="C1151:C1152"/>
    <mergeCell ref="D1151:D1152"/>
    <mergeCell ref="E1151:E1152"/>
    <mergeCell ref="F1151:F1152"/>
    <mergeCell ref="G1151:G1152"/>
    <mergeCell ref="H1151:H1152"/>
    <mergeCell ref="I1151:I1152"/>
    <mergeCell ref="J1151:J1152"/>
    <mergeCell ref="I1142:I1144"/>
    <mergeCell ref="J1142:J1144"/>
    <mergeCell ref="A1149:A1150"/>
    <mergeCell ref="C1149:C1150"/>
    <mergeCell ref="D1149:D1150"/>
    <mergeCell ref="E1149:E1150"/>
    <mergeCell ref="F1149:F1150"/>
    <mergeCell ref="G1149:G1150"/>
    <mergeCell ref="H1149:H1150"/>
    <mergeCell ref="I1149:I1150"/>
    <mergeCell ref="H1138:H1139"/>
    <mergeCell ref="I1138:I1139"/>
    <mergeCell ref="J1138:J1139"/>
    <mergeCell ref="A1142:A1144"/>
    <mergeCell ref="C1142:C1144"/>
    <mergeCell ref="D1142:D1144"/>
    <mergeCell ref="E1142:E1144"/>
    <mergeCell ref="F1142:F1144"/>
    <mergeCell ref="G1142:G1144"/>
    <mergeCell ref="H1142:H1144"/>
    <mergeCell ref="A1138:A1139"/>
    <mergeCell ref="C1138:C1139"/>
    <mergeCell ref="D1138:D1139"/>
    <mergeCell ref="E1138:E1139"/>
    <mergeCell ref="F1138:F1139"/>
    <mergeCell ref="G1138:G1139"/>
    <mergeCell ref="J1129:J1130"/>
    <mergeCell ref="A1132:A1133"/>
    <mergeCell ref="C1132:C1133"/>
    <mergeCell ref="D1132:D1133"/>
    <mergeCell ref="E1132:E1133"/>
    <mergeCell ref="F1132:F1133"/>
    <mergeCell ref="G1132:G1133"/>
    <mergeCell ref="H1132:H1133"/>
    <mergeCell ref="I1132:I1133"/>
    <mergeCell ref="J1132:J1133"/>
    <mergeCell ref="I1126:I1127"/>
    <mergeCell ref="J1126:J1127"/>
    <mergeCell ref="A1129:A1130"/>
    <mergeCell ref="C1129:C1130"/>
    <mergeCell ref="D1129:D1130"/>
    <mergeCell ref="E1129:E1130"/>
    <mergeCell ref="F1129:F1130"/>
    <mergeCell ref="G1129:G1130"/>
    <mergeCell ref="H1129:H1130"/>
    <mergeCell ref="I1129:I1130"/>
    <mergeCell ref="H1123:H1124"/>
    <mergeCell ref="I1123:I1124"/>
    <mergeCell ref="J1123:J1124"/>
    <mergeCell ref="A1126:A1127"/>
    <mergeCell ref="C1126:C1127"/>
    <mergeCell ref="D1126:D1127"/>
    <mergeCell ref="E1126:E1127"/>
    <mergeCell ref="F1126:F1127"/>
    <mergeCell ref="G1126:G1127"/>
    <mergeCell ref="H1126:H1127"/>
    <mergeCell ref="A1123:A1124"/>
    <mergeCell ref="C1123:C1124"/>
    <mergeCell ref="D1123:D1124"/>
    <mergeCell ref="E1123:E1124"/>
    <mergeCell ref="F1123:F1124"/>
    <mergeCell ref="G1123:G1124"/>
    <mergeCell ref="J1115:J1117"/>
    <mergeCell ref="A1120:A1121"/>
    <mergeCell ref="C1120:C1121"/>
    <mergeCell ref="D1120:D1121"/>
    <mergeCell ref="E1120:E1121"/>
    <mergeCell ref="F1120:F1121"/>
    <mergeCell ref="G1120:G1121"/>
    <mergeCell ref="H1120:H1121"/>
    <mergeCell ref="I1120:I1121"/>
    <mergeCell ref="J1120:J1121"/>
    <mergeCell ref="I1105:I1106"/>
    <mergeCell ref="J1105:J1106"/>
    <mergeCell ref="A1115:A1117"/>
    <mergeCell ref="C1115:C1117"/>
    <mergeCell ref="D1115:D1117"/>
    <mergeCell ref="E1115:E1117"/>
    <mergeCell ref="F1115:F1117"/>
    <mergeCell ref="G1115:G1117"/>
    <mergeCell ref="H1115:H1117"/>
    <mergeCell ref="I1115:I1117"/>
    <mergeCell ref="H1093:H1104"/>
    <mergeCell ref="I1093:I1104"/>
    <mergeCell ref="J1093:J1104"/>
    <mergeCell ref="A1105:A1106"/>
    <mergeCell ref="C1105:C1106"/>
    <mergeCell ref="D1105:D1106"/>
    <mergeCell ref="E1105:E1106"/>
    <mergeCell ref="F1105:F1106"/>
    <mergeCell ref="G1105:G1106"/>
    <mergeCell ref="H1105:H1106"/>
    <mergeCell ref="A1093:A1104"/>
    <mergeCell ref="C1093:C1104"/>
    <mergeCell ref="D1093:D1104"/>
    <mergeCell ref="E1093:E1104"/>
    <mergeCell ref="F1093:F1104"/>
    <mergeCell ref="G1093:G1104"/>
    <mergeCell ref="J1085:J1087"/>
    <mergeCell ref="A1090:A1091"/>
    <mergeCell ref="C1090:C1091"/>
    <mergeCell ref="D1090:D1091"/>
    <mergeCell ref="E1090:E1091"/>
    <mergeCell ref="F1090:F1091"/>
    <mergeCell ref="G1090:G1091"/>
    <mergeCell ref="H1090:H1091"/>
    <mergeCell ref="I1090:I1091"/>
    <mergeCell ref="J1090:J1091"/>
    <mergeCell ref="H1082:H1084"/>
    <mergeCell ref="I1082:I1084"/>
    <mergeCell ref="J1082:J1084"/>
    <mergeCell ref="A1085:A1087"/>
    <mergeCell ref="C1085:C1087"/>
    <mergeCell ref="E1085:E1087"/>
    <mergeCell ref="F1085:F1087"/>
    <mergeCell ref="G1085:G1087"/>
    <mergeCell ref="H1085:H1087"/>
    <mergeCell ref="I1085:I1087"/>
    <mergeCell ref="A1082:A1084"/>
    <mergeCell ref="C1082:C1084"/>
    <mergeCell ref="D1082:D1084"/>
    <mergeCell ref="E1082:E1084"/>
    <mergeCell ref="F1082:F1084"/>
    <mergeCell ref="G1082:G1084"/>
    <mergeCell ref="I1076:I1078"/>
    <mergeCell ref="J1076:J1078"/>
    <mergeCell ref="A1079:A1081"/>
    <mergeCell ref="C1079:C1081"/>
    <mergeCell ref="E1079:E1081"/>
    <mergeCell ref="F1079:F1081"/>
    <mergeCell ref="G1079:G1081"/>
    <mergeCell ref="H1079:H1081"/>
    <mergeCell ref="I1079:I1081"/>
    <mergeCell ref="J1079:J1081"/>
    <mergeCell ref="H1067:H1075"/>
    <mergeCell ref="I1067:I1075"/>
    <mergeCell ref="J1067:J1075"/>
    <mergeCell ref="A1076:A1078"/>
    <mergeCell ref="C1076:C1078"/>
    <mergeCell ref="D1076:D1078"/>
    <mergeCell ref="E1076:E1078"/>
    <mergeCell ref="F1076:F1078"/>
    <mergeCell ref="G1076:G1078"/>
    <mergeCell ref="H1076:H1078"/>
    <mergeCell ref="A1067:A1075"/>
    <mergeCell ref="C1067:C1075"/>
    <mergeCell ref="D1067:D1075"/>
    <mergeCell ref="E1067:E1075"/>
    <mergeCell ref="F1067:F1075"/>
    <mergeCell ref="G1067:G1075"/>
    <mergeCell ref="J1054:J1062"/>
    <mergeCell ref="A1065:A1066"/>
    <mergeCell ref="C1065:C1066"/>
    <mergeCell ref="D1065:D1066"/>
    <mergeCell ref="E1065:E1066"/>
    <mergeCell ref="F1065:F1066"/>
    <mergeCell ref="G1065:G1066"/>
    <mergeCell ref="H1065:H1066"/>
    <mergeCell ref="I1065:I1066"/>
    <mergeCell ref="J1065:J1066"/>
    <mergeCell ref="I1051:I1052"/>
    <mergeCell ref="J1051:J1052"/>
    <mergeCell ref="A1054:A1062"/>
    <mergeCell ref="C1054:C1062"/>
    <mergeCell ref="D1054:D1062"/>
    <mergeCell ref="E1054:E1062"/>
    <mergeCell ref="F1054:F1062"/>
    <mergeCell ref="G1054:G1062"/>
    <mergeCell ref="H1054:H1062"/>
    <mergeCell ref="I1054:I1062"/>
    <mergeCell ref="H1048:H1049"/>
    <mergeCell ref="I1048:I1049"/>
    <mergeCell ref="J1048:J1049"/>
    <mergeCell ref="A1051:A1052"/>
    <mergeCell ref="C1051:C1052"/>
    <mergeCell ref="D1051:D1052"/>
    <mergeCell ref="E1051:E1052"/>
    <mergeCell ref="F1051:F1052"/>
    <mergeCell ref="G1051:G1052"/>
    <mergeCell ref="H1051:H1052"/>
    <mergeCell ref="A1048:A1049"/>
    <mergeCell ref="C1048:C1049"/>
    <mergeCell ref="D1048:D1049"/>
    <mergeCell ref="E1048:E1049"/>
    <mergeCell ref="F1048:F1049"/>
    <mergeCell ref="G1048:G1049"/>
    <mergeCell ref="J1037:J1039"/>
    <mergeCell ref="A1045:A1046"/>
    <mergeCell ref="C1045:C1046"/>
    <mergeCell ref="D1045:D1046"/>
    <mergeCell ref="E1045:E1046"/>
    <mergeCell ref="F1045:F1046"/>
    <mergeCell ref="G1045:G1046"/>
    <mergeCell ref="H1045:H1046"/>
    <mergeCell ref="I1045:I1046"/>
    <mergeCell ref="J1045:J1046"/>
    <mergeCell ref="I1029:I1031"/>
    <mergeCell ref="J1029:J1031"/>
    <mergeCell ref="A1037:A1039"/>
    <mergeCell ref="C1037:C1039"/>
    <mergeCell ref="D1037:D1039"/>
    <mergeCell ref="E1037:E1039"/>
    <mergeCell ref="F1037:F1039"/>
    <mergeCell ref="G1037:G1039"/>
    <mergeCell ref="H1037:H1039"/>
    <mergeCell ref="I1037:I1039"/>
    <mergeCell ref="H1022:H1024"/>
    <mergeCell ref="I1022:I1024"/>
    <mergeCell ref="J1022:J1024"/>
    <mergeCell ref="A1029:A1031"/>
    <mergeCell ref="C1029:C1031"/>
    <mergeCell ref="D1029:D1031"/>
    <mergeCell ref="E1029:E1031"/>
    <mergeCell ref="F1029:F1031"/>
    <mergeCell ref="G1029:G1031"/>
    <mergeCell ref="H1029:H1031"/>
    <mergeCell ref="A1022:A1024"/>
    <mergeCell ref="C1022:C1024"/>
    <mergeCell ref="D1022:D1024"/>
    <mergeCell ref="E1022:E1024"/>
    <mergeCell ref="F1022:F1024"/>
    <mergeCell ref="G1022:G1024"/>
    <mergeCell ref="J1013:J1014"/>
    <mergeCell ref="A1015:A1017"/>
    <mergeCell ref="C1015:C1017"/>
    <mergeCell ref="D1015:D1017"/>
    <mergeCell ref="E1015:E1017"/>
    <mergeCell ref="F1015:F1017"/>
    <mergeCell ref="G1015:G1017"/>
    <mergeCell ref="H1015:H1017"/>
    <mergeCell ref="I1015:I1017"/>
    <mergeCell ref="J1015:J1017"/>
    <mergeCell ref="I1007:I1009"/>
    <mergeCell ref="J1007:J1009"/>
    <mergeCell ref="A1013:A1014"/>
    <mergeCell ref="C1013:C1014"/>
    <mergeCell ref="D1013:D1014"/>
    <mergeCell ref="E1013:E1014"/>
    <mergeCell ref="F1013:F1014"/>
    <mergeCell ref="G1013:G1014"/>
    <mergeCell ref="H1013:H1014"/>
    <mergeCell ref="I1013:I1014"/>
    <mergeCell ref="A1007:A1009"/>
    <mergeCell ref="C1007:C1009"/>
    <mergeCell ref="E1007:E1009"/>
    <mergeCell ref="F1007:F1009"/>
    <mergeCell ref="G1007:G1009"/>
    <mergeCell ref="H1007:H1009"/>
    <mergeCell ref="J995:J1003"/>
    <mergeCell ref="A1004:A1006"/>
    <mergeCell ref="C1004:C1006"/>
    <mergeCell ref="D1004:D1006"/>
    <mergeCell ref="E1004:E1006"/>
    <mergeCell ref="F1004:F1006"/>
    <mergeCell ref="G1004:G1006"/>
    <mergeCell ref="H1004:H1006"/>
    <mergeCell ref="I1004:I1006"/>
    <mergeCell ref="J1004:J1006"/>
    <mergeCell ref="I993:I994"/>
    <mergeCell ref="J993:J994"/>
    <mergeCell ref="A995:A1003"/>
    <mergeCell ref="C995:C1003"/>
    <mergeCell ref="D995:D1003"/>
    <mergeCell ref="E995:E1003"/>
    <mergeCell ref="F995:F1003"/>
    <mergeCell ref="G995:G1003"/>
    <mergeCell ref="H995:H1003"/>
    <mergeCell ref="I995:I1003"/>
    <mergeCell ref="H979:H987"/>
    <mergeCell ref="I979:I987"/>
    <mergeCell ref="J979:J987"/>
    <mergeCell ref="A993:A994"/>
    <mergeCell ref="C993:C994"/>
    <mergeCell ref="D993:D994"/>
    <mergeCell ref="E993:E994"/>
    <mergeCell ref="F993:F994"/>
    <mergeCell ref="G993:G994"/>
    <mergeCell ref="H993:H994"/>
    <mergeCell ref="A979:A987"/>
    <mergeCell ref="C979:C987"/>
    <mergeCell ref="D979:D987"/>
    <mergeCell ref="E979:E987"/>
    <mergeCell ref="F979:F987"/>
    <mergeCell ref="G979:G987"/>
    <mergeCell ref="J973:J975"/>
    <mergeCell ref="A976:A977"/>
    <mergeCell ref="C976:C977"/>
    <mergeCell ref="D976:D977"/>
    <mergeCell ref="E976:E977"/>
    <mergeCell ref="F976:F977"/>
    <mergeCell ref="G976:G977"/>
    <mergeCell ref="H976:H977"/>
    <mergeCell ref="I976:I977"/>
    <mergeCell ref="J976:J977"/>
    <mergeCell ref="I968:I970"/>
    <mergeCell ref="J968:J970"/>
    <mergeCell ref="A973:A975"/>
    <mergeCell ref="C973:C975"/>
    <mergeCell ref="D973:D975"/>
    <mergeCell ref="E973:E975"/>
    <mergeCell ref="F973:F975"/>
    <mergeCell ref="G973:G975"/>
    <mergeCell ref="H973:H975"/>
    <mergeCell ref="I973:I975"/>
    <mergeCell ref="H966:H967"/>
    <mergeCell ref="I966:I967"/>
    <mergeCell ref="J966:J967"/>
    <mergeCell ref="A968:A970"/>
    <mergeCell ref="C968:C970"/>
    <mergeCell ref="D968:D970"/>
    <mergeCell ref="E968:E970"/>
    <mergeCell ref="F968:F970"/>
    <mergeCell ref="G968:G970"/>
    <mergeCell ref="H968:H970"/>
    <mergeCell ref="A966:A967"/>
    <mergeCell ref="C966:C967"/>
    <mergeCell ref="D966:D967"/>
    <mergeCell ref="E966:E967"/>
    <mergeCell ref="F966:F967"/>
    <mergeCell ref="G966:G967"/>
    <mergeCell ref="J951:J959"/>
    <mergeCell ref="A961:A962"/>
    <mergeCell ref="C961:C962"/>
    <mergeCell ref="D961:D962"/>
    <mergeCell ref="E961:E962"/>
    <mergeCell ref="F961:F962"/>
    <mergeCell ref="G961:G962"/>
    <mergeCell ref="H961:H962"/>
    <mergeCell ref="I961:I962"/>
    <mergeCell ref="J961:J962"/>
    <mergeCell ref="I946:I949"/>
    <mergeCell ref="J946:J949"/>
    <mergeCell ref="A951:A959"/>
    <mergeCell ref="C951:C959"/>
    <mergeCell ref="D951:D959"/>
    <mergeCell ref="E951:E959"/>
    <mergeCell ref="F951:F959"/>
    <mergeCell ref="G951:G959"/>
    <mergeCell ref="H951:H959"/>
    <mergeCell ref="I951:I959"/>
    <mergeCell ref="H944:H945"/>
    <mergeCell ref="I944:I945"/>
    <mergeCell ref="J944:J945"/>
    <mergeCell ref="A946:A949"/>
    <mergeCell ref="C946:C949"/>
    <mergeCell ref="D946:D949"/>
    <mergeCell ref="E946:E949"/>
    <mergeCell ref="F946:F949"/>
    <mergeCell ref="G946:G949"/>
    <mergeCell ref="H946:H949"/>
    <mergeCell ref="A944:A945"/>
    <mergeCell ref="C944:C945"/>
    <mergeCell ref="D944:D945"/>
    <mergeCell ref="E944:E945"/>
    <mergeCell ref="F944:F945"/>
    <mergeCell ref="G944:G945"/>
    <mergeCell ref="J940:J941"/>
    <mergeCell ref="A942:A943"/>
    <mergeCell ref="C942:C943"/>
    <mergeCell ref="D942:D943"/>
    <mergeCell ref="E942:E943"/>
    <mergeCell ref="F942:F943"/>
    <mergeCell ref="G942:G943"/>
    <mergeCell ref="H942:H943"/>
    <mergeCell ref="I942:I943"/>
    <mergeCell ref="J942:J943"/>
    <mergeCell ref="I938:I939"/>
    <mergeCell ref="J938:J939"/>
    <mergeCell ref="A940:A941"/>
    <mergeCell ref="C940:C941"/>
    <mergeCell ref="D940:D941"/>
    <mergeCell ref="E940:E941"/>
    <mergeCell ref="F940:F941"/>
    <mergeCell ref="G940:G941"/>
    <mergeCell ref="H940:H941"/>
    <mergeCell ref="I940:I941"/>
    <mergeCell ref="H932:H934"/>
    <mergeCell ref="I932:I934"/>
    <mergeCell ref="J932:J934"/>
    <mergeCell ref="A938:A939"/>
    <mergeCell ref="C938:C939"/>
    <mergeCell ref="D938:D939"/>
    <mergeCell ref="E938:E939"/>
    <mergeCell ref="F938:F939"/>
    <mergeCell ref="G938:G939"/>
    <mergeCell ref="H938:H939"/>
    <mergeCell ref="A932:A934"/>
    <mergeCell ref="C932:C934"/>
    <mergeCell ref="D932:D934"/>
    <mergeCell ref="E932:E934"/>
    <mergeCell ref="F932:F934"/>
    <mergeCell ref="G932:G934"/>
    <mergeCell ref="J928:J929"/>
    <mergeCell ref="A930:A931"/>
    <mergeCell ref="C930:C931"/>
    <mergeCell ref="D930:D931"/>
    <mergeCell ref="E930:E931"/>
    <mergeCell ref="F930:F931"/>
    <mergeCell ref="G930:G931"/>
    <mergeCell ref="H930:H931"/>
    <mergeCell ref="I930:I931"/>
    <mergeCell ref="J930:J931"/>
    <mergeCell ref="I915:I922"/>
    <mergeCell ref="J915:J922"/>
    <mergeCell ref="A928:A929"/>
    <mergeCell ref="C928:C929"/>
    <mergeCell ref="D928:D929"/>
    <mergeCell ref="E928:E929"/>
    <mergeCell ref="F928:F929"/>
    <mergeCell ref="G928:G929"/>
    <mergeCell ref="H928:H929"/>
    <mergeCell ref="I928:I929"/>
    <mergeCell ref="H907:H914"/>
    <mergeCell ref="I907:I914"/>
    <mergeCell ref="J907:J914"/>
    <mergeCell ref="A915:A922"/>
    <mergeCell ref="C915:C922"/>
    <mergeCell ref="D915:D922"/>
    <mergeCell ref="E915:E922"/>
    <mergeCell ref="F915:F922"/>
    <mergeCell ref="G915:G922"/>
    <mergeCell ref="H915:H922"/>
    <mergeCell ref="A907:A914"/>
    <mergeCell ref="C907:C914"/>
    <mergeCell ref="D907:D914"/>
    <mergeCell ref="E907:E914"/>
    <mergeCell ref="F907:F914"/>
    <mergeCell ref="G907:G914"/>
    <mergeCell ref="J891:J898"/>
    <mergeCell ref="A899:A906"/>
    <mergeCell ref="C899:C906"/>
    <mergeCell ref="D899:D906"/>
    <mergeCell ref="E899:E906"/>
    <mergeCell ref="F899:F906"/>
    <mergeCell ref="G899:G906"/>
    <mergeCell ref="H899:H906"/>
    <mergeCell ref="I899:I906"/>
    <mergeCell ref="J899:J906"/>
    <mergeCell ref="I879:I890"/>
    <mergeCell ref="J879:J890"/>
    <mergeCell ref="A891:A898"/>
    <mergeCell ref="C891:C898"/>
    <mergeCell ref="D891:D898"/>
    <mergeCell ref="E891:E898"/>
    <mergeCell ref="F891:F898"/>
    <mergeCell ref="G891:G898"/>
    <mergeCell ref="H891:H898"/>
    <mergeCell ref="I891:I898"/>
    <mergeCell ref="H870:H877"/>
    <mergeCell ref="I870:I877"/>
    <mergeCell ref="J870:J877"/>
    <mergeCell ref="A879:A890"/>
    <mergeCell ref="C879:C890"/>
    <mergeCell ref="D879:D890"/>
    <mergeCell ref="E879:E890"/>
    <mergeCell ref="F879:F890"/>
    <mergeCell ref="G879:G890"/>
    <mergeCell ref="H879:H890"/>
    <mergeCell ref="A870:A877"/>
    <mergeCell ref="C870:C877"/>
    <mergeCell ref="D870:D877"/>
    <mergeCell ref="E870:E877"/>
    <mergeCell ref="F870:F877"/>
    <mergeCell ref="G870:G877"/>
    <mergeCell ref="J857:J858"/>
    <mergeCell ref="A859:A867"/>
    <mergeCell ref="C859:C867"/>
    <mergeCell ref="D859:D867"/>
    <mergeCell ref="E859:E867"/>
    <mergeCell ref="F859:F867"/>
    <mergeCell ref="G859:G867"/>
    <mergeCell ref="H859:H867"/>
    <mergeCell ref="I859:I867"/>
    <mergeCell ref="J859:J867"/>
    <mergeCell ref="I847:I854"/>
    <mergeCell ref="J847:J854"/>
    <mergeCell ref="A857:A858"/>
    <mergeCell ref="C857:C858"/>
    <mergeCell ref="D857:D858"/>
    <mergeCell ref="E857:E858"/>
    <mergeCell ref="F857:F858"/>
    <mergeCell ref="G857:G858"/>
    <mergeCell ref="H857:H858"/>
    <mergeCell ref="I857:I858"/>
    <mergeCell ref="H844:H845"/>
    <mergeCell ref="I844:I845"/>
    <mergeCell ref="J844:J845"/>
    <mergeCell ref="A847:A854"/>
    <mergeCell ref="C847:C854"/>
    <mergeCell ref="D847:D854"/>
    <mergeCell ref="E847:E854"/>
    <mergeCell ref="F847:F854"/>
    <mergeCell ref="G847:G854"/>
    <mergeCell ref="H847:H854"/>
    <mergeCell ref="A844:A845"/>
    <mergeCell ref="C844:C845"/>
    <mergeCell ref="D844:D845"/>
    <mergeCell ref="E844:E845"/>
    <mergeCell ref="F844:F845"/>
    <mergeCell ref="G844:G845"/>
    <mergeCell ref="J833:J834"/>
    <mergeCell ref="A835:A836"/>
    <mergeCell ref="C835:C836"/>
    <mergeCell ref="D835:D836"/>
    <mergeCell ref="E835:E836"/>
    <mergeCell ref="F835:F836"/>
    <mergeCell ref="G835:G836"/>
    <mergeCell ref="H835:H836"/>
    <mergeCell ref="I835:I836"/>
    <mergeCell ref="J835:J836"/>
    <mergeCell ref="I829:I831"/>
    <mergeCell ref="J829:J831"/>
    <mergeCell ref="A833:A834"/>
    <mergeCell ref="C833:C834"/>
    <mergeCell ref="D833:D834"/>
    <mergeCell ref="E833:E834"/>
    <mergeCell ref="F833:F834"/>
    <mergeCell ref="G833:G834"/>
    <mergeCell ref="H833:H834"/>
    <mergeCell ref="I833:I834"/>
    <mergeCell ref="H826:H828"/>
    <mergeCell ref="I826:I828"/>
    <mergeCell ref="J826:J828"/>
    <mergeCell ref="A829:A831"/>
    <mergeCell ref="C829:C831"/>
    <mergeCell ref="D829:D831"/>
    <mergeCell ref="E829:E831"/>
    <mergeCell ref="F829:F831"/>
    <mergeCell ref="G829:G831"/>
    <mergeCell ref="H829:H831"/>
    <mergeCell ref="A826:A828"/>
    <mergeCell ref="C826:C828"/>
    <mergeCell ref="D826:D828"/>
    <mergeCell ref="E826:E828"/>
    <mergeCell ref="F826:F828"/>
    <mergeCell ref="G826:G828"/>
    <mergeCell ref="J820:J822"/>
    <mergeCell ref="A823:A825"/>
    <mergeCell ref="C823:C825"/>
    <mergeCell ref="E823:E825"/>
    <mergeCell ref="F823:F825"/>
    <mergeCell ref="G823:G825"/>
    <mergeCell ref="H823:H825"/>
    <mergeCell ref="I823:I825"/>
    <mergeCell ref="J823:J825"/>
    <mergeCell ref="I817:I819"/>
    <mergeCell ref="J817:J819"/>
    <mergeCell ref="A820:A822"/>
    <mergeCell ref="C820:C822"/>
    <mergeCell ref="D820:D822"/>
    <mergeCell ref="E820:E822"/>
    <mergeCell ref="F820:F822"/>
    <mergeCell ref="G820:G822"/>
    <mergeCell ref="H820:H822"/>
    <mergeCell ref="I820:I822"/>
    <mergeCell ref="H814:H815"/>
    <mergeCell ref="I814:I815"/>
    <mergeCell ref="J814:J815"/>
    <mergeCell ref="A817:A819"/>
    <mergeCell ref="C817:C819"/>
    <mergeCell ref="D817:D819"/>
    <mergeCell ref="E817:E819"/>
    <mergeCell ref="F817:F819"/>
    <mergeCell ref="G817:G819"/>
    <mergeCell ref="H817:H819"/>
    <mergeCell ref="A814:A815"/>
    <mergeCell ref="B814:B815"/>
    <mergeCell ref="C814:C815"/>
    <mergeCell ref="E814:E815"/>
    <mergeCell ref="F814:F815"/>
    <mergeCell ref="G814:G815"/>
    <mergeCell ref="J808:J809"/>
    <mergeCell ref="A810:A811"/>
    <mergeCell ref="C810:C811"/>
    <mergeCell ref="D810:D811"/>
    <mergeCell ref="E810:E811"/>
    <mergeCell ref="F810:F811"/>
    <mergeCell ref="G810:G811"/>
    <mergeCell ref="H810:H811"/>
    <mergeCell ref="I810:I811"/>
    <mergeCell ref="J810:J811"/>
    <mergeCell ref="I805:I806"/>
    <mergeCell ref="J805:J806"/>
    <mergeCell ref="A808:A809"/>
    <mergeCell ref="C808:C809"/>
    <mergeCell ref="D808:D809"/>
    <mergeCell ref="E808:E809"/>
    <mergeCell ref="F808:F809"/>
    <mergeCell ref="G808:G809"/>
    <mergeCell ref="H808:H809"/>
    <mergeCell ref="I808:I809"/>
    <mergeCell ref="H802:H803"/>
    <mergeCell ref="I802:I803"/>
    <mergeCell ref="J802:J803"/>
    <mergeCell ref="A805:A806"/>
    <mergeCell ref="C805:C806"/>
    <mergeCell ref="D805:D806"/>
    <mergeCell ref="E805:E806"/>
    <mergeCell ref="F805:F806"/>
    <mergeCell ref="G805:G806"/>
    <mergeCell ref="H805:H806"/>
    <mergeCell ref="A802:A803"/>
    <mergeCell ref="C802:C803"/>
    <mergeCell ref="D802:D803"/>
    <mergeCell ref="E802:E803"/>
    <mergeCell ref="F802:F803"/>
    <mergeCell ref="G802:G803"/>
    <mergeCell ref="J795:J796"/>
    <mergeCell ref="A798:A799"/>
    <mergeCell ref="C798:C799"/>
    <mergeCell ref="D798:D799"/>
    <mergeCell ref="E798:E799"/>
    <mergeCell ref="F798:F799"/>
    <mergeCell ref="G798:G799"/>
    <mergeCell ref="H798:H799"/>
    <mergeCell ref="I798:I799"/>
    <mergeCell ref="J798:J799"/>
    <mergeCell ref="I792:I794"/>
    <mergeCell ref="J792:J794"/>
    <mergeCell ref="A795:A796"/>
    <mergeCell ref="C795:C796"/>
    <mergeCell ref="D795:D796"/>
    <mergeCell ref="E795:E796"/>
    <mergeCell ref="F795:F796"/>
    <mergeCell ref="G795:G796"/>
    <mergeCell ref="H795:H796"/>
    <mergeCell ref="I795:I796"/>
    <mergeCell ref="H790:H791"/>
    <mergeCell ref="I790:I791"/>
    <mergeCell ref="J790:J791"/>
    <mergeCell ref="A792:A794"/>
    <mergeCell ref="C792:C794"/>
    <mergeCell ref="D792:D794"/>
    <mergeCell ref="E792:E794"/>
    <mergeCell ref="F792:F794"/>
    <mergeCell ref="G792:G794"/>
    <mergeCell ref="H792:H794"/>
    <mergeCell ref="A790:A791"/>
    <mergeCell ref="C790:C791"/>
    <mergeCell ref="D790:D791"/>
    <mergeCell ref="E790:E791"/>
    <mergeCell ref="F790:F791"/>
    <mergeCell ref="G790:G791"/>
    <mergeCell ref="J786:J787"/>
    <mergeCell ref="A788:A789"/>
    <mergeCell ref="C788:C789"/>
    <mergeCell ref="D788:D789"/>
    <mergeCell ref="E788:E789"/>
    <mergeCell ref="F788:F789"/>
    <mergeCell ref="G788:G789"/>
    <mergeCell ref="H788:H789"/>
    <mergeCell ref="I788:I789"/>
    <mergeCell ref="J788:J789"/>
    <mergeCell ref="I777:I778"/>
    <mergeCell ref="J777:J778"/>
    <mergeCell ref="A786:A787"/>
    <mergeCell ref="C786:C787"/>
    <mergeCell ref="D786:D787"/>
    <mergeCell ref="E786:E787"/>
    <mergeCell ref="F786:F787"/>
    <mergeCell ref="G786:G787"/>
    <mergeCell ref="H786:H787"/>
    <mergeCell ref="I786:I787"/>
    <mergeCell ref="H756:H757"/>
    <mergeCell ref="I756:I757"/>
    <mergeCell ref="J756:J757"/>
    <mergeCell ref="A777:A778"/>
    <mergeCell ref="C777:C778"/>
    <mergeCell ref="D777:D778"/>
    <mergeCell ref="E777:E778"/>
    <mergeCell ref="F777:F778"/>
    <mergeCell ref="G777:G778"/>
    <mergeCell ref="H777:H778"/>
    <mergeCell ref="A756:A757"/>
    <mergeCell ref="C756:C757"/>
    <mergeCell ref="D756:D757"/>
    <mergeCell ref="E756:E757"/>
    <mergeCell ref="F756:F757"/>
    <mergeCell ref="G756:G757"/>
    <mergeCell ref="J738:J740"/>
    <mergeCell ref="A744:A745"/>
    <mergeCell ref="C744:C745"/>
    <mergeCell ref="E744:E745"/>
    <mergeCell ref="F744:F745"/>
    <mergeCell ref="G744:G745"/>
    <mergeCell ref="H744:H745"/>
    <mergeCell ref="I744:I745"/>
    <mergeCell ref="J744:J745"/>
    <mergeCell ref="I735:I737"/>
    <mergeCell ref="J735:J737"/>
    <mergeCell ref="A738:A740"/>
    <mergeCell ref="C738:C740"/>
    <mergeCell ref="D738:D740"/>
    <mergeCell ref="E738:E740"/>
    <mergeCell ref="F738:F740"/>
    <mergeCell ref="G738:G740"/>
    <mergeCell ref="H738:H740"/>
    <mergeCell ref="I738:I740"/>
    <mergeCell ref="H731:H733"/>
    <mergeCell ref="I731:I733"/>
    <mergeCell ref="J731:J733"/>
    <mergeCell ref="A735:A737"/>
    <mergeCell ref="C735:C737"/>
    <mergeCell ref="D735:D737"/>
    <mergeCell ref="E735:E737"/>
    <mergeCell ref="F735:F737"/>
    <mergeCell ref="G735:G737"/>
    <mergeCell ref="H735:H737"/>
    <mergeCell ref="A731:A733"/>
    <mergeCell ref="C731:C733"/>
    <mergeCell ref="D731:D733"/>
    <mergeCell ref="E731:E733"/>
    <mergeCell ref="F731:F733"/>
    <mergeCell ref="G731:G733"/>
    <mergeCell ref="J725:J727"/>
    <mergeCell ref="A728:A730"/>
    <mergeCell ref="C728:C730"/>
    <mergeCell ref="D728:D730"/>
    <mergeCell ref="E728:E730"/>
    <mergeCell ref="F728:F730"/>
    <mergeCell ref="G728:G730"/>
    <mergeCell ref="H728:H730"/>
    <mergeCell ref="I728:I730"/>
    <mergeCell ref="J728:J730"/>
    <mergeCell ref="I721:I723"/>
    <mergeCell ref="J721:J723"/>
    <mergeCell ref="A725:A727"/>
    <mergeCell ref="C725:C727"/>
    <mergeCell ref="D725:D727"/>
    <mergeCell ref="E725:E727"/>
    <mergeCell ref="F725:F727"/>
    <mergeCell ref="G725:G727"/>
    <mergeCell ref="H725:H727"/>
    <mergeCell ref="I725:I727"/>
    <mergeCell ref="H715:H718"/>
    <mergeCell ref="I715:I718"/>
    <mergeCell ref="J715:J718"/>
    <mergeCell ref="A721:A723"/>
    <mergeCell ref="C721:C723"/>
    <mergeCell ref="D721:D723"/>
    <mergeCell ref="E721:E723"/>
    <mergeCell ref="F721:F723"/>
    <mergeCell ref="G721:G723"/>
    <mergeCell ref="H721:H723"/>
    <mergeCell ref="A715:A718"/>
    <mergeCell ref="C715:C718"/>
    <mergeCell ref="D715:D718"/>
    <mergeCell ref="E715:E718"/>
    <mergeCell ref="F715:F718"/>
    <mergeCell ref="G715:G718"/>
    <mergeCell ref="J707:J710"/>
    <mergeCell ref="A711:A714"/>
    <mergeCell ref="C711:C714"/>
    <mergeCell ref="D711:D714"/>
    <mergeCell ref="E711:E714"/>
    <mergeCell ref="F711:F714"/>
    <mergeCell ref="G711:G714"/>
    <mergeCell ref="H711:H714"/>
    <mergeCell ref="I711:I714"/>
    <mergeCell ref="J711:J714"/>
    <mergeCell ref="I703:I706"/>
    <mergeCell ref="J703:J706"/>
    <mergeCell ref="A707:A710"/>
    <mergeCell ref="C707:C710"/>
    <mergeCell ref="D707:D710"/>
    <mergeCell ref="E707:E710"/>
    <mergeCell ref="F707:F710"/>
    <mergeCell ref="G707:G710"/>
    <mergeCell ref="H707:H710"/>
    <mergeCell ref="I707:I710"/>
    <mergeCell ref="H699:H702"/>
    <mergeCell ref="I699:I702"/>
    <mergeCell ref="J699:J702"/>
    <mergeCell ref="A703:A706"/>
    <mergeCell ref="C703:C706"/>
    <mergeCell ref="D703:D706"/>
    <mergeCell ref="E703:E706"/>
    <mergeCell ref="F703:F706"/>
    <mergeCell ref="G703:G706"/>
    <mergeCell ref="H703:H706"/>
    <mergeCell ref="A699:A702"/>
    <mergeCell ref="C699:C702"/>
    <mergeCell ref="D699:D702"/>
    <mergeCell ref="E699:E702"/>
    <mergeCell ref="F699:F702"/>
    <mergeCell ref="G699:G702"/>
    <mergeCell ref="J691:J694"/>
    <mergeCell ref="A695:A698"/>
    <mergeCell ref="C695:C698"/>
    <mergeCell ref="D695:D698"/>
    <mergeCell ref="E695:E698"/>
    <mergeCell ref="F695:F698"/>
    <mergeCell ref="G695:G698"/>
    <mergeCell ref="H695:H698"/>
    <mergeCell ref="I695:I698"/>
    <mergeCell ref="J695:J698"/>
    <mergeCell ref="I687:I690"/>
    <mergeCell ref="J687:J690"/>
    <mergeCell ref="A691:A694"/>
    <mergeCell ref="C691:C694"/>
    <mergeCell ref="D691:D694"/>
    <mergeCell ref="E691:E694"/>
    <mergeCell ref="F691:F694"/>
    <mergeCell ref="G691:G694"/>
    <mergeCell ref="H691:H694"/>
    <mergeCell ref="I691:I694"/>
    <mergeCell ref="H683:H686"/>
    <mergeCell ref="I683:I686"/>
    <mergeCell ref="J683:J686"/>
    <mergeCell ref="A687:A690"/>
    <mergeCell ref="C687:C690"/>
    <mergeCell ref="D687:D690"/>
    <mergeCell ref="E687:E690"/>
    <mergeCell ref="F687:F690"/>
    <mergeCell ref="G687:G690"/>
    <mergeCell ref="H687:H690"/>
    <mergeCell ref="A683:A686"/>
    <mergeCell ref="C683:C686"/>
    <mergeCell ref="D683:D686"/>
    <mergeCell ref="E683:E686"/>
    <mergeCell ref="F683:F686"/>
    <mergeCell ref="G683:G686"/>
    <mergeCell ref="J675:J678"/>
    <mergeCell ref="A679:A682"/>
    <mergeCell ref="C679:C682"/>
    <mergeCell ref="D679:D682"/>
    <mergeCell ref="E679:E682"/>
    <mergeCell ref="F679:F682"/>
    <mergeCell ref="G679:G682"/>
    <mergeCell ref="H679:H682"/>
    <mergeCell ref="I679:I682"/>
    <mergeCell ref="J679:J682"/>
    <mergeCell ref="I671:I674"/>
    <mergeCell ref="J671:J674"/>
    <mergeCell ref="A675:A678"/>
    <mergeCell ref="C675:C678"/>
    <mergeCell ref="D675:D678"/>
    <mergeCell ref="E675:E678"/>
    <mergeCell ref="F675:F678"/>
    <mergeCell ref="G675:G678"/>
    <mergeCell ref="H675:H678"/>
    <mergeCell ref="I675:I678"/>
    <mergeCell ref="H668:H669"/>
    <mergeCell ref="I668:I669"/>
    <mergeCell ref="J668:J669"/>
    <mergeCell ref="A671:A674"/>
    <mergeCell ref="C671:C674"/>
    <mergeCell ref="D671:D674"/>
    <mergeCell ref="E671:E674"/>
    <mergeCell ref="F671:F674"/>
    <mergeCell ref="G671:G674"/>
    <mergeCell ref="H671:H674"/>
    <mergeCell ref="A668:A669"/>
    <mergeCell ref="C668:C669"/>
    <mergeCell ref="D668:D669"/>
    <mergeCell ref="E668:E669"/>
    <mergeCell ref="F668:F669"/>
    <mergeCell ref="G668:G669"/>
    <mergeCell ref="J657:J658"/>
    <mergeCell ref="A663:A664"/>
    <mergeCell ref="B663:B664"/>
    <mergeCell ref="C663:C664"/>
    <mergeCell ref="E663:E664"/>
    <mergeCell ref="F663:F664"/>
    <mergeCell ref="G663:G664"/>
    <mergeCell ref="H663:H664"/>
    <mergeCell ref="I663:I664"/>
    <mergeCell ref="J663:J664"/>
    <mergeCell ref="I655:I656"/>
    <mergeCell ref="J655:J656"/>
    <mergeCell ref="A657:A658"/>
    <mergeCell ref="C657:C658"/>
    <mergeCell ref="D657:D658"/>
    <mergeCell ref="E657:E658"/>
    <mergeCell ref="F657:F658"/>
    <mergeCell ref="G657:G658"/>
    <mergeCell ref="H657:H658"/>
    <mergeCell ref="I657:I658"/>
    <mergeCell ref="H645:H646"/>
    <mergeCell ref="I645:I646"/>
    <mergeCell ref="J645:J646"/>
    <mergeCell ref="A655:A656"/>
    <mergeCell ref="C655:C656"/>
    <mergeCell ref="D655:D656"/>
    <mergeCell ref="E655:E656"/>
    <mergeCell ref="F655:F656"/>
    <mergeCell ref="G655:G656"/>
    <mergeCell ref="H655:H656"/>
    <mergeCell ref="A645:A646"/>
    <mergeCell ref="B645:B646"/>
    <mergeCell ref="C645:C646"/>
    <mergeCell ref="E645:E646"/>
    <mergeCell ref="F645:F646"/>
    <mergeCell ref="G645:G646"/>
    <mergeCell ref="J637:J639"/>
    <mergeCell ref="A641:A643"/>
    <mergeCell ref="C641:C643"/>
    <mergeCell ref="D641:D643"/>
    <mergeCell ref="E641:E643"/>
    <mergeCell ref="F641:F643"/>
    <mergeCell ref="G641:G643"/>
    <mergeCell ref="H641:H643"/>
    <mergeCell ref="I641:I643"/>
    <mergeCell ref="J641:J643"/>
    <mergeCell ref="I626:I630"/>
    <mergeCell ref="J626:J630"/>
    <mergeCell ref="A637:A639"/>
    <mergeCell ref="C637:C639"/>
    <mergeCell ref="D637:D639"/>
    <mergeCell ref="E637:E639"/>
    <mergeCell ref="F637:F639"/>
    <mergeCell ref="G637:G639"/>
    <mergeCell ref="H637:H639"/>
    <mergeCell ref="I637:I639"/>
    <mergeCell ref="H621:H625"/>
    <mergeCell ref="I621:I625"/>
    <mergeCell ref="J621:J625"/>
    <mergeCell ref="A626:A630"/>
    <mergeCell ref="C626:C630"/>
    <mergeCell ref="D626:D630"/>
    <mergeCell ref="E626:E630"/>
    <mergeCell ref="F626:F630"/>
    <mergeCell ref="G626:G630"/>
    <mergeCell ref="H626:H630"/>
    <mergeCell ref="A621:A625"/>
    <mergeCell ref="C621:C625"/>
    <mergeCell ref="D621:D625"/>
    <mergeCell ref="E621:E625"/>
    <mergeCell ref="F621:F625"/>
    <mergeCell ref="G621:G625"/>
    <mergeCell ref="J611:J615"/>
    <mergeCell ref="A619:A620"/>
    <mergeCell ref="C619:C620"/>
    <mergeCell ref="D619:D620"/>
    <mergeCell ref="E619:E620"/>
    <mergeCell ref="F619:F620"/>
    <mergeCell ref="G619:G620"/>
    <mergeCell ref="H619:H620"/>
    <mergeCell ref="I619:I620"/>
    <mergeCell ref="J619:J620"/>
    <mergeCell ref="I603:I607"/>
    <mergeCell ref="J603:J607"/>
    <mergeCell ref="A611:A615"/>
    <mergeCell ref="C611:C615"/>
    <mergeCell ref="D611:D615"/>
    <mergeCell ref="E611:E615"/>
    <mergeCell ref="F611:F615"/>
    <mergeCell ref="G611:G615"/>
    <mergeCell ref="H611:H615"/>
    <mergeCell ref="I611:I615"/>
    <mergeCell ref="H590:H598"/>
    <mergeCell ref="I590:I598"/>
    <mergeCell ref="J590:J598"/>
    <mergeCell ref="A603:A607"/>
    <mergeCell ref="C603:C607"/>
    <mergeCell ref="D603:D607"/>
    <mergeCell ref="E603:E607"/>
    <mergeCell ref="F603:F607"/>
    <mergeCell ref="G603:G607"/>
    <mergeCell ref="H603:H607"/>
    <mergeCell ref="A590:A598"/>
    <mergeCell ref="C590:C598"/>
    <mergeCell ref="D590:D598"/>
    <mergeCell ref="E590:E598"/>
    <mergeCell ref="F590:F598"/>
    <mergeCell ref="G590:G598"/>
    <mergeCell ref="J578:J580"/>
    <mergeCell ref="A581:A589"/>
    <mergeCell ref="C581:C589"/>
    <mergeCell ref="D581:D589"/>
    <mergeCell ref="E581:E589"/>
    <mergeCell ref="F581:F589"/>
    <mergeCell ref="G581:G589"/>
    <mergeCell ref="H581:H589"/>
    <mergeCell ref="I581:I589"/>
    <mergeCell ref="J581:J589"/>
    <mergeCell ref="I566:I577"/>
    <mergeCell ref="J566:J577"/>
    <mergeCell ref="A578:A580"/>
    <mergeCell ref="C578:C580"/>
    <mergeCell ref="D578:D580"/>
    <mergeCell ref="E578:E580"/>
    <mergeCell ref="F578:F580"/>
    <mergeCell ref="G578:G580"/>
    <mergeCell ref="H578:H580"/>
    <mergeCell ref="I578:I580"/>
    <mergeCell ref="H552:H563"/>
    <mergeCell ref="I552:I563"/>
    <mergeCell ref="J552:J563"/>
    <mergeCell ref="A566:A577"/>
    <mergeCell ref="C566:C577"/>
    <mergeCell ref="D566:D577"/>
    <mergeCell ref="E566:E577"/>
    <mergeCell ref="F566:F577"/>
    <mergeCell ref="G566:G577"/>
    <mergeCell ref="H566:H577"/>
    <mergeCell ref="A552:A563"/>
    <mergeCell ref="C552:C563"/>
    <mergeCell ref="D552:D563"/>
    <mergeCell ref="E552:E563"/>
    <mergeCell ref="F552:F563"/>
    <mergeCell ref="G552:G563"/>
    <mergeCell ref="J545:J546"/>
    <mergeCell ref="A547:A548"/>
    <mergeCell ref="B547:B548"/>
    <mergeCell ref="C547:C548"/>
    <mergeCell ref="E547:E548"/>
    <mergeCell ref="F547:F548"/>
    <mergeCell ref="G547:G548"/>
    <mergeCell ref="H547:H548"/>
    <mergeCell ref="I547:I548"/>
    <mergeCell ref="J547:J548"/>
    <mergeCell ref="I542:I544"/>
    <mergeCell ref="J542:J544"/>
    <mergeCell ref="A545:A546"/>
    <mergeCell ref="B545:B546"/>
    <mergeCell ref="C545:C546"/>
    <mergeCell ref="E545:E546"/>
    <mergeCell ref="F545:F546"/>
    <mergeCell ref="G545:G546"/>
    <mergeCell ref="H545:H546"/>
    <mergeCell ref="I545:I546"/>
    <mergeCell ref="H540:H541"/>
    <mergeCell ref="I540:I541"/>
    <mergeCell ref="J540:J541"/>
    <mergeCell ref="A542:A544"/>
    <mergeCell ref="C542:C544"/>
    <mergeCell ref="D542:D544"/>
    <mergeCell ref="E542:E544"/>
    <mergeCell ref="F542:F544"/>
    <mergeCell ref="G542:G544"/>
    <mergeCell ref="H542:H544"/>
    <mergeCell ref="A540:A541"/>
    <mergeCell ref="C540:C541"/>
    <mergeCell ref="D540:D541"/>
    <mergeCell ref="E540:E541"/>
    <mergeCell ref="F540:F541"/>
    <mergeCell ref="G540:G541"/>
    <mergeCell ref="J529:J537"/>
    <mergeCell ref="A538:A539"/>
    <mergeCell ref="C538:C539"/>
    <mergeCell ref="D538:D539"/>
    <mergeCell ref="E538:E539"/>
    <mergeCell ref="F538:F539"/>
    <mergeCell ref="G538:G539"/>
    <mergeCell ref="H538:H539"/>
    <mergeCell ref="I538:I539"/>
    <mergeCell ref="J538:J539"/>
    <mergeCell ref="I518:I526"/>
    <mergeCell ref="J518:J526"/>
    <mergeCell ref="A529:A537"/>
    <mergeCell ref="C529:C537"/>
    <mergeCell ref="D529:D537"/>
    <mergeCell ref="E529:E537"/>
    <mergeCell ref="F529:F537"/>
    <mergeCell ref="G529:G537"/>
    <mergeCell ref="H529:H537"/>
    <mergeCell ref="I529:I537"/>
    <mergeCell ref="H514:H515"/>
    <mergeCell ref="I514:I515"/>
    <mergeCell ref="J514:J515"/>
    <mergeCell ref="A518:A526"/>
    <mergeCell ref="C518:C526"/>
    <mergeCell ref="D518:D526"/>
    <mergeCell ref="E518:E526"/>
    <mergeCell ref="F518:F526"/>
    <mergeCell ref="G518:G526"/>
    <mergeCell ref="H518:H526"/>
    <mergeCell ref="A514:A515"/>
    <mergeCell ref="C514:C515"/>
    <mergeCell ref="D514:D515"/>
    <mergeCell ref="E514:E515"/>
    <mergeCell ref="F514:F515"/>
    <mergeCell ref="G514:G515"/>
    <mergeCell ref="J505:J506"/>
    <mergeCell ref="A510:A511"/>
    <mergeCell ref="C510:C511"/>
    <mergeCell ref="D510:D511"/>
    <mergeCell ref="E510:E511"/>
    <mergeCell ref="F510:F511"/>
    <mergeCell ref="G510:G511"/>
    <mergeCell ref="H510:H511"/>
    <mergeCell ref="I510:I511"/>
    <mergeCell ref="J510:J511"/>
    <mergeCell ref="I498:I500"/>
    <mergeCell ref="J498:J500"/>
    <mergeCell ref="A505:A506"/>
    <mergeCell ref="C505:C506"/>
    <mergeCell ref="D505:D506"/>
    <mergeCell ref="E505:E506"/>
    <mergeCell ref="F505:F506"/>
    <mergeCell ref="G505:G506"/>
    <mergeCell ref="H505:H506"/>
    <mergeCell ref="I505:I506"/>
    <mergeCell ref="H496:H497"/>
    <mergeCell ref="I496:I497"/>
    <mergeCell ref="J496:J497"/>
    <mergeCell ref="A498:A500"/>
    <mergeCell ref="C498:C500"/>
    <mergeCell ref="D498:D500"/>
    <mergeCell ref="E498:E500"/>
    <mergeCell ref="F498:F500"/>
    <mergeCell ref="G498:G500"/>
    <mergeCell ref="H498:H500"/>
    <mergeCell ref="A496:A497"/>
    <mergeCell ref="C496:C497"/>
    <mergeCell ref="D496:D497"/>
    <mergeCell ref="E496:E497"/>
    <mergeCell ref="F496:F497"/>
    <mergeCell ref="G496:G497"/>
    <mergeCell ref="J485:J486"/>
    <mergeCell ref="A492:A493"/>
    <mergeCell ref="B492:B493"/>
    <mergeCell ref="C492:C493"/>
    <mergeCell ref="E492:E493"/>
    <mergeCell ref="F492:F493"/>
    <mergeCell ref="G492:G493"/>
    <mergeCell ref="H492:H493"/>
    <mergeCell ref="I492:I493"/>
    <mergeCell ref="J492:J493"/>
    <mergeCell ref="I483:I484"/>
    <mergeCell ref="J483:J484"/>
    <mergeCell ref="A485:A486"/>
    <mergeCell ref="B485:B486"/>
    <mergeCell ref="C485:C486"/>
    <mergeCell ref="E485:E486"/>
    <mergeCell ref="F485:F486"/>
    <mergeCell ref="G485:G486"/>
    <mergeCell ref="H485:H486"/>
    <mergeCell ref="I485:I486"/>
    <mergeCell ref="H480:H481"/>
    <mergeCell ref="I480:I481"/>
    <mergeCell ref="J480:J481"/>
    <mergeCell ref="A483:A484"/>
    <mergeCell ref="C483:C484"/>
    <mergeCell ref="D483:D484"/>
    <mergeCell ref="E483:E484"/>
    <mergeCell ref="F483:F484"/>
    <mergeCell ref="G483:G484"/>
    <mergeCell ref="H483:H484"/>
    <mergeCell ref="A480:A481"/>
    <mergeCell ref="B480:B481"/>
    <mergeCell ref="C480:C481"/>
    <mergeCell ref="D480:D481"/>
    <mergeCell ref="F480:F481"/>
    <mergeCell ref="G480:G481"/>
    <mergeCell ref="J460:J461"/>
    <mergeCell ref="A467:A478"/>
    <mergeCell ref="C467:C478"/>
    <mergeCell ref="D467:D478"/>
    <mergeCell ref="E467:E478"/>
    <mergeCell ref="F467:F478"/>
    <mergeCell ref="G467:G478"/>
    <mergeCell ref="H467:H478"/>
    <mergeCell ref="I467:I478"/>
    <mergeCell ref="J467:J478"/>
    <mergeCell ref="I456:I457"/>
    <mergeCell ref="J456:J457"/>
    <mergeCell ref="A460:A461"/>
    <mergeCell ref="B460:B461"/>
    <mergeCell ref="C460:C461"/>
    <mergeCell ref="E460:E461"/>
    <mergeCell ref="F460:F461"/>
    <mergeCell ref="G460:G461"/>
    <mergeCell ref="H460:H461"/>
    <mergeCell ref="I460:I461"/>
    <mergeCell ref="H446:H447"/>
    <mergeCell ref="I446:I447"/>
    <mergeCell ref="J446:J447"/>
    <mergeCell ref="A456:A457"/>
    <mergeCell ref="C456:C457"/>
    <mergeCell ref="D456:D457"/>
    <mergeCell ref="E456:E457"/>
    <mergeCell ref="F456:F457"/>
    <mergeCell ref="G456:G457"/>
    <mergeCell ref="H456:H457"/>
    <mergeCell ref="A446:A447"/>
    <mergeCell ref="C446:C447"/>
    <mergeCell ref="D446:D447"/>
    <mergeCell ref="E446:E447"/>
    <mergeCell ref="F446:F447"/>
    <mergeCell ref="G446:G447"/>
    <mergeCell ref="J438:J441"/>
    <mergeCell ref="A442:A444"/>
    <mergeCell ref="C442:C444"/>
    <mergeCell ref="D442:D444"/>
    <mergeCell ref="E442:E444"/>
    <mergeCell ref="F442:F444"/>
    <mergeCell ref="G442:G444"/>
    <mergeCell ref="H442:H444"/>
    <mergeCell ref="I442:I444"/>
    <mergeCell ref="J442:J444"/>
    <mergeCell ref="I436:I437"/>
    <mergeCell ref="J436:J437"/>
    <mergeCell ref="A438:A441"/>
    <mergeCell ref="C438:C441"/>
    <mergeCell ref="D438:D441"/>
    <mergeCell ref="E438:E441"/>
    <mergeCell ref="F438:F441"/>
    <mergeCell ref="G438:G441"/>
    <mergeCell ref="H438:H441"/>
    <mergeCell ref="I438:I441"/>
    <mergeCell ref="H431:H434"/>
    <mergeCell ref="I431:I434"/>
    <mergeCell ref="J431:J434"/>
    <mergeCell ref="A436:A437"/>
    <mergeCell ref="B436:B437"/>
    <mergeCell ref="C436:C437"/>
    <mergeCell ref="E436:E437"/>
    <mergeCell ref="F436:F437"/>
    <mergeCell ref="G436:G437"/>
    <mergeCell ref="H436:H437"/>
    <mergeCell ref="A431:A434"/>
    <mergeCell ref="C431:C434"/>
    <mergeCell ref="D431:D434"/>
    <mergeCell ref="E431:E434"/>
    <mergeCell ref="F431:F434"/>
    <mergeCell ref="G431:G434"/>
    <mergeCell ref="J412:J414"/>
    <mergeCell ref="A429:A430"/>
    <mergeCell ref="B429:B430"/>
    <mergeCell ref="C429:C430"/>
    <mergeCell ref="E429:E430"/>
    <mergeCell ref="F429:F430"/>
    <mergeCell ref="G429:G430"/>
    <mergeCell ref="H429:H430"/>
    <mergeCell ref="I429:I430"/>
    <mergeCell ref="J429:J430"/>
    <mergeCell ref="I409:I411"/>
    <mergeCell ref="J409:J411"/>
    <mergeCell ref="A412:A414"/>
    <mergeCell ref="C412:C414"/>
    <mergeCell ref="D412:D414"/>
    <mergeCell ref="E412:E414"/>
    <mergeCell ref="F412:F414"/>
    <mergeCell ref="G412:G414"/>
    <mergeCell ref="H412:H414"/>
    <mergeCell ref="I412:I414"/>
    <mergeCell ref="H396:H397"/>
    <mergeCell ref="I396:I397"/>
    <mergeCell ref="J396:J397"/>
    <mergeCell ref="A409:A411"/>
    <mergeCell ref="C409:C411"/>
    <mergeCell ref="D409:D411"/>
    <mergeCell ref="E409:E411"/>
    <mergeCell ref="F409:F411"/>
    <mergeCell ref="G409:G411"/>
    <mergeCell ref="H409:H411"/>
    <mergeCell ref="A396:A397"/>
    <mergeCell ref="C396:C397"/>
    <mergeCell ref="D396:D397"/>
    <mergeCell ref="E396:E397"/>
    <mergeCell ref="F396:F397"/>
    <mergeCell ref="G396:G397"/>
    <mergeCell ref="J391:J392"/>
    <mergeCell ref="A393:A394"/>
    <mergeCell ref="B393:B394"/>
    <mergeCell ref="C393:C394"/>
    <mergeCell ref="E393:E394"/>
    <mergeCell ref="F393:F394"/>
    <mergeCell ref="G393:G394"/>
    <mergeCell ref="H393:H394"/>
    <mergeCell ref="I393:I394"/>
    <mergeCell ref="J393:J394"/>
    <mergeCell ref="I389:I390"/>
    <mergeCell ref="J389:J390"/>
    <mergeCell ref="A391:A392"/>
    <mergeCell ref="B391:B392"/>
    <mergeCell ref="C391:C392"/>
    <mergeCell ref="E391:E392"/>
    <mergeCell ref="F391:F392"/>
    <mergeCell ref="G391:G392"/>
    <mergeCell ref="H391:H392"/>
    <mergeCell ref="I391:I392"/>
    <mergeCell ref="H387:H388"/>
    <mergeCell ref="I387:I388"/>
    <mergeCell ref="J387:J388"/>
    <mergeCell ref="A389:A390"/>
    <mergeCell ref="B389:B390"/>
    <mergeCell ref="C389:C390"/>
    <mergeCell ref="E389:E390"/>
    <mergeCell ref="F389:F390"/>
    <mergeCell ref="G389:G390"/>
    <mergeCell ref="H389:H390"/>
    <mergeCell ref="A387:A388"/>
    <mergeCell ref="B387:B388"/>
    <mergeCell ref="C387:C388"/>
    <mergeCell ref="E387:E388"/>
    <mergeCell ref="F387:F388"/>
    <mergeCell ref="G387:G388"/>
    <mergeCell ref="J381:J382"/>
    <mergeCell ref="A385:A386"/>
    <mergeCell ref="B385:B386"/>
    <mergeCell ref="C385:C386"/>
    <mergeCell ref="E385:E386"/>
    <mergeCell ref="F385:F386"/>
    <mergeCell ref="G385:G386"/>
    <mergeCell ref="H385:H386"/>
    <mergeCell ref="I385:I386"/>
    <mergeCell ref="J385:J386"/>
    <mergeCell ref="I377:I378"/>
    <mergeCell ref="J377:J378"/>
    <mergeCell ref="A381:A382"/>
    <mergeCell ref="C381:C382"/>
    <mergeCell ref="D381:D382"/>
    <mergeCell ref="E381:E382"/>
    <mergeCell ref="F381:F382"/>
    <mergeCell ref="G381:G382"/>
    <mergeCell ref="H381:H382"/>
    <mergeCell ref="I381:I382"/>
    <mergeCell ref="H370:H371"/>
    <mergeCell ref="I370:I371"/>
    <mergeCell ref="J370:J371"/>
    <mergeCell ref="A377:A378"/>
    <mergeCell ref="C377:C378"/>
    <mergeCell ref="D377:D378"/>
    <mergeCell ref="E377:E378"/>
    <mergeCell ref="F377:F378"/>
    <mergeCell ref="G377:G378"/>
    <mergeCell ref="H377:H378"/>
    <mergeCell ref="A370:A371"/>
    <mergeCell ref="C370:C371"/>
    <mergeCell ref="D370:D371"/>
    <mergeCell ref="E370:E371"/>
    <mergeCell ref="F370:F371"/>
    <mergeCell ref="G370:G371"/>
    <mergeCell ref="J347:J358"/>
    <mergeCell ref="A364:A366"/>
    <mergeCell ref="C364:C366"/>
    <mergeCell ref="D364:D366"/>
    <mergeCell ref="E364:E366"/>
    <mergeCell ref="F364:F366"/>
    <mergeCell ref="G364:G366"/>
    <mergeCell ref="H364:H366"/>
    <mergeCell ref="I364:I366"/>
    <mergeCell ref="J364:J366"/>
    <mergeCell ref="I338:I345"/>
    <mergeCell ref="J338:J345"/>
    <mergeCell ref="A347:A358"/>
    <mergeCell ref="C347:C358"/>
    <mergeCell ref="D347:D358"/>
    <mergeCell ref="E347:E358"/>
    <mergeCell ref="F347:F358"/>
    <mergeCell ref="G347:G358"/>
    <mergeCell ref="H347:H358"/>
    <mergeCell ref="I347:I358"/>
    <mergeCell ref="H336:H337"/>
    <mergeCell ref="I336:I337"/>
    <mergeCell ref="J336:J337"/>
    <mergeCell ref="A338:A345"/>
    <mergeCell ref="C338:C345"/>
    <mergeCell ref="D338:D345"/>
    <mergeCell ref="E338:E345"/>
    <mergeCell ref="F338:F345"/>
    <mergeCell ref="G338:G345"/>
    <mergeCell ref="H338:H345"/>
    <mergeCell ref="A336:A337"/>
    <mergeCell ref="C336:C337"/>
    <mergeCell ref="D336:D337"/>
    <mergeCell ref="E336:E337"/>
    <mergeCell ref="F336:F337"/>
    <mergeCell ref="G336:G337"/>
    <mergeCell ref="J320:J327"/>
    <mergeCell ref="A328:A335"/>
    <mergeCell ref="C328:C335"/>
    <mergeCell ref="D328:D335"/>
    <mergeCell ref="E328:E335"/>
    <mergeCell ref="F328:F335"/>
    <mergeCell ref="G328:G335"/>
    <mergeCell ref="H328:H335"/>
    <mergeCell ref="I328:I335"/>
    <mergeCell ref="J328:J335"/>
    <mergeCell ref="I312:I319"/>
    <mergeCell ref="J312:J319"/>
    <mergeCell ref="A320:A327"/>
    <mergeCell ref="C320:C327"/>
    <mergeCell ref="D320:D327"/>
    <mergeCell ref="E320:E327"/>
    <mergeCell ref="F320:F327"/>
    <mergeCell ref="G320:G327"/>
    <mergeCell ref="H320:H327"/>
    <mergeCell ref="I320:I327"/>
    <mergeCell ref="H304:H311"/>
    <mergeCell ref="I304:I311"/>
    <mergeCell ref="J304:J311"/>
    <mergeCell ref="A312:A319"/>
    <mergeCell ref="C312:C319"/>
    <mergeCell ref="D312:D319"/>
    <mergeCell ref="E312:E319"/>
    <mergeCell ref="F312:F319"/>
    <mergeCell ref="G312:G319"/>
    <mergeCell ref="H312:H319"/>
    <mergeCell ref="A304:A311"/>
    <mergeCell ref="C304:C311"/>
    <mergeCell ref="D304:D311"/>
    <mergeCell ref="E304:E311"/>
    <mergeCell ref="F304:F311"/>
    <mergeCell ref="G304:G311"/>
    <mergeCell ref="J298:J299"/>
    <mergeCell ref="A302:A303"/>
    <mergeCell ref="C302:C303"/>
    <mergeCell ref="D302:D303"/>
    <mergeCell ref="E302:E303"/>
    <mergeCell ref="F302:F303"/>
    <mergeCell ref="G302:G303"/>
    <mergeCell ref="H302:H303"/>
    <mergeCell ref="I302:I303"/>
    <mergeCell ref="J302:J303"/>
    <mergeCell ref="I291:I293"/>
    <mergeCell ref="J291:J293"/>
    <mergeCell ref="A298:A299"/>
    <mergeCell ref="C298:C299"/>
    <mergeCell ref="D298:D299"/>
    <mergeCell ref="E298:E299"/>
    <mergeCell ref="F298:F299"/>
    <mergeCell ref="G298:G299"/>
    <mergeCell ref="H298:H299"/>
    <mergeCell ref="I298:I299"/>
    <mergeCell ref="A291:A293"/>
    <mergeCell ref="C291:C293"/>
    <mergeCell ref="E291:E293"/>
    <mergeCell ref="F291:F293"/>
    <mergeCell ref="G291:G293"/>
    <mergeCell ref="H291:H293"/>
    <mergeCell ref="J279:J287"/>
    <mergeCell ref="A288:A290"/>
    <mergeCell ref="C288:C290"/>
    <mergeCell ref="D288:D290"/>
    <mergeCell ref="E288:E290"/>
    <mergeCell ref="F288:F290"/>
    <mergeCell ref="G288:G290"/>
    <mergeCell ref="H288:H290"/>
    <mergeCell ref="I288:I290"/>
    <mergeCell ref="J288:J290"/>
    <mergeCell ref="I270:I278"/>
    <mergeCell ref="J270:J278"/>
    <mergeCell ref="A279:A287"/>
    <mergeCell ref="C279:C287"/>
    <mergeCell ref="D279:D287"/>
    <mergeCell ref="E279:E287"/>
    <mergeCell ref="F279:F287"/>
    <mergeCell ref="G279:G287"/>
    <mergeCell ref="H279:H287"/>
    <mergeCell ref="I279:I287"/>
    <mergeCell ref="H258:H265"/>
    <mergeCell ref="I258:I265"/>
    <mergeCell ref="J258:J265"/>
    <mergeCell ref="A270:A278"/>
    <mergeCell ref="C270:C278"/>
    <mergeCell ref="D270:D278"/>
    <mergeCell ref="E270:E278"/>
    <mergeCell ref="F270:F278"/>
    <mergeCell ref="G270:G278"/>
    <mergeCell ref="H270:H278"/>
    <mergeCell ref="A258:A265"/>
    <mergeCell ref="C258:C265"/>
    <mergeCell ref="D258:D265"/>
    <mergeCell ref="E258:E265"/>
    <mergeCell ref="F258:F265"/>
    <mergeCell ref="G258:G265"/>
    <mergeCell ref="J245:J253"/>
    <mergeCell ref="A255:A256"/>
    <mergeCell ref="C255:C256"/>
    <mergeCell ref="D255:D256"/>
    <mergeCell ref="E255:E256"/>
    <mergeCell ref="F255:F256"/>
    <mergeCell ref="G255:G256"/>
    <mergeCell ref="H255:H256"/>
    <mergeCell ref="I255:I256"/>
    <mergeCell ref="J255:J256"/>
    <mergeCell ref="I243:I244"/>
    <mergeCell ref="J243:J244"/>
    <mergeCell ref="A245:A253"/>
    <mergeCell ref="C245:C253"/>
    <mergeCell ref="D245:D253"/>
    <mergeCell ref="E245:E253"/>
    <mergeCell ref="F245:F253"/>
    <mergeCell ref="G245:G253"/>
    <mergeCell ref="H245:H253"/>
    <mergeCell ref="I245:I253"/>
    <mergeCell ref="H237:H242"/>
    <mergeCell ref="I237:I242"/>
    <mergeCell ref="J237:J242"/>
    <mergeCell ref="A243:A244"/>
    <mergeCell ref="C243:C244"/>
    <mergeCell ref="D243:D244"/>
    <mergeCell ref="E243:E244"/>
    <mergeCell ref="F243:F244"/>
    <mergeCell ref="G243:G244"/>
    <mergeCell ref="H243:H244"/>
    <mergeCell ref="A237:A242"/>
    <mergeCell ref="C237:C242"/>
    <mergeCell ref="D237:D242"/>
    <mergeCell ref="E237:E242"/>
    <mergeCell ref="F237:F242"/>
    <mergeCell ref="G237:G242"/>
    <mergeCell ref="J216:J218"/>
    <mergeCell ref="A220:A227"/>
    <mergeCell ref="C220:C227"/>
    <mergeCell ref="D220:D227"/>
    <mergeCell ref="E220:E227"/>
    <mergeCell ref="F220:F227"/>
    <mergeCell ref="G220:G227"/>
    <mergeCell ref="H220:H227"/>
    <mergeCell ref="I220:I227"/>
    <mergeCell ref="J220:J227"/>
    <mergeCell ref="H213:H215"/>
    <mergeCell ref="I213:I215"/>
    <mergeCell ref="J213:J215"/>
    <mergeCell ref="A216:A218"/>
    <mergeCell ref="C216:C218"/>
    <mergeCell ref="E216:E218"/>
    <mergeCell ref="F216:F218"/>
    <mergeCell ref="G216:G218"/>
    <mergeCell ref="H216:H218"/>
    <mergeCell ref="I216:I218"/>
    <mergeCell ref="A213:A215"/>
    <mergeCell ref="C213:C215"/>
    <mergeCell ref="D213:D215"/>
    <mergeCell ref="E213:E215"/>
    <mergeCell ref="F213:F215"/>
    <mergeCell ref="G213:G215"/>
    <mergeCell ref="J207:J209"/>
    <mergeCell ref="A210:A212"/>
    <mergeCell ref="C210:C212"/>
    <mergeCell ref="E210:E212"/>
    <mergeCell ref="F210:F212"/>
    <mergeCell ref="G210:G212"/>
    <mergeCell ref="H210:H212"/>
    <mergeCell ref="I210:I212"/>
    <mergeCell ref="J210:J212"/>
    <mergeCell ref="I204:I205"/>
    <mergeCell ref="J204:J205"/>
    <mergeCell ref="A207:A209"/>
    <mergeCell ref="C207:C209"/>
    <mergeCell ref="D207:D209"/>
    <mergeCell ref="E207:E209"/>
    <mergeCell ref="F207:F209"/>
    <mergeCell ref="G207:G209"/>
    <mergeCell ref="H207:H209"/>
    <mergeCell ref="I207:I209"/>
    <mergeCell ref="H202:H203"/>
    <mergeCell ref="I202:I203"/>
    <mergeCell ref="J202:J203"/>
    <mergeCell ref="A204:A205"/>
    <mergeCell ref="C204:C205"/>
    <mergeCell ref="D204:D205"/>
    <mergeCell ref="E204:E205"/>
    <mergeCell ref="F204:F205"/>
    <mergeCell ref="G204:G205"/>
    <mergeCell ref="H204:H205"/>
    <mergeCell ref="A202:A203"/>
    <mergeCell ref="C202:C203"/>
    <mergeCell ref="D202:D203"/>
    <mergeCell ref="E202:E203"/>
    <mergeCell ref="F202:F203"/>
    <mergeCell ref="G202:G203"/>
    <mergeCell ref="J177:J185"/>
    <mergeCell ref="A188:A195"/>
    <mergeCell ref="C188:C195"/>
    <mergeCell ref="D188:D195"/>
    <mergeCell ref="E188:E195"/>
    <mergeCell ref="F188:F195"/>
    <mergeCell ref="G188:G195"/>
    <mergeCell ref="H188:H195"/>
    <mergeCell ref="I188:I195"/>
    <mergeCell ref="J188:J195"/>
    <mergeCell ref="I168:I176"/>
    <mergeCell ref="J168:J176"/>
    <mergeCell ref="A177:A185"/>
    <mergeCell ref="C177:C185"/>
    <mergeCell ref="D177:D185"/>
    <mergeCell ref="E177:E185"/>
    <mergeCell ref="F177:F185"/>
    <mergeCell ref="G177:G185"/>
    <mergeCell ref="H177:H185"/>
    <mergeCell ref="I177:I185"/>
    <mergeCell ref="H159:H167"/>
    <mergeCell ref="I159:I167"/>
    <mergeCell ref="J159:J167"/>
    <mergeCell ref="A168:A176"/>
    <mergeCell ref="C168:C176"/>
    <mergeCell ref="D168:D176"/>
    <mergeCell ref="E168:E176"/>
    <mergeCell ref="F168:F176"/>
    <mergeCell ref="G168:G176"/>
    <mergeCell ref="H168:H176"/>
    <mergeCell ref="A159:A167"/>
    <mergeCell ref="C159:C167"/>
    <mergeCell ref="D159:D167"/>
    <mergeCell ref="E159:E167"/>
    <mergeCell ref="F159:F167"/>
    <mergeCell ref="G159:G167"/>
    <mergeCell ref="J147:J148"/>
    <mergeCell ref="A149:A157"/>
    <mergeCell ref="C149:C157"/>
    <mergeCell ref="D149:D157"/>
    <mergeCell ref="E149:E157"/>
    <mergeCell ref="F149:F157"/>
    <mergeCell ref="G149:G157"/>
    <mergeCell ref="H149:H157"/>
    <mergeCell ref="I149:I157"/>
    <mergeCell ref="J149:J157"/>
    <mergeCell ref="I144:I145"/>
    <mergeCell ref="J144:J145"/>
    <mergeCell ref="A147:A148"/>
    <mergeCell ref="B147:B148"/>
    <mergeCell ref="C147:C148"/>
    <mergeCell ref="E147:E148"/>
    <mergeCell ref="F147:F148"/>
    <mergeCell ref="G147:G148"/>
    <mergeCell ref="H147:H148"/>
    <mergeCell ref="I147:I148"/>
    <mergeCell ref="H140:H141"/>
    <mergeCell ref="I140:I141"/>
    <mergeCell ref="J140:J141"/>
    <mergeCell ref="A144:A145"/>
    <mergeCell ref="C144:C145"/>
    <mergeCell ref="D144:D145"/>
    <mergeCell ref="E144:E145"/>
    <mergeCell ref="F144:F145"/>
    <mergeCell ref="G144:G145"/>
    <mergeCell ref="H144:H145"/>
    <mergeCell ref="A140:A141"/>
    <mergeCell ref="C140:C141"/>
    <mergeCell ref="D140:D141"/>
    <mergeCell ref="E140:E141"/>
    <mergeCell ref="F140:F141"/>
    <mergeCell ref="G140:G141"/>
    <mergeCell ref="J135:J136"/>
    <mergeCell ref="A138:A139"/>
    <mergeCell ref="C138:C139"/>
    <mergeCell ref="D138:D139"/>
    <mergeCell ref="E138:E139"/>
    <mergeCell ref="F138:F139"/>
    <mergeCell ref="G138:G139"/>
    <mergeCell ref="H138:H139"/>
    <mergeCell ref="I138:I139"/>
    <mergeCell ref="J138:J139"/>
    <mergeCell ref="I129:I130"/>
    <mergeCell ref="J129:J130"/>
    <mergeCell ref="A135:A136"/>
    <mergeCell ref="B135:B136"/>
    <mergeCell ref="C135:C136"/>
    <mergeCell ref="D135:D136"/>
    <mergeCell ref="F135:F136"/>
    <mergeCell ref="G135:G136"/>
    <mergeCell ref="H135:H136"/>
    <mergeCell ref="I135:I136"/>
    <mergeCell ref="H120:H121"/>
    <mergeCell ref="I120:I121"/>
    <mergeCell ref="J120:J121"/>
    <mergeCell ref="A129:A130"/>
    <mergeCell ref="B129:B130"/>
    <mergeCell ref="C129:C130"/>
    <mergeCell ref="D129:D130"/>
    <mergeCell ref="F129:F130"/>
    <mergeCell ref="G129:G130"/>
    <mergeCell ref="H129:H130"/>
    <mergeCell ref="A120:A121"/>
    <mergeCell ref="B120:B121"/>
    <mergeCell ref="C120:C121"/>
    <mergeCell ref="E120:E121"/>
    <mergeCell ref="F120:F121"/>
    <mergeCell ref="G120:G121"/>
    <mergeCell ref="J105:J106"/>
    <mergeCell ref="A117:A118"/>
    <mergeCell ref="B117:B118"/>
    <mergeCell ref="C117:C118"/>
    <mergeCell ref="D117:D118"/>
    <mergeCell ref="F117:F118"/>
    <mergeCell ref="G117:G118"/>
    <mergeCell ref="H117:H118"/>
    <mergeCell ref="I117:I118"/>
    <mergeCell ref="J117:J118"/>
    <mergeCell ref="I103:I104"/>
    <mergeCell ref="J103:J104"/>
    <mergeCell ref="A105:A106"/>
    <mergeCell ref="C105:C106"/>
    <mergeCell ref="D105:D106"/>
    <mergeCell ref="E105:E106"/>
    <mergeCell ref="F105:F106"/>
    <mergeCell ref="G105:G106"/>
    <mergeCell ref="H105:H106"/>
    <mergeCell ref="I105:I106"/>
    <mergeCell ref="H100:H101"/>
    <mergeCell ref="I100:I101"/>
    <mergeCell ref="J100:J101"/>
    <mergeCell ref="A103:A104"/>
    <mergeCell ref="C103:C104"/>
    <mergeCell ref="D103:D104"/>
    <mergeCell ref="E103:E104"/>
    <mergeCell ref="F103:F104"/>
    <mergeCell ref="G103:G104"/>
    <mergeCell ref="H103:H104"/>
    <mergeCell ref="A100:A101"/>
    <mergeCell ref="C100:C101"/>
    <mergeCell ref="D100:D101"/>
    <mergeCell ref="E100:E101"/>
    <mergeCell ref="F100:F101"/>
    <mergeCell ref="G100:G101"/>
    <mergeCell ref="J93:J94"/>
    <mergeCell ref="A95:A96"/>
    <mergeCell ref="C95:C96"/>
    <mergeCell ref="D95:D96"/>
    <mergeCell ref="E95:E96"/>
    <mergeCell ref="F95:F96"/>
    <mergeCell ref="G95:G96"/>
    <mergeCell ref="H95:H96"/>
    <mergeCell ref="I95:I96"/>
    <mergeCell ref="J95:J96"/>
    <mergeCell ref="I90:I91"/>
    <mergeCell ref="J90:J91"/>
    <mergeCell ref="A93:A94"/>
    <mergeCell ref="C93:C94"/>
    <mergeCell ref="D93:D94"/>
    <mergeCell ref="E93:E94"/>
    <mergeCell ref="F93:F94"/>
    <mergeCell ref="G93:G94"/>
    <mergeCell ref="H93:H94"/>
    <mergeCell ref="I93:I94"/>
    <mergeCell ref="H88:H89"/>
    <mergeCell ref="I88:I89"/>
    <mergeCell ref="J88:J89"/>
    <mergeCell ref="A90:A91"/>
    <mergeCell ref="C90:C91"/>
    <mergeCell ref="D90:D91"/>
    <mergeCell ref="E90:E91"/>
    <mergeCell ref="F90:F91"/>
    <mergeCell ref="G90:G91"/>
    <mergeCell ref="H90:H91"/>
    <mergeCell ref="A88:A89"/>
    <mergeCell ref="C88:C89"/>
    <mergeCell ref="D88:D89"/>
    <mergeCell ref="E88:E89"/>
    <mergeCell ref="F88:F89"/>
    <mergeCell ref="G88:G89"/>
    <mergeCell ref="J83:J84"/>
    <mergeCell ref="A86:A87"/>
    <mergeCell ref="C86:C87"/>
    <mergeCell ref="D86:D87"/>
    <mergeCell ref="E86:E87"/>
    <mergeCell ref="F86:F87"/>
    <mergeCell ref="G86:G87"/>
    <mergeCell ref="H86:H87"/>
    <mergeCell ref="I86:I87"/>
    <mergeCell ref="J86:J87"/>
    <mergeCell ref="I75:I77"/>
    <mergeCell ref="J75:J77"/>
    <mergeCell ref="A83:A84"/>
    <mergeCell ref="C83:C84"/>
    <mergeCell ref="D83:D84"/>
    <mergeCell ref="E83:E84"/>
    <mergeCell ref="F83:F84"/>
    <mergeCell ref="G83:G84"/>
    <mergeCell ref="H83:H84"/>
    <mergeCell ref="I83:I84"/>
    <mergeCell ref="H70:H72"/>
    <mergeCell ref="I70:I72"/>
    <mergeCell ref="J70:J72"/>
    <mergeCell ref="A75:A77"/>
    <mergeCell ref="C75:C77"/>
    <mergeCell ref="D75:D77"/>
    <mergeCell ref="E75:E77"/>
    <mergeCell ref="F75:F77"/>
    <mergeCell ref="G75:G77"/>
    <mergeCell ref="H75:H77"/>
    <mergeCell ref="A70:A72"/>
    <mergeCell ref="C70:C72"/>
    <mergeCell ref="D70:D72"/>
    <mergeCell ref="E70:E72"/>
    <mergeCell ref="F70:F72"/>
    <mergeCell ref="G70:G72"/>
    <mergeCell ref="J50:J51"/>
    <mergeCell ref="A66:A68"/>
    <mergeCell ref="C66:C68"/>
    <mergeCell ref="D66:D68"/>
    <mergeCell ref="E66:E68"/>
    <mergeCell ref="F66:F68"/>
    <mergeCell ref="G66:G68"/>
    <mergeCell ref="H66:H68"/>
    <mergeCell ref="I66:I68"/>
    <mergeCell ref="J66:J68"/>
    <mergeCell ref="I48:I49"/>
    <mergeCell ref="J48:J49"/>
    <mergeCell ref="A50:A51"/>
    <mergeCell ref="C50:C51"/>
    <mergeCell ref="D50:D51"/>
    <mergeCell ref="E50:E51"/>
    <mergeCell ref="F50:F51"/>
    <mergeCell ref="G50:G51"/>
    <mergeCell ref="H50:H51"/>
    <mergeCell ref="I50:I51"/>
    <mergeCell ref="H46:H47"/>
    <mergeCell ref="I46:I47"/>
    <mergeCell ref="J46:J47"/>
    <mergeCell ref="A48:A49"/>
    <mergeCell ref="C48:C49"/>
    <mergeCell ref="D48:D49"/>
    <mergeCell ref="E48:E49"/>
    <mergeCell ref="F48:F49"/>
    <mergeCell ref="G48:G49"/>
    <mergeCell ref="H48:H49"/>
    <mergeCell ref="A46:A47"/>
    <mergeCell ref="C46:C47"/>
    <mergeCell ref="D46:D47"/>
    <mergeCell ref="E46:E47"/>
    <mergeCell ref="F46:F47"/>
    <mergeCell ref="G46:G47"/>
    <mergeCell ref="J42:J43"/>
    <mergeCell ref="A44:A45"/>
    <mergeCell ref="C44:C45"/>
    <mergeCell ref="D44:D45"/>
    <mergeCell ref="E44:E45"/>
    <mergeCell ref="F44:F45"/>
    <mergeCell ref="G44:G45"/>
    <mergeCell ref="H44:H45"/>
    <mergeCell ref="I44:I45"/>
    <mergeCell ref="J44:J45"/>
    <mergeCell ref="H4:H12"/>
    <mergeCell ref="I34:I35"/>
    <mergeCell ref="J34:J35"/>
    <mergeCell ref="A42:A43"/>
    <mergeCell ref="C42:C43"/>
    <mergeCell ref="D42:D43"/>
    <mergeCell ref="E42:E43"/>
    <mergeCell ref="F42:F43"/>
    <mergeCell ref="G42:G43"/>
    <mergeCell ref="H42:H43"/>
    <mergeCell ref="I42:I43"/>
    <mergeCell ref="H19:H20"/>
    <mergeCell ref="I19:I20"/>
    <mergeCell ref="J19:J20"/>
    <mergeCell ref="A34:A35"/>
    <mergeCell ref="C34:C35"/>
    <mergeCell ref="D34:D35"/>
    <mergeCell ref="E34:E35"/>
    <mergeCell ref="F34:F35"/>
    <mergeCell ref="G34:G35"/>
    <mergeCell ref="H34:H35"/>
    <mergeCell ref="A19:A20"/>
    <mergeCell ref="C19:C20"/>
    <mergeCell ref="D19:D20"/>
    <mergeCell ref="E19:E20"/>
    <mergeCell ref="F19:F20"/>
    <mergeCell ref="G19:G20"/>
    <mergeCell ref="A1:A3"/>
    <mergeCell ref="B1:B3"/>
    <mergeCell ref="C1:C3"/>
    <mergeCell ref="D1:D3"/>
    <mergeCell ref="E1:E3"/>
    <mergeCell ref="G1:J1"/>
    <mergeCell ref="G2:J2"/>
    <mergeCell ref="J14:J15"/>
    <mergeCell ref="A16:A17"/>
    <mergeCell ref="C16:C17"/>
    <mergeCell ref="D16:D17"/>
    <mergeCell ref="E16:E17"/>
    <mergeCell ref="F16:F17"/>
    <mergeCell ref="G16:G17"/>
    <mergeCell ref="H16:H17"/>
    <mergeCell ref="I16:I17"/>
    <mergeCell ref="J16:J17"/>
    <mergeCell ref="I4:I12"/>
    <mergeCell ref="J4:J12"/>
    <mergeCell ref="A14:A15"/>
    <mergeCell ref="C14:C15"/>
    <mergeCell ref="D14:D15"/>
    <mergeCell ref="E14:E15"/>
    <mergeCell ref="F14:F15"/>
    <mergeCell ref="G14:G15"/>
    <mergeCell ref="H14:H15"/>
    <mergeCell ref="I14:I15"/>
    <mergeCell ref="A4:A12"/>
    <mergeCell ref="C4:C12"/>
    <mergeCell ref="D4:D12"/>
    <mergeCell ref="F4:F12"/>
    <mergeCell ref="G4:G1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A7"/>
  <sheetViews>
    <sheetView workbookViewId="0">
      <selection activeCell="A3" sqref="A3"/>
    </sheetView>
  </sheetViews>
  <sheetFormatPr defaultRowHeight="14.25" x14ac:dyDescent="0.2"/>
  <sheetData>
    <row r="2" spans="1:1" ht="18" x14ac:dyDescent="0.25">
      <c r="A2" s="12" t="s">
        <v>2864</v>
      </c>
    </row>
    <row r="3" spans="1:1" x14ac:dyDescent="0.2">
      <c r="A3" t="s">
        <v>2865</v>
      </c>
    </row>
    <row r="5" spans="1:1" x14ac:dyDescent="0.2">
      <c r="A5" t="s">
        <v>2866</v>
      </c>
    </row>
    <row r="7" spans="1:1" x14ac:dyDescent="0.2">
      <c r="A7" s="13" t="s">
        <v>2867</v>
      </c>
    </row>
  </sheetData>
  <hyperlinks>
    <hyperlink ref="A7" r:id="rId1" xr:uid="{00000000-0004-0000-02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
  <sheetViews>
    <sheetView workbookViewId="0">
      <selection activeCell="H8" sqref="H8"/>
    </sheetView>
  </sheetViews>
  <sheetFormatPr defaultRowHeight="14.25" x14ac:dyDescent="0.2"/>
  <sheetData>
    <row r="2" spans="2:2" x14ac:dyDescent="0.2">
      <c r="B2" t="s">
        <v>2883</v>
      </c>
    </row>
  </sheetData>
  <pageMargins left="0.7" right="0.7" top="0.75" bottom="0.75" header="0.3" footer="0.3"/>
  <drawing r:id="rId1"/>
  <legacyDrawing r:id="rId2"/>
  <controls>
    <mc:AlternateContent xmlns:mc="http://schemas.openxmlformats.org/markup-compatibility/2006">
      <mc:Choice Requires="x14">
        <control shapeId="14338" r:id="rId3" name="btnExtractCustomaryUnits">
          <controlPr defaultSize="0" autoLine="0" autoPict="0" r:id="rId4">
            <anchor moveWithCells="1">
              <from>
                <xdr:col>1</xdr:col>
                <xdr:colOff>657225</xdr:colOff>
                <xdr:row>6</xdr:row>
                <xdr:rowOff>57150</xdr:rowOff>
              </from>
              <to>
                <xdr:col>4</xdr:col>
                <xdr:colOff>323850</xdr:colOff>
                <xdr:row>8</xdr:row>
                <xdr:rowOff>28575</xdr:rowOff>
              </to>
            </anchor>
          </controlPr>
        </control>
      </mc:Choice>
      <mc:Fallback>
        <control shapeId="14338" r:id="rId3" name="btnExtractCustomaryUnits"/>
      </mc:Fallback>
    </mc:AlternateContent>
    <mc:AlternateContent xmlns:mc="http://schemas.openxmlformats.org/markup-compatibility/2006">
      <mc:Choice Requires="x14">
        <control shapeId="14337" r:id="rId5" name="cmdExtractParamTypes">
          <controlPr defaultSize="0" autoLine="0" r:id="rId6">
            <anchor moveWithCells="1">
              <from>
                <xdr:col>2</xdr:col>
                <xdr:colOff>9525</xdr:colOff>
                <xdr:row>3</xdr:row>
                <xdr:rowOff>76200</xdr:rowOff>
              </from>
              <to>
                <xdr:col>4</xdr:col>
                <xdr:colOff>142875</xdr:colOff>
                <xdr:row>5</xdr:row>
                <xdr:rowOff>47625</xdr:rowOff>
              </to>
            </anchor>
          </controlPr>
        </control>
      </mc:Choice>
      <mc:Fallback>
        <control shapeId="14337" r:id="rId5" name="cmdExtractParamTypes"/>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O174"/>
  <sheetViews>
    <sheetView workbookViewId="0">
      <pane xSplit="3" ySplit="2" topLeftCell="D3" activePane="bottomRight" state="frozen"/>
      <selection pane="topRight" activeCell="C1" sqref="C1"/>
      <selection pane="bottomLeft" activeCell="A3" sqref="A3"/>
      <selection pane="bottomRight" activeCell="E6" sqref="E6"/>
    </sheetView>
  </sheetViews>
  <sheetFormatPr defaultRowHeight="14.25" x14ac:dyDescent="0.2"/>
  <cols>
    <col min="1" max="1" width="9" style="31"/>
    <col min="2" max="2" width="23.375" style="26" customWidth="1"/>
    <col min="3" max="4" width="9" style="26"/>
    <col min="5" max="5" width="12.25" style="34" customWidth="1"/>
    <col min="6" max="6" width="9.625" style="26" customWidth="1"/>
    <col min="7" max="7" width="10.75" style="26" bestFit="1" customWidth="1"/>
    <col min="8" max="8" width="9.375" style="26" bestFit="1" customWidth="1"/>
    <col min="9" max="9" width="10.5" style="26" customWidth="1"/>
    <col min="10" max="10" width="11.125" style="26" customWidth="1"/>
    <col min="11" max="11" width="12.375" style="26" customWidth="1"/>
    <col min="12" max="12" width="8.5" style="26" customWidth="1"/>
    <col min="13" max="13" width="10.625" style="26" customWidth="1"/>
    <col min="14" max="14" width="9.5" style="26" customWidth="1"/>
    <col min="15" max="15" width="7.5" style="26" customWidth="1"/>
    <col min="16" max="16384" width="9" style="26"/>
  </cols>
  <sheetData>
    <row r="1" spans="1:15" s="22" customFormat="1" ht="28.5" x14ac:dyDescent="0.2">
      <c r="A1" s="20" t="s">
        <v>4462</v>
      </c>
      <c r="B1" s="21" t="s">
        <v>2893</v>
      </c>
      <c r="C1" s="21" t="s">
        <v>578</v>
      </c>
      <c r="D1" s="21" t="s">
        <v>0</v>
      </c>
      <c r="E1" s="32" t="s">
        <v>4467</v>
      </c>
      <c r="F1" s="21" t="s">
        <v>2886</v>
      </c>
      <c r="G1" s="21" t="s">
        <v>2871</v>
      </c>
      <c r="H1" s="21" t="s">
        <v>2872</v>
      </c>
      <c r="I1" s="21" t="s">
        <v>2891</v>
      </c>
      <c r="J1" s="21" t="s">
        <v>2873</v>
      </c>
      <c r="K1" s="21" t="s">
        <v>2887</v>
      </c>
      <c r="L1" s="21" t="s">
        <v>2888</v>
      </c>
      <c r="M1" s="21" t="s">
        <v>2889</v>
      </c>
      <c r="N1" s="21" t="s">
        <v>2890</v>
      </c>
      <c r="O1" s="21" t="s">
        <v>2874</v>
      </c>
    </row>
    <row r="2" spans="1:15" ht="16.5" customHeight="1" x14ac:dyDescent="0.2">
      <c r="A2" s="23"/>
      <c r="B2" s="24" t="s">
        <v>2917</v>
      </c>
      <c r="C2" s="25"/>
      <c r="D2" s="25"/>
      <c r="E2" s="33"/>
      <c r="F2" s="25" t="s">
        <v>221</v>
      </c>
      <c r="G2" s="25" t="s">
        <v>290</v>
      </c>
      <c r="H2" s="25" t="s">
        <v>470</v>
      </c>
      <c r="I2" s="25" t="s">
        <v>46</v>
      </c>
      <c r="J2" s="25" t="s">
        <v>204</v>
      </c>
      <c r="K2" s="25" t="s">
        <v>362</v>
      </c>
      <c r="L2" s="25" t="s">
        <v>109</v>
      </c>
      <c r="M2" s="25" t="s">
        <v>444</v>
      </c>
      <c r="N2" s="25" t="s">
        <v>505</v>
      </c>
      <c r="O2" s="25" t="s">
        <v>2892</v>
      </c>
    </row>
    <row r="3" spans="1:15" x14ac:dyDescent="0.2">
      <c r="A3" s="27">
        <v>1</v>
      </c>
      <c r="B3" s="28"/>
      <c r="C3" s="28" t="s">
        <v>221</v>
      </c>
      <c r="D3" s="28" t="s">
        <v>219</v>
      </c>
      <c r="E3" s="29" t="s">
        <v>221</v>
      </c>
      <c r="F3" s="28">
        <v>1</v>
      </c>
      <c r="G3" s="28"/>
      <c r="H3" s="28"/>
      <c r="I3" s="28"/>
      <c r="J3" s="28"/>
      <c r="K3" s="28"/>
      <c r="L3" s="28"/>
      <c r="M3" s="28"/>
      <c r="N3" s="28"/>
      <c r="O3" s="28"/>
    </row>
    <row r="4" spans="1:15" x14ac:dyDescent="0.2">
      <c r="A4" s="27">
        <v>1</v>
      </c>
      <c r="B4" s="28"/>
      <c r="C4" s="28" t="s">
        <v>290</v>
      </c>
      <c r="D4" s="28" t="s">
        <v>276</v>
      </c>
      <c r="E4" s="29" t="s">
        <v>290</v>
      </c>
      <c r="F4" s="28"/>
      <c r="G4" s="28">
        <v>1</v>
      </c>
      <c r="H4" s="28"/>
      <c r="I4" s="28"/>
      <c r="J4" s="28"/>
      <c r="K4" s="28"/>
      <c r="L4" s="28"/>
      <c r="M4" s="28"/>
      <c r="N4" s="28"/>
      <c r="O4" s="28"/>
    </row>
    <row r="5" spans="1:15" x14ac:dyDescent="0.2">
      <c r="A5" s="27">
        <v>1</v>
      </c>
      <c r="B5" s="28"/>
      <c r="C5" s="28" t="s">
        <v>470</v>
      </c>
      <c r="D5" s="28" t="s">
        <v>468</v>
      </c>
      <c r="E5" s="29" t="s">
        <v>470</v>
      </c>
      <c r="F5" s="28"/>
      <c r="G5" s="28"/>
      <c r="H5" s="28">
        <v>1</v>
      </c>
      <c r="I5" s="28"/>
      <c r="J5" s="28"/>
      <c r="K5" s="28"/>
      <c r="L5" s="28"/>
      <c r="M5" s="28"/>
      <c r="N5" s="28"/>
      <c r="O5" s="28"/>
    </row>
    <row r="6" spans="1:15" x14ac:dyDescent="0.2">
      <c r="A6" s="27">
        <v>1</v>
      </c>
      <c r="B6" s="28"/>
      <c r="C6" s="28" t="s">
        <v>46</v>
      </c>
      <c r="D6" s="28" t="s">
        <v>4438</v>
      </c>
      <c r="E6" s="29" t="s">
        <v>46</v>
      </c>
      <c r="F6" s="28"/>
      <c r="G6" s="28"/>
      <c r="H6" s="28"/>
      <c r="I6" s="28">
        <v>1</v>
      </c>
      <c r="J6" s="28"/>
      <c r="K6" s="28"/>
      <c r="L6" s="28"/>
      <c r="M6" s="28"/>
      <c r="N6" s="28"/>
      <c r="O6" s="28"/>
    </row>
    <row r="7" spans="1:15" x14ac:dyDescent="0.2">
      <c r="A7" s="27">
        <v>1</v>
      </c>
      <c r="B7" s="28"/>
      <c r="C7" s="28" t="s">
        <v>204</v>
      </c>
      <c r="D7" s="28" t="s">
        <v>4439</v>
      </c>
      <c r="E7" s="29" t="s">
        <v>204</v>
      </c>
      <c r="F7" s="28"/>
      <c r="G7" s="28"/>
      <c r="H7" s="28"/>
      <c r="I7" s="28"/>
      <c r="J7" s="28">
        <v>1</v>
      </c>
      <c r="K7" s="28"/>
      <c r="L7" s="28"/>
      <c r="M7" s="28"/>
      <c r="N7" s="28"/>
      <c r="O7" s="28"/>
    </row>
    <row r="8" spans="1:15" x14ac:dyDescent="0.2">
      <c r="A8" s="27">
        <v>1</v>
      </c>
      <c r="B8" s="28"/>
      <c r="C8" s="28" t="s">
        <v>362</v>
      </c>
      <c r="D8" s="28" t="s">
        <v>360</v>
      </c>
      <c r="E8" s="29" t="s">
        <v>362</v>
      </c>
      <c r="F8" s="28"/>
      <c r="G8" s="28"/>
      <c r="H8" s="28"/>
      <c r="I8" s="28"/>
      <c r="J8" s="28"/>
      <c r="K8" s="28">
        <v>1</v>
      </c>
      <c r="L8" s="28"/>
      <c r="M8" s="28"/>
      <c r="N8" s="28"/>
      <c r="O8" s="28"/>
    </row>
    <row r="9" spans="1:15" x14ac:dyDescent="0.2">
      <c r="A9" s="27">
        <v>1</v>
      </c>
      <c r="B9" s="28"/>
      <c r="C9" s="28" t="s">
        <v>109</v>
      </c>
      <c r="D9" s="28" t="s">
        <v>107</v>
      </c>
      <c r="E9" s="29" t="s">
        <v>109</v>
      </c>
      <c r="F9" s="28"/>
      <c r="G9" s="28"/>
      <c r="H9" s="28"/>
      <c r="I9" s="28"/>
      <c r="J9" s="28"/>
      <c r="K9" s="28"/>
      <c r="L9" s="28">
        <v>1</v>
      </c>
      <c r="M9" s="28"/>
      <c r="N9" s="28"/>
      <c r="O9" s="28"/>
    </row>
    <row r="10" spans="1:15" x14ac:dyDescent="0.2">
      <c r="A10" s="27">
        <v>1</v>
      </c>
      <c r="B10" s="28"/>
      <c r="C10" s="28" t="s">
        <v>444</v>
      </c>
      <c r="D10" s="28" t="s">
        <v>442</v>
      </c>
      <c r="E10" s="29" t="s">
        <v>444</v>
      </c>
      <c r="F10" s="28"/>
      <c r="G10" s="28"/>
      <c r="H10" s="28"/>
      <c r="I10" s="28"/>
      <c r="J10" s="28"/>
      <c r="K10" s="28"/>
      <c r="L10" s="28"/>
      <c r="M10" s="28">
        <v>1</v>
      </c>
      <c r="N10" s="28"/>
      <c r="O10" s="28"/>
    </row>
    <row r="11" spans="1:15" x14ac:dyDescent="0.2">
      <c r="A11" s="27">
        <v>1</v>
      </c>
      <c r="B11" s="28" t="s">
        <v>503</v>
      </c>
      <c r="C11" s="28" t="s">
        <v>505</v>
      </c>
      <c r="D11" s="28" t="s">
        <v>503</v>
      </c>
      <c r="E11" s="29" t="s">
        <v>505</v>
      </c>
      <c r="F11" s="28"/>
      <c r="G11" s="28"/>
      <c r="H11" s="28"/>
      <c r="I11" s="28"/>
      <c r="J11" s="28"/>
      <c r="K11" s="28"/>
      <c r="L11" s="28"/>
      <c r="M11" s="28"/>
      <c r="N11" s="28">
        <v>1</v>
      </c>
      <c r="O11" s="28"/>
    </row>
    <row r="12" spans="1:15" x14ac:dyDescent="0.2">
      <c r="A12" s="27">
        <v>1</v>
      </c>
      <c r="B12" s="28"/>
      <c r="C12" s="28" t="s">
        <v>2892</v>
      </c>
      <c r="D12" s="28" t="s">
        <v>4440</v>
      </c>
      <c r="E12" s="29" t="s">
        <v>2892</v>
      </c>
      <c r="F12" s="28"/>
      <c r="G12" s="28"/>
      <c r="H12" s="28"/>
      <c r="I12" s="28"/>
      <c r="J12" s="28"/>
      <c r="K12" s="28"/>
      <c r="L12" s="28"/>
      <c r="M12" s="28"/>
      <c r="N12" s="28"/>
      <c r="O12" s="28">
        <v>1</v>
      </c>
    </row>
    <row r="13" spans="1:15" x14ac:dyDescent="0.2">
      <c r="A13" s="27"/>
      <c r="B13" s="28"/>
      <c r="C13" s="28"/>
      <c r="D13" s="28"/>
      <c r="E13" s="29"/>
      <c r="F13" s="28"/>
      <c r="G13" s="28"/>
      <c r="H13" s="28"/>
      <c r="I13" s="28"/>
      <c r="J13" s="28"/>
      <c r="K13" s="28"/>
      <c r="L13" s="28"/>
      <c r="M13" s="28"/>
      <c r="N13" s="28"/>
      <c r="O13" s="28"/>
    </row>
    <row r="14" spans="1:15" x14ac:dyDescent="0.2">
      <c r="A14" s="27">
        <v>1</v>
      </c>
      <c r="B14" s="28"/>
      <c r="C14" s="28" t="s">
        <v>154</v>
      </c>
      <c r="D14" s="28" t="s">
        <v>4433</v>
      </c>
      <c r="E14" s="29" t="s">
        <v>4433</v>
      </c>
      <c r="F14" s="28"/>
      <c r="G14" s="28"/>
      <c r="H14" s="28">
        <v>1</v>
      </c>
      <c r="I14" s="28"/>
      <c r="J14" s="28"/>
      <c r="K14" s="28"/>
      <c r="L14" s="28"/>
      <c r="M14" s="28"/>
      <c r="N14" s="28"/>
      <c r="O14" s="28"/>
    </row>
    <row r="15" spans="1:15" x14ac:dyDescent="0.2">
      <c r="A15" s="27"/>
      <c r="B15" s="28"/>
      <c r="C15" s="28"/>
      <c r="D15" s="28"/>
      <c r="E15" s="29"/>
      <c r="F15" s="28"/>
      <c r="G15" s="28"/>
      <c r="H15" s="28"/>
      <c r="I15" s="28"/>
      <c r="J15" s="28"/>
      <c r="K15" s="28"/>
      <c r="L15" s="28"/>
      <c r="M15" s="28"/>
      <c r="N15" s="28"/>
      <c r="O15" s="28"/>
    </row>
    <row r="16" spans="1:15" ht="42.75" x14ac:dyDescent="0.2">
      <c r="A16" s="27">
        <v>1</v>
      </c>
      <c r="B16" s="28" t="s">
        <v>2885</v>
      </c>
      <c r="C16" s="28" t="s">
        <v>379</v>
      </c>
      <c r="D16" s="28" t="s">
        <v>4434</v>
      </c>
      <c r="E16" s="30" t="s">
        <v>2907</v>
      </c>
      <c r="F16" s="28">
        <v>1</v>
      </c>
      <c r="G16" s="28">
        <v>1</v>
      </c>
      <c r="H16" s="28">
        <v>-2</v>
      </c>
      <c r="I16" s="28"/>
      <c r="J16" s="28"/>
      <c r="K16" s="28"/>
      <c r="L16" s="28"/>
      <c r="M16" s="28"/>
      <c r="N16" s="28"/>
      <c r="O16" s="28"/>
    </row>
    <row r="17" spans="1:15" ht="28.5" x14ac:dyDescent="0.2">
      <c r="A17" s="27">
        <v>1</v>
      </c>
      <c r="B17" s="28" t="s">
        <v>4447</v>
      </c>
      <c r="C17" s="28" t="s">
        <v>416</v>
      </c>
      <c r="D17" s="28" t="s">
        <v>4436</v>
      </c>
      <c r="E17" s="29" t="s">
        <v>4448</v>
      </c>
      <c r="F17" s="28">
        <v>1</v>
      </c>
      <c r="G17" s="28">
        <v>-1</v>
      </c>
      <c r="H17" s="28">
        <v>-2</v>
      </c>
      <c r="I17" s="28"/>
      <c r="J17" s="28"/>
      <c r="K17" s="28"/>
      <c r="L17" s="28"/>
      <c r="M17" s="28"/>
      <c r="N17" s="28"/>
      <c r="O17" s="28"/>
    </row>
    <row r="18" spans="1:15" ht="42.75" x14ac:dyDescent="0.2">
      <c r="A18" s="27">
        <v>1</v>
      </c>
      <c r="B18" s="28" t="s">
        <v>2884</v>
      </c>
      <c r="C18" s="28" t="s">
        <v>168</v>
      </c>
      <c r="D18" s="28" t="s">
        <v>4435</v>
      </c>
      <c r="E18" s="30" t="s">
        <v>2908</v>
      </c>
      <c r="F18" s="28">
        <v>1</v>
      </c>
      <c r="G18" s="28">
        <v>2</v>
      </c>
      <c r="H18" s="28">
        <v>-2</v>
      </c>
      <c r="I18" s="28"/>
      <c r="J18" s="28"/>
      <c r="K18" s="28"/>
      <c r="L18" s="28"/>
      <c r="M18" s="28"/>
      <c r="N18" s="28"/>
      <c r="O18" s="28"/>
    </row>
    <row r="19" spans="1:15" x14ac:dyDescent="0.2">
      <c r="A19" s="27">
        <v>1</v>
      </c>
      <c r="B19" s="28" t="s">
        <v>2900</v>
      </c>
      <c r="C19" s="28" t="s">
        <v>533</v>
      </c>
      <c r="D19" s="28" t="s">
        <v>4445</v>
      </c>
      <c r="E19" s="30" t="s">
        <v>2909</v>
      </c>
      <c r="F19" s="28">
        <v>1</v>
      </c>
      <c r="G19" s="28">
        <v>2</v>
      </c>
      <c r="H19" s="28">
        <v>-3</v>
      </c>
      <c r="I19" s="28"/>
      <c r="J19" s="28"/>
      <c r="K19" s="28"/>
      <c r="L19" s="28"/>
      <c r="M19" s="28"/>
      <c r="N19" s="28"/>
      <c r="O19" s="28"/>
    </row>
    <row r="20" spans="1:15" x14ac:dyDescent="0.2">
      <c r="A20" s="27"/>
      <c r="B20" s="28"/>
      <c r="C20" s="28"/>
      <c r="D20" s="28"/>
      <c r="E20" s="29"/>
      <c r="F20" s="28"/>
      <c r="G20" s="28"/>
      <c r="H20" s="28"/>
      <c r="I20" s="28"/>
      <c r="J20" s="28"/>
      <c r="K20" s="28"/>
      <c r="L20" s="28"/>
      <c r="M20" s="28"/>
      <c r="N20" s="28"/>
      <c r="O20" s="28"/>
    </row>
    <row r="21" spans="1:15" ht="42.75" x14ac:dyDescent="0.2">
      <c r="A21" s="27">
        <v>1</v>
      </c>
      <c r="B21" s="28" t="s">
        <v>2902</v>
      </c>
      <c r="C21" s="28" t="s">
        <v>403</v>
      </c>
      <c r="D21" s="28" t="s">
        <v>403</v>
      </c>
      <c r="E21" s="30" t="s">
        <v>2910</v>
      </c>
      <c r="F21" s="28">
        <v>1</v>
      </c>
      <c r="G21" s="28">
        <v>2</v>
      </c>
      <c r="H21" s="28">
        <v>-3</v>
      </c>
      <c r="I21" s="28">
        <v>-2</v>
      </c>
      <c r="J21" s="28"/>
      <c r="K21" s="28"/>
      <c r="L21" s="28"/>
      <c r="M21" s="28"/>
      <c r="N21" s="28"/>
      <c r="O21" s="28"/>
    </row>
    <row r="22" spans="1:15" ht="28.5" x14ac:dyDescent="0.2">
      <c r="A22" s="27">
        <v>1</v>
      </c>
      <c r="B22" s="28" t="s">
        <v>2897</v>
      </c>
      <c r="C22" s="28" t="s">
        <v>522</v>
      </c>
      <c r="D22" s="28" t="s">
        <v>4437</v>
      </c>
      <c r="E22" s="30" t="s">
        <v>2911</v>
      </c>
      <c r="F22" s="28">
        <v>1</v>
      </c>
      <c r="G22" s="28">
        <v>2</v>
      </c>
      <c r="H22" s="28">
        <v>-3</v>
      </c>
      <c r="I22" s="28">
        <v>-1</v>
      </c>
      <c r="J22" s="28"/>
      <c r="K22" s="28"/>
      <c r="L22" s="28"/>
      <c r="M22" s="28"/>
      <c r="N22" s="28"/>
      <c r="O22" s="28"/>
    </row>
    <row r="23" spans="1:15" ht="57" x14ac:dyDescent="0.2">
      <c r="A23" s="27">
        <v>1</v>
      </c>
      <c r="B23" s="28" t="s">
        <v>2901</v>
      </c>
      <c r="C23" s="28" t="s">
        <v>569</v>
      </c>
      <c r="D23" s="28"/>
      <c r="E23" s="30" t="s">
        <v>2912</v>
      </c>
      <c r="F23" s="28">
        <v>1</v>
      </c>
      <c r="G23" s="28">
        <v>2</v>
      </c>
      <c r="H23" s="28">
        <v>-2</v>
      </c>
      <c r="I23" s="28">
        <v>-1</v>
      </c>
      <c r="J23" s="28"/>
      <c r="K23" s="28"/>
      <c r="L23" s="28"/>
      <c r="M23" s="28"/>
      <c r="N23" s="28"/>
      <c r="O23" s="28"/>
    </row>
    <row r="24" spans="1:15" ht="28.5" x14ac:dyDescent="0.2">
      <c r="A24" s="27">
        <v>1</v>
      </c>
      <c r="B24" s="28" t="s">
        <v>4449</v>
      </c>
      <c r="C24" s="28" t="s">
        <v>93</v>
      </c>
      <c r="D24" s="28" t="s">
        <v>89</v>
      </c>
      <c r="E24" s="29" t="s">
        <v>4450</v>
      </c>
      <c r="F24" s="28"/>
      <c r="G24" s="28"/>
      <c r="H24" s="28">
        <v>1</v>
      </c>
      <c r="I24" s="28">
        <v>1</v>
      </c>
      <c r="J24" s="28"/>
      <c r="K24" s="28"/>
      <c r="L24" s="28"/>
      <c r="M24" s="28"/>
      <c r="N24" s="28"/>
      <c r="O24" s="28"/>
    </row>
    <row r="25" spans="1:15" ht="42.75" x14ac:dyDescent="0.2">
      <c r="A25" s="27">
        <v>1</v>
      </c>
      <c r="B25" s="28" t="s">
        <v>4451</v>
      </c>
      <c r="C25" s="28" t="s">
        <v>135</v>
      </c>
      <c r="D25" s="28" t="s">
        <v>133</v>
      </c>
      <c r="E25" s="29" t="s">
        <v>4452</v>
      </c>
      <c r="F25" s="28">
        <v>-1</v>
      </c>
      <c r="G25" s="28">
        <v>-2</v>
      </c>
      <c r="H25" s="28">
        <v>4</v>
      </c>
      <c r="I25" s="28">
        <v>2</v>
      </c>
      <c r="J25" s="28"/>
      <c r="K25" s="28"/>
      <c r="L25" s="28"/>
      <c r="M25" s="28"/>
      <c r="N25" s="28"/>
      <c r="O25" s="28"/>
    </row>
    <row r="26" spans="1:15" ht="57" x14ac:dyDescent="0.2">
      <c r="A26" s="27">
        <v>1</v>
      </c>
      <c r="B26" s="28" t="s">
        <v>4453</v>
      </c>
      <c r="C26" s="28" t="s">
        <v>509</v>
      </c>
      <c r="D26" s="28" t="s">
        <v>507</v>
      </c>
      <c r="E26" s="29" t="s">
        <v>4454</v>
      </c>
      <c r="F26" s="28"/>
      <c r="G26" s="28">
        <v>2</v>
      </c>
      <c r="H26" s="28">
        <v>-2</v>
      </c>
      <c r="I26" s="28"/>
      <c r="J26" s="28"/>
      <c r="K26" s="28"/>
      <c r="L26" s="28"/>
      <c r="M26" s="28"/>
      <c r="N26" s="28"/>
      <c r="O26" s="28"/>
    </row>
    <row r="27" spans="1:15" ht="57" x14ac:dyDescent="0.2">
      <c r="A27" s="27">
        <v>1</v>
      </c>
      <c r="B27" s="28" t="s">
        <v>4455</v>
      </c>
      <c r="C27" s="28" t="s">
        <v>518</v>
      </c>
      <c r="D27" s="28" t="s">
        <v>515</v>
      </c>
      <c r="E27" s="29" t="s">
        <v>4456</v>
      </c>
      <c r="F27" s="28">
        <v>1</v>
      </c>
      <c r="G27" s="28"/>
      <c r="H27" s="28">
        <v>-2</v>
      </c>
      <c r="I27" s="28">
        <v>-1</v>
      </c>
      <c r="J27" s="28"/>
      <c r="K27" s="28"/>
      <c r="L27" s="28"/>
      <c r="M27" s="28"/>
      <c r="N27" s="28"/>
      <c r="O27" s="28"/>
    </row>
    <row r="28" spans="1:15" x14ac:dyDescent="0.2">
      <c r="A28" s="27"/>
      <c r="B28" s="28" t="s">
        <v>115</v>
      </c>
      <c r="C28" s="28" t="s">
        <v>116</v>
      </c>
      <c r="D28" s="28"/>
      <c r="E28" s="28" t="s">
        <v>4458</v>
      </c>
      <c r="F28" s="28"/>
      <c r="G28" s="28"/>
      <c r="H28" s="28"/>
      <c r="I28" s="28"/>
      <c r="J28" s="28"/>
      <c r="K28" s="28"/>
      <c r="L28" s="28"/>
      <c r="M28" s="28"/>
      <c r="N28" s="28"/>
      <c r="O28" s="28"/>
    </row>
    <row r="29" spans="1:15" x14ac:dyDescent="0.2">
      <c r="A29" s="27"/>
      <c r="B29" s="28"/>
      <c r="C29" s="28"/>
      <c r="D29" s="28"/>
      <c r="E29" s="29"/>
      <c r="F29" s="28"/>
      <c r="G29" s="28"/>
      <c r="H29" s="28"/>
      <c r="I29" s="28"/>
      <c r="J29" s="28"/>
      <c r="K29" s="28"/>
      <c r="L29" s="28"/>
      <c r="M29" s="28"/>
      <c r="N29" s="28"/>
      <c r="O29" s="28"/>
    </row>
    <row r="30" spans="1:15" x14ac:dyDescent="0.2">
      <c r="A30" s="27">
        <v>1</v>
      </c>
      <c r="B30" s="28"/>
      <c r="C30" s="28" t="s">
        <v>440</v>
      </c>
      <c r="D30" s="28"/>
      <c r="E30" s="29" t="s">
        <v>4457</v>
      </c>
      <c r="F30" s="28"/>
      <c r="G30" s="28"/>
      <c r="H30" s="28"/>
      <c r="I30" s="28"/>
      <c r="J30" s="28"/>
      <c r="K30" s="28"/>
      <c r="L30" s="28"/>
      <c r="M30" s="28"/>
      <c r="N30" s="28"/>
      <c r="O30" s="28"/>
    </row>
    <row r="31" spans="1:15" x14ac:dyDescent="0.2">
      <c r="A31" s="27"/>
      <c r="B31" s="28"/>
      <c r="C31" s="28"/>
      <c r="D31" s="28"/>
      <c r="E31" s="29"/>
      <c r="F31" s="28"/>
      <c r="G31" s="28"/>
      <c r="H31" s="28"/>
      <c r="I31" s="28"/>
      <c r="J31" s="28"/>
      <c r="K31" s="28"/>
      <c r="L31" s="28"/>
      <c r="M31" s="28"/>
      <c r="N31" s="28"/>
      <c r="O31" s="28"/>
    </row>
    <row r="32" spans="1:15" ht="42.75" x14ac:dyDescent="0.2">
      <c r="A32" s="27">
        <v>1</v>
      </c>
      <c r="B32" s="28" t="s">
        <v>2896</v>
      </c>
      <c r="C32" s="28" t="s">
        <v>261</v>
      </c>
      <c r="D32" s="28"/>
      <c r="E32" s="29" t="s">
        <v>2895</v>
      </c>
      <c r="F32" s="28"/>
      <c r="G32" s="28"/>
      <c r="H32" s="28"/>
      <c r="I32" s="28"/>
      <c r="J32" s="28"/>
      <c r="K32" s="28"/>
      <c r="L32" s="28">
        <v>1</v>
      </c>
      <c r="M32" s="28"/>
      <c r="N32" s="28">
        <v>1</v>
      </c>
      <c r="O32" s="28"/>
    </row>
    <row r="33" spans="1:15" ht="28.5" x14ac:dyDescent="0.2">
      <c r="A33" s="27">
        <v>1</v>
      </c>
      <c r="B33" s="28" t="s">
        <v>2894</v>
      </c>
      <c r="C33" s="28" t="s">
        <v>271</v>
      </c>
      <c r="D33" s="28"/>
      <c r="E33" s="30" t="s">
        <v>2913</v>
      </c>
      <c r="F33" s="28"/>
      <c r="G33" s="28">
        <v>-2</v>
      </c>
      <c r="H33" s="28"/>
      <c r="I33" s="28"/>
      <c r="J33" s="28"/>
      <c r="K33" s="28"/>
      <c r="L33" s="28">
        <v>1</v>
      </c>
      <c r="M33" s="28"/>
      <c r="N33" s="28">
        <v>1</v>
      </c>
      <c r="O33" s="28"/>
    </row>
    <row r="34" spans="1:15" x14ac:dyDescent="0.2">
      <c r="A34" s="27"/>
      <c r="B34" s="28"/>
      <c r="C34" s="28"/>
      <c r="D34" s="28"/>
      <c r="E34" s="29"/>
      <c r="F34" s="28"/>
      <c r="G34" s="28"/>
      <c r="H34" s="28"/>
      <c r="I34" s="28"/>
      <c r="J34" s="28"/>
      <c r="K34" s="28"/>
      <c r="L34" s="28"/>
      <c r="M34" s="28"/>
      <c r="N34" s="28"/>
      <c r="O34" s="28"/>
    </row>
    <row r="35" spans="1:15" ht="28.5" x14ac:dyDescent="0.2">
      <c r="A35" s="27">
        <v>1</v>
      </c>
      <c r="B35" s="28" t="s">
        <v>2899</v>
      </c>
      <c r="C35" s="28" t="s">
        <v>81</v>
      </c>
      <c r="D35" s="28" t="s">
        <v>4442</v>
      </c>
      <c r="E35" s="30" t="s">
        <v>2914</v>
      </c>
      <c r="F35" s="28"/>
      <c r="G35" s="28"/>
      <c r="H35" s="28">
        <v>-1</v>
      </c>
      <c r="I35" s="28"/>
      <c r="J35" s="28"/>
      <c r="K35" s="28"/>
      <c r="L35" s="28"/>
      <c r="M35" s="28"/>
      <c r="N35" s="28"/>
      <c r="O35" s="28"/>
    </row>
    <row r="36" spans="1:15" x14ac:dyDescent="0.2">
      <c r="A36" s="27">
        <v>1</v>
      </c>
      <c r="B36" s="28" t="s">
        <v>2898</v>
      </c>
      <c r="C36" s="28" t="s">
        <v>149</v>
      </c>
      <c r="D36" s="28"/>
      <c r="E36" s="30" t="s">
        <v>2915</v>
      </c>
      <c r="F36" s="28"/>
      <c r="G36" s="28">
        <v>2</v>
      </c>
      <c r="H36" s="28">
        <v>-2</v>
      </c>
      <c r="I36" s="28"/>
      <c r="J36" s="28"/>
      <c r="K36" s="28"/>
      <c r="L36" s="28"/>
      <c r="M36" s="28"/>
      <c r="N36" s="28"/>
      <c r="O36" s="28"/>
    </row>
    <row r="37" spans="1:15" ht="42.75" x14ac:dyDescent="0.2">
      <c r="A37" s="27"/>
      <c r="B37" s="28"/>
      <c r="C37" s="28" t="s">
        <v>145</v>
      </c>
      <c r="D37" s="28" t="s">
        <v>143</v>
      </c>
      <c r="E37" s="28" t="s">
        <v>4458</v>
      </c>
      <c r="F37" s="28"/>
      <c r="G37" s="28"/>
      <c r="H37" s="28"/>
      <c r="I37" s="28"/>
      <c r="J37" s="28"/>
      <c r="K37" s="28"/>
      <c r="L37" s="28"/>
      <c r="M37" s="28"/>
      <c r="N37" s="28"/>
      <c r="O37" s="28"/>
    </row>
    <row r="38" spans="1:15" ht="42.75" x14ac:dyDescent="0.2">
      <c r="A38" s="27"/>
      <c r="B38" s="28"/>
      <c r="C38" s="28" t="s">
        <v>397</v>
      </c>
      <c r="D38" s="28" t="s">
        <v>395</v>
      </c>
      <c r="E38" s="28" t="s">
        <v>4458</v>
      </c>
      <c r="F38" s="28"/>
      <c r="G38" s="28"/>
      <c r="H38" s="28"/>
      <c r="I38" s="28"/>
      <c r="J38" s="28"/>
      <c r="K38" s="28"/>
      <c r="L38" s="28"/>
      <c r="M38" s="28"/>
      <c r="N38" s="28"/>
      <c r="O38" s="28"/>
    </row>
    <row r="39" spans="1:15" x14ac:dyDescent="0.2">
      <c r="A39" s="27"/>
      <c r="B39" s="28"/>
      <c r="C39" s="28"/>
      <c r="D39" s="28"/>
      <c r="E39" s="30"/>
      <c r="F39" s="28"/>
      <c r="G39" s="28"/>
      <c r="H39" s="28"/>
      <c r="I39" s="28"/>
      <c r="J39" s="28"/>
      <c r="K39" s="28"/>
      <c r="L39" s="28"/>
      <c r="M39" s="28"/>
      <c r="N39" s="28"/>
      <c r="O39" s="28"/>
    </row>
    <row r="40" spans="1:15" ht="42.75" x14ac:dyDescent="0.2">
      <c r="A40" s="27">
        <v>1</v>
      </c>
      <c r="B40" s="28" t="s">
        <v>2903</v>
      </c>
      <c r="C40" s="28" t="s">
        <v>61</v>
      </c>
      <c r="D40" s="28" t="s">
        <v>4441</v>
      </c>
      <c r="E40" s="29" t="s">
        <v>2904</v>
      </c>
      <c r="F40" s="28"/>
      <c r="G40" s="28"/>
      <c r="H40" s="28"/>
      <c r="I40" s="28"/>
      <c r="J40" s="28"/>
      <c r="K40" s="28"/>
      <c r="L40" s="28"/>
      <c r="M40" s="28"/>
      <c r="N40" s="28"/>
      <c r="O40" s="28"/>
    </row>
    <row r="41" spans="1:15" x14ac:dyDescent="0.2">
      <c r="A41" s="27">
        <v>1</v>
      </c>
      <c r="B41" s="28"/>
      <c r="C41" s="28" t="s">
        <v>401</v>
      </c>
      <c r="D41" s="28" t="s">
        <v>4446</v>
      </c>
      <c r="E41" s="29" t="s">
        <v>2904</v>
      </c>
      <c r="F41" s="28"/>
      <c r="G41" s="28"/>
      <c r="H41" s="28"/>
      <c r="I41" s="28"/>
      <c r="J41" s="28"/>
      <c r="K41" s="28"/>
      <c r="L41" s="28"/>
      <c r="M41" s="28"/>
      <c r="N41" s="28"/>
      <c r="O41" s="28"/>
    </row>
    <row r="42" spans="1:15" x14ac:dyDescent="0.2">
      <c r="A42" s="27">
        <v>1</v>
      </c>
      <c r="B42" s="28" t="s">
        <v>4459</v>
      </c>
      <c r="C42" s="28" t="s">
        <v>160</v>
      </c>
      <c r="D42" s="28" t="s">
        <v>4460</v>
      </c>
      <c r="E42" s="29" t="s">
        <v>4461</v>
      </c>
      <c r="F42" s="28"/>
      <c r="G42" s="28"/>
      <c r="H42" s="28">
        <v>-1</v>
      </c>
      <c r="I42" s="28"/>
      <c r="J42" s="28"/>
      <c r="K42" s="28"/>
      <c r="L42" s="28"/>
      <c r="M42" s="28"/>
      <c r="N42" s="28"/>
      <c r="O42" s="28"/>
    </row>
    <row r="43" spans="1:15" x14ac:dyDescent="0.2">
      <c r="A43" s="27"/>
      <c r="B43" s="28"/>
      <c r="C43" s="28"/>
      <c r="D43" s="28"/>
      <c r="E43" s="29"/>
      <c r="F43" s="28"/>
      <c r="G43" s="28"/>
      <c r="H43" s="28"/>
      <c r="I43" s="28"/>
      <c r="J43" s="28"/>
      <c r="K43" s="28"/>
      <c r="L43" s="28"/>
      <c r="M43" s="28"/>
      <c r="N43" s="28"/>
      <c r="O43" s="28"/>
    </row>
    <row r="44" spans="1:15" x14ac:dyDescent="0.2">
      <c r="A44" s="27">
        <v>1</v>
      </c>
      <c r="B44" s="28"/>
      <c r="C44" s="28" t="s">
        <v>86</v>
      </c>
      <c r="D44" s="28"/>
      <c r="E44" s="29" t="s">
        <v>2904</v>
      </c>
      <c r="F44" s="28"/>
      <c r="G44" s="28"/>
      <c r="H44" s="28"/>
      <c r="I44" s="28"/>
      <c r="J44" s="28"/>
      <c r="K44" s="28"/>
      <c r="L44" s="28"/>
      <c r="M44" s="28"/>
      <c r="N44" s="28"/>
      <c r="O44" s="28"/>
    </row>
    <row r="45" spans="1:15" ht="28.5" x14ac:dyDescent="0.2">
      <c r="A45" s="27">
        <v>1</v>
      </c>
      <c r="B45" s="28" t="s">
        <v>76</v>
      </c>
      <c r="C45" s="28" t="s">
        <v>77</v>
      </c>
      <c r="D45" s="28" t="s">
        <v>76</v>
      </c>
      <c r="E45" s="29" t="s">
        <v>4461</v>
      </c>
      <c r="F45" s="28"/>
      <c r="G45" s="28"/>
      <c r="H45" s="28">
        <v>-1</v>
      </c>
      <c r="I45" s="28"/>
      <c r="J45" s="28"/>
      <c r="K45" s="28"/>
      <c r="L45" s="28"/>
      <c r="M45" s="28"/>
      <c r="N45" s="28"/>
      <c r="O45" s="28"/>
    </row>
    <row r="46" spans="1:15" x14ac:dyDescent="0.2">
      <c r="A46" s="27"/>
      <c r="B46" s="28"/>
      <c r="C46" s="28"/>
      <c r="D46" s="28"/>
      <c r="E46" s="29"/>
      <c r="F46" s="28"/>
      <c r="G46" s="28"/>
      <c r="H46" s="28"/>
      <c r="I46" s="28"/>
      <c r="J46" s="28"/>
      <c r="K46" s="28"/>
      <c r="L46" s="28"/>
      <c r="M46" s="28"/>
      <c r="N46" s="28"/>
      <c r="O46" s="28"/>
    </row>
    <row r="47" spans="1:15" x14ac:dyDescent="0.2">
      <c r="A47" s="27">
        <v>1</v>
      </c>
      <c r="B47" s="28" t="s">
        <v>4444</v>
      </c>
      <c r="C47" s="28" t="s">
        <v>131</v>
      </c>
      <c r="D47" s="28" t="s">
        <v>4443</v>
      </c>
      <c r="E47" s="29" t="s">
        <v>2904</v>
      </c>
      <c r="F47" s="28"/>
      <c r="G47" s="28"/>
      <c r="H47" s="28"/>
      <c r="I47" s="28"/>
      <c r="J47" s="28"/>
      <c r="K47" s="28"/>
      <c r="L47" s="28"/>
      <c r="M47" s="28"/>
      <c r="N47" s="28"/>
      <c r="O47" s="28"/>
    </row>
    <row r="48" spans="1:15" x14ac:dyDescent="0.2">
      <c r="A48" s="27"/>
      <c r="B48" s="28"/>
      <c r="C48" s="28"/>
      <c r="D48" s="28"/>
      <c r="E48" s="29"/>
      <c r="F48" s="28"/>
      <c r="G48" s="28"/>
      <c r="H48" s="28"/>
      <c r="I48" s="28"/>
      <c r="J48" s="28"/>
      <c r="K48" s="28"/>
      <c r="L48" s="28"/>
      <c r="M48" s="28"/>
      <c r="N48" s="28"/>
      <c r="O48" s="28"/>
    </row>
    <row r="49" spans="1:15" x14ac:dyDescent="0.2">
      <c r="A49" s="27"/>
      <c r="B49" s="28"/>
      <c r="C49" s="28"/>
      <c r="D49" s="28"/>
      <c r="E49" s="29"/>
      <c r="F49" s="28"/>
      <c r="G49" s="28"/>
      <c r="H49" s="28"/>
      <c r="I49" s="28"/>
      <c r="J49" s="28"/>
      <c r="K49" s="28"/>
      <c r="L49" s="28"/>
      <c r="M49" s="28"/>
      <c r="N49" s="28"/>
      <c r="O49" s="28"/>
    </row>
    <row r="50" spans="1:15" ht="28.5" x14ac:dyDescent="0.2">
      <c r="A50" s="27">
        <v>1</v>
      </c>
      <c r="B50" s="28" t="s">
        <v>2905</v>
      </c>
      <c r="C50" s="28" t="s">
        <v>485</v>
      </c>
      <c r="D50" s="28"/>
      <c r="E50" s="30" t="s">
        <v>2916</v>
      </c>
      <c r="F50" s="28"/>
      <c r="G50" s="28">
        <v>3</v>
      </c>
      <c r="H50" s="28"/>
      <c r="I50" s="28"/>
      <c r="J50" s="28"/>
      <c r="K50" s="28"/>
      <c r="L50" s="28"/>
      <c r="M50" s="28"/>
      <c r="N50" s="28"/>
      <c r="O50" s="28"/>
    </row>
    <row r="51" spans="1:15" ht="28.5" x14ac:dyDescent="0.2">
      <c r="A51" s="27">
        <v>1</v>
      </c>
      <c r="B51" s="28" t="s">
        <v>2906</v>
      </c>
      <c r="C51" s="28" t="s">
        <v>494</v>
      </c>
      <c r="D51" s="28"/>
      <c r="E51" s="30" t="s">
        <v>2916</v>
      </c>
      <c r="F51" s="28"/>
      <c r="G51" s="28">
        <v>3</v>
      </c>
      <c r="H51" s="28"/>
      <c r="I51" s="28"/>
      <c r="J51" s="28"/>
      <c r="K51" s="28"/>
      <c r="L51" s="28"/>
      <c r="M51" s="28"/>
      <c r="N51" s="28"/>
      <c r="O51" s="28"/>
    </row>
    <row r="52" spans="1:15" x14ac:dyDescent="0.2">
      <c r="A52" s="27"/>
      <c r="B52" s="28"/>
      <c r="C52" s="28"/>
      <c r="D52" s="28"/>
      <c r="E52" s="28"/>
      <c r="F52" s="28"/>
      <c r="G52" s="28"/>
      <c r="H52" s="28"/>
      <c r="I52" s="28"/>
      <c r="J52" s="28"/>
      <c r="K52" s="28"/>
      <c r="L52" s="28"/>
      <c r="M52" s="28"/>
      <c r="N52" s="28"/>
      <c r="O52" s="28"/>
    </row>
    <row r="53" spans="1:15" x14ac:dyDescent="0.2">
      <c r="A53" s="27"/>
      <c r="B53" s="28"/>
      <c r="C53" s="28"/>
      <c r="D53" s="28"/>
      <c r="E53" s="28"/>
      <c r="F53" s="28"/>
      <c r="G53" s="28"/>
      <c r="H53" s="28"/>
      <c r="I53" s="28"/>
      <c r="J53" s="28"/>
      <c r="K53" s="28"/>
      <c r="L53" s="28"/>
      <c r="M53" s="28"/>
      <c r="N53" s="28"/>
      <c r="O53" s="28"/>
    </row>
    <row r="54" spans="1:15" ht="42.75" x14ac:dyDescent="0.2">
      <c r="A54" s="27">
        <v>1</v>
      </c>
      <c r="B54" s="28" t="s">
        <v>4468</v>
      </c>
      <c r="C54" s="28" t="s">
        <v>466</v>
      </c>
      <c r="D54" s="28" t="s">
        <v>462</v>
      </c>
      <c r="E54" s="35" t="s">
        <v>4469</v>
      </c>
      <c r="F54" s="28">
        <v>-1</v>
      </c>
      <c r="G54" s="28">
        <v>-2</v>
      </c>
      <c r="H54" s="28">
        <v>3</v>
      </c>
      <c r="I54" s="28">
        <v>2</v>
      </c>
      <c r="J54" s="28"/>
      <c r="K54" s="28"/>
      <c r="L54" s="28"/>
      <c r="M54" s="28"/>
      <c r="N54" s="28"/>
      <c r="O54" s="28"/>
    </row>
    <row r="55" spans="1:15" x14ac:dyDescent="0.2">
      <c r="A55" s="27"/>
      <c r="B55" s="28"/>
      <c r="C55" s="28"/>
      <c r="D55" s="28"/>
      <c r="E55" s="28"/>
      <c r="F55" s="28"/>
      <c r="G55" s="28"/>
      <c r="H55" s="28"/>
      <c r="I55" s="28"/>
      <c r="J55" s="28"/>
      <c r="K55" s="28"/>
      <c r="L55" s="28"/>
      <c r="M55" s="28"/>
      <c r="N55" s="28"/>
      <c r="O55" s="28"/>
    </row>
    <row r="56" spans="1:15" x14ac:dyDescent="0.2">
      <c r="A56" s="27"/>
      <c r="B56" s="28"/>
      <c r="C56" s="28"/>
      <c r="D56" s="28"/>
      <c r="E56" s="28"/>
      <c r="F56" s="28"/>
      <c r="G56" s="28"/>
      <c r="H56" s="28"/>
      <c r="I56" s="28"/>
      <c r="J56" s="28"/>
      <c r="K56" s="28"/>
      <c r="L56" s="28"/>
      <c r="M56" s="28"/>
      <c r="N56" s="28"/>
      <c r="O56" s="28"/>
    </row>
    <row r="57" spans="1:15" x14ac:dyDescent="0.2">
      <c r="A57" s="27"/>
      <c r="B57" s="28"/>
      <c r="C57" s="28"/>
      <c r="D57" s="28"/>
      <c r="E57" s="28"/>
      <c r="F57" s="28"/>
      <c r="G57" s="28"/>
      <c r="H57" s="28"/>
      <c r="I57" s="28"/>
      <c r="J57" s="28"/>
      <c r="K57" s="28"/>
      <c r="L57" s="28"/>
      <c r="M57" s="28"/>
      <c r="N57" s="28"/>
      <c r="O57" s="28"/>
    </row>
    <row r="58" spans="1:15" x14ac:dyDescent="0.2">
      <c r="A58" s="27"/>
      <c r="B58" s="28"/>
      <c r="C58" s="28"/>
      <c r="D58" s="28"/>
      <c r="E58" s="28"/>
      <c r="F58" s="28"/>
      <c r="G58" s="28"/>
      <c r="H58" s="28"/>
      <c r="I58" s="28"/>
      <c r="J58" s="28"/>
      <c r="K58" s="28"/>
      <c r="L58" s="28"/>
      <c r="M58" s="28"/>
      <c r="N58" s="28"/>
      <c r="O58" s="28"/>
    </row>
    <row r="59" spans="1:15" x14ac:dyDescent="0.2">
      <c r="A59" s="27"/>
      <c r="B59" s="28"/>
      <c r="C59" s="28"/>
      <c r="D59" s="28"/>
      <c r="E59" s="28"/>
      <c r="F59" s="28"/>
      <c r="G59" s="28"/>
      <c r="H59" s="28"/>
      <c r="I59" s="28"/>
      <c r="J59" s="28"/>
      <c r="K59" s="28"/>
      <c r="L59" s="28"/>
      <c r="M59" s="28"/>
      <c r="N59" s="28"/>
      <c r="O59" s="28"/>
    </row>
    <row r="60" spans="1:15" x14ac:dyDescent="0.2">
      <c r="A60" s="27"/>
      <c r="B60" s="28"/>
      <c r="C60" s="28"/>
      <c r="D60" s="28"/>
      <c r="E60" s="28"/>
      <c r="F60" s="28"/>
      <c r="G60" s="28"/>
      <c r="H60" s="28"/>
      <c r="I60" s="28"/>
      <c r="J60" s="28"/>
      <c r="K60" s="28"/>
      <c r="L60" s="28"/>
      <c r="M60" s="28"/>
      <c r="N60" s="28"/>
      <c r="O60" s="28"/>
    </row>
    <row r="61" spans="1:15" x14ac:dyDescent="0.2">
      <c r="A61" s="27"/>
      <c r="B61" s="28"/>
      <c r="C61" s="28"/>
      <c r="D61" s="28"/>
      <c r="E61" s="28"/>
      <c r="F61" s="28"/>
      <c r="G61" s="28"/>
      <c r="H61" s="28"/>
      <c r="I61" s="28"/>
      <c r="J61" s="28"/>
      <c r="K61" s="28"/>
      <c r="L61" s="28"/>
      <c r="M61" s="28"/>
      <c r="N61" s="28"/>
      <c r="O61" s="28"/>
    </row>
    <row r="62" spans="1:15" x14ac:dyDescent="0.2">
      <c r="A62" s="27"/>
      <c r="B62" s="28"/>
      <c r="C62" s="28"/>
      <c r="D62" s="28"/>
      <c r="E62" s="28"/>
      <c r="F62" s="28"/>
      <c r="G62" s="28"/>
      <c r="H62" s="28"/>
      <c r="I62" s="28"/>
      <c r="J62" s="28"/>
      <c r="K62" s="28"/>
      <c r="L62" s="28"/>
      <c r="M62" s="28"/>
      <c r="N62" s="28"/>
      <c r="O62" s="28"/>
    </row>
    <row r="63" spans="1:15" x14ac:dyDescent="0.2">
      <c r="A63" s="27"/>
      <c r="B63" s="28"/>
      <c r="C63" s="28"/>
      <c r="D63" s="28"/>
      <c r="E63" s="28"/>
      <c r="F63" s="28"/>
      <c r="G63" s="28"/>
      <c r="H63" s="28"/>
      <c r="I63" s="28"/>
      <c r="J63" s="28"/>
      <c r="K63" s="28"/>
      <c r="L63" s="28"/>
      <c r="M63" s="28"/>
      <c r="N63" s="28"/>
      <c r="O63" s="28"/>
    </row>
    <row r="64" spans="1:15" x14ac:dyDescent="0.2">
      <c r="A64" s="27"/>
      <c r="B64" s="28"/>
      <c r="C64" s="28"/>
      <c r="D64" s="28"/>
      <c r="E64" s="28"/>
      <c r="F64" s="28"/>
      <c r="G64" s="28"/>
      <c r="H64" s="28"/>
      <c r="I64" s="28"/>
      <c r="J64" s="28"/>
      <c r="K64" s="28"/>
      <c r="L64" s="28"/>
      <c r="M64" s="28"/>
      <c r="N64" s="28"/>
      <c r="O64" s="28"/>
    </row>
    <row r="65" spans="1:15" x14ac:dyDescent="0.2">
      <c r="A65" s="27"/>
      <c r="B65" s="28"/>
      <c r="C65" s="28"/>
      <c r="D65" s="28"/>
      <c r="E65" s="28"/>
      <c r="F65" s="28"/>
      <c r="G65" s="28"/>
      <c r="H65" s="28"/>
      <c r="I65" s="28"/>
      <c r="J65" s="28"/>
      <c r="K65" s="28"/>
      <c r="L65" s="28"/>
      <c r="M65" s="28"/>
      <c r="N65" s="28"/>
      <c r="O65" s="28"/>
    </row>
    <row r="66" spans="1:15" x14ac:dyDescent="0.2">
      <c r="A66" s="27"/>
      <c r="B66" s="28"/>
      <c r="C66" s="28"/>
      <c r="D66" s="28"/>
      <c r="E66" s="28"/>
      <c r="F66" s="28"/>
      <c r="G66" s="28"/>
      <c r="H66" s="28"/>
      <c r="I66" s="28"/>
      <c r="J66" s="28"/>
      <c r="K66" s="28"/>
      <c r="L66" s="28"/>
      <c r="M66" s="28"/>
      <c r="N66" s="28"/>
      <c r="O66" s="28"/>
    </row>
    <row r="67" spans="1:15" x14ac:dyDescent="0.2">
      <c r="A67" s="27"/>
      <c r="B67" s="28"/>
      <c r="C67" s="28"/>
      <c r="D67" s="28"/>
      <c r="E67" s="28"/>
      <c r="F67" s="28"/>
      <c r="G67" s="28"/>
      <c r="H67" s="28"/>
      <c r="I67" s="28"/>
      <c r="J67" s="28"/>
      <c r="K67" s="28"/>
      <c r="L67" s="28"/>
      <c r="M67" s="28"/>
      <c r="N67" s="28"/>
      <c r="O67" s="28"/>
    </row>
    <row r="68" spans="1:15" x14ac:dyDescent="0.2">
      <c r="A68" s="27"/>
      <c r="B68" s="28"/>
      <c r="C68" s="28"/>
      <c r="D68" s="28"/>
      <c r="E68" s="28"/>
      <c r="F68" s="28"/>
      <c r="G68" s="28"/>
      <c r="H68" s="28"/>
      <c r="I68" s="28"/>
      <c r="J68" s="28"/>
      <c r="K68" s="28"/>
      <c r="L68" s="28"/>
      <c r="M68" s="28"/>
      <c r="N68" s="28"/>
      <c r="O68" s="28"/>
    </row>
    <row r="69" spans="1:15" x14ac:dyDescent="0.2">
      <c r="A69" s="27"/>
      <c r="B69" s="28"/>
      <c r="C69" s="28"/>
      <c r="D69" s="28"/>
      <c r="E69" s="28"/>
      <c r="F69" s="28"/>
      <c r="G69" s="28"/>
      <c r="H69" s="28"/>
      <c r="I69" s="28"/>
      <c r="J69" s="28"/>
      <c r="K69" s="28"/>
      <c r="L69" s="28"/>
      <c r="M69" s="28"/>
      <c r="N69" s="28"/>
      <c r="O69" s="28"/>
    </row>
    <row r="70" spans="1:15" x14ac:dyDescent="0.2">
      <c r="A70" s="27"/>
      <c r="B70" s="28"/>
      <c r="C70" s="28"/>
      <c r="D70" s="28"/>
      <c r="E70" s="28"/>
      <c r="F70" s="28"/>
      <c r="G70" s="28"/>
      <c r="H70" s="28"/>
      <c r="I70" s="28"/>
      <c r="J70" s="28"/>
      <c r="K70" s="28"/>
      <c r="L70" s="28"/>
      <c r="M70" s="28"/>
      <c r="N70" s="28"/>
      <c r="O70" s="28"/>
    </row>
    <row r="71" spans="1:15" x14ac:dyDescent="0.2">
      <c r="A71" s="27"/>
      <c r="B71" s="28"/>
      <c r="C71" s="28"/>
      <c r="D71" s="28"/>
      <c r="E71" s="28"/>
      <c r="F71" s="28"/>
      <c r="G71" s="28"/>
      <c r="H71" s="28"/>
      <c r="I71" s="28"/>
      <c r="J71" s="28"/>
      <c r="K71" s="28"/>
      <c r="L71" s="28"/>
      <c r="M71" s="28"/>
      <c r="N71" s="28"/>
      <c r="O71" s="28"/>
    </row>
    <row r="72" spans="1:15" x14ac:dyDescent="0.2">
      <c r="A72" s="27"/>
      <c r="B72" s="28"/>
      <c r="C72" s="28"/>
      <c r="D72" s="28"/>
      <c r="E72" s="28"/>
      <c r="F72" s="28"/>
      <c r="G72" s="28"/>
      <c r="H72" s="28"/>
      <c r="I72" s="28"/>
      <c r="J72" s="28"/>
      <c r="K72" s="28"/>
      <c r="L72" s="28"/>
      <c r="M72" s="28"/>
      <c r="N72" s="28"/>
      <c r="O72" s="28"/>
    </row>
    <row r="73" spans="1:15" x14ac:dyDescent="0.2">
      <c r="A73" s="27"/>
      <c r="B73" s="28"/>
      <c r="C73" s="28"/>
      <c r="D73" s="28"/>
      <c r="E73" s="28"/>
      <c r="F73" s="28"/>
      <c r="G73" s="28"/>
      <c r="H73" s="28"/>
      <c r="I73" s="28"/>
      <c r="J73" s="28"/>
      <c r="K73" s="28"/>
      <c r="L73" s="28"/>
      <c r="M73" s="28"/>
      <c r="N73" s="28"/>
      <c r="O73" s="28"/>
    </row>
    <row r="74" spans="1:15" x14ac:dyDescent="0.2">
      <c r="A74" s="27"/>
      <c r="B74" s="28"/>
      <c r="C74" s="28"/>
      <c r="D74" s="28"/>
      <c r="E74" s="28"/>
      <c r="F74" s="28"/>
      <c r="G74" s="28"/>
      <c r="H74" s="28"/>
      <c r="I74" s="28"/>
      <c r="J74" s="28"/>
      <c r="K74" s="28"/>
      <c r="L74" s="28"/>
      <c r="M74" s="28"/>
      <c r="N74" s="28"/>
      <c r="O74" s="28"/>
    </row>
    <row r="75" spans="1:15" x14ac:dyDescent="0.2">
      <c r="A75" s="27"/>
      <c r="B75" s="28"/>
      <c r="C75" s="28"/>
      <c r="D75" s="28"/>
      <c r="E75" s="28"/>
      <c r="F75" s="28"/>
      <c r="G75" s="28"/>
      <c r="H75" s="28"/>
      <c r="I75" s="28"/>
      <c r="J75" s="28"/>
      <c r="K75" s="28"/>
      <c r="L75" s="28"/>
      <c r="M75" s="28"/>
      <c r="N75" s="28"/>
      <c r="O75" s="28"/>
    </row>
    <row r="76" spans="1:15" x14ac:dyDescent="0.2">
      <c r="A76" s="27"/>
      <c r="B76" s="28"/>
      <c r="C76" s="28"/>
      <c r="D76" s="28"/>
      <c r="E76" s="28"/>
      <c r="F76" s="28"/>
      <c r="G76" s="28"/>
      <c r="H76" s="28"/>
      <c r="I76" s="28"/>
      <c r="J76" s="28"/>
      <c r="K76" s="28"/>
      <c r="L76" s="28"/>
      <c r="M76" s="28"/>
      <c r="N76" s="28"/>
      <c r="O76" s="28"/>
    </row>
    <row r="77" spans="1:15" x14ac:dyDescent="0.2">
      <c r="A77" s="27"/>
      <c r="B77" s="28"/>
      <c r="C77" s="28"/>
      <c r="D77" s="28"/>
      <c r="E77" s="28"/>
      <c r="F77" s="28"/>
      <c r="G77" s="28"/>
      <c r="H77" s="28"/>
      <c r="I77" s="28"/>
      <c r="J77" s="28"/>
      <c r="K77" s="28"/>
      <c r="L77" s="28"/>
      <c r="M77" s="28"/>
      <c r="N77" s="28"/>
      <c r="O77" s="28"/>
    </row>
    <row r="78" spans="1:15" x14ac:dyDescent="0.2">
      <c r="A78" s="27"/>
      <c r="B78" s="28"/>
      <c r="C78" s="28"/>
      <c r="D78" s="28"/>
      <c r="E78" s="28"/>
      <c r="F78" s="28"/>
      <c r="G78" s="28"/>
      <c r="H78" s="28"/>
      <c r="I78" s="28"/>
      <c r="J78" s="28"/>
      <c r="K78" s="28"/>
      <c r="L78" s="28"/>
      <c r="M78" s="28"/>
      <c r="N78" s="28"/>
      <c r="O78" s="28"/>
    </row>
    <row r="79" spans="1:15" x14ac:dyDescent="0.2">
      <c r="A79" s="27"/>
      <c r="B79" s="28"/>
      <c r="C79" s="28"/>
      <c r="D79" s="28"/>
      <c r="E79" s="28"/>
      <c r="F79" s="28"/>
      <c r="G79" s="28"/>
      <c r="H79" s="28"/>
      <c r="I79" s="28"/>
      <c r="J79" s="28"/>
      <c r="K79" s="28"/>
      <c r="L79" s="28"/>
      <c r="M79" s="28"/>
      <c r="N79" s="28"/>
      <c r="O79" s="28"/>
    </row>
    <row r="80" spans="1:15" x14ac:dyDescent="0.2">
      <c r="A80" s="27"/>
      <c r="B80" s="28"/>
      <c r="C80" s="28"/>
      <c r="D80" s="28"/>
      <c r="E80" s="28"/>
      <c r="F80" s="28"/>
      <c r="G80" s="28"/>
      <c r="H80" s="28"/>
      <c r="I80" s="28"/>
      <c r="J80" s="28"/>
      <c r="K80" s="28"/>
      <c r="L80" s="28"/>
      <c r="M80" s="28"/>
      <c r="N80" s="28"/>
      <c r="O80" s="28"/>
    </row>
    <row r="81" spans="1:15" x14ac:dyDescent="0.2">
      <c r="A81" s="27"/>
      <c r="B81" s="28"/>
      <c r="C81" s="28"/>
      <c r="D81" s="28"/>
      <c r="E81" s="28"/>
      <c r="F81" s="28"/>
      <c r="G81" s="28"/>
      <c r="H81" s="28"/>
      <c r="I81" s="28"/>
      <c r="J81" s="28"/>
      <c r="K81" s="28"/>
      <c r="L81" s="28"/>
      <c r="M81" s="28"/>
      <c r="N81" s="28"/>
      <c r="O81" s="28"/>
    </row>
    <row r="82" spans="1:15" x14ac:dyDescent="0.2">
      <c r="A82" s="27"/>
      <c r="B82" s="28"/>
      <c r="C82" s="28"/>
      <c r="D82" s="28"/>
      <c r="E82" s="28"/>
      <c r="F82" s="28"/>
      <c r="G82" s="28"/>
      <c r="H82" s="28"/>
      <c r="I82" s="28"/>
      <c r="J82" s="28"/>
      <c r="K82" s="28"/>
      <c r="L82" s="28"/>
      <c r="M82" s="28"/>
      <c r="N82" s="28"/>
      <c r="O82" s="28"/>
    </row>
    <row r="83" spans="1:15" x14ac:dyDescent="0.2">
      <c r="A83" s="27"/>
      <c r="B83" s="28"/>
      <c r="C83" s="28"/>
      <c r="D83" s="28"/>
      <c r="E83" s="28"/>
      <c r="F83" s="28"/>
      <c r="G83" s="28"/>
      <c r="H83" s="28"/>
      <c r="I83" s="28"/>
      <c r="J83" s="28"/>
      <c r="K83" s="28"/>
      <c r="L83" s="28"/>
      <c r="M83" s="28"/>
      <c r="N83" s="28"/>
      <c r="O83" s="28"/>
    </row>
    <row r="84" spans="1:15" x14ac:dyDescent="0.2">
      <c r="A84" s="27"/>
      <c r="B84" s="28"/>
      <c r="C84" s="28"/>
      <c r="D84" s="28"/>
      <c r="E84" s="28"/>
      <c r="F84" s="28"/>
      <c r="G84" s="28"/>
      <c r="H84" s="28"/>
      <c r="I84" s="28"/>
      <c r="J84" s="28"/>
      <c r="K84" s="28"/>
      <c r="L84" s="28"/>
      <c r="M84" s="28"/>
      <c r="N84" s="28"/>
      <c r="O84" s="28"/>
    </row>
    <row r="85" spans="1:15" x14ac:dyDescent="0.2">
      <c r="A85" s="27"/>
      <c r="B85" s="28"/>
      <c r="C85" s="28"/>
      <c r="D85" s="28"/>
      <c r="E85" s="28"/>
      <c r="F85" s="28"/>
      <c r="G85" s="28"/>
      <c r="H85" s="28"/>
      <c r="I85" s="28"/>
      <c r="J85" s="28"/>
      <c r="K85" s="28"/>
      <c r="L85" s="28"/>
      <c r="M85" s="28"/>
      <c r="N85" s="28"/>
      <c r="O85" s="28"/>
    </row>
    <row r="86" spans="1:15" x14ac:dyDescent="0.2">
      <c r="A86" s="27"/>
      <c r="B86" s="28"/>
      <c r="C86" s="28"/>
      <c r="D86" s="28"/>
      <c r="E86" s="28"/>
      <c r="F86" s="28"/>
      <c r="G86" s="28"/>
      <c r="H86" s="28"/>
      <c r="I86" s="28"/>
      <c r="J86" s="28"/>
      <c r="K86" s="28"/>
      <c r="L86" s="28"/>
      <c r="M86" s="28"/>
      <c r="N86" s="28"/>
      <c r="O86" s="28"/>
    </row>
    <row r="87" spans="1:15" x14ac:dyDescent="0.2">
      <c r="A87" s="27"/>
      <c r="B87" s="28"/>
      <c r="C87" s="28"/>
      <c r="D87" s="28"/>
      <c r="E87" s="28"/>
      <c r="F87" s="28"/>
      <c r="G87" s="28"/>
      <c r="H87" s="28"/>
      <c r="I87" s="28"/>
      <c r="J87" s="28"/>
      <c r="K87" s="28"/>
      <c r="L87" s="28"/>
      <c r="M87" s="28"/>
      <c r="N87" s="28"/>
      <c r="O87" s="28"/>
    </row>
    <row r="88" spans="1:15" x14ac:dyDescent="0.2">
      <c r="A88" s="27"/>
      <c r="B88" s="28"/>
      <c r="C88" s="28"/>
      <c r="D88" s="28"/>
      <c r="E88" s="28"/>
      <c r="F88" s="28"/>
      <c r="G88" s="28"/>
      <c r="H88" s="28"/>
      <c r="I88" s="28"/>
      <c r="J88" s="28"/>
      <c r="K88" s="28"/>
      <c r="L88" s="28"/>
      <c r="M88" s="28"/>
      <c r="N88" s="28"/>
      <c r="O88" s="28"/>
    </row>
    <row r="89" spans="1:15" x14ac:dyDescent="0.2">
      <c r="A89" s="27"/>
      <c r="B89" s="28"/>
      <c r="C89" s="28"/>
      <c r="D89" s="28"/>
      <c r="E89" s="28"/>
      <c r="F89" s="28"/>
      <c r="G89" s="28"/>
      <c r="H89" s="28"/>
      <c r="I89" s="28"/>
      <c r="J89" s="28"/>
      <c r="K89" s="28"/>
      <c r="L89" s="28"/>
      <c r="M89" s="28"/>
      <c r="N89" s="28"/>
      <c r="O89" s="28"/>
    </row>
    <row r="90" spans="1:15" x14ac:dyDescent="0.2">
      <c r="A90" s="27"/>
      <c r="B90" s="28"/>
      <c r="C90" s="28"/>
      <c r="D90" s="28"/>
      <c r="E90" s="28"/>
      <c r="F90" s="28"/>
      <c r="G90" s="28"/>
      <c r="H90" s="28"/>
      <c r="I90" s="28"/>
      <c r="J90" s="28"/>
      <c r="K90" s="28"/>
      <c r="L90" s="28"/>
      <c r="M90" s="28"/>
      <c r="N90" s="28"/>
      <c r="O90" s="28"/>
    </row>
    <row r="91" spans="1:15" x14ac:dyDescent="0.2">
      <c r="A91" s="27"/>
      <c r="B91" s="28"/>
      <c r="C91" s="28"/>
      <c r="D91" s="28"/>
      <c r="E91" s="28"/>
      <c r="F91" s="28"/>
      <c r="G91" s="28"/>
      <c r="H91" s="28"/>
      <c r="I91" s="28"/>
      <c r="J91" s="28"/>
      <c r="K91" s="28"/>
      <c r="L91" s="28"/>
      <c r="M91" s="28"/>
      <c r="N91" s="28"/>
      <c r="O91" s="28"/>
    </row>
    <row r="92" spans="1:15" x14ac:dyDescent="0.2">
      <c r="A92" s="27"/>
      <c r="B92" s="28"/>
      <c r="C92" s="28"/>
      <c r="D92" s="28"/>
      <c r="E92" s="28"/>
      <c r="F92" s="28"/>
      <c r="G92" s="28"/>
      <c r="H92" s="28"/>
      <c r="I92" s="28"/>
      <c r="J92" s="28"/>
      <c r="K92" s="28"/>
      <c r="L92" s="28"/>
      <c r="M92" s="28"/>
      <c r="N92" s="28"/>
      <c r="O92" s="28"/>
    </row>
    <row r="93" spans="1:15" x14ac:dyDescent="0.2">
      <c r="A93" s="27"/>
      <c r="B93" s="28"/>
      <c r="C93" s="28"/>
      <c r="D93" s="28"/>
      <c r="E93" s="28"/>
      <c r="F93" s="28"/>
      <c r="G93" s="28"/>
      <c r="H93" s="28"/>
      <c r="I93" s="28"/>
      <c r="J93" s="28"/>
      <c r="K93" s="28"/>
      <c r="L93" s="28"/>
      <c r="M93" s="28"/>
      <c r="N93" s="28"/>
      <c r="O93" s="28"/>
    </row>
    <row r="94" spans="1:15" x14ac:dyDescent="0.2">
      <c r="A94" s="27"/>
      <c r="B94" s="28"/>
      <c r="C94" s="28"/>
      <c r="D94" s="28"/>
      <c r="E94" s="28"/>
      <c r="F94" s="28"/>
      <c r="G94" s="28"/>
      <c r="H94" s="28"/>
      <c r="I94" s="28"/>
      <c r="J94" s="28"/>
      <c r="K94" s="28"/>
      <c r="L94" s="28"/>
      <c r="M94" s="28"/>
      <c r="N94" s="28"/>
      <c r="O94" s="28"/>
    </row>
    <row r="95" spans="1:15" x14ac:dyDescent="0.2">
      <c r="A95" s="27"/>
      <c r="B95" s="28"/>
      <c r="C95" s="28"/>
      <c r="D95" s="28"/>
      <c r="E95" s="28"/>
      <c r="F95" s="28"/>
      <c r="G95" s="28"/>
      <c r="H95" s="28"/>
      <c r="I95" s="28"/>
      <c r="J95" s="28"/>
      <c r="K95" s="28"/>
      <c r="L95" s="28"/>
      <c r="M95" s="28"/>
      <c r="N95" s="28"/>
      <c r="O95" s="28"/>
    </row>
    <row r="96" spans="1:15" x14ac:dyDescent="0.2">
      <c r="A96" s="27"/>
      <c r="B96" s="28"/>
      <c r="C96" s="28"/>
      <c r="D96" s="28"/>
      <c r="E96" s="28"/>
      <c r="F96" s="28"/>
      <c r="G96" s="28"/>
      <c r="H96" s="28"/>
      <c r="I96" s="28"/>
      <c r="J96" s="28"/>
      <c r="K96" s="28"/>
      <c r="L96" s="28"/>
      <c r="M96" s="28"/>
      <c r="N96" s="28"/>
      <c r="O96" s="28"/>
    </row>
    <row r="97" spans="1:15" x14ac:dyDescent="0.2">
      <c r="A97" s="27"/>
      <c r="B97" s="28"/>
      <c r="C97" s="28"/>
      <c r="D97" s="28"/>
      <c r="E97" s="28"/>
      <c r="F97" s="28"/>
      <c r="G97" s="28"/>
      <c r="H97" s="28"/>
      <c r="I97" s="28"/>
      <c r="J97" s="28"/>
      <c r="K97" s="28"/>
      <c r="L97" s="28"/>
      <c r="M97" s="28"/>
      <c r="N97" s="28"/>
      <c r="O97" s="28"/>
    </row>
    <row r="98" spans="1:15" x14ac:dyDescent="0.2">
      <c r="A98" s="27"/>
      <c r="B98" s="28"/>
      <c r="C98" s="28"/>
      <c r="D98" s="28"/>
      <c r="E98" s="28"/>
      <c r="F98" s="28"/>
      <c r="G98" s="28"/>
      <c r="H98" s="28"/>
      <c r="I98" s="28"/>
      <c r="J98" s="28"/>
      <c r="K98" s="28"/>
      <c r="L98" s="28"/>
      <c r="M98" s="28"/>
      <c r="N98" s="28"/>
      <c r="O98" s="28"/>
    </row>
    <row r="99" spans="1:15" x14ac:dyDescent="0.2">
      <c r="A99" s="27"/>
      <c r="B99" s="28"/>
      <c r="C99" s="28"/>
      <c r="D99" s="28"/>
      <c r="E99" s="28"/>
      <c r="F99" s="28"/>
      <c r="G99" s="28"/>
      <c r="H99" s="28"/>
      <c r="I99" s="28"/>
      <c r="J99" s="28"/>
      <c r="K99" s="28"/>
      <c r="L99" s="28"/>
      <c r="M99" s="28"/>
      <c r="N99" s="28"/>
      <c r="O99" s="28"/>
    </row>
    <row r="100" spans="1:15" x14ac:dyDescent="0.2">
      <c r="A100" s="27"/>
      <c r="B100" s="28"/>
      <c r="C100" s="28"/>
      <c r="D100" s="28"/>
      <c r="E100" s="28"/>
      <c r="F100" s="28"/>
      <c r="G100" s="28"/>
      <c r="H100" s="28"/>
      <c r="I100" s="28"/>
      <c r="J100" s="28"/>
      <c r="K100" s="28"/>
      <c r="L100" s="28"/>
      <c r="M100" s="28"/>
      <c r="N100" s="28"/>
      <c r="O100" s="28"/>
    </row>
    <row r="101" spans="1:15" x14ac:dyDescent="0.2">
      <c r="A101" s="27"/>
      <c r="B101" s="28"/>
      <c r="C101" s="28"/>
      <c r="D101" s="28"/>
      <c r="E101" s="28"/>
      <c r="F101" s="28"/>
      <c r="G101" s="28"/>
      <c r="H101" s="28"/>
      <c r="I101" s="28"/>
      <c r="J101" s="28"/>
      <c r="K101" s="28"/>
      <c r="L101" s="28"/>
      <c r="M101" s="28"/>
      <c r="N101" s="28"/>
      <c r="O101" s="28"/>
    </row>
    <row r="102" spans="1:15" x14ac:dyDescent="0.2">
      <c r="A102" s="27"/>
      <c r="B102" s="28"/>
      <c r="C102" s="28"/>
      <c r="D102" s="28"/>
      <c r="E102" s="28"/>
      <c r="F102" s="28"/>
      <c r="G102" s="28"/>
      <c r="H102" s="28"/>
      <c r="I102" s="28"/>
      <c r="J102" s="28"/>
      <c r="K102" s="28"/>
      <c r="L102" s="28"/>
      <c r="M102" s="28"/>
      <c r="N102" s="28"/>
      <c r="O102" s="28"/>
    </row>
    <row r="103" spans="1:15" x14ac:dyDescent="0.2">
      <c r="A103" s="27"/>
      <c r="B103" s="28"/>
      <c r="C103" s="28"/>
      <c r="D103" s="28"/>
      <c r="E103" s="28"/>
      <c r="F103" s="28"/>
      <c r="G103" s="28"/>
      <c r="H103" s="28"/>
      <c r="I103" s="28"/>
      <c r="J103" s="28"/>
      <c r="K103" s="28"/>
      <c r="L103" s="28"/>
      <c r="M103" s="28"/>
      <c r="N103" s="28"/>
      <c r="O103" s="28"/>
    </row>
    <row r="104" spans="1:15" x14ac:dyDescent="0.2">
      <c r="A104" s="27"/>
      <c r="B104" s="28"/>
      <c r="C104" s="28"/>
      <c r="D104" s="28"/>
      <c r="E104" s="28"/>
      <c r="F104" s="28"/>
      <c r="G104" s="28"/>
      <c r="H104" s="28"/>
      <c r="I104" s="28"/>
      <c r="J104" s="28"/>
      <c r="K104" s="28"/>
      <c r="L104" s="28"/>
      <c r="M104" s="28"/>
      <c r="N104" s="28"/>
      <c r="O104" s="28"/>
    </row>
    <row r="105" spans="1:15" x14ac:dyDescent="0.2">
      <c r="A105" s="27"/>
      <c r="B105" s="28"/>
      <c r="C105" s="28"/>
      <c r="D105" s="28"/>
      <c r="E105" s="28"/>
      <c r="F105" s="28"/>
      <c r="G105" s="28"/>
      <c r="H105" s="28"/>
      <c r="I105" s="28"/>
      <c r="J105" s="28"/>
      <c r="K105" s="28"/>
      <c r="L105" s="28"/>
      <c r="M105" s="28"/>
      <c r="N105" s="28"/>
      <c r="O105" s="28"/>
    </row>
    <row r="106" spans="1:15" x14ac:dyDescent="0.2">
      <c r="A106" s="27"/>
      <c r="B106" s="28"/>
      <c r="C106" s="28"/>
      <c r="D106" s="28"/>
      <c r="E106" s="28"/>
      <c r="F106" s="28"/>
      <c r="G106" s="28"/>
      <c r="H106" s="28"/>
      <c r="I106" s="28"/>
      <c r="J106" s="28"/>
      <c r="K106" s="28"/>
      <c r="L106" s="28"/>
      <c r="M106" s="28"/>
      <c r="N106" s="28"/>
      <c r="O106" s="28"/>
    </row>
    <row r="107" spans="1:15" x14ac:dyDescent="0.2">
      <c r="A107" s="27"/>
      <c r="B107" s="28"/>
      <c r="C107" s="28"/>
      <c r="D107" s="28"/>
      <c r="E107" s="28"/>
      <c r="F107" s="28"/>
      <c r="G107" s="28"/>
      <c r="H107" s="28"/>
      <c r="I107" s="28"/>
      <c r="J107" s="28"/>
      <c r="K107" s="28"/>
      <c r="L107" s="28"/>
      <c r="M107" s="28"/>
      <c r="N107" s="28"/>
      <c r="O107" s="28"/>
    </row>
    <row r="108" spans="1:15" x14ac:dyDescent="0.2">
      <c r="A108" s="27"/>
      <c r="B108" s="28"/>
      <c r="C108" s="28"/>
      <c r="D108" s="28"/>
      <c r="E108" s="28"/>
      <c r="F108" s="28"/>
      <c r="G108" s="28"/>
      <c r="H108" s="28"/>
      <c r="I108" s="28"/>
      <c r="J108" s="28"/>
      <c r="K108" s="28"/>
      <c r="L108" s="28"/>
      <c r="M108" s="28"/>
      <c r="N108" s="28"/>
      <c r="O108" s="28"/>
    </row>
    <row r="109" spans="1:15" x14ac:dyDescent="0.2">
      <c r="A109" s="27"/>
      <c r="B109" s="28"/>
      <c r="C109" s="28"/>
      <c r="D109" s="28"/>
      <c r="E109" s="28"/>
      <c r="F109" s="28"/>
      <c r="G109" s="28"/>
      <c r="H109" s="28"/>
      <c r="I109" s="28"/>
      <c r="J109" s="28"/>
      <c r="K109" s="28"/>
      <c r="L109" s="28"/>
      <c r="M109" s="28"/>
      <c r="N109" s="28"/>
      <c r="O109" s="28"/>
    </row>
    <row r="110" spans="1:15" x14ac:dyDescent="0.2">
      <c r="A110" s="27"/>
      <c r="B110" s="28"/>
      <c r="C110" s="28"/>
      <c r="D110" s="28"/>
      <c r="E110" s="28"/>
      <c r="F110" s="28"/>
      <c r="G110" s="28"/>
      <c r="H110" s="28"/>
      <c r="I110" s="28"/>
      <c r="J110" s="28"/>
      <c r="K110" s="28"/>
      <c r="L110" s="28"/>
      <c r="M110" s="28"/>
      <c r="N110" s="28"/>
      <c r="O110" s="28"/>
    </row>
    <row r="111" spans="1:15" x14ac:dyDescent="0.2">
      <c r="A111" s="27"/>
      <c r="B111" s="28"/>
      <c r="C111" s="28"/>
      <c r="D111" s="28"/>
      <c r="E111" s="28"/>
      <c r="F111" s="28"/>
      <c r="G111" s="28"/>
      <c r="H111" s="28"/>
      <c r="I111" s="28"/>
      <c r="J111" s="28"/>
      <c r="K111" s="28"/>
      <c r="L111" s="28"/>
      <c r="M111" s="28"/>
      <c r="N111" s="28"/>
      <c r="O111" s="28"/>
    </row>
    <row r="112" spans="1:15" x14ac:dyDescent="0.2">
      <c r="A112" s="27"/>
      <c r="B112" s="28"/>
      <c r="C112" s="28"/>
      <c r="D112" s="28"/>
      <c r="E112" s="28"/>
      <c r="F112" s="28"/>
      <c r="G112" s="28"/>
      <c r="H112" s="28"/>
      <c r="I112" s="28"/>
      <c r="J112" s="28"/>
      <c r="K112" s="28"/>
      <c r="L112" s="28"/>
      <c r="M112" s="28"/>
      <c r="N112" s="28"/>
      <c r="O112" s="28"/>
    </row>
    <row r="113" spans="1:15" x14ac:dyDescent="0.2">
      <c r="A113" s="27"/>
      <c r="B113" s="28"/>
      <c r="C113" s="28"/>
      <c r="D113" s="28"/>
      <c r="E113" s="28"/>
      <c r="F113" s="28"/>
      <c r="G113" s="28"/>
      <c r="H113" s="28"/>
      <c r="I113" s="28"/>
      <c r="J113" s="28"/>
      <c r="K113" s="28"/>
      <c r="L113" s="28"/>
      <c r="M113" s="28"/>
      <c r="N113" s="28"/>
      <c r="O113" s="28"/>
    </row>
    <row r="114" spans="1:15" x14ac:dyDescent="0.2">
      <c r="A114" s="27"/>
      <c r="B114" s="28"/>
      <c r="C114" s="28"/>
      <c r="D114" s="28"/>
      <c r="E114" s="28"/>
      <c r="F114" s="28"/>
      <c r="G114" s="28"/>
      <c r="H114" s="28"/>
      <c r="I114" s="28"/>
      <c r="J114" s="28"/>
      <c r="K114" s="28"/>
      <c r="L114" s="28"/>
      <c r="M114" s="28"/>
      <c r="N114" s="28"/>
      <c r="O114" s="28"/>
    </row>
    <row r="115" spans="1:15" x14ac:dyDescent="0.2">
      <c r="A115" s="27"/>
      <c r="B115" s="28"/>
      <c r="C115" s="28"/>
      <c r="D115" s="28"/>
      <c r="E115" s="28"/>
      <c r="F115" s="28"/>
      <c r="G115" s="28"/>
      <c r="H115" s="28"/>
      <c r="I115" s="28"/>
      <c r="J115" s="28"/>
      <c r="K115" s="28"/>
      <c r="L115" s="28"/>
      <c r="M115" s="28"/>
      <c r="N115" s="28"/>
      <c r="O115" s="28"/>
    </row>
    <row r="116" spans="1:15" x14ac:dyDescent="0.2">
      <c r="A116" s="27"/>
      <c r="B116" s="28"/>
      <c r="C116" s="28"/>
      <c r="D116" s="28"/>
      <c r="E116" s="28"/>
      <c r="F116" s="28"/>
      <c r="G116" s="28"/>
      <c r="H116" s="28"/>
      <c r="I116" s="28"/>
      <c r="J116" s="28"/>
      <c r="K116" s="28"/>
      <c r="L116" s="28"/>
      <c r="M116" s="28"/>
      <c r="N116" s="28"/>
      <c r="O116" s="28"/>
    </row>
    <row r="117" spans="1:15" x14ac:dyDescent="0.2">
      <c r="A117" s="27"/>
      <c r="B117" s="28"/>
      <c r="C117" s="28"/>
      <c r="D117" s="28"/>
      <c r="E117" s="28"/>
      <c r="F117" s="28"/>
      <c r="G117" s="28"/>
      <c r="H117" s="28"/>
      <c r="I117" s="28"/>
      <c r="J117" s="28"/>
      <c r="K117" s="28"/>
      <c r="L117" s="28"/>
      <c r="M117" s="28"/>
      <c r="N117" s="28"/>
      <c r="O117" s="28"/>
    </row>
    <row r="118" spans="1:15" x14ac:dyDescent="0.2">
      <c r="A118" s="27"/>
      <c r="B118" s="28"/>
      <c r="C118" s="28"/>
      <c r="D118" s="28"/>
      <c r="E118" s="28"/>
      <c r="F118" s="28"/>
      <c r="G118" s="28"/>
      <c r="H118" s="28"/>
      <c r="I118" s="28"/>
      <c r="J118" s="28"/>
      <c r="K118" s="28"/>
      <c r="L118" s="28"/>
      <c r="M118" s="28"/>
      <c r="N118" s="28"/>
      <c r="O118" s="28"/>
    </row>
    <row r="119" spans="1:15" x14ac:dyDescent="0.2">
      <c r="A119" s="27"/>
      <c r="B119" s="28"/>
      <c r="C119" s="28"/>
      <c r="D119" s="28"/>
      <c r="E119" s="28"/>
      <c r="F119" s="28"/>
      <c r="G119" s="28"/>
      <c r="H119" s="28"/>
      <c r="I119" s="28"/>
      <c r="J119" s="28"/>
      <c r="K119" s="28"/>
      <c r="L119" s="28"/>
      <c r="M119" s="28"/>
      <c r="N119" s="28"/>
      <c r="O119" s="28"/>
    </row>
    <row r="120" spans="1:15" x14ac:dyDescent="0.2">
      <c r="A120" s="27"/>
      <c r="B120" s="28"/>
      <c r="C120" s="28"/>
      <c r="D120" s="28"/>
      <c r="E120" s="28"/>
      <c r="F120" s="28"/>
      <c r="G120" s="28"/>
      <c r="H120" s="28"/>
      <c r="I120" s="28"/>
      <c r="J120" s="28"/>
      <c r="K120" s="28"/>
      <c r="L120" s="28"/>
      <c r="M120" s="28"/>
      <c r="N120" s="28"/>
      <c r="O120" s="28"/>
    </row>
    <row r="121" spans="1:15" x14ac:dyDescent="0.2">
      <c r="A121" s="27"/>
      <c r="B121" s="28"/>
      <c r="C121" s="28"/>
      <c r="D121" s="28"/>
      <c r="E121" s="28"/>
      <c r="F121" s="28"/>
      <c r="G121" s="28"/>
      <c r="H121" s="28"/>
      <c r="I121" s="28"/>
      <c r="J121" s="28"/>
      <c r="K121" s="28"/>
      <c r="L121" s="28"/>
      <c r="M121" s="28"/>
      <c r="N121" s="28"/>
      <c r="O121" s="28"/>
    </row>
    <row r="122" spans="1:15" x14ac:dyDescent="0.2">
      <c r="A122" s="27"/>
      <c r="B122" s="28"/>
      <c r="C122" s="28"/>
      <c r="D122" s="28"/>
      <c r="E122" s="28"/>
      <c r="F122" s="28"/>
      <c r="G122" s="28"/>
      <c r="H122" s="28"/>
      <c r="I122" s="28"/>
      <c r="J122" s="28"/>
      <c r="K122" s="28"/>
      <c r="L122" s="28"/>
      <c r="M122" s="28"/>
      <c r="N122" s="28"/>
      <c r="O122" s="28"/>
    </row>
    <row r="123" spans="1:15" x14ac:dyDescent="0.2">
      <c r="A123" s="27"/>
      <c r="B123" s="28"/>
      <c r="C123" s="28"/>
      <c r="D123" s="28"/>
      <c r="E123" s="28"/>
      <c r="F123" s="28"/>
      <c r="G123" s="28"/>
      <c r="H123" s="28"/>
      <c r="I123" s="28"/>
      <c r="J123" s="28"/>
      <c r="K123" s="28"/>
      <c r="L123" s="28"/>
      <c r="M123" s="28"/>
      <c r="N123" s="28"/>
      <c r="O123" s="28"/>
    </row>
    <row r="124" spans="1:15" x14ac:dyDescent="0.2">
      <c r="A124" s="27"/>
      <c r="B124" s="28"/>
      <c r="C124" s="28"/>
      <c r="D124" s="28"/>
      <c r="E124" s="28"/>
      <c r="F124" s="28"/>
      <c r="G124" s="28"/>
      <c r="H124" s="28"/>
      <c r="I124" s="28"/>
      <c r="J124" s="28"/>
      <c r="K124" s="28"/>
      <c r="L124" s="28"/>
      <c r="M124" s="28"/>
      <c r="N124" s="28"/>
      <c r="O124" s="28"/>
    </row>
    <row r="125" spans="1:15" x14ac:dyDescent="0.2">
      <c r="A125" s="27"/>
      <c r="B125" s="28"/>
      <c r="C125" s="28"/>
      <c r="D125" s="28"/>
      <c r="E125" s="28"/>
      <c r="F125" s="28"/>
      <c r="G125" s="28"/>
      <c r="H125" s="28"/>
      <c r="I125" s="28"/>
      <c r="J125" s="28"/>
      <c r="K125" s="28"/>
      <c r="L125" s="28"/>
      <c r="M125" s="28"/>
      <c r="N125" s="28"/>
      <c r="O125" s="28"/>
    </row>
    <row r="126" spans="1:15" x14ac:dyDescent="0.2">
      <c r="A126" s="27"/>
      <c r="B126" s="28"/>
      <c r="C126" s="28"/>
      <c r="D126" s="28"/>
      <c r="E126" s="28"/>
      <c r="F126" s="28"/>
      <c r="G126" s="28"/>
      <c r="H126" s="28"/>
      <c r="I126" s="28"/>
      <c r="J126" s="28"/>
      <c r="K126" s="28"/>
      <c r="L126" s="28"/>
      <c r="M126" s="28"/>
      <c r="N126" s="28"/>
      <c r="O126" s="28"/>
    </row>
    <row r="127" spans="1:15" x14ac:dyDescent="0.2">
      <c r="A127" s="27"/>
      <c r="B127" s="28"/>
      <c r="C127" s="28"/>
      <c r="D127" s="28"/>
      <c r="E127" s="28"/>
      <c r="F127" s="28"/>
      <c r="G127" s="28"/>
      <c r="H127" s="28"/>
      <c r="I127" s="28"/>
      <c r="J127" s="28"/>
      <c r="K127" s="28"/>
      <c r="L127" s="28"/>
      <c r="M127" s="28"/>
      <c r="N127" s="28"/>
      <c r="O127" s="28"/>
    </row>
    <row r="128" spans="1:15" x14ac:dyDescent="0.2">
      <c r="A128" s="27"/>
      <c r="B128" s="28"/>
      <c r="C128" s="28"/>
      <c r="D128" s="28"/>
      <c r="E128" s="28"/>
      <c r="F128" s="28"/>
      <c r="G128" s="28"/>
      <c r="H128" s="28"/>
      <c r="I128" s="28"/>
      <c r="J128" s="28"/>
      <c r="K128" s="28"/>
      <c r="L128" s="28"/>
      <c r="M128" s="28"/>
      <c r="N128" s="28"/>
      <c r="O128" s="28"/>
    </row>
    <row r="129" spans="1:15" x14ac:dyDescent="0.2">
      <c r="A129" s="27"/>
      <c r="B129" s="28"/>
      <c r="C129" s="28"/>
      <c r="D129" s="28"/>
      <c r="E129" s="28"/>
      <c r="F129" s="28"/>
      <c r="G129" s="28"/>
      <c r="H129" s="28"/>
      <c r="I129" s="28"/>
      <c r="J129" s="28"/>
      <c r="K129" s="28"/>
      <c r="L129" s="28"/>
      <c r="M129" s="28"/>
      <c r="N129" s="28"/>
      <c r="O129" s="28"/>
    </row>
    <row r="130" spans="1:15" x14ac:dyDescent="0.2">
      <c r="A130" s="27"/>
      <c r="B130" s="28"/>
      <c r="C130" s="28"/>
      <c r="D130" s="28"/>
      <c r="E130" s="28"/>
      <c r="F130" s="28"/>
      <c r="G130" s="28"/>
      <c r="H130" s="28"/>
      <c r="I130" s="28"/>
      <c r="J130" s="28"/>
      <c r="K130" s="28"/>
      <c r="L130" s="28"/>
      <c r="M130" s="28"/>
      <c r="N130" s="28"/>
      <c r="O130" s="28"/>
    </row>
    <row r="131" spans="1:15" x14ac:dyDescent="0.2">
      <c r="A131" s="27"/>
      <c r="B131" s="28"/>
      <c r="C131" s="28"/>
      <c r="D131" s="28"/>
      <c r="E131" s="28"/>
      <c r="F131" s="28"/>
      <c r="G131" s="28"/>
      <c r="H131" s="28"/>
      <c r="I131" s="28"/>
      <c r="J131" s="28"/>
      <c r="K131" s="28"/>
      <c r="L131" s="28"/>
      <c r="M131" s="28"/>
      <c r="N131" s="28"/>
      <c r="O131" s="28"/>
    </row>
    <row r="132" spans="1:15" x14ac:dyDescent="0.2">
      <c r="A132" s="27"/>
      <c r="B132" s="28"/>
      <c r="C132" s="28"/>
      <c r="D132" s="28"/>
      <c r="E132" s="28"/>
      <c r="F132" s="28"/>
      <c r="G132" s="28"/>
      <c r="H132" s="28"/>
      <c r="I132" s="28"/>
      <c r="J132" s="28"/>
      <c r="K132" s="28"/>
      <c r="L132" s="28"/>
      <c r="M132" s="28"/>
      <c r="N132" s="28"/>
      <c r="O132" s="28"/>
    </row>
    <row r="133" spans="1:15" x14ac:dyDescent="0.2">
      <c r="A133" s="27"/>
      <c r="B133" s="28"/>
      <c r="C133" s="28"/>
      <c r="D133" s="28"/>
      <c r="E133" s="28"/>
      <c r="F133" s="28"/>
      <c r="G133" s="28"/>
      <c r="H133" s="28"/>
      <c r="I133" s="28"/>
      <c r="J133" s="28"/>
      <c r="K133" s="28"/>
      <c r="L133" s="28"/>
      <c r="M133" s="28"/>
      <c r="N133" s="28"/>
      <c r="O133" s="28"/>
    </row>
    <row r="134" spans="1:15" x14ac:dyDescent="0.2">
      <c r="A134" s="27"/>
      <c r="B134" s="28"/>
      <c r="C134" s="28"/>
      <c r="D134" s="28"/>
      <c r="E134" s="28"/>
      <c r="F134" s="28"/>
      <c r="G134" s="28"/>
      <c r="H134" s="28"/>
      <c r="I134" s="28"/>
      <c r="J134" s="28"/>
      <c r="K134" s="28"/>
      <c r="L134" s="28"/>
      <c r="M134" s="28"/>
      <c r="N134" s="28"/>
      <c r="O134" s="28"/>
    </row>
    <row r="135" spans="1:15" x14ac:dyDescent="0.2">
      <c r="A135" s="27"/>
      <c r="B135" s="28"/>
      <c r="C135" s="28"/>
      <c r="D135" s="28"/>
      <c r="E135" s="28"/>
      <c r="F135" s="28"/>
      <c r="G135" s="28"/>
      <c r="H135" s="28"/>
      <c r="I135" s="28"/>
      <c r="J135" s="28"/>
      <c r="K135" s="28"/>
      <c r="L135" s="28"/>
      <c r="M135" s="28"/>
      <c r="N135" s="28"/>
      <c r="O135" s="28"/>
    </row>
    <row r="136" spans="1:15" x14ac:dyDescent="0.2">
      <c r="A136" s="27"/>
      <c r="B136" s="28"/>
      <c r="C136" s="28"/>
      <c r="D136" s="28"/>
      <c r="E136" s="28"/>
      <c r="F136" s="28"/>
      <c r="G136" s="28"/>
      <c r="H136" s="28"/>
      <c r="I136" s="28"/>
      <c r="J136" s="28"/>
      <c r="K136" s="28"/>
      <c r="L136" s="28"/>
      <c r="M136" s="28"/>
      <c r="N136" s="28"/>
      <c r="O136" s="28"/>
    </row>
    <row r="137" spans="1:15" x14ac:dyDescent="0.2">
      <c r="A137" s="27"/>
      <c r="B137" s="28"/>
      <c r="C137" s="28"/>
      <c r="D137" s="28"/>
      <c r="E137" s="28"/>
      <c r="F137" s="28"/>
      <c r="G137" s="28"/>
      <c r="H137" s="28"/>
      <c r="I137" s="28"/>
      <c r="J137" s="28"/>
      <c r="K137" s="28"/>
      <c r="L137" s="28"/>
      <c r="M137" s="28"/>
      <c r="N137" s="28"/>
      <c r="O137" s="28"/>
    </row>
    <row r="138" spans="1:15" x14ac:dyDescent="0.2">
      <c r="A138" s="27"/>
      <c r="B138" s="28"/>
      <c r="C138" s="28"/>
      <c r="D138" s="28"/>
      <c r="E138" s="28"/>
      <c r="F138" s="28"/>
      <c r="G138" s="28"/>
      <c r="H138" s="28"/>
      <c r="I138" s="28"/>
      <c r="J138" s="28"/>
      <c r="K138" s="28"/>
      <c r="L138" s="28"/>
      <c r="M138" s="28"/>
      <c r="N138" s="28"/>
      <c r="O138" s="28"/>
    </row>
    <row r="139" spans="1:15" x14ac:dyDescent="0.2">
      <c r="A139" s="27"/>
      <c r="B139" s="28"/>
      <c r="C139" s="28"/>
      <c r="D139" s="28"/>
      <c r="E139" s="28"/>
      <c r="F139" s="28"/>
      <c r="G139" s="28"/>
      <c r="H139" s="28"/>
      <c r="I139" s="28"/>
      <c r="J139" s="28"/>
      <c r="K139" s="28"/>
      <c r="L139" s="28"/>
      <c r="M139" s="28"/>
      <c r="N139" s="28"/>
      <c r="O139" s="28"/>
    </row>
    <row r="140" spans="1:15" x14ac:dyDescent="0.2">
      <c r="A140" s="27"/>
      <c r="B140" s="28"/>
      <c r="C140" s="28"/>
      <c r="D140" s="28"/>
      <c r="E140" s="28"/>
      <c r="F140" s="28"/>
      <c r="G140" s="28"/>
      <c r="H140" s="28"/>
      <c r="I140" s="28"/>
      <c r="J140" s="28"/>
      <c r="K140" s="28"/>
      <c r="L140" s="28"/>
      <c r="M140" s="28"/>
      <c r="N140" s="28"/>
      <c r="O140" s="28"/>
    </row>
    <row r="141" spans="1:15" x14ac:dyDescent="0.2">
      <c r="A141" s="27"/>
      <c r="B141" s="28"/>
      <c r="C141" s="28"/>
      <c r="D141" s="28"/>
      <c r="E141" s="28"/>
      <c r="F141" s="28"/>
      <c r="G141" s="28"/>
      <c r="H141" s="28"/>
      <c r="I141" s="28"/>
      <c r="J141" s="28"/>
      <c r="K141" s="28"/>
      <c r="L141" s="28"/>
      <c r="M141" s="28"/>
      <c r="N141" s="28"/>
      <c r="O141" s="28"/>
    </row>
    <row r="142" spans="1:15" x14ac:dyDescent="0.2">
      <c r="A142" s="27"/>
      <c r="B142" s="28"/>
      <c r="C142" s="28"/>
      <c r="D142" s="28"/>
      <c r="E142" s="28"/>
      <c r="F142" s="28"/>
      <c r="G142" s="28"/>
      <c r="H142" s="28"/>
      <c r="I142" s="28"/>
      <c r="J142" s="28"/>
      <c r="K142" s="28"/>
      <c r="L142" s="28"/>
      <c r="M142" s="28"/>
      <c r="N142" s="28"/>
      <c r="O142" s="28"/>
    </row>
    <row r="143" spans="1:15" x14ac:dyDescent="0.2">
      <c r="A143" s="27"/>
      <c r="B143" s="28"/>
      <c r="C143" s="28"/>
      <c r="D143" s="28"/>
      <c r="E143" s="28"/>
      <c r="F143" s="28"/>
      <c r="G143" s="28"/>
      <c r="H143" s="28"/>
      <c r="I143" s="28"/>
      <c r="J143" s="28"/>
      <c r="K143" s="28"/>
      <c r="L143" s="28"/>
      <c r="M143" s="28"/>
      <c r="N143" s="28"/>
      <c r="O143" s="28"/>
    </row>
    <row r="144" spans="1:15" x14ac:dyDescent="0.2">
      <c r="A144" s="27"/>
      <c r="B144" s="28"/>
      <c r="C144" s="28"/>
      <c r="D144" s="28"/>
      <c r="E144" s="28"/>
      <c r="F144" s="28"/>
      <c r="G144" s="28"/>
      <c r="H144" s="28"/>
      <c r="I144" s="28"/>
      <c r="J144" s="28"/>
      <c r="K144" s="28"/>
      <c r="L144" s="28"/>
      <c r="M144" s="28"/>
      <c r="N144" s="28"/>
      <c r="O144" s="28"/>
    </row>
    <row r="145" spans="1:15" x14ac:dyDescent="0.2">
      <c r="A145" s="27"/>
      <c r="B145" s="28"/>
      <c r="C145" s="28"/>
      <c r="D145" s="28"/>
      <c r="E145" s="28"/>
      <c r="F145" s="28"/>
      <c r="G145" s="28"/>
      <c r="H145" s="28"/>
      <c r="I145" s="28"/>
      <c r="J145" s="28"/>
      <c r="K145" s="28"/>
      <c r="L145" s="28"/>
      <c r="M145" s="28"/>
      <c r="N145" s="28"/>
      <c r="O145" s="28"/>
    </row>
    <row r="146" spans="1:15" x14ac:dyDescent="0.2">
      <c r="A146" s="27"/>
      <c r="B146" s="28"/>
      <c r="C146" s="28"/>
      <c r="D146" s="28"/>
      <c r="E146" s="28"/>
      <c r="F146" s="28"/>
      <c r="G146" s="28"/>
      <c r="H146" s="28"/>
      <c r="I146" s="28"/>
      <c r="J146" s="28"/>
      <c r="K146" s="28"/>
      <c r="L146" s="28"/>
      <c r="M146" s="28"/>
      <c r="N146" s="28"/>
      <c r="O146" s="28"/>
    </row>
    <row r="147" spans="1:15" x14ac:dyDescent="0.2">
      <c r="A147" s="27"/>
      <c r="B147" s="28"/>
      <c r="C147" s="28"/>
      <c r="D147" s="28"/>
      <c r="E147" s="28"/>
      <c r="F147" s="28"/>
      <c r="G147" s="28"/>
      <c r="H147" s="28"/>
      <c r="I147" s="28"/>
      <c r="J147" s="28"/>
      <c r="K147" s="28"/>
      <c r="L147" s="28"/>
      <c r="M147" s="28"/>
      <c r="N147" s="28"/>
      <c r="O147" s="28"/>
    </row>
    <row r="148" spans="1:15" x14ac:dyDescent="0.2">
      <c r="A148" s="27"/>
      <c r="B148" s="28"/>
      <c r="C148" s="28"/>
      <c r="D148" s="28"/>
      <c r="E148" s="28"/>
      <c r="F148" s="28"/>
      <c r="G148" s="28"/>
      <c r="H148" s="28"/>
      <c r="I148" s="28"/>
      <c r="J148" s="28"/>
      <c r="K148" s="28"/>
      <c r="L148" s="28"/>
      <c r="M148" s="28"/>
      <c r="N148" s="28"/>
      <c r="O148" s="28"/>
    </row>
    <row r="149" spans="1:15" x14ac:dyDescent="0.2">
      <c r="A149" s="27"/>
      <c r="B149" s="28"/>
      <c r="C149" s="28"/>
      <c r="D149" s="28"/>
      <c r="E149" s="28"/>
      <c r="F149" s="28"/>
      <c r="G149" s="28"/>
      <c r="H149" s="28"/>
      <c r="I149" s="28"/>
      <c r="J149" s="28"/>
      <c r="K149" s="28"/>
      <c r="L149" s="28"/>
      <c r="M149" s="28"/>
      <c r="N149" s="28"/>
      <c r="O149" s="28"/>
    </row>
    <row r="150" spans="1:15" x14ac:dyDescent="0.2">
      <c r="A150" s="27"/>
      <c r="B150" s="28"/>
      <c r="C150" s="28"/>
      <c r="D150" s="28"/>
      <c r="E150" s="28"/>
      <c r="F150" s="28"/>
      <c r="G150" s="28"/>
      <c r="H150" s="28"/>
      <c r="I150" s="28"/>
      <c r="J150" s="28"/>
      <c r="K150" s="28"/>
      <c r="L150" s="28"/>
      <c r="M150" s="28"/>
      <c r="N150" s="28"/>
      <c r="O150" s="28"/>
    </row>
    <row r="151" spans="1:15" x14ac:dyDescent="0.2">
      <c r="A151" s="27"/>
      <c r="B151" s="28"/>
      <c r="C151" s="28"/>
      <c r="D151" s="28"/>
      <c r="E151" s="28"/>
      <c r="F151" s="28"/>
      <c r="G151" s="28"/>
      <c r="H151" s="28"/>
      <c r="I151" s="28"/>
      <c r="J151" s="28"/>
      <c r="K151" s="28"/>
      <c r="L151" s="28"/>
      <c r="M151" s="28"/>
      <c r="N151" s="28"/>
      <c r="O151" s="28"/>
    </row>
    <row r="152" spans="1:15" x14ac:dyDescent="0.2">
      <c r="A152" s="27"/>
      <c r="B152" s="28"/>
      <c r="C152" s="28"/>
      <c r="D152" s="28"/>
      <c r="E152" s="28"/>
      <c r="F152" s="28"/>
      <c r="G152" s="28"/>
      <c r="H152" s="28"/>
      <c r="I152" s="28"/>
      <c r="J152" s="28"/>
      <c r="K152" s="28"/>
      <c r="L152" s="28"/>
      <c r="M152" s="28"/>
      <c r="N152" s="28"/>
      <c r="O152" s="28"/>
    </row>
    <row r="153" spans="1:15" x14ac:dyDescent="0.2">
      <c r="A153" s="27"/>
      <c r="B153" s="28"/>
      <c r="C153" s="28"/>
      <c r="D153" s="28"/>
      <c r="E153" s="28"/>
      <c r="F153" s="28"/>
      <c r="G153" s="28"/>
      <c r="H153" s="28"/>
      <c r="I153" s="28"/>
      <c r="J153" s="28"/>
      <c r="K153" s="28"/>
      <c r="L153" s="28"/>
      <c r="M153" s="28"/>
      <c r="N153" s="28"/>
      <c r="O153" s="28"/>
    </row>
    <row r="154" spans="1:15" x14ac:dyDescent="0.2">
      <c r="A154" s="27"/>
      <c r="B154" s="28"/>
      <c r="C154" s="28"/>
      <c r="D154" s="28"/>
      <c r="E154" s="28"/>
      <c r="F154" s="28"/>
      <c r="G154" s="28"/>
      <c r="H154" s="28"/>
      <c r="I154" s="28"/>
      <c r="J154" s="28"/>
      <c r="K154" s="28"/>
      <c r="L154" s="28"/>
      <c r="M154" s="28"/>
      <c r="N154" s="28"/>
      <c r="O154" s="28"/>
    </row>
    <row r="155" spans="1:15" x14ac:dyDescent="0.2">
      <c r="A155" s="27"/>
      <c r="B155" s="28"/>
      <c r="C155" s="28"/>
      <c r="D155" s="28"/>
      <c r="E155" s="28"/>
      <c r="F155" s="28"/>
      <c r="G155" s="28"/>
      <c r="H155" s="28"/>
      <c r="I155" s="28"/>
      <c r="J155" s="28"/>
      <c r="K155" s="28"/>
      <c r="L155" s="28"/>
      <c r="M155" s="28"/>
      <c r="N155" s="28"/>
      <c r="O155" s="28"/>
    </row>
    <row r="156" spans="1:15" x14ac:dyDescent="0.2">
      <c r="A156" s="27"/>
      <c r="B156" s="28"/>
      <c r="C156" s="28"/>
      <c r="D156" s="28"/>
      <c r="E156" s="28"/>
      <c r="F156" s="28"/>
      <c r="G156" s="28"/>
      <c r="H156" s="28"/>
      <c r="I156" s="28"/>
      <c r="J156" s="28"/>
      <c r="K156" s="28"/>
      <c r="L156" s="28"/>
      <c r="M156" s="28"/>
      <c r="N156" s="28"/>
      <c r="O156" s="28"/>
    </row>
    <row r="157" spans="1:15" x14ac:dyDescent="0.2">
      <c r="A157" s="27"/>
      <c r="B157" s="28"/>
      <c r="C157" s="28"/>
      <c r="D157" s="28"/>
      <c r="E157" s="28"/>
      <c r="F157" s="28"/>
      <c r="G157" s="28"/>
      <c r="H157" s="28"/>
      <c r="I157" s="28"/>
      <c r="J157" s="28"/>
      <c r="K157" s="28"/>
      <c r="L157" s="28"/>
      <c r="M157" s="28"/>
      <c r="N157" s="28"/>
      <c r="O157" s="28"/>
    </row>
    <row r="158" spans="1:15" x14ac:dyDescent="0.2">
      <c r="A158" s="27"/>
      <c r="B158" s="28"/>
      <c r="C158" s="28"/>
      <c r="D158" s="28"/>
      <c r="E158" s="28"/>
      <c r="F158" s="28"/>
      <c r="G158" s="28"/>
      <c r="H158" s="28"/>
      <c r="I158" s="28"/>
      <c r="J158" s="28"/>
      <c r="K158" s="28"/>
      <c r="L158" s="28"/>
      <c r="M158" s="28"/>
      <c r="N158" s="28"/>
      <c r="O158" s="28"/>
    </row>
    <row r="159" spans="1:15" x14ac:dyDescent="0.2">
      <c r="A159" s="27"/>
      <c r="B159" s="28"/>
      <c r="C159" s="28"/>
      <c r="D159" s="28"/>
      <c r="E159" s="28"/>
      <c r="F159" s="28"/>
      <c r="G159" s="28"/>
      <c r="H159" s="28"/>
      <c r="I159" s="28"/>
      <c r="J159" s="28"/>
      <c r="K159" s="28"/>
      <c r="L159" s="28"/>
      <c r="M159" s="28"/>
      <c r="N159" s="28"/>
      <c r="O159" s="28"/>
    </row>
    <row r="160" spans="1:15" x14ac:dyDescent="0.2">
      <c r="A160" s="27"/>
      <c r="B160" s="28"/>
      <c r="C160" s="28"/>
      <c r="D160" s="28"/>
      <c r="E160" s="28"/>
      <c r="F160" s="28"/>
      <c r="G160" s="28"/>
      <c r="H160" s="28"/>
      <c r="I160" s="28"/>
      <c r="J160" s="28"/>
      <c r="K160" s="28"/>
      <c r="L160" s="28"/>
      <c r="M160" s="28"/>
      <c r="N160" s="28"/>
      <c r="O160" s="28"/>
    </row>
    <row r="161" spans="1:15" x14ac:dyDescent="0.2">
      <c r="A161" s="27"/>
      <c r="B161" s="28"/>
      <c r="C161" s="28"/>
      <c r="D161" s="28"/>
      <c r="E161" s="28"/>
      <c r="F161" s="28"/>
      <c r="G161" s="28"/>
      <c r="H161" s="28"/>
      <c r="I161" s="28"/>
      <c r="J161" s="28"/>
      <c r="K161" s="28"/>
      <c r="L161" s="28"/>
      <c r="M161" s="28"/>
      <c r="N161" s="28"/>
      <c r="O161" s="28"/>
    </row>
    <row r="162" spans="1:15" x14ac:dyDescent="0.2">
      <c r="A162" s="27"/>
      <c r="B162" s="28"/>
      <c r="C162" s="28"/>
      <c r="D162" s="28"/>
      <c r="E162" s="28"/>
      <c r="F162" s="28"/>
      <c r="G162" s="28"/>
      <c r="H162" s="28"/>
      <c r="I162" s="28"/>
      <c r="J162" s="28"/>
      <c r="K162" s="28"/>
      <c r="L162" s="28"/>
      <c r="M162" s="28"/>
      <c r="N162" s="28"/>
      <c r="O162" s="28"/>
    </row>
    <row r="163" spans="1:15" x14ac:dyDescent="0.2">
      <c r="A163" s="27"/>
      <c r="B163" s="28"/>
      <c r="C163" s="28"/>
      <c r="D163" s="28"/>
      <c r="E163" s="28"/>
      <c r="F163" s="28"/>
      <c r="G163" s="28"/>
      <c r="H163" s="28"/>
      <c r="I163" s="28"/>
      <c r="J163" s="28"/>
      <c r="K163" s="28"/>
      <c r="L163" s="28"/>
      <c r="M163" s="28"/>
      <c r="N163" s="28"/>
      <c r="O163" s="28"/>
    </row>
    <row r="164" spans="1:15" x14ac:dyDescent="0.2">
      <c r="A164" s="27"/>
      <c r="B164" s="28"/>
      <c r="C164" s="28"/>
      <c r="D164" s="28"/>
      <c r="E164" s="28"/>
      <c r="F164" s="28"/>
      <c r="G164" s="28"/>
      <c r="H164" s="28"/>
      <c r="I164" s="28"/>
      <c r="J164" s="28"/>
      <c r="K164" s="28"/>
      <c r="L164" s="28"/>
      <c r="M164" s="28"/>
      <c r="N164" s="28"/>
      <c r="O164" s="28"/>
    </row>
    <row r="165" spans="1:15" x14ac:dyDescent="0.2">
      <c r="A165" s="27"/>
      <c r="B165" s="28"/>
      <c r="C165" s="28"/>
      <c r="D165" s="28"/>
      <c r="E165" s="28"/>
      <c r="F165" s="28"/>
      <c r="G165" s="28"/>
      <c r="H165" s="28"/>
      <c r="I165" s="28"/>
      <c r="J165" s="28"/>
      <c r="K165" s="28"/>
      <c r="L165" s="28"/>
      <c r="M165" s="28"/>
      <c r="N165" s="28"/>
      <c r="O165" s="28"/>
    </row>
    <row r="166" spans="1:15" x14ac:dyDescent="0.2">
      <c r="A166" s="27"/>
      <c r="B166" s="28"/>
      <c r="C166" s="28"/>
      <c r="D166" s="28"/>
      <c r="E166" s="28"/>
      <c r="F166" s="28"/>
      <c r="G166" s="28"/>
      <c r="H166" s="28"/>
      <c r="I166" s="28"/>
      <c r="J166" s="28"/>
      <c r="K166" s="28"/>
      <c r="L166" s="28"/>
      <c r="M166" s="28"/>
      <c r="N166" s="28"/>
      <c r="O166" s="28"/>
    </row>
    <row r="167" spans="1:15" x14ac:dyDescent="0.2">
      <c r="A167" s="27"/>
      <c r="B167" s="28"/>
      <c r="C167" s="28"/>
      <c r="D167" s="28"/>
      <c r="E167" s="28"/>
      <c r="F167" s="28"/>
      <c r="G167" s="28"/>
      <c r="H167" s="28"/>
      <c r="I167" s="28"/>
      <c r="J167" s="28"/>
      <c r="K167" s="28"/>
      <c r="L167" s="28"/>
      <c r="M167" s="28"/>
      <c r="N167" s="28"/>
      <c r="O167" s="28"/>
    </row>
    <row r="168" spans="1:15" x14ac:dyDescent="0.2">
      <c r="A168" s="27"/>
      <c r="B168" s="28"/>
      <c r="C168" s="28"/>
      <c r="D168" s="28"/>
      <c r="E168" s="28"/>
      <c r="F168" s="28"/>
      <c r="G168" s="28"/>
      <c r="H168" s="28"/>
      <c r="I168" s="28"/>
      <c r="J168" s="28"/>
      <c r="K168" s="28"/>
      <c r="L168" s="28"/>
      <c r="M168" s="28"/>
      <c r="N168" s="28"/>
      <c r="O168" s="28"/>
    </row>
    <row r="169" spans="1:15" x14ac:dyDescent="0.2">
      <c r="A169" s="27"/>
      <c r="B169" s="28"/>
      <c r="C169" s="28"/>
      <c r="D169" s="28"/>
      <c r="E169" s="28"/>
      <c r="F169" s="28"/>
      <c r="G169" s="28"/>
      <c r="H169" s="28"/>
      <c r="I169" s="28"/>
      <c r="J169" s="28"/>
      <c r="K169" s="28"/>
      <c r="L169" s="28"/>
      <c r="M169" s="28"/>
      <c r="N169" s="28"/>
      <c r="O169" s="28"/>
    </row>
    <row r="170" spans="1:15" x14ac:dyDescent="0.2">
      <c r="A170" s="27"/>
      <c r="B170" s="28"/>
      <c r="C170" s="28"/>
      <c r="D170" s="28"/>
      <c r="E170" s="28"/>
      <c r="F170" s="28"/>
      <c r="G170" s="28"/>
      <c r="H170" s="28"/>
      <c r="I170" s="28"/>
      <c r="J170" s="28"/>
      <c r="K170" s="28"/>
      <c r="L170" s="28"/>
      <c r="M170" s="28"/>
      <c r="N170" s="28"/>
      <c r="O170" s="28"/>
    </row>
    <row r="171" spans="1:15" x14ac:dyDescent="0.2">
      <c r="A171" s="27"/>
      <c r="B171" s="28"/>
      <c r="C171" s="28"/>
      <c r="D171" s="28"/>
      <c r="E171" s="28"/>
      <c r="F171" s="28"/>
      <c r="G171" s="28"/>
      <c r="H171" s="28"/>
      <c r="I171" s="28"/>
      <c r="J171" s="28"/>
      <c r="K171" s="28"/>
      <c r="L171" s="28"/>
      <c r="M171" s="28"/>
      <c r="N171" s="28"/>
      <c r="O171" s="28"/>
    </row>
    <row r="172" spans="1:15" x14ac:dyDescent="0.2">
      <c r="A172" s="27"/>
      <c r="B172" s="28"/>
      <c r="C172" s="28"/>
      <c r="D172" s="28"/>
      <c r="E172" s="28"/>
      <c r="F172" s="28"/>
      <c r="G172" s="28"/>
      <c r="H172" s="28"/>
      <c r="I172" s="28"/>
      <c r="J172" s="28"/>
      <c r="K172" s="28"/>
      <c r="L172" s="28"/>
      <c r="M172" s="28"/>
      <c r="N172" s="28"/>
      <c r="O172" s="28"/>
    </row>
    <row r="173" spans="1:15" x14ac:dyDescent="0.2">
      <c r="A173" s="27"/>
      <c r="B173" s="28"/>
      <c r="C173" s="28"/>
      <c r="D173" s="28"/>
      <c r="E173" s="28"/>
      <c r="F173" s="28"/>
      <c r="G173" s="28"/>
      <c r="H173" s="28"/>
      <c r="I173" s="28"/>
      <c r="J173" s="28"/>
      <c r="K173" s="28"/>
      <c r="L173" s="28"/>
      <c r="M173" s="28"/>
      <c r="N173" s="28"/>
      <c r="O173" s="28"/>
    </row>
    <row r="174" spans="1:15" x14ac:dyDescent="0.2">
      <c r="A174" s="27"/>
      <c r="B174" s="28"/>
      <c r="C174" s="28"/>
      <c r="D174" s="28"/>
      <c r="E174" s="28"/>
      <c r="F174" s="28"/>
      <c r="G174" s="28"/>
      <c r="H174" s="28"/>
      <c r="I174" s="28"/>
      <c r="J174" s="28"/>
      <c r="K174" s="28"/>
      <c r="L174" s="28"/>
      <c r="M174" s="28"/>
      <c r="N174" s="28"/>
      <c r="O174" s="28"/>
    </row>
  </sheetData>
  <hyperlinks>
    <hyperlink ref="B2" r:id="rId1" xr:uid="{00000000-0004-0000-0400-000000000000}"/>
  </hyperlinks>
  <pageMargins left="0.7" right="0.7" top="0.75" bottom="0.75" header="0.3" footer="0.3"/>
  <pageSetup paperSize="9" orientation="portrait" horizontalDpi="4294967293" verticalDpi="0"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1:C260"/>
  <sheetViews>
    <sheetView workbookViewId="0">
      <pane xSplit="1" ySplit="1" topLeftCell="B225" activePane="bottomRight" state="frozen"/>
      <selection pane="topRight" activeCell="B1" sqref="B1"/>
      <selection pane="bottomLeft" activeCell="A2" sqref="A2"/>
      <selection pane="bottomRight" activeCell="D254" sqref="D254"/>
    </sheetView>
  </sheetViews>
  <sheetFormatPr defaultRowHeight="14.25" x14ac:dyDescent="0.2"/>
  <cols>
    <col min="2" max="2" width="26.625" customWidth="1"/>
  </cols>
  <sheetData>
    <row r="1" spans="2:3" x14ac:dyDescent="0.2">
      <c r="B1" s="39" t="s">
        <v>4473</v>
      </c>
      <c r="C1" s="40" t="s">
        <v>4474</v>
      </c>
    </row>
    <row r="2" spans="2:3" x14ac:dyDescent="0.2">
      <c r="B2" s="41" t="s">
        <v>148</v>
      </c>
      <c r="C2" s="42"/>
    </row>
    <row r="3" spans="2:3" x14ac:dyDescent="0.2">
      <c r="B3" s="41" t="s">
        <v>299</v>
      </c>
      <c r="C3" s="42">
        <v>2</v>
      </c>
    </row>
    <row r="4" spans="2:3" x14ac:dyDescent="0.2">
      <c r="B4" s="41" t="s">
        <v>424</v>
      </c>
      <c r="C4" s="42"/>
    </row>
    <row r="5" spans="2:3" x14ac:dyDescent="0.2">
      <c r="B5" s="41" t="s">
        <v>80</v>
      </c>
      <c r="C5" s="42"/>
    </row>
    <row r="6" spans="2:3" x14ac:dyDescent="0.2">
      <c r="B6" s="41" t="s">
        <v>464</v>
      </c>
      <c r="C6" s="42"/>
    </row>
    <row r="7" spans="2:3" x14ac:dyDescent="0.2">
      <c r="B7" s="41" t="s">
        <v>194</v>
      </c>
      <c r="C7" s="42"/>
    </row>
    <row r="8" spans="2:3" x14ac:dyDescent="0.2">
      <c r="B8" s="41" t="s">
        <v>372</v>
      </c>
      <c r="C8" s="42">
        <v>2</v>
      </c>
    </row>
    <row r="9" spans="2:3" x14ac:dyDescent="0.2">
      <c r="B9" s="41" t="s">
        <v>361</v>
      </c>
      <c r="C9" s="42">
        <v>2</v>
      </c>
    </row>
    <row r="10" spans="2:3" x14ac:dyDescent="0.2">
      <c r="B10" s="41" t="s">
        <v>447</v>
      </c>
      <c r="C10" s="42"/>
    </row>
    <row r="11" spans="2:3" x14ac:dyDescent="0.2">
      <c r="B11" s="41" t="s">
        <v>456</v>
      </c>
      <c r="C11" s="42"/>
    </row>
    <row r="12" spans="2:3" x14ac:dyDescent="0.2">
      <c r="B12" s="41" t="s">
        <v>450</v>
      </c>
      <c r="C12" s="42"/>
    </row>
    <row r="13" spans="2:3" x14ac:dyDescent="0.2">
      <c r="B13" s="41" t="s">
        <v>460</v>
      </c>
      <c r="C13" s="42"/>
    </row>
    <row r="14" spans="2:3" x14ac:dyDescent="0.2">
      <c r="B14" s="41" t="s">
        <v>453</v>
      </c>
      <c r="C14" s="42"/>
    </row>
    <row r="15" spans="2:3" x14ac:dyDescent="0.2">
      <c r="B15" s="41" t="s">
        <v>302</v>
      </c>
      <c r="C15" s="42">
        <v>2</v>
      </c>
    </row>
    <row r="16" spans="2:3" x14ac:dyDescent="0.2">
      <c r="B16" s="41" t="s">
        <v>583</v>
      </c>
      <c r="C16" s="42"/>
    </row>
    <row r="17" spans="2:3" x14ac:dyDescent="0.2">
      <c r="B17" s="41" t="s">
        <v>318</v>
      </c>
      <c r="C17" s="42">
        <v>2</v>
      </c>
    </row>
    <row r="18" spans="2:3" x14ac:dyDescent="0.2">
      <c r="B18" s="41" t="s">
        <v>722</v>
      </c>
      <c r="C18" s="42"/>
    </row>
    <row r="19" spans="2:3" x14ac:dyDescent="0.2">
      <c r="B19" s="41" t="s">
        <v>243</v>
      </c>
      <c r="C19" s="42"/>
    </row>
    <row r="20" spans="2:3" x14ac:dyDescent="0.2">
      <c r="B20" s="41" t="s">
        <v>69</v>
      </c>
      <c r="C20" s="42"/>
    </row>
    <row r="21" spans="2:3" x14ac:dyDescent="0.2">
      <c r="B21" s="41" t="s">
        <v>65</v>
      </c>
      <c r="C21" s="42"/>
    </row>
    <row r="22" spans="2:3" x14ac:dyDescent="0.2">
      <c r="B22" s="41" t="s">
        <v>278</v>
      </c>
      <c r="C22" s="42"/>
    </row>
    <row r="23" spans="2:3" x14ac:dyDescent="0.2">
      <c r="B23" s="41" t="s">
        <v>31</v>
      </c>
      <c r="C23" s="42"/>
    </row>
    <row r="24" spans="2:3" x14ac:dyDescent="0.2">
      <c r="B24" s="41" t="s">
        <v>186</v>
      </c>
      <c r="C24" s="42"/>
    </row>
    <row r="25" spans="2:3" x14ac:dyDescent="0.2">
      <c r="B25" s="41" t="s">
        <v>134</v>
      </c>
      <c r="C25" s="42"/>
    </row>
    <row r="26" spans="2:3" x14ac:dyDescent="0.2">
      <c r="B26" s="41" t="s">
        <v>284</v>
      </c>
      <c r="C26" s="42"/>
    </row>
    <row r="27" spans="2:3" x14ac:dyDescent="0.2">
      <c r="B27" s="41" t="s">
        <v>105</v>
      </c>
      <c r="C27" s="42"/>
    </row>
    <row r="28" spans="2:3" x14ac:dyDescent="0.2">
      <c r="B28" s="41" t="s">
        <v>193</v>
      </c>
      <c r="C28" s="42"/>
    </row>
    <row r="29" spans="2:3" x14ac:dyDescent="0.2">
      <c r="B29" s="41" t="s">
        <v>455</v>
      </c>
      <c r="C29" s="42"/>
    </row>
    <row r="30" spans="2:3" x14ac:dyDescent="0.2">
      <c r="B30" s="41" t="s">
        <v>208</v>
      </c>
      <c r="C30" s="42"/>
    </row>
    <row r="31" spans="2:3" x14ac:dyDescent="0.2">
      <c r="B31" s="41" t="s">
        <v>32</v>
      </c>
      <c r="C31" s="42"/>
    </row>
    <row r="32" spans="2:3" x14ac:dyDescent="0.2">
      <c r="B32" s="41" t="s">
        <v>371</v>
      </c>
      <c r="C32" s="42"/>
    </row>
    <row r="33" spans="2:3" x14ac:dyDescent="0.2">
      <c r="B33" s="41" t="s">
        <v>473</v>
      </c>
      <c r="C33" s="42"/>
    </row>
    <row r="34" spans="2:3" x14ac:dyDescent="0.2">
      <c r="B34" s="41" t="s">
        <v>308</v>
      </c>
      <c r="C34" s="42"/>
    </row>
    <row r="35" spans="2:3" x14ac:dyDescent="0.2">
      <c r="B35" s="41" t="s">
        <v>57</v>
      </c>
      <c r="C35" s="42"/>
    </row>
    <row r="36" spans="2:3" x14ac:dyDescent="0.2">
      <c r="B36" s="41" t="s">
        <v>432</v>
      </c>
      <c r="C36" s="42"/>
    </row>
    <row r="37" spans="2:3" x14ac:dyDescent="0.2">
      <c r="B37" s="41" t="s">
        <v>73</v>
      </c>
      <c r="C37" s="42"/>
    </row>
    <row r="38" spans="2:3" x14ac:dyDescent="0.2">
      <c r="B38" s="41" t="s">
        <v>203</v>
      </c>
      <c r="C38" s="42">
        <v>2</v>
      </c>
    </row>
    <row r="39" spans="2:3" x14ac:dyDescent="0.2">
      <c r="B39" s="41" t="s">
        <v>249</v>
      </c>
      <c r="C39" s="42">
        <v>2</v>
      </c>
    </row>
    <row r="40" spans="2:3" x14ac:dyDescent="0.2">
      <c r="B40" s="41" t="s">
        <v>543</v>
      </c>
      <c r="C40" s="42">
        <v>2</v>
      </c>
    </row>
    <row r="41" spans="2:3" x14ac:dyDescent="0.2">
      <c r="B41" s="41" t="s">
        <v>280</v>
      </c>
      <c r="C41" s="42"/>
    </row>
    <row r="42" spans="2:3" x14ac:dyDescent="0.2">
      <c r="B42" s="41" t="s">
        <v>285</v>
      </c>
      <c r="C42" s="42"/>
    </row>
    <row r="43" spans="2:3" x14ac:dyDescent="0.2">
      <c r="B43" s="41" t="s">
        <v>317</v>
      </c>
      <c r="C43" s="42"/>
    </row>
    <row r="44" spans="2:3" x14ac:dyDescent="0.2">
      <c r="B44" s="41" t="s">
        <v>87</v>
      </c>
      <c r="C44" s="42"/>
    </row>
    <row r="45" spans="2:3" x14ac:dyDescent="0.2">
      <c r="B45" s="41" t="s">
        <v>125</v>
      </c>
      <c r="C45" s="42">
        <v>2</v>
      </c>
    </row>
    <row r="46" spans="2:3" x14ac:dyDescent="0.2">
      <c r="B46" s="41" t="s">
        <v>287</v>
      </c>
      <c r="C46" s="42"/>
    </row>
    <row r="47" spans="2:3" x14ac:dyDescent="0.2">
      <c r="B47" s="41" t="s">
        <v>508</v>
      </c>
      <c r="C47" s="42"/>
    </row>
    <row r="48" spans="2:3" x14ac:dyDescent="0.2">
      <c r="B48" s="41" t="s">
        <v>512</v>
      </c>
      <c r="C48" s="42"/>
    </row>
    <row r="49" spans="2:3" x14ac:dyDescent="0.2">
      <c r="B49" s="41" t="s">
        <v>419</v>
      </c>
      <c r="C49" s="42">
        <v>1</v>
      </c>
    </row>
    <row r="50" spans="2:3" x14ac:dyDescent="0.2">
      <c r="B50" s="41" t="s">
        <v>90</v>
      </c>
      <c r="C50" s="42"/>
    </row>
    <row r="51" spans="2:3" x14ac:dyDescent="0.2">
      <c r="B51" s="41" t="s">
        <v>91</v>
      </c>
      <c r="C51" s="42"/>
    </row>
    <row r="52" spans="2:3" x14ac:dyDescent="0.2">
      <c r="B52" s="41" t="s">
        <v>463</v>
      </c>
      <c r="C52" s="42"/>
    </row>
    <row r="53" spans="2:3" x14ac:dyDescent="0.2">
      <c r="B53" s="41" t="s">
        <v>43</v>
      </c>
      <c r="C53" s="42">
        <v>2</v>
      </c>
    </row>
    <row r="54" spans="2:3" x14ac:dyDescent="0.2">
      <c r="B54" s="41" t="s">
        <v>96</v>
      </c>
      <c r="C54" s="42"/>
    </row>
    <row r="55" spans="2:3" x14ac:dyDescent="0.2">
      <c r="B55" s="41" t="s">
        <v>528</v>
      </c>
      <c r="C55" s="42"/>
    </row>
    <row r="56" spans="2:3" x14ac:dyDescent="0.2">
      <c r="B56" s="41" t="s">
        <v>92</v>
      </c>
      <c r="C56" s="42"/>
    </row>
    <row r="57" spans="2:3" x14ac:dyDescent="0.2">
      <c r="B57" s="41" t="s">
        <v>102</v>
      </c>
      <c r="C57" s="42"/>
    </row>
    <row r="58" spans="2:3" x14ac:dyDescent="0.2">
      <c r="B58" s="41" t="s">
        <v>521</v>
      </c>
      <c r="C58" s="42"/>
    </row>
    <row r="59" spans="2:3" x14ac:dyDescent="0.2">
      <c r="B59" s="41" t="s">
        <v>408</v>
      </c>
      <c r="C59" s="42"/>
    </row>
    <row r="60" spans="2:3" x14ac:dyDescent="0.2">
      <c r="B60" s="41" t="s">
        <v>115</v>
      </c>
      <c r="C60" s="42"/>
    </row>
    <row r="61" spans="2:3" x14ac:dyDescent="0.2">
      <c r="B61" s="41" t="s">
        <v>188</v>
      </c>
      <c r="C61" s="42"/>
    </row>
    <row r="62" spans="2:3" x14ac:dyDescent="0.2">
      <c r="B62" s="41" t="s">
        <v>49</v>
      </c>
      <c r="C62" s="42"/>
    </row>
    <row r="63" spans="2:3" x14ac:dyDescent="0.2">
      <c r="B63" s="41" t="s">
        <v>166</v>
      </c>
      <c r="C63" s="42">
        <v>2</v>
      </c>
    </row>
    <row r="64" spans="2:3" x14ac:dyDescent="0.2">
      <c r="B64" s="41" t="s">
        <v>550</v>
      </c>
      <c r="C64" s="42"/>
    </row>
    <row r="65" spans="2:3" x14ac:dyDescent="0.2">
      <c r="B65" s="41" t="s">
        <v>1591</v>
      </c>
      <c r="C65" s="42"/>
    </row>
    <row r="66" spans="2:3" x14ac:dyDescent="0.2">
      <c r="B66" s="41" t="s">
        <v>539</v>
      </c>
      <c r="C66" s="42"/>
    </row>
    <row r="67" spans="2:3" x14ac:dyDescent="0.2">
      <c r="B67" s="41" t="s">
        <v>386</v>
      </c>
      <c r="C67" s="42"/>
    </row>
    <row r="68" spans="2:3" x14ac:dyDescent="0.2">
      <c r="B68" s="41" t="s">
        <v>1572</v>
      </c>
      <c r="C68" s="42"/>
    </row>
    <row r="69" spans="2:3" x14ac:dyDescent="0.2">
      <c r="B69" s="41" t="s">
        <v>119</v>
      </c>
      <c r="C69" s="42"/>
    </row>
    <row r="70" spans="2:3" x14ac:dyDescent="0.2">
      <c r="B70" s="41" t="s">
        <v>122</v>
      </c>
      <c r="C70" s="42"/>
    </row>
    <row r="71" spans="2:3" x14ac:dyDescent="0.2">
      <c r="B71" s="41" t="s">
        <v>99</v>
      </c>
      <c r="C71" s="42"/>
    </row>
    <row r="72" spans="2:3" x14ac:dyDescent="0.2">
      <c r="B72" s="41" t="s">
        <v>546</v>
      </c>
      <c r="C72" s="42"/>
    </row>
    <row r="73" spans="2:3" x14ac:dyDescent="0.2">
      <c r="B73" s="41" t="s">
        <v>378</v>
      </c>
      <c r="C73" s="42">
        <v>2</v>
      </c>
    </row>
    <row r="74" spans="2:3" x14ac:dyDescent="0.2">
      <c r="B74" s="41" t="s">
        <v>382</v>
      </c>
      <c r="C74" s="42"/>
    </row>
    <row r="75" spans="2:3" x14ac:dyDescent="0.2">
      <c r="B75" s="41" t="s">
        <v>1657</v>
      </c>
      <c r="C75" s="42"/>
    </row>
    <row r="76" spans="2:3" x14ac:dyDescent="0.2">
      <c r="B76" s="41" t="s">
        <v>414</v>
      </c>
      <c r="C76" s="42">
        <v>2</v>
      </c>
    </row>
    <row r="77" spans="2:3" x14ac:dyDescent="0.2">
      <c r="B77" s="41" t="s">
        <v>584</v>
      </c>
      <c r="C77" s="42"/>
    </row>
    <row r="78" spans="2:3" x14ac:dyDescent="0.2">
      <c r="B78" s="41" t="s">
        <v>385</v>
      </c>
      <c r="C78" s="42"/>
    </row>
    <row r="79" spans="2:3" x14ac:dyDescent="0.2">
      <c r="B79" s="41" t="s">
        <v>389</v>
      </c>
      <c r="C79" s="42"/>
    </row>
    <row r="80" spans="2:3" x14ac:dyDescent="0.2">
      <c r="B80" s="41" t="s">
        <v>37</v>
      </c>
      <c r="C80" s="42"/>
    </row>
    <row r="81" spans="2:3" x14ac:dyDescent="0.2">
      <c r="B81" s="41" t="s">
        <v>400</v>
      </c>
      <c r="C81" s="42"/>
    </row>
    <row r="82" spans="2:3" x14ac:dyDescent="0.2">
      <c r="B82" s="41" t="s">
        <v>144</v>
      </c>
      <c r="C82" s="42"/>
    </row>
    <row r="83" spans="2:3" x14ac:dyDescent="0.2">
      <c r="B83" s="41" t="s">
        <v>171</v>
      </c>
      <c r="C83" s="42">
        <v>2</v>
      </c>
    </row>
    <row r="84" spans="2:3" x14ac:dyDescent="0.2">
      <c r="B84" s="41" t="s">
        <v>532</v>
      </c>
      <c r="C84" s="42">
        <v>2</v>
      </c>
    </row>
    <row r="85" spans="2:3" x14ac:dyDescent="0.2">
      <c r="B85" s="41" t="s">
        <v>553</v>
      </c>
      <c r="C85" s="42">
        <v>2</v>
      </c>
    </row>
    <row r="86" spans="2:3" x14ac:dyDescent="0.2">
      <c r="B86" s="41" t="s">
        <v>279</v>
      </c>
      <c r="C86" s="42"/>
    </row>
    <row r="87" spans="2:3" x14ac:dyDescent="0.2">
      <c r="B87" s="41" t="s">
        <v>270</v>
      </c>
      <c r="C87" s="42"/>
    </row>
    <row r="88" spans="2:3" x14ac:dyDescent="0.2">
      <c r="B88" s="41" t="s">
        <v>405</v>
      </c>
      <c r="C88" s="42"/>
    </row>
    <row r="89" spans="2:3" x14ac:dyDescent="0.2">
      <c r="B89" s="41" t="s">
        <v>228</v>
      </c>
      <c r="C89" s="42"/>
    </row>
    <row r="90" spans="2:3" x14ac:dyDescent="0.2">
      <c r="B90" s="41" t="s">
        <v>478</v>
      </c>
      <c r="C90" s="42"/>
    </row>
    <row r="91" spans="2:3" x14ac:dyDescent="0.2">
      <c r="B91" s="41" t="s">
        <v>548</v>
      </c>
      <c r="C91" s="42"/>
    </row>
    <row r="92" spans="2:3" x14ac:dyDescent="0.2">
      <c r="B92" s="41" t="s">
        <v>324</v>
      </c>
      <c r="C92" s="42"/>
    </row>
    <row r="93" spans="2:3" x14ac:dyDescent="0.2">
      <c r="B93" s="41" t="s">
        <v>315</v>
      </c>
      <c r="C93" s="42"/>
    </row>
    <row r="94" spans="2:3" x14ac:dyDescent="0.2">
      <c r="B94" s="41" t="s">
        <v>277</v>
      </c>
      <c r="C94" s="42">
        <v>2</v>
      </c>
    </row>
    <row r="95" spans="2:3" x14ac:dyDescent="0.2">
      <c r="B95" s="41" t="s">
        <v>286</v>
      </c>
      <c r="C95" s="42"/>
    </row>
    <row r="96" spans="2:3" x14ac:dyDescent="0.2">
      <c r="B96" s="41" t="s">
        <v>587</v>
      </c>
      <c r="C96" s="42"/>
    </row>
    <row r="97" spans="2:3" x14ac:dyDescent="0.2">
      <c r="B97" s="41" t="s">
        <v>293</v>
      </c>
      <c r="C97" s="42"/>
    </row>
    <row r="98" spans="2:3" x14ac:dyDescent="0.2">
      <c r="B98" s="41" t="s">
        <v>1208</v>
      </c>
      <c r="C98" s="42"/>
    </row>
    <row r="99" spans="2:3" x14ac:dyDescent="0.2">
      <c r="B99" s="41" t="s">
        <v>60</v>
      </c>
      <c r="C99" s="42"/>
    </row>
    <row r="100" spans="2:3" x14ac:dyDescent="0.2">
      <c r="B100" s="41" t="s">
        <v>274</v>
      </c>
      <c r="C100" s="42"/>
    </row>
    <row r="101" spans="2:3" x14ac:dyDescent="0.2">
      <c r="B101" s="41" t="s">
        <v>1205</v>
      </c>
      <c r="C101" s="42"/>
    </row>
    <row r="102" spans="2:3" x14ac:dyDescent="0.2">
      <c r="B102" s="41" t="s">
        <v>237</v>
      </c>
      <c r="C102" s="42"/>
    </row>
    <row r="103" spans="2:3" x14ac:dyDescent="0.2">
      <c r="B103" s="41" t="s">
        <v>52</v>
      </c>
      <c r="C103" s="42"/>
    </row>
    <row r="104" spans="2:3" x14ac:dyDescent="0.2">
      <c r="B104" s="41" t="s">
        <v>238</v>
      </c>
      <c r="C104" s="42"/>
    </row>
    <row r="105" spans="2:3" x14ac:dyDescent="0.2">
      <c r="B105" s="41" t="s">
        <v>128</v>
      </c>
      <c r="C105" s="42"/>
    </row>
    <row r="106" spans="2:3" x14ac:dyDescent="0.2">
      <c r="B106" s="41" t="s">
        <v>12</v>
      </c>
      <c r="C106" s="42"/>
    </row>
    <row r="107" spans="2:3" x14ac:dyDescent="0.2">
      <c r="B107" s="41" t="s">
        <v>112</v>
      </c>
      <c r="C107" s="42"/>
    </row>
    <row r="108" spans="2:3" x14ac:dyDescent="0.2">
      <c r="B108" s="41" t="s">
        <v>267</v>
      </c>
      <c r="C108" s="42"/>
    </row>
    <row r="109" spans="2:3" x14ac:dyDescent="0.2">
      <c r="B109" s="41" t="s">
        <v>1944</v>
      </c>
      <c r="C109" s="42"/>
    </row>
    <row r="110" spans="2:3" x14ac:dyDescent="0.2">
      <c r="B110" s="41" t="s">
        <v>260</v>
      </c>
      <c r="C110" s="42"/>
    </row>
    <row r="111" spans="2:3" x14ac:dyDescent="0.2">
      <c r="B111" s="41" t="s">
        <v>108</v>
      </c>
      <c r="C111" s="42">
        <v>2</v>
      </c>
    </row>
    <row r="112" spans="2:3" x14ac:dyDescent="0.2">
      <c r="B112" s="41" t="s">
        <v>572</v>
      </c>
      <c r="C112" s="42"/>
    </row>
    <row r="113" spans="2:3" x14ac:dyDescent="0.2">
      <c r="B113" s="41" t="s">
        <v>53</v>
      </c>
      <c r="C113" s="42"/>
    </row>
    <row r="114" spans="2:3" x14ac:dyDescent="0.2">
      <c r="B114" s="41" t="s">
        <v>568</v>
      </c>
      <c r="C114" s="42"/>
    </row>
    <row r="115" spans="2:3" x14ac:dyDescent="0.2">
      <c r="B115" s="41" t="s">
        <v>517</v>
      </c>
      <c r="C115" s="42"/>
    </row>
    <row r="116" spans="2:3" x14ac:dyDescent="0.2">
      <c r="B116" s="41" t="s">
        <v>516</v>
      </c>
      <c r="C116" s="42"/>
    </row>
    <row r="117" spans="2:3" x14ac:dyDescent="0.2">
      <c r="B117" s="41" t="s">
        <v>157</v>
      </c>
      <c r="C117" s="42"/>
    </row>
    <row r="118" spans="2:3" x14ac:dyDescent="0.2">
      <c r="B118" s="41" t="s">
        <v>44</v>
      </c>
      <c r="C118" s="42"/>
    </row>
    <row r="119" spans="2:3" x14ac:dyDescent="0.2">
      <c r="B119" s="41" t="s">
        <v>575</v>
      </c>
      <c r="C119" s="42"/>
    </row>
    <row r="120" spans="2:3" x14ac:dyDescent="0.2">
      <c r="B120" s="41" t="s">
        <v>54</v>
      </c>
      <c r="C120" s="42"/>
    </row>
    <row r="121" spans="2:3" x14ac:dyDescent="0.2">
      <c r="B121" s="41" t="s">
        <v>45</v>
      </c>
      <c r="C121" s="42"/>
    </row>
    <row r="122" spans="2:3" x14ac:dyDescent="0.2">
      <c r="B122" s="41" t="s">
        <v>220</v>
      </c>
      <c r="C122" s="42">
        <v>2</v>
      </c>
    </row>
    <row r="123" spans="2:3" x14ac:dyDescent="0.2">
      <c r="B123" s="41" t="s">
        <v>305</v>
      </c>
      <c r="C123" s="42"/>
    </row>
    <row r="124" spans="2:3" x14ac:dyDescent="0.2">
      <c r="B124" s="41" t="s">
        <v>127</v>
      </c>
      <c r="C124" s="42"/>
    </row>
    <row r="125" spans="2:3" x14ac:dyDescent="0.2">
      <c r="B125" s="41" t="s">
        <v>250</v>
      </c>
      <c r="C125" s="42">
        <v>2</v>
      </c>
    </row>
    <row r="126" spans="2:3" x14ac:dyDescent="0.2">
      <c r="B126" s="41" t="s">
        <v>257</v>
      </c>
      <c r="C126" s="42">
        <v>2</v>
      </c>
    </row>
    <row r="127" spans="2:3" x14ac:dyDescent="0.2">
      <c r="B127" s="41" t="s">
        <v>224</v>
      </c>
      <c r="C127" s="42"/>
    </row>
    <row r="128" spans="2:3" x14ac:dyDescent="0.2">
      <c r="B128" s="41" t="s">
        <v>234</v>
      </c>
      <c r="C128" s="42"/>
    </row>
    <row r="129" spans="2:3" x14ac:dyDescent="0.2">
      <c r="B129" s="41" t="s">
        <v>239</v>
      </c>
      <c r="C129" s="42"/>
    </row>
    <row r="130" spans="2:3" x14ac:dyDescent="0.2">
      <c r="B130" s="41" t="s">
        <v>246</v>
      </c>
      <c r="C130" s="42"/>
    </row>
    <row r="131" spans="2:3" x14ac:dyDescent="0.2">
      <c r="B131" s="41" t="s">
        <v>420</v>
      </c>
      <c r="C131" s="42"/>
    </row>
    <row r="132" spans="2:3" x14ac:dyDescent="0.2">
      <c r="B132" s="41" t="s">
        <v>254</v>
      </c>
      <c r="C132" s="42"/>
    </row>
    <row r="133" spans="2:3" x14ac:dyDescent="0.2">
      <c r="B133" s="41" t="s">
        <v>178</v>
      </c>
      <c r="C133" s="42">
        <v>2</v>
      </c>
    </row>
    <row r="134" spans="2:3" x14ac:dyDescent="0.2">
      <c r="B134" s="41" t="s">
        <v>328</v>
      </c>
      <c r="C134" s="42"/>
    </row>
    <row r="135" spans="2:3" x14ac:dyDescent="0.2">
      <c r="B135" s="41" t="s">
        <v>289</v>
      </c>
      <c r="C135" s="42"/>
    </row>
    <row r="136" spans="2:3" x14ac:dyDescent="0.2">
      <c r="B136" s="41" t="s">
        <v>312</v>
      </c>
      <c r="C136" s="42"/>
    </row>
    <row r="137" spans="2:3" x14ac:dyDescent="0.2">
      <c r="B137" s="41" t="s">
        <v>187</v>
      </c>
      <c r="C137" s="42"/>
    </row>
    <row r="138" spans="2:3" x14ac:dyDescent="0.2">
      <c r="B138" s="41" t="s">
        <v>183</v>
      </c>
      <c r="C138" s="42"/>
    </row>
    <row r="139" spans="2:3" x14ac:dyDescent="0.2">
      <c r="B139" s="41" t="s">
        <v>185</v>
      </c>
      <c r="C139" s="42"/>
    </row>
    <row r="140" spans="2:3" x14ac:dyDescent="0.2">
      <c r="B140" s="41" t="s">
        <v>198</v>
      </c>
      <c r="C140" s="42">
        <v>1</v>
      </c>
    </row>
    <row r="141" spans="2:3" x14ac:dyDescent="0.2">
      <c r="B141" s="41" t="s">
        <v>199</v>
      </c>
      <c r="C141" s="42"/>
    </row>
    <row r="142" spans="2:3" x14ac:dyDescent="0.2">
      <c r="B142" s="41" t="s">
        <v>197</v>
      </c>
      <c r="C142" s="42">
        <v>2</v>
      </c>
    </row>
    <row r="143" spans="2:3" x14ac:dyDescent="0.2">
      <c r="B143" s="41" t="s">
        <v>192</v>
      </c>
      <c r="C143" s="42"/>
    </row>
    <row r="144" spans="2:3" x14ac:dyDescent="0.2">
      <c r="B144" s="41" t="s">
        <v>331</v>
      </c>
      <c r="C144" s="42"/>
    </row>
    <row r="145" spans="2:3" x14ac:dyDescent="0.2">
      <c r="B145" s="41" t="s">
        <v>365</v>
      </c>
      <c r="C145" s="42"/>
    </row>
    <row r="146" spans="2:3" x14ac:dyDescent="0.2">
      <c r="B146" s="41" t="s">
        <v>375</v>
      </c>
      <c r="C146" s="42">
        <v>2</v>
      </c>
    </row>
    <row r="147" spans="2:3" x14ac:dyDescent="0.2">
      <c r="B147" s="41" t="s">
        <v>368</v>
      </c>
      <c r="C147" s="42"/>
    </row>
    <row r="148" spans="2:3" x14ac:dyDescent="0.2">
      <c r="B148" s="41" t="s">
        <v>164</v>
      </c>
      <c r="C148" s="42"/>
    </row>
    <row r="149" spans="2:3" x14ac:dyDescent="0.2">
      <c r="B149" s="41" t="s">
        <v>163</v>
      </c>
      <c r="C149" s="42"/>
    </row>
    <row r="150" spans="2:3" x14ac:dyDescent="0.2">
      <c r="B150" s="41" t="s">
        <v>231</v>
      </c>
      <c r="C150" s="42"/>
    </row>
    <row r="151" spans="2:3" x14ac:dyDescent="0.2">
      <c r="B151" s="41" t="s">
        <v>355</v>
      </c>
      <c r="C151" s="42"/>
    </row>
    <row r="152" spans="2:3" x14ac:dyDescent="0.2">
      <c r="B152" s="41" t="s">
        <v>227</v>
      </c>
      <c r="C152" s="42"/>
    </row>
    <row r="153" spans="2:3" x14ac:dyDescent="0.2">
      <c r="B153" s="41" t="s">
        <v>396</v>
      </c>
      <c r="C153" s="42"/>
    </row>
    <row r="154" spans="2:3" x14ac:dyDescent="0.2">
      <c r="B154" s="41" t="s">
        <v>427</v>
      </c>
      <c r="C154" s="42"/>
    </row>
    <row r="155" spans="2:3" x14ac:dyDescent="0.2">
      <c r="B155" s="41" t="s">
        <v>181</v>
      </c>
      <c r="C155" s="42"/>
    </row>
    <row r="156" spans="2:3" x14ac:dyDescent="0.2">
      <c r="B156" s="41" t="s">
        <v>36</v>
      </c>
      <c r="C156" s="42"/>
    </row>
    <row r="157" spans="2:3" x14ac:dyDescent="0.2">
      <c r="B157" s="41" t="s">
        <v>393</v>
      </c>
      <c r="C157" s="42"/>
    </row>
    <row r="158" spans="2:3" x14ac:dyDescent="0.2">
      <c r="B158" s="41" t="s">
        <v>22</v>
      </c>
      <c r="C158" s="42"/>
    </row>
    <row r="159" spans="2:3" x14ac:dyDescent="0.2">
      <c r="B159" s="41" t="s">
        <v>40</v>
      </c>
      <c r="C159" s="42"/>
    </row>
    <row r="160" spans="2:3" x14ac:dyDescent="0.2">
      <c r="B160" s="41" t="s">
        <v>28</v>
      </c>
      <c r="C160" s="42"/>
    </row>
    <row r="161" spans="2:3" x14ac:dyDescent="0.2">
      <c r="B161" s="41" t="s">
        <v>18</v>
      </c>
      <c r="C161" s="42"/>
    </row>
    <row r="162" spans="2:3" x14ac:dyDescent="0.2">
      <c r="B162" s="41" t="s">
        <v>15</v>
      </c>
      <c r="C162" s="42"/>
    </row>
    <row r="163" spans="2:3" x14ac:dyDescent="0.2">
      <c r="B163" s="41" t="s">
        <v>35</v>
      </c>
      <c r="C163" s="42"/>
    </row>
    <row r="164" spans="2:3" x14ac:dyDescent="0.2">
      <c r="B164" s="41" t="s">
        <v>25</v>
      </c>
      <c r="C164" s="42"/>
    </row>
    <row r="165" spans="2:3" x14ac:dyDescent="0.2">
      <c r="B165" s="41" t="s">
        <v>1005</v>
      </c>
      <c r="C165" s="42"/>
    </row>
    <row r="166" spans="2:3" x14ac:dyDescent="0.2">
      <c r="B166" s="41" t="s">
        <v>1001</v>
      </c>
      <c r="C166" s="42"/>
    </row>
    <row r="167" spans="2:3" x14ac:dyDescent="0.2">
      <c r="B167" s="41" t="s">
        <v>153</v>
      </c>
      <c r="C167" s="42"/>
    </row>
    <row r="168" spans="2:3" x14ac:dyDescent="0.2">
      <c r="B168" s="41" t="s">
        <v>138</v>
      </c>
      <c r="C168" s="42"/>
    </row>
    <row r="169" spans="2:3" x14ac:dyDescent="0.2">
      <c r="B169" s="41" t="s">
        <v>440</v>
      </c>
      <c r="C169" s="42"/>
    </row>
    <row r="170" spans="2:3" x14ac:dyDescent="0.2">
      <c r="B170" s="41" t="s">
        <v>443</v>
      </c>
      <c r="C170" s="42">
        <v>2</v>
      </c>
    </row>
    <row r="171" spans="2:3" x14ac:dyDescent="0.2">
      <c r="B171" s="41" t="s">
        <v>130</v>
      </c>
      <c r="C171" s="42"/>
    </row>
    <row r="172" spans="2:3" x14ac:dyDescent="0.2">
      <c r="B172" s="41" t="s">
        <v>525</v>
      </c>
      <c r="C172" s="42"/>
    </row>
    <row r="173" spans="2:3" x14ac:dyDescent="0.2">
      <c r="B173" s="41" t="s">
        <v>531</v>
      </c>
      <c r="C173" s="42">
        <v>2</v>
      </c>
    </row>
    <row r="174" spans="2:3" x14ac:dyDescent="0.2">
      <c r="B174" s="41" t="s">
        <v>559</v>
      </c>
      <c r="C174" s="42"/>
    </row>
    <row r="175" spans="2:3" x14ac:dyDescent="0.2">
      <c r="B175" s="41" t="s">
        <v>544</v>
      </c>
      <c r="C175" s="42"/>
    </row>
    <row r="176" spans="2:3" x14ac:dyDescent="0.2">
      <c r="B176" s="41" t="s">
        <v>415</v>
      </c>
      <c r="C176" s="42">
        <v>2</v>
      </c>
    </row>
    <row r="177" spans="2:3" x14ac:dyDescent="0.2">
      <c r="B177" s="41" t="s">
        <v>390</v>
      </c>
      <c r="C177" s="42"/>
    </row>
    <row r="178" spans="2:3" x14ac:dyDescent="0.2">
      <c r="B178" s="41" t="s">
        <v>435</v>
      </c>
      <c r="C178" s="42"/>
    </row>
    <row r="179" spans="2:3" x14ac:dyDescent="0.2">
      <c r="B179" s="41" t="s">
        <v>438</v>
      </c>
      <c r="C179" s="42"/>
    </row>
    <row r="180" spans="2:3" x14ac:dyDescent="0.2">
      <c r="B180" s="41" t="s">
        <v>736</v>
      </c>
      <c r="C180" s="42"/>
    </row>
    <row r="181" spans="2:3" x14ac:dyDescent="0.2">
      <c r="B181" s="41" t="s">
        <v>423</v>
      </c>
      <c r="C181" s="42"/>
    </row>
    <row r="182" spans="2:3" x14ac:dyDescent="0.2">
      <c r="B182" s="41" t="s">
        <v>334</v>
      </c>
      <c r="C182" s="42"/>
    </row>
    <row r="183" spans="2:3" x14ac:dyDescent="0.2">
      <c r="B183" s="41" t="s">
        <v>264</v>
      </c>
      <c r="C183" s="42"/>
    </row>
    <row r="184" spans="2:3" x14ac:dyDescent="0.2">
      <c r="B184" s="41" t="s">
        <v>556</v>
      </c>
      <c r="C184" s="42"/>
    </row>
    <row r="185" spans="2:3" x14ac:dyDescent="0.2">
      <c r="B185" s="41" t="s">
        <v>545</v>
      </c>
      <c r="C185" s="42"/>
    </row>
    <row r="186" spans="2:3" x14ac:dyDescent="0.2">
      <c r="B186" s="41" t="s">
        <v>189</v>
      </c>
      <c r="C186" s="42"/>
    </row>
    <row r="187" spans="2:3" x14ac:dyDescent="0.2">
      <c r="B187" s="41" t="s">
        <v>547</v>
      </c>
      <c r="C187" s="42"/>
    </row>
    <row r="188" spans="2:3" x14ac:dyDescent="0.2">
      <c r="B188" s="41" t="s">
        <v>565</v>
      </c>
      <c r="C188" s="42"/>
    </row>
    <row r="189" spans="2:3" x14ac:dyDescent="0.2">
      <c r="B189" s="41" t="s">
        <v>282</v>
      </c>
      <c r="C189" s="42">
        <v>1</v>
      </c>
    </row>
    <row r="190" spans="2:3" x14ac:dyDescent="0.2">
      <c r="B190" s="41" t="s">
        <v>283</v>
      </c>
      <c r="C190" s="42"/>
    </row>
    <row r="191" spans="2:3" x14ac:dyDescent="0.2">
      <c r="B191" s="41" t="s">
        <v>585</v>
      </c>
      <c r="C191" s="42"/>
    </row>
    <row r="192" spans="2:3" x14ac:dyDescent="0.2">
      <c r="B192" s="41" t="s">
        <v>586</v>
      </c>
      <c r="C192" s="42"/>
    </row>
    <row r="193" spans="2:3" x14ac:dyDescent="0.2">
      <c r="B193" s="41" t="s">
        <v>2372</v>
      </c>
      <c r="C193" s="42"/>
    </row>
    <row r="194" spans="2:3" x14ac:dyDescent="0.2">
      <c r="B194" s="41" t="s">
        <v>7</v>
      </c>
      <c r="C194" s="42"/>
    </row>
    <row r="195" spans="2:3" x14ac:dyDescent="0.2">
      <c r="B195" s="41" t="s">
        <v>404</v>
      </c>
      <c r="C195" s="42"/>
    </row>
    <row r="196" spans="2:3" x14ac:dyDescent="0.2">
      <c r="B196" s="41" t="s">
        <v>411</v>
      </c>
      <c r="C196" s="42"/>
    </row>
    <row r="197" spans="2:3" x14ac:dyDescent="0.2">
      <c r="B197" s="41" t="s">
        <v>454</v>
      </c>
      <c r="C197" s="42"/>
    </row>
    <row r="198" spans="2:3" x14ac:dyDescent="0.2">
      <c r="B198" s="41" t="s">
        <v>457</v>
      </c>
      <c r="C198" s="42"/>
    </row>
    <row r="199" spans="2:3" x14ac:dyDescent="0.2">
      <c r="B199" s="41" t="s">
        <v>1204</v>
      </c>
      <c r="C199" s="42"/>
    </row>
    <row r="200" spans="2:3" x14ac:dyDescent="0.2">
      <c r="B200" s="41" t="s">
        <v>354</v>
      </c>
      <c r="C200" s="42"/>
    </row>
    <row r="201" spans="2:3" x14ac:dyDescent="0.2">
      <c r="B201" s="41" t="s">
        <v>152</v>
      </c>
      <c r="C201" s="42"/>
    </row>
    <row r="202" spans="2:3" x14ac:dyDescent="0.2">
      <c r="B202" s="41" t="s">
        <v>184</v>
      </c>
      <c r="C202" s="42"/>
    </row>
    <row r="203" spans="2:3" x14ac:dyDescent="0.2">
      <c r="B203" s="41" t="s">
        <v>129</v>
      </c>
      <c r="C203" s="42"/>
    </row>
    <row r="204" spans="2:3" x14ac:dyDescent="0.2">
      <c r="B204" s="41" t="s">
        <v>182</v>
      </c>
      <c r="C204" s="42"/>
    </row>
    <row r="205" spans="2:3" x14ac:dyDescent="0.2">
      <c r="B205" s="41" t="s">
        <v>477</v>
      </c>
      <c r="C205" s="42"/>
    </row>
    <row r="206" spans="2:3" x14ac:dyDescent="0.2">
      <c r="B206" s="41" t="s">
        <v>504</v>
      </c>
      <c r="C206" s="42">
        <v>2</v>
      </c>
    </row>
    <row r="207" spans="2:3" x14ac:dyDescent="0.2">
      <c r="B207" s="41" t="s">
        <v>549</v>
      </c>
      <c r="C207" s="42"/>
    </row>
    <row r="208" spans="2:3" x14ac:dyDescent="0.2">
      <c r="B208" s="41" t="s">
        <v>84</v>
      </c>
      <c r="C208" s="42"/>
    </row>
    <row r="209" spans="2:3" x14ac:dyDescent="0.2">
      <c r="B209" s="41" t="s">
        <v>174</v>
      </c>
      <c r="C209" s="42">
        <v>2</v>
      </c>
    </row>
    <row r="210" spans="2:3" x14ac:dyDescent="0.2">
      <c r="B210" s="41" t="s">
        <v>177</v>
      </c>
      <c r="C210" s="42">
        <v>2</v>
      </c>
    </row>
    <row r="211" spans="2:3" x14ac:dyDescent="0.2">
      <c r="B211" s="41" t="s">
        <v>340</v>
      </c>
      <c r="C211" s="42"/>
    </row>
    <row r="212" spans="2:3" x14ac:dyDescent="0.2">
      <c r="B212" s="41" t="s">
        <v>327</v>
      </c>
      <c r="C212" s="42">
        <v>2</v>
      </c>
    </row>
    <row r="213" spans="2:3" x14ac:dyDescent="0.2">
      <c r="B213" s="41" t="s">
        <v>3201</v>
      </c>
      <c r="C213" s="42"/>
    </row>
    <row r="214" spans="2:3" x14ac:dyDescent="0.2">
      <c r="B214" s="41" t="s">
        <v>484</v>
      </c>
      <c r="C214" s="42"/>
    </row>
    <row r="215" spans="2:3" x14ac:dyDescent="0.2">
      <c r="B215" s="41" t="s">
        <v>488</v>
      </c>
      <c r="C215" s="42"/>
    </row>
    <row r="216" spans="2:3" x14ac:dyDescent="0.2">
      <c r="B216" s="41" t="s">
        <v>501</v>
      </c>
      <c r="C216" s="42"/>
    </row>
    <row r="217" spans="2:3" x14ac:dyDescent="0.2">
      <c r="B217" s="41" t="s">
        <v>491</v>
      </c>
      <c r="C217" s="42"/>
    </row>
    <row r="218" spans="2:3" x14ac:dyDescent="0.2">
      <c r="B218" s="41" t="s">
        <v>3196</v>
      </c>
      <c r="C218" s="42"/>
    </row>
    <row r="219" spans="2:3" x14ac:dyDescent="0.2">
      <c r="B219" s="41" t="s">
        <v>3197</v>
      </c>
      <c r="C219" s="42"/>
    </row>
    <row r="220" spans="2:3" x14ac:dyDescent="0.2">
      <c r="B220" s="41" t="s">
        <v>3198</v>
      </c>
      <c r="C220" s="42"/>
    </row>
    <row r="221" spans="2:3" x14ac:dyDescent="0.2">
      <c r="B221" s="41" t="s">
        <v>3199</v>
      </c>
      <c r="C221" s="42"/>
    </row>
    <row r="222" spans="2:3" x14ac:dyDescent="0.2">
      <c r="B222" s="41" t="s">
        <v>3200</v>
      </c>
      <c r="C222" s="42"/>
    </row>
    <row r="223" spans="2:3" x14ac:dyDescent="0.2">
      <c r="B223" s="41" t="s">
        <v>3202</v>
      </c>
      <c r="C223" s="42"/>
    </row>
    <row r="224" spans="2:3" x14ac:dyDescent="0.2">
      <c r="B224" s="41" t="s">
        <v>242</v>
      </c>
      <c r="C224" s="42"/>
    </row>
    <row r="225" spans="2:3" x14ac:dyDescent="0.2">
      <c r="B225" s="41" t="s">
        <v>465</v>
      </c>
      <c r="C225" s="42"/>
    </row>
    <row r="226" spans="2:3" x14ac:dyDescent="0.2">
      <c r="B226" s="41" t="s">
        <v>211</v>
      </c>
      <c r="C226" s="42">
        <v>2</v>
      </c>
    </row>
    <row r="227" spans="2:3" x14ac:dyDescent="0.2">
      <c r="B227" s="41" t="s">
        <v>214</v>
      </c>
      <c r="C227" s="42">
        <v>2</v>
      </c>
    </row>
    <row r="228" spans="2:3" x14ac:dyDescent="0.2">
      <c r="B228" s="41" t="s">
        <v>536</v>
      </c>
      <c r="C228" s="42"/>
    </row>
    <row r="229" spans="2:3" x14ac:dyDescent="0.2">
      <c r="B229" s="41" t="s">
        <v>540</v>
      </c>
      <c r="C229" s="42"/>
    </row>
    <row r="230" spans="2:3" x14ac:dyDescent="0.2">
      <c r="B230" s="41" t="s">
        <v>316</v>
      </c>
      <c r="C230" s="42"/>
    </row>
    <row r="231" spans="2:3" x14ac:dyDescent="0.2">
      <c r="B231" s="41" t="s">
        <v>207</v>
      </c>
      <c r="C231" s="42"/>
    </row>
    <row r="232" spans="2:3" x14ac:dyDescent="0.2">
      <c r="B232" s="41" t="s">
        <v>217</v>
      </c>
      <c r="C232" s="42"/>
    </row>
    <row r="233" spans="2:3" x14ac:dyDescent="0.2">
      <c r="B233" s="41" t="s">
        <v>202</v>
      </c>
      <c r="C233" s="42">
        <v>2</v>
      </c>
    </row>
    <row r="234" spans="2:3" x14ac:dyDescent="0.2">
      <c r="B234" s="41" t="s">
        <v>281</v>
      </c>
      <c r="C234" s="42"/>
    </row>
    <row r="235" spans="2:3" x14ac:dyDescent="0.2">
      <c r="B235" s="41" t="s">
        <v>469</v>
      </c>
      <c r="C235" s="42">
        <v>2</v>
      </c>
    </row>
    <row r="236" spans="2:3" x14ac:dyDescent="0.2">
      <c r="B236" s="41" t="s">
        <v>476</v>
      </c>
      <c r="C236" s="42"/>
    </row>
    <row r="237" spans="2:3" x14ac:dyDescent="0.2">
      <c r="B237" s="41" t="s">
        <v>481</v>
      </c>
      <c r="C237" s="42"/>
    </row>
    <row r="238" spans="2:3" x14ac:dyDescent="0.2">
      <c r="B238" s="41" t="s">
        <v>165</v>
      </c>
      <c r="C238" s="42"/>
    </row>
    <row r="239" spans="2:3" x14ac:dyDescent="0.2">
      <c r="B239" s="41" t="s">
        <v>311</v>
      </c>
      <c r="C239" s="42"/>
    </row>
    <row r="240" spans="2:3" x14ac:dyDescent="0.2">
      <c r="B240" s="41" t="s">
        <v>296</v>
      </c>
      <c r="C240" s="42">
        <v>2</v>
      </c>
    </row>
    <row r="241" spans="2:3" x14ac:dyDescent="0.2">
      <c r="B241" s="41" t="s">
        <v>321</v>
      </c>
      <c r="C241" s="42">
        <v>2</v>
      </c>
    </row>
    <row r="242" spans="2:3" x14ac:dyDescent="0.2">
      <c r="B242" s="41" t="s">
        <v>343</v>
      </c>
      <c r="C242" s="42">
        <v>2</v>
      </c>
    </row>
    <row r="243" spans="2:3" x14ac:dyDescent="0.2">
      <c r="B243" s="41" t="s">
        <v>358</v>
      </c>
      <c r="C243" s="42"/>
    </row>
    <row r="244" spans="2:3" x14ac:dyDescent="0.2">
      <c r="B244" s="41" t="s">
        <v>743</v>
      </c>
      <c r="C244" s="42"/>
    </row>
    <row r="245" spans="2:3" x14ac:dyDescent="0.2">
      <c r="B245" s="41" t="s">
        <v>767</v>
      </c>
      <c r="C245" s="42"/>
    </row>
    <row r="246" spans="2:3" x14ac:dyDescent="0.2">
      <c r="B246" s="41" t="s">
        <v>349</v>
      </c>
      <c r="C246" s="42"/>
    </row>
    <row r="247" spans="2:3" x14ac:dyDescent="0.2">
      <c r="B247" s="41" t="s">
        <v>3203</v>
      </c>
      <c r="C247" s="42"/>
    </row>
    <row r="248" spans="2:3" x14ac:dyDescent="0.2">
      <c r="B248" s="41" t="s">
        <v>3204</v>
      </c>
      <c r="C248" s="42"/>
    </row>
    <row r="249" spans="2:3" x14ac:dyDescent="0.2">
      <c r="B249" s="41" t="s">
        <v>1271</v>
      </c>
      <c r="C249" s="42"/>
    </row>
    <row r="250" spans="2:3" x14ac:dyDescent="0.2">
      <c r="B250" s="41" t="s">
        <v>664</v>
      </c>
      <c r="C250" s="42"/>
    </row>
    <row r="251" spans="2:3" x14ac:dyDescent="0.2">
      <c r="B251" s="41" t="s">
        <v>346</v>
      </c>
      <c r="C251" s="42"/>
    </row>
    <row r="252" spans="2:3" x14ac:dyDescent="0.2">
      <c r="B252" s="41" t="s">
        <v>754</v>
      </c>
      <c r="C252" s="42"/>
    </row>
    <row r="253" spans="2:3" x14ac:dyDescent="0.2">
      <c r="B253" s="41" t="s">
        <v>659</v>
      </c>
      <c r="C253" s="42"/>
    </row>
    <row r="254" spans="2:3" x14ac:dyDescent="0.2">
      <c r="B254" s="41" t="s">
        <v>562</v>
      </c>
      <c r="C254" s="42"/>
    </row>
    <row r="255" spans="2:3" x14ac:dyDescent="0.2">
      <c r="B255" s="41" t="s">
        <v>11</v>
      </c>
      <c r="C255" s="42"/>
    </row>
    <row r="256" spans="2:3" x14ac:dyDescent="0.2">
      <c r="B256" s="41" t="s">
        <v>126</v>
      </c>
      <c r="C256" s="42"/>
    </row>
    <row r="257" spans="2:3" x14ac:dyDescent="0.2">
      <c r="B257" s="41" t="s">
        <v>251</v>
      </c>
      <c r="C257" s="42"/>
    </row>
    <row r="258" spans="2:3" x14ac:dyDescent="0.2">
      <c r="B258" s="41" t="s">
        <v>19</v>
      </c>
      <c r="C258" s="42"/>
    </row>
    <row r="259" spans="2:3" x14ac:dyDescent="0.2">
      <c r="B259" s="41" t="s">
        <v>288</v>
      </c>
      <c r="C259" s="42"/>
    </row>
    <row r="260" spans="2:3" x14ac:dyDescent="0.2">
      <c r="B260" s="43" t="s">
        <v>167</v>
      </c>
      <c r="C260" s="44">
        <v>2</v>
      </c>
    </row>
  </sheetData>
  <sortState ref="B2:B260">
    <sortCondition ref="B2:B260"/>
  </sortState>
  <pageMargins left="0.7" right="0.7" top="0.75" bottom="0.75" header="0.3" footer="0.3"/>
  <pageSetup paperSize="9" orientation="portrait" horizontalDpi="4294967293" verticalDpi="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5"/>
  <sheetViews>
    <sheetView workbookViewId="0">
      <selection activeCell="A6" sqref="A6"/>
    </sheetView>
  </sheetViews>
  <sheetFormatPr defaultRowHeight="14.25" x14ac:dyDescent="0.2"/>
  <cols>
    <col min="1" max="1" width="23" customWidth="1"/>
  </cols>
  <sheetData>
    <row r="1" spans="1:2" x14ac:dyDescent="0.2">
      <c r="A1" t="s">
        <v>4475</v>
      </c>
      <c r="B1" t="s">
        <v>4476</v>
      </c>
    </row>
    <row r="2" spans="1:2" x14ac:dyDescent="0.2">
      <c r="A2" t="s">
        <v>4477</v>
      </c>
      <c r="B2" t="s">
        <v>4478</v>
      </c>
    </row>
    <row r="3" spans="1:2" x14ac:dyDescent="0.2">
      <c r="A3" t="s">
        <v>4479</v>
      </c>
      <c r="B3" t="s">
        <v>4482</v>
      </c>
    </row>
    <row r="4" spans="1:2" x14ac:dyDescent="0.2">
      <c r="A4" t="s">
        <v>4480</v>
      </c>
      <c r="B4" t="s">
        <v>3215</v>
      </c>
    </row>
    <row r="5" spans="1:2" x14ac:dyDescent="0.2">
      <c r="A5" t="s">
        <v>4481</v>
      </c>
      <c r="B5" t="s">
        <v>4483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R2221"/>
  <sheetViews>
    <sheetView topLeftCell="A171" workbookViewId="0">
      <selection activeCell="G188" sqref="G188"/>
    </sheetView>
  </sheetViews>
  <sheetFormatPr defaultRowHeight="14.25" x14ac:dyDescent="0.2"/>
  <cols>
    <col min="2" max="2" width="9" style="36"/>
    <col min="3" max="3" width="33.125" customWidth="1"/>
    <col min="4" max="4" width="11" customWidth="1"/>
    <col min="5" max="5" width="23" customWidth="1"/>
    <col min="6" max="6" width="21.25" customWidth="1"/>
    <col min="7" max="7" width="12.25" customWidth="1"/>
    <col min="8" max="8" width="16.75" customWidth="1"/>
    <col min="9" max="9" width="10.25" bestFit="1" customWidth="1"/>
    <col min="10" max="10" width="10.75" bestFit="1" customWidth="1"/>
    <col min="11" max="11" width="9.375" bestFit="1" customWidth="1"/>
    <col min="12" max="12" width="15.875" bestFit="1" customWidth="1"/>
    <col min="13" max="13" width="12.75" bestFit="1" customWidth="1"/>
    <col min="14" max="14" width="9.75" bestFit="1" customWidth="1"/>
  </cols>
  <sheetData>
    <row r="1" spans="1:18" ht="42.75" x14ac:dyDescent="0.2">
      <c r="A1" t="s">
        <v>2868</v>
      </c>
      <c r="B1" s="36" t="s">
        <v>4462</v>
      </c>
      <c r="C1" t="s">
        <v>0</v>
      </c>
      <c r="D1" s="45" t="s">
        <v>4474</v>
      </c>
      <c r="E1" t="s">
        <v>2918</v>
      </c>
      <c r="F1" t="s">
        <v>2869</v>
      </c>
      <c r="G1" t="s">
        <v>2870</v>
      </c>
      <c r="H1" t="s">
        <v>2919</v>
      </c>
      <c r="I1" s="14" t="s">
        <v>2886</v>
      </c>
      <c r="J1" s="14" t="s">
        <v>2871</v>
      </c>
      <c r="K1" s="14" t="s">
        <v>2872</v>
      </c>
      <c r="L1" s="14" t="s">
        <v>2891</v>
      </c>
      <c r="M1" s="14" t="s">
        <v>2873</v>
      </c>
      <c r="N1" s="14" t="s">
        <v>2887</v>
      </c>
      <c r="O1" s="14" t="s">
        <v>2888</v>
      </c>
      <c r="P1" s="14" t="s">
        <v>2889</v>
      </c>
      <c r="Q1" s="14" t="s">
        <v>2890</v>
      </c>
      <c r="R1" s="14" t="s">
        <v>2874</v>
      </c>
    </row>
    <row r="2" spans="1:18" x14ac:dyDescent="0.2">
      <c r="A2" s="15">
        <v>1</v>
      </c>
      <c r="B2" s="38">
        <v>1</v>
      </c>
      <c r="C2" s="15" t="s">
        <v>7</v>
      </c>
      <c r="D2" s="15"/>
      <c r="E2" s="15" t="s">
        <v>3058</v>
      </c>
      <c r="F2" s="15" t="s">
        <v>6</v>
      </c>
      <c r="G2" s="15" t="s">
        <v>9</v>
      </c>
      <c r="H2" s="15" t="s">
        <v>2920</v>
      </c>
      <c r="I2" s="15">
        <v>0</v>
      </c>
      <c r="J2" s="15">
        <v>0</v>
      </c>
      <c r="K2" s="15">
        <v>-1</v>
      </c>
      <c r="L2" s="15">
        <v>0</v>
      </c>
      <c r="M2" s="15">
        <v>0</v>
      </c>
      <c r="N2" s="15">
        <v>0</v>
      </c>
      <c r="O2" s="15">
        <v>0</v>
      </c>
      <c r="P2" s="15">
        <v>0</v>
      </c>
      <c r="Q2" s="15">
        <v>0</v>
      </c>
      <c r="R2" s="15">
        <v>0</v>
      </c>
    </row>
    <row r="3" spans="1:18" x14ac:dyDescent="0.2">
      <c r="A3" s="15">
        <v>2</v>
      </c>
      <c r="B3" s="38">
        <v>1</v>
      </c>
      <c r="C3" s="15" t="s">
        <v>11</v>
      </c>
      <c r="D3" s="15"/>
      <c r="E3" s="15" t="s">
        <v>3059</v>
      </c>
      <c r="F3" s="15" t="s">
        <v>10</v>
      </c>
      <c r="G3" s="15" t="s">
        <v>13</v>
      </c>
      <c r="H3" s="15" t="s">
        <v>2921</v>
      </c>
      <c r="I3" s="15">
        <v>0</v>
      </c>
      <c r="J3" s="15">
        <v>0</v>
      </c>
      <c r="K3" s="15">
        <v>0</v>
      </c>
      <c r="L3" s="15">
        <v>0</v>
      </c>
      <c r="M3" s="15">
        <v>-1</v>
      </c>
      <c r="N3" s="15">
        <v>0</v>
      </c>
      <c r="O3" s="15">
        <v>0</v>
      </c>
      <c r="P3" s="15">
        <v>0</v>
      </c>
      <c r="Q3" s="15">
        <v>0</v>
      </c>
      <c r="R3" s="15">
        <v>0</v>
      </c>
    </row>
    <row r="4" spans="1:18" x14ac:dyDescent="0.2">
      <c r="A4" s="15">
        <v>3</v>
      </c>
      <c r="B4" s="38">
        <v>1</v>
      </c>
      <c r="C4" s="15" t="s">
        <v>12</v>
      </c>
      <c r="D4" s="15"/>
      <c r="E4" s="15" t="s">
        <v>3059</v>
      </c>
      <c r="F4" s="15" t="s">
        <v>10</v>
      </c>
      <c r="G4" s="15" t="s">
        <v>13</v>
      </c>
      <c r="H4" s="15" t="s">
        <v>2921</v>
      </c>
      <c r="I4" s="15">
        <v>0</v>
      </c>
      <c r="J4" s="15">
        <v>0</v>
      </c>
      <c r="K4" s="15">
        <v>0</v>
      </c>
      <c r="L4" s="15">
        <v>0</v>
      </c>
      <c r="M4" s="15">
        <v>-1</v>
      </c>
      <c r="N4" s="15">
        <v>0</v>
      </c>
      <c r="O4" s="15">
        <v>0</v>
      </c>
      <c r="P4" s="15">
        <v>0</v>
      </c>
      <c r="Q4" s="15">
        <v>0</v>
      </c>
      <c r="R4" s="15">
        <v>0</v>
      </c>
    </row>
    <row r="5" spans="1:18" x14ac:dyDescent="0.2">
      <c r="A5" s="15">
        <v>4</v>
      </c>
      <c r="B5" s="38">
        <v>1</v>
      </c>
      <c r="C5" s="15" t="s">
        <v>15</v>
      </c>
      <c r="D5" s="15"/>
      <c r="E5" s="15" t="s">
        <v>3060</v>
      </c>
      <c r="F5" s="15" t="s">
        <v>14</v>
      </c>
      <c r="G5" s="15" t="s">
        <v>16</v>
      </c>
      <c r="H5" s="15" t="s">
        <v>2922</v>
      </c>
      <c r="I5" s="15">
        <v>-1</v>
      </c>
      <c r="J5" s="15">
        <v>0</v>
      </c>
      <c r="K5" s="15">
        <v>0</v>
      </c>
      <c r="L5" s="15">
        <v>0</v>
      </c>
      <c r="M5" s="15">
        <v>0</v>
      </c>
      <c r="N5" s="15">
        <v>0</v>
      </c>
      <c r="O5" s="15">
        <v>0</v>
      </c>
      <c r="P5" s="15">
        <v>0</v>
      </c>
      <c r="Q5" s="15">
        <v>0</v>
      </c>
      <c r="R5" s="15">
        <v>0</v>
      </c>
    </row>
    <row r="6" spans="1:18" x14ac:dyDescent="0.2">
      <c r="A6" s="15">
        <v>5</v>
      </c>
      <c r="B6" s="38">
        <v>1</v>
      </c>
      <c r="C6" s="15" t="s">
        <v>18</v>
      </c>
      <c r="D6" s="15"/>
      <c r="E6" s="15" t="s">
        <v>3061</v>
      </c>
      <c r="F6" s="15" t="s">
        <v>17</v>
      </c>
      <c r="G6" s="15" t="s">
        <v>20</v>
      </c>
      <c r="H6" s="15" t="s">
        <v>2923</v>
      </c>
      <c r="I6" s="15">
        <v>0</v>
      </c>
      <c r="J6" s="15">
        <v>-1</v>
      </c>
      <c r="K6" s="15">
        <v>0</v>
      </c>
      <c r="L6" s="15">
        <v>0</v>
      </c>
      <c r="M6" s="15">
        <v>0</v>
      </c>
      <c r="N6" s="15">
        <v>0</v>
      </c>
      <c r="O6" s="15">
        <v>0</v>
      </c>
      <c r="P6" s="15">
        <v>0</v>
      </c>
      <c r="Q6" s="15">
        <v>0</v>
      </c>
      <c r="R6" s="15">
        <v>0</v>
      </c>
    </row>
    <row r="7" spans="1:18" x14ac:dyDescent="0.2">
      <c r="A7" s="15">
        <v>6</v>
      </c>
      <c r="B7" s="38">
        <v>1</v>
      </c>
      <c r="C7" s="15" t="s">
        <v>19</v>
      </c>
      <c r="D7" s="15"/>
      <c r="E7" s="15" t="s">
        <v>3061</v>
      </c>
      <c r="F7" s="15" t="s">
        <v>17</v>
      </c>
      <c r="G7" s="15" t="s">
        <v>20</v>
      </c>
      <c r="H7" s="15" t="s">
        <v>2923</v>
      </c>
      <c r="I7" s="15">
        <v>0</v>
      </c>
      <c r="J7" s="15">
        <v>-1</v>
      </c>
      <c r="K7" s="15">
        <v>0</v>
      </c>
      <c r="L7" s="15">
        <v>0</v>
      </c>
      <c r="M7" s="15">
        <v>0</v>
      </c>
      <c r="N7" s="15">
        <v>0</v>
      </c>
      <c r="O7" s="15">
        <v>0</v>
      </c>
      <c r="P7" s="15">
        <v>0</v>
      </c>
      <c r="Q7" s="15">
        <v>0</v>
      </c>
      <c r="R7" s="15">
        <v>0</v>
      </c>
    </row>
    <row r="8" spans="1:18" x14ac:dyDescent="0.2">
      <c r="A8" s="15">
        <v>7</v>
      </c>
      <c r="B8" s="38">
        <v>1</v>
      </c>
      <c r="C8" s="15" t="s">
        <v>22</v>
      </c>
      <c r="D8" s="15"/>
      <c r="E8" s="15" t="s">
        <v>3062</v>
      </c>
      <c r="F8" s="15" t="s">
        <v>21</v>
      </c>
      <c r="G8" s="15" t="s">
        <v>23</v>
      </c>
      <c r="H8" s="15" t="s">
        <v>2924</v>
      </c>
      <c r="I8" s="15">
        <v>0</v>
      </c>
      <c r="J8" s="15">
        <v>-2</v>
      </c>
      <c r="K8" s="15">
        <v>0</v>
      </c>
      <c r="L8" s="15">
        <v>0</v>
      </c>
      <c r="M8" s="15">
        <v>0</v>
      </c>
      <c r="N8" s="15">
        <v>0</v>
      </c>
      <c r="O8" s="15">
        <v>0</v>
      </c>
      <c r="P8" s="15">
        <v>0</v>
      </c>
      <c r="Q8" s="15">
        <v>0</v>
      </c>
      <c r="R8" s="15">
        <v>0</v>
      </c>
    </row>
    <row r="9" spans="1:18" x14ac:dyDescent="0.2">
      <c r="A9" s="15">
        <v>8</v>
      </c>
      <c r="B9" s="38">
        <v>1</v>
      </c>
      <c r="C9" s="15" t="s">
        <v>25</v>
      </c>
      <c r="D9" s="15"/>
      <c r="E9" s="15" t="s">
        <v>3063</v>
      </c>
      <c r="F9" s="15" t="s">
        <v>24</v>
      </c>
      <c r="G9" s="15" t="s">
        <v>26</v>
      </c>
      <c r="H9" s="15" t="s">
        <v>2925</v>
      </c>
      <c r="I9" s="15">
        <v>0</v>
      </c>
      <c r="J9" s="15">
        <v>-3</v>
      </c>
      <c r="K9" s="15">
        <v>0</v>
      </c>
      <c r="L9" s="15">
        <v>0</v>
      </c>
      <c r="M9" s="15">
        <v>0</v>
      </c>
      <c r="N9" s="15">
        <v>0</v>
      </c>
      <c r="O9" s="15">
        <v>0</v>
      </c>
      <c r="P9" s="15">
        <v>0</v>
      </c>
      <c r="Q9" s="15">
        <v>0</v>
      </c>
      <c r="R9" s="15">
        <v>0</v>
      </c>
    </row>
    <row r="10" spans="1:18" x14ac:dyDescent="0.2">
      <c r="A10" s="15">
        <v>9</v>
      </c>
      <c r="B10" s="38">
        <v>1</v>
      </c>
      <c r="C10" s="15" t="s">
        <v>28</v>
      </c>
      <c r="D10" s="15"/>
      <c r="E10" s="15" t="s">
        <v>3064</v>
      </c>
      <c r="F10" s="15" t="s">
        <v>27</v>
      </c>
      <c r="G10" s="15" t="s">
        <v>29</v>
      </c>
      <c r="H10" s="15" t="s">
        <v>2926</v>
      </c>
      <c r="I10" s="15">
        <v>-1</v>
      </c>
      <c r="J10" s="15">
        <v>-1</v>
      </c>
      <c r="K10" s="15">
        <v>2</v>
      </c>
      <c r="L10" s="15">
        <v>0</v>
      </c>
      <c r="M10" s="15">
        <v>0</v>
      </c>
      <c r="N10" s="15">
        <v>0</v>
      </c>
      <c r="O10" s="15">
        <v>0</v>
      </c>
      <c r="P10" s="15">
        <v>0</v>
      </c>
      <c r="Q10" s="15">
        <v>0</v>
      </c>
      <c r="R10" s="15">
        <v>0</v>
      </c>
    </row>
    <row r="11" spans="1:18" x14ac:dyDescent="0.2">
      <c r="A11" s="15">
        <v>10</v>
      </c>
      <c r="B11" s="38">
        <v>1</v>
      </c>
      <c r="C11" s="15" t="s">
        <v>31</v>
      </c>
      <c r="D11" s="15"/>
      <c r="E11" s="15" t="s">
        <v>3065</v>
      </c>
      <c r="F11" s="15" t="s">
        <v>30</v>
      </c>
      <c r="G11" s="15" t="s">
        <v>33</v>
      </c>
      <c r="H11" s="15" t="s">
        <v>2927</v>
      </c>
      <c r="I11" s="15">
        <v>-1</v>
      </c>
      <c r="J11" s="15">
        <v>1</v>
      </c>
      <c r="K11" s="15">
        <v>2</v>
      </c>
      <c r="L11" s="15">
        <v>0</v>
      </c>
      <c r="M11" s="15">
        <v>0</v>
      </c>
      <c r="N11" s="15">
        <v>0</v>
      </c>
      <c r="O11" s="15">
        <v>0</v>
      </c>
      <c r="P11" s="15">
        <v>0</v>
      </c>
      <c r="Q11" s="15">
        <v>0</v>
      </c>
      <c r="R11" s="15">
        <v>0</v>
      </c>
    </row>
    <row r="12" spans="1:18" x14ac:dyDescent="0.2">
      <c r="A12" s="15">
        <v>11</v>
      </c>
      <c r="B12" s="38">
        <v>1</v>
      </c>
      <c r="C12" s="15" t="s">
        <v>32</v>
      </c>
      <c r="D12" s="15"/>
      <c r="E12" s="15" t="s">
        <v>3065</v>
      </c>
      <c r="F12" s="15" t="s">
        <v>30</v>
      </c>
      <c r="G12" s="15" t="s">
        <v>33</v>
      </c>
      <c r="H12" s="15" t="s">
        <v>2927</v>
      </c>
      <c r="I12" s="15">
        <v>-1</v>
      </c>
      <c r="J12" s="15">
        <v>1</v>
      </c>
      <c r="K12" s="15">
        <v>2</v>
      </c>
      <c r="L12" s="15">
        <v>0</v>
      </c>
      <c r="M12" s="15">
        <v>0</v>
      </c>
      <c r="N12" s="15">
        <v>0</v>
      </c>
      <c r="O12" s="15">
        <v>0</v>
      </c>
      <c r="P12" s="15">
        <v>0</v>
      </c>
      <c r="Q12" s="15">
        <v>0</v>
      </c>
      <c r="R12" s="15">
        <v>0</v>
      </c>
    </row>
    <row r="13" spans="1:18" x14ac:dyDescent="0.2">
      <c r="A13" s="15">
        <v>12</v>
      </c>
      <c r="B13" s="38">
        <v>1</v>
      </c>
      <c r="C13" s="15" t="s">
        <v>35</v>
      </c>
      <c r="D13" s="15"/>
      <c r="E13" s="15" t="s">
        <v>3066</v>
      </c>
      <c r="F13" s="15" t="s">
        <v>34</v>
      </c>
      <c r="G13" s="15" t="s">
        <v>38</v>
      </c>
      <c r="H13" s="15" t="s">
        <v>2928</v>
      </c>
      <c r="I13" s="15">
        <v>0</v>
      </c>
      <c r="J13" s="15">
        <v>0</v>
      </c>
      <c r="K13" s="15">
        <v>-1</v>
      </c>
      <c r="L13" s="15">
        <v>0</v>
      </c>
      <c r="M13" s="15">
        <v>0</v>
      </c>
      <c r="N13" s="15">
        <v>0</v>
      </c>
      <c r="O13" s="15">
        <v>0</v>
      </c>
      <c r="P13" s="15">
        <v>0</v>
      </c>
      <c r="Q13" s="15">
        <v>0</v>
      </c>
      <c r="R13" s="15">
        <v>0</v>
      </c>
    </row>
    <row r="14" spans="1:18" x14ac:dyDescent="0.2">
      <c r="A14" s="15">
        <v>13</v>
      </c>
      <c r="B14" s="38">
        <v>1</v>
      </c>
      <c r="C14" s="15" t="s">
        <v>36</v>
      </c>
      <c r="D14" s="15"/>
      <c r="E14" s="15" t="s">
        <v>3066</v>
      </c>
      <c r="F14" s="15" t="s">
        <v>34</v>
      </c>
      <c r="G14" s="15" t="s">
        <v>38</v>
      </c>
      <c r="H14" s="15" t="s">
        <v>2928</v>
      </c>
      <c r="I14" s="15">
        <v>0</v>
      </c>
      <c r="J14" s="15">
        <v>0</v>
      </c>
      <c r="K14" s="15">
        <v>-1</v>
      </c>
      <c r="L14" s="15">
        <v>0</v>
      </c>
      <c r="M14" s="15">
        <v>0</v>
      </c>
      <c r="N14" s="15">
        <v>0</v>
      </c>
      <c r="O14" s="15">
        <v>0</v>
      </c>
      <c r="P14" s="15">
        <v>0</v>
      </c>
      <c r="Q14" s="15">
        <v>0</v>
      </c>
      <c r="R14" s="15">
        <v>0</v>
      </c>
    </row>
    <row r="15" spans="1:18" x14ac:dyDescent="0.2">
      <c r="A15" s="15">
        <v>14</v>
      </c>
      <c r="B15" s="38">
        <v>1</v>
      </c>
      <c r="C15" s="15" t="s">
        <v>40</v>
      </c>
      <c r="D15" s="15"/>
      <c r="E15" s="15" t="s">
        <v>3067</v>
      </c>
      <c r="F15" s="15" t="s">
        <v>39</v>
      </c>
      <c r="G15" s="15" t="s">
        <v>41</v>
      </c>
      <c r="H15" s="15" t="s">
        <v>2929</v>
      </c>
      <c r="I15" s="15">
        <v>-1</v>
      </c>
      <c r="J15" s="15">
        <v>-2</v>
      </c>
      <c r="K15" s="15">
        <v>3</v>
      </c>
      <c r="L15" s="15">
        <v>1</v>
      </c>
      <c r="M15" s="15">
        <v>0</v>
      </c>
      <c r="N15" s="15">
        <v>0</v>
      </c>
      <c r="O15" s="15">
        <v>0</v>
      </c>
      <c r="P15" s="15">
        <v>0</v>
      </c>
      <c r="Q15" s="15">
        <v>0</v>
      </c>
      <c r="R15" s="15">
        <v>0</v>
      </c>
    </row>
    <row r="16" spans="1:18" x14ac:dyDescent="0.2">
      <c r="A16" s="15">
        <v>15</v>
      </c>
      <c r="B16" s="38">
        <v>1</v>
      </c>
      <c r="C16" s="15" t="s">
        <v>43</v>
      </c>
      <c r="D16" s="15">
        <v>2</v>
      </c>
      <c r="E16" s="15" t="s">
        <v>3068</v>
      </c>
      <c r="F16" s="15" t="s">
        <v>42</v>
      </c>
      <c r="G16" s="15" t="s">
        <v>46</v>
      </c>
      <c r="H16" s="15" t="s">
        <v>2930</v>
      </c>
      <c r="I16" s="15">
        <v>0</v>
      </c>
      <c r="J16" s="15">
        <v>0</v>
      </c>
      <c r="K16" s="15">
        <v>0</v>
      </c>
      <c r="L16" s="15">
        <v>1</v>
      </c>
      <c r="M16" s="15">
        <v>0</v>
      </c>
      <c r="N16" s="15">
        <v>0</v>
      </c>
      <c r="O16" s="15">
        <v>0</v>
      </c>
      <c r="P16" s="15">
        <v>0</v>
      </c>
      <c r="Q16" s="15">
        <v>0</v>
      </c>
      <c r="R16" s="15">
        <v>0</v>
      </c>
    </row>
    <row r="17" spans="1:18" x14ac:dyDescent="0.2">
      <c r="A17" s="15">
        <v>16</v>
      </c>
      <c r="B17" s="38">
        <v>1</v>
      </c>
      <c r="C17" s="15" t="s">
        <v>44</v>
      </c>
      <c r="D17" s="15"/>
      <c r="E17" s="15" t="s">
        <v>3068</v>
      </c>
      <c r="F17" s="15" t="s">
        <v>42</v>
      </c>
      <c r="G17" s="15" t="s">
        <v>46</v>
      </c>
      <c r="H17" s="15" t="s">
        <v>2930</v>
      </c>
      <c r="I17" s="15">
        <v>0</v>
      </c>
      <c r="J17" s="15">
        <v>0</v>
      </c>
      <c r="K17" s="15">
        <v>0</v>
      </c>
      <c r="L17" s="15">
        <v>1</v>
      </c>
      <c r="M17" s="15">
        <v>0</v>
      </c>
      <c r="N17" s="15">
        <v>0</v>
      </c>
      <c r="O17" s="15">
        <v>0</v>
      </c>
      <c r="P17" s="15">
        <v>0</v>
      </c>
      <c r="Q17" s="15">
        <v>0</v>
      </c>
      <c r="R17" s="15">
        <v>0</v>
      </c>
    </row>
    <row r="18" spans="1:18" x14ac:dyDescent="0.2">
      <c r="A18" s="15">
        <v>17</v>
      </c>
      <c r="B18" s="38">
        <v>1</v>
      </c>
      <c r="C18" s="15" t="s">
        <v>45</v>
      </c>
      <c r="D18" s="15"/>
      <c r="E18" s="15" t="s">
        <v>3068</v>
      </c>
      <c r="F18" s="15" t="s">
        <v>42</v>
      </c>
      <c r="G18" s="15" t="s">
        <v>46</v>
      </c>
      <c r="H18" s="15" t="s">
        <v>2930</v>
      </c>
      <c r="I18" s="15">
        <v>0</v>
      </c>
      <c r="J18" s="15">
        <v>0</v>
      </c>
      <c r="K18" s="15">
        <v>0</v>
      </c>
      <c r="L18" s="15">
        <v>1</v>
      </c>
      <c r="M18" s="15">
        <v>0</v>
      </c>
      <c r="N18" s="15">
        <v>0</v>
      </c>
      <c r="O18" s="15">
        <v>0</v>
      </c>
      <c r="P18" s="15">
        <v>0</v>
      </c>
      <c r="Q18" s="15">
        <v>0</v>
      </c>
      <c r="R18" s="15">
        <v>0</v>
      </c>
    </row>
    <row r="19" spans="1:18" x14ac:dyDescent="0.2">
      <c r="A19" s="15">
        <v>18</v>
      </c>
      <c r="B19" s="38">
        <v>1</v>
      </c>
      <c r="C19" s="15" t="s">
        <v>49</v>
      </c>
      <c r="D19" s="15"/>
      <c r="E19" s="15" t="s">
        <v>3069</v>
      </c>
      <c r="F19" s="15" t="s">
        <v>48</v>
      </c>
      <c r="G19" s="15" t="s">
        <v>50</v>
      </c>
      <c r="H19" s="15" t="s">
        <v>2932</v>
      </c>
      <c r="I19" s="15">
        <v>0</v>
      </c>
      <c r="J19" s="15">
        <v>2</v>
      </c>
      <c r="K19" s="15">
        <v>0</v>
      </c>
      <c r="L19" s="15">
        <v>1</v>
      </c>
      <c r="M19" s="15">
        <v>0</v>
      </c>
      <c r="N19" s="15">
        <v>0</v>
      </c>
      <c r="O19" s="15">
        <v>0</v>
      </c>
      <c r="P19" s="15">
        <v>0</v>
      </c>
      <c r="Q19" s="15">
        <v>0</v>
      </c>
      <c r="R19" s="15">
        <v>0</v>
      </c>
    </row>
    <row r="20" spans="1:18" x14ac:dyDescent="0.2">
      <c r="A20" s="15">
        <v>19</v>
      </c>
      <c r="B20" s="38">
        <v>1</v>
      </c>
      <c r="C20" s="15" t="s">
        <v>52</v>
      </c>
      <c r="D20" s="15"/>
      <c r="E20" s="15" t="s">
        <v>3070</v>
      </c>
      <c r="F20" s="15" t="s">
        <v>51</v>
      </c>
      <c r="G20" s="15" t="s">
        <v>55</v>
      </c>
      <c r="H20" s="15" t="s">
        <v>2933</v>
      </c>
      <c r="I20" s="15">
        <v>0</v>
      </c>
      <c r="J20" s="15">
        <v>-1</v>
      </c>
      <c r="K20" s="15">
        <v>0</v>
      </c>
      <c r="L20" s="15">
        <v>1</v>
      </c>
      <c r="M20" s="15">
        <v>0</v>
      </c>
      <c r="N20" s="15">
        <v>0</v>
      </c>
      <c r="O20" s="15">
        <v>0</v>
      </c>
      <c r="P20" s="15">
        <v>0</v>
      </c>
      <c r="Q20" s="15">
        <v>0</v>
      </c>
      <c r="R20" s="15">
        <v>0</v>
      </c>
    </row>
    <row r="21" spans="1:18" x14ac:dyDescent="0.2">
      <c r="A21" s="15">
        <v>20</v>
      </c>
      <c r="B21" s="38">
        <v>1</v>
      </c>
      <c r="C21" s="15" t="s">
        <v>53</v>
      </c>
      <c r="D21" s="15"/>
      <c r="E21" s="15" t="s">
        <v>3070</v>
      </c>
      <c r="F21" s="15" t="s">
        <v>51</v>
      </c>
      <c r="G21" s="15" t="s">
        <v>55</v>
      </c>
      <c r="H21" s="15" t="s">
        <v>2933</v>
      </c>
      <c r="I21" s="15">
        <v>0</v>
      </c>
      <c r="J21" s="15">
        <v>-1</v>
      </c>
      <c r="K21" s="15">
        <v>0</v>
      </c>
      <c r="L21" s="15">
        <v>1</v>
      </c>
      <c r="M21" s="15">
        <v>0</v>
      </c>
      <c r="N21" s="15">
        <v>0</v>
      </c>
      <c r="O21" s="15">
        <v>0</v>
      </c>
      <c r="P21" s="15">
        <v>0</v>
      </c>
      <c r="Q21" s="15">
        <v>0</v>
      </c>
      <c r="R21" s="15">
        <v>0</v>
      </c>
    </row>
    <row r="22" spans="1:18" x14ac:dyDescent="0.2">
      <c r="A22" s="15">
        <v>21</v>
      </c>
      <c r="B22" s="38">
        <v>1</v>
      </c>
      <c r="C22" s="15" t="s">
        <v>54</v>
      </c>
      <c r="D22" s="15"/>
      <c r="E22" s="15" t="s">
        <v>3070</v>
      </c>
      <c r="F22" s="15" t="s">
        <v>51</v>
      </c>
      <c r="G22" s="15" t="s">
        <v>55</v>
      </c>
      <c r="H22" s="15" t="s">
        <v>2933</v>
      </c>
      <c r="I22" s="15">
        <v>0</v>
      </c>
      <c r="J22" s="15">
        <v>-1</v>
      </c>
      <c r="K22" s="15">
        <v>0</v>
      </c>
      <c r="L22" s="15">
        <v>1</v>
      </c>
      <c r="M22" s="15">
        <v>0</v>
      </c>
      <c r="N22" s="15">
        <v>0</v>
      </c>
      <c r="O22" s="15">
        <v>0</v>
      </c>
      <c r="P22" s="15">
        <v>0</v>
      </c>
      <c r="Q22" s="15">
        <v>0</v>
      </c>
      <c r="R22" s="15">
        <v>0</v>
      </c>
    </row>
    <row r="23" spans="1:18" x14ac:dyDescent="0.2">
      <c r="A23" s="15">
        <v>22</v>
      </c>
      <c r="B23" s="38">
        <v>1</v>
      </c>
      <c r="C23" s="15" t="s">
        <v>57</v>
      </c>
      <c r="D23" s="15"/>
      <c r="E23" s="15" t="s">
        <v>3071</v>
      </c>
      <c r="F23" s="15" t="s">
        <v>56</v>
      </c>
      <c r="G23" s="15" t="s">
        <v>58</v>
      </c>
      <c r="H23" s="15" t="s">
        <v>2934</v>
      </c>
      <c r="I23" s="15">
        <v>0</v>
      </c>
      <c r="J23" s="15">
        <v>-2</v>
      </c>
      <c r="K23" s="15">
        <v>0</v>
      </c>
      <c r="L23" s="15">
        <v>1</v>
      </c>
      <c r="M23" s="15">
        <v>0</v>
      </c>
      <c r="N23" s="15">
        <v>0</v>
      </c>
      <c r="O23" s="15">
        <v>0</v>
      </c>
      <c r="P23" s="15">
        <v>0</v>
      </c>
      <c r="Q23" s="15">
        <v>0</v>
      </c>
      <c r="R23" s="15">
        <v>0</v>
      </c>
    </row>
    <row r="24" spans="1:18" x14ac:dyDescent="0.2">
      <c r="A24" s="15">
        <v>23</v>
      </c>
      <c r="B24" s="38">
        <v>1</v>
      </c>
      <c r="C24" s="15" t="s">
        <v>60</v>
      </c>
      <c r="D24" s="15"/>
      <c r="E24" s="15" t="s">
        <v>3072</v>
      </c>
      <c r="F24" s="15" t="s">
        <v>59</v>
      </c>
      <c r="G24" s="15" t="s">
        <v>61</v>
      </c>
      <c r="H24" s="15" t="s">
        <v>2935</v>
      </c>
      <c r="I24" s="15">
        <v>0</v>
      </c>
      <c r="J24" s="15">
        <v>0</v>
      </c>
      <c r="K24" s="15">
        <v>0</v>
      </c>
      <c r="L24" s="15">
        <v>0</v>
      </c>
      <c r="M24" s="15">
        <v>0</v>
      </c>
      <c r="N24" s="15">
        <v>0</v>
      </c>
      <c r="O24" s="15">
        <v>0</v>
      </c>
      <c r="P24" s="15">
        <v>0</v>
      </c>
      <c r="Q24" s="15">
        <v>0</v>
      </c>
      <c r="R24" s="15">
        <v>0</v>
      </c>
    </row>
    <row r="25" spans="1:18" x14ac:dyDescent="0.2">
      <c r="A25" s="15">
        <v>24</v>
      </c>
      <c r="B25" s="38">
        <v>1</v>
      </c>
      <c r="C25" s="15" t="s">
        <v>65</v>
      </c>
      <c r="D25" s="15"/>
      <c r="E25" s="15" t="s">
        <v>3073</v>
      </c>
      <c r="F25" s="15" t="s">
        <v>64</v>
      </c>
      <c r="G25" s="15" t="s">
        <v>66</v>
      </c>
      <c r="H25" s="15" t="s">
        <v>2936</v>
      </c>
      <c r="I25" s="15">
        <v>0</v>
      </c>
      <c r="J25" s="15">
        <v>-1</v>
      </c>
      <c r="K25" s="15">
        <v>0</v>
      </c>
      <c r="L25" s="15">
        <v>0</v>
      </c>
      <c r="M25" s="15">
        <v>0</v>
      </c>
      <c r="N25" s="15">
        <v>0</v>
      </c>
      <c r="O25" s="15">
        <v>0</v>
      </c>
      <c r="P25" s="15">
        <v>0</v>
      </c>
      <c r="Q25" s="15">
        <v>0</v>
      </c>
      <c r="R25" s="15">
        <v>0</v>
      </c>
    </row>
    <row r="26" spans="1:18" x14ac:dyDescent="0.2">
      <c r="A26" s="15">
        <v>25</v>
      </c>
      <c r="B26" s="38">
        <v>1</v>
      </c>
      <c r="C26" s="15" t="s">
        <v>69</v>
      </c>
      <c r="D26" s="15"/>
      <c r="E26" s="15" t="s">
        <v>3074</v>
      </c>
      <c r="F26" s="15" t="s">
        <v>68</v>
      </c>
      <c r="G26" s="15" t="s">
        <v>70</v>
      </c>
      <c r="H26" s="15" t="s">
        <v>2937</v>
      </c>
      <c r="I26" s="15">
        <v>0</v>
      </c>
      <c r="J26" s="15">
        <v>0</v>
      </c>
      <c r="K26" s="15">
        <v>0</v>
      </c>
      <c r="L26" s="15">
        <v>0</v>
      </c>
      <c r="M26" s="15">
        <v>0</v>
      </c>
      <c r="N26" s="15">
        <v>0</v>
      </c>
      <c r="O26" s="15">
        <v>0</v>
      </c>
      <c r="P26" s="15">
        <v>0</v>
      </c>
      <c r="Q26" s="15">
        <v>0</v>
      </c>
      <c r="R26" s="15">
        <v>0</v>
      </c>
    </row>
    <row r="27" spans="1:18" x14ac:dyDescent="0.2">
      <c r="A27" s="15">
        <v>26</v>
      </c>
      <c r="B27" s="38">
        <v>1</v>
      </c>
      <c r="C27" s="15" t="s">
        <v>73</v>
      </c>
      <c r="D27" s="15"/>
      <c r="E27" s="15" t="s">
        <v>3075</v>
      </c>
      <c r="F27" s="15" t="s">
        <v>76</v>
      </c>
      <c r="G27" s="15" t="s">
        <v>77</v>
      </c>
      <c r="H27" s="15" t="s">
        <v>2938</v>
      </c>
      <c r="I27" s="15">
        <v>0</v>
      </c>
      <c r="J27" s="15">
        <v>0</v>
      </c>
      <c r="K27" s="15">
        <v>-1</v>
      </c>
      <c r="L27" s="15">
        <v>0</v>
      </c>
      <c r="M27" s="15">
        <v>0</v>
      </c>
      <c r="N27" s="15">
        <v>0</v>
      </c>
      <c r="O27" s="15">
        <v>0</v>
      </c>
      <c r="P27" s="15">
        <v>0</v>
      </c>
      <c r="Q27" s="15">
        <v>0</v>
      </c>
      <c r="R27" s="15">
        <v>0</v>
      </c>
    </row>
    <row r="28" spans="1:18" x14ac:dyDescent="0.2">
      <c r="A28" s="15">
        <v>27</v>
      </c>
      <c r="B28" s="38">
        <v>1</v>
      </c>
      <c r="C28" s="15" t="s">
        <v>80</v>
      </c>
      <c r="D28" s="15"/>
      <c r="E28" s="15" t="s">
        <v>3076</v>
      </c>
      <c r="F28" s="15" t="s">
        <v>79</v>
      </c>
      <c r="G28" s="15" t="s">
        <v>81</v>
      </c>
      <c r="H28" s="15" t="s">
        <v>2939</v>
      </c>
      <c r="I28" s="15">
        <v>0</v>
      </c>
      <c r="J28" s="15">
        <v>0</v>
      </c>
      <c r="K28" s="15">
        <v>-1</v>
      </c>
      <c r="L28" s="15">
        <v>0</v>
      </c>
      <c r="M28" s="15">
        <v>0</v>
      </c>
      <c r="N28" s="15">
        <v>0</v>
      </c>
      <c r="O28" s="15">
        <v>0</v>
      </c>
      <c r="P28" s="15">
        <v>0</v>
      </c>
      <c r="Q28" s="15">
        <v>0</v>
      </c>
      <c r="R28" s="15">
        <v>0</v>
      </c>
    </row>
    <row r="29" spans="1:18" x14ac:dyDescent="0.2">
      <c r="A29" s="15">
        <v>28</v>
      </c>
      <c r="B29" s="38">
        <v>1</v>
      </c>
      <c r="C29" s="15" t="s">
        <v>84</v>
      </c>
      <c r="D29" s="15"/>
      <c r="E29" s="15" t="s">
        <v>3077</v>
      </c>
      <c r="F29" s="15" t="s">
        <v>83</v>
      </c>
      <c r="G29" s="15" t="s">
        <v>85</v>
      </c>
      <c r="H29" s="15" t="s">
        <v>2940</v>
      </c>
      <c r="I29" s="15">
        <v>-1</v>
      </c>
      <c r="J29" s="15">
        <v>0</v>
      </c>
      <c r="K29" s="15">
        <v>-1</v>
      </c>
      <c r="L29" s="15">
        <v>0</v>
      </c>
      <c r="M29" s="15">
        <v>0</v>
      </c>
      <c r="N29" s="15">
        <v>0</v>
      </c>
      <c r="O29" s="15">
        <v>0</v>
      </c>
      <c r="P29" s="15">
        <v>0</v>
      </c>
      <c r="Q29" s="15">
        <v>0</v>
      </c>
      <c r="R29" s="15">
        <v>0</v>
      </c>
    </row>
    <row r="30" spans="1:18" x14ac:dyDescent="0.2">
      <c r="A30" s="15">
        <v>29</v>
      </c>
      <c r="B30" s="38">
        <v>1</v>
      </c>
      <c r="C30" s="15" t="s">
        <v>87</v>
      </c>
      <c r="D30" s="15"/>
      <c r="E30" s="15" t="s">
        <v>3078</v>
      </c>
      <c r="F30" s="15" t="s">
        <v>86</v>
      </c>
      <c r="G30" s="15" t="s">
        <v>86</v>
      </c>
      <c r="H30" s="15" t="s">
        <v>2941</v>
      </c>
      <c r="I30" s="15">
        <v>0</v>
      </c>
      <c r="J30" s="15">
        <v>0</v>
      </c>
      <c r="K30" s="15">
        <v>0</v>
      </c>
      <c r="L30" s="15">
        <v>0</v>
      </c>
      <c r="M30" s="15">
        <v>0</v>
      </c>
      <c r="N30" s="15">
        <v>0</v>
      </c>
      <c r="O30" s="15">
        <v>0</v>
      </c>
      <c r="P30" s="15">
        <v>0</v>
      </c>
      <c r="Q30" s="15">
        <v>0</v>
      </c>
      <c r="R30" s="15">
        <v>0</v>
      </c>
    </row>
    <row r="31" spans="1:18" x14ac:dyDescent="0.2">
      <c r="A31" s="15">
        <v>30</v>
      </c>
      <c r="B31" s="38">
        <v>1</v>
      </c>
      <c r="C31" s="15" t="s">
        <v>90</v>
      </c>
      <c r="D31" s="15"/>
      <c r="E31" s="15" t="s">
        <v>3079</v>
      </c>
      <c r="F31" s="15" t="s">
        <v>89</v>
      </c>
      <c r="G31" s="15" t="s">
        <v>93</v>
      </c>
      <c r="H31" s="15" t="s">
        <v>2942</v>
      </c>
      <c r="I31" s="15">
        <v>0</v>
      </c>
      <c r="J31" s="15">
        <v>0</v>
      </c>
      <c r="K31" s="15">
        <v>1</v>
      </c>
      <c r="L31" s="15">
        <v>1</v>
      </c>
      <c r="M31" s="15">
        <v>0</v>
      </c>
      <c r="N31" s="15">
        <v>0</v>
      </c>
      <c r="O31" s="15">
        <v>0</v>
      </c>
      <c r="P31" s="15">
        <v>0</v>
      </c>
      <c r="Q31" s="15">
        <v>0</v>
      </c>
      <c r="R31" s="15">
        <v>0</v>
      </c>
    </row>
    <row r="32" spans="1:18" x14ac:dyDescent="0.2">
      <c r="A32" s="15">
        <v>31</v>
      </c>
      <c r="B32" s="38">
        <v>1</v>
      </c>
      <c r="C32" s="15" t="s">
        <v>91</v>
      </c>
      <c r="D32" s="15"/>
      <c r="E32" s="15" t="s">
        <v>3079</v>
      </c>
      <c r="F32" s="15" t="s">
        <v>89</v>
      </c>
      <c r="G32" s="15" t="s">
        <v>93</v>
      </c>
      <c r="H32" s="15" t="s">
        <v>2942</v>
      </c>
      <c r="I32" s="15">
        <v>0</v>
      </c>
      <c r="J32" s="15">
        <v>0</v>
      </c>
      <c r="K32" s="15">
        <v>1</v>
      </c>
      <c r="L32" s="15">
        <v>1</v>
      </c>
      <c r="M32" s="15">
        <v>0</v>
      </c>
      <c r="N32" s="15">
        <v>0</v>
      </c>
      <c r="O32" s="15">
        <v>0</v>
      </c>
      <c r="P32" s="15">
        <v>0</v>
      </c>
      <c r="Q32" s="15">
        <v>0</v>
      </c>
      <c r="R32" s="15">
        <v>0</v>
      </c>
    </row>
    <row r="33" spans="1:18" x14ac:dyDescent="0.2">
      <c r="A33" s="15">
        <v>32</v>
      </c>
      <c r="B33" s="38">
        <v>1</v>
      </c>
      <c r="C33" s="15" t="s">
        <v>92</v>
      </c>
      <c r="D33" s="15"/>
      <c r="E33" s="15" t="s">
        <v>3079</v>
      </c>
      <c r="F33" s="15" t="s">
        <v>89</v>
      </c>
      <c r="G33" s="15" t="s">
        <v>93</v>
      </c>
      <c r="H33" s="15" t="s">
        <v>2942</v>
      </c>
      <c r="I33" s="15">
        <v>0</v>
      </c>
      <c r="J33" s="15">
        <v>0</v>
      </c>
      <c r="K33" s="15">
        <v>1</v>
      </c>
      <c r="L33" s="15">
        <v>1</v>
      </c>
      <c r="M33" s="15">
        <v>0</v>
      </c>
      <c r="N33" s="15">
        <v>0</v>
      </c>
      <c r="O33" s="15">
        <v>0</v>
      </c>
      <c r="P33" s="15">
        <v>0</v>
      </c>
      <c r="Q33" s="15">
        <v>0</v>
      </c>
      <c r="R33" s="15">
        <v>0</v>
      </c>
    </row>
    <row r="34" spans="1:18" x14ac:dyDescent="0.2">
      <c r="A34" s="15">
        <v>33</v>
      </c>
      <c r="B34" s="38">
        <v>1</v>
      </c>
      <c r="C34" s="15" t="s">
        <v>96</v>
      </c>
      <c r="D34" s="15"/>
      <c r="E34" s="15" t="s">
        <v>3080</v>
      </c>
      <c r="F34" s="15" t="s">
        <v>95</v>
      </c>
      <c r="G34" s="15" t="s">
        <v>97</v>
      </c>
      <c r="H34" s="15" t="s">
        <v>2943</v>
      </c>
      <c r="I34" s="15">
        <v>0</v>
      </c>
      <c r="J34" s="15">
        <v>1</v>
      </c>
      <c r="K34" s="15">
        <v>1</v>
      </c>
      <c r="L34" s="15">
        <v>1</v>
      </c>
      <c r="M34" s="15">
        <v>0</v>
      </c>
      <c r="N34" s="15">
        <v>0</v>
      </c>
      <c r="O34" s="15">
        <v>0</v>
      </c>
      <c r="P34" s="15">
        <v>0</v>
      </c>
      <c r="Q34" s="15">
        <v>0</v>
      </c>
      <c r="R34" s="15">
        <v>0</v>
      </c>
    </row>
    <row r="35" spans="1:18" x14ac:dyDescent="0.2">
      <c r="A35" s="15">
        <v>34</v>
      </c>
      <c r="B35" s="38">
        <v>1</v>
      </c>
      <c r="C35" s="15" t="s">
        <v>99</v>
      </c>
      <c r="D35" s="15"/>
      <c r="E35" s="15" t="s">
        <v>3081</v>
      </c>
      <c r="F35" s="15" t="s">
        <v>98</v>
      </c>
      <c r="G35" s="15" t="s">
        <v>100</v>
      </c>
      <c r="H35" s="15" t="s">
        <v>2944</v>
      </c>
      <c r="I35" s="15">
        <v>-1</v>
      </c>
      <c r="J35" s="15">
        <v>0</v>
      </c>
      <c r="K35" s="15">
        <v>1</v>
      </c>
      <c r="L35" s="15">
        <v>1</v>
      </c>
      <c r="M35" s="15">
        <v>0</v>
      </c>
      <c r="N35" s="15">
        <v>0</v>
      </c>
      <c r="O35" s="15">
        <v>0</v>
      </c>
      <c r="P35" s="15">
        <v>0</v>
      </c>
      <c r="Q35" s="15">
        <v>0</v>
      </c>
      <c r="R35" s="15">
        <v>0</v>
      </c>
    </row>
    <row r="36" spans="1:18" x14ac:dyDescent="0.2">
      <c r="A36" s="15">
        <v>35</v>
      </c>
      <c r="B36" s="38">
        <v>1</v>
      </c>
      <c r="C36" s="15" t="s">
        <v>102</v>
      </c>
      <c r="D36" s="15"/>
      <c r="E36" s="15" t="s">
        <v>3082</v>
      </c>
      <c r="F36" s="15" t="s">
        <v>101</v>
      </c>
      <c r="G36" s="15" t="s">
        <v>103</v>
      </c>
      <c r="H36" s="15" t="s">
        <v>2945</v>
      </c>
      <c r="I36" s="15">
        <v>0</v>
      </c>
      <c r="J36" s="15">
        <v>-2</v>
      </c>
      <c r="K36" s="15">
        <v>1</v>
      </c>
      <c r="L36" s="15">
        <v>1</v>
      </c>
      <c r="M36" s="15">
        <v>0</v>
      </c>
      <c r="N36" s="15">
        <v>0</v>
      </c>
      <c r="O36" s="15">
        <v>0</v>
      </c>
      <c r="P36" s="15">
        <v>0</v>
      </c>
      <c r="Q36" s="15">
        <v>0</v>
      </c>
      <c r="R36" s="15">
        <v>0</v>
      </c>
    </row>
    <row r="37" spans="1:18" x14ac:dyDescent="0.2">
      <c r="A37" s="15">
        <v>36</v>
      </c>
      <c r="B37" s="38">
        <v>1</v>
      </c>
      <c r="C37" s="15" t="s">
        <v>105</v>
      </c>
      <c r="D37" s="15"/>
      <c r="E37" s="15" t="s">
        <v>3083</v>
      </c>
      <c r="F37" s="15" t="s">
        <v>104</v>
      </c>
      <c r="G37" s="15" t="s">
        <v>106</v>
      </c>
      <c r="H37" s="15" t="s">
        <v>2946</v>
      </c>
      <c r="I37" s="15">
        <v>0</v>
      </c>
      <c r="J37" s="15">
        <v>-3</v>
      </c>
      <c r="K37" s="15">
        <v>1</v>
      </c>
      <c r="L37" s="15">
        <v>1</v>
      </c>
      <c r="M37" s="15">
        <v>0</v>
      </c>
      <c r="N37" s="15">
        <v>0</v>
      </c>
      <c r="O37" s="15">
        <v>0</v>
      </c>
      <c r="P37" s="15">
        <v>0</v>
      </c>
      <c r="Q37" s="15">
        <v>0</v>
      </c>
      <c r="R37" s="15">
        <v>0</v>
      </c>
    </row>
    <row r="38" spans="1:18" x14ac:dyDescent="0.2">
      <c r="A38" s="15">
        <v>37</v>
      </c>
      <c r="B38" s="38">
        <v>1</v>
      </c>
      <c r="C38" s="15" t="s">
        <v>108</v>
      </c>
      <c r="D38" s="15">
        <v>2</v>
      </c>
      <c r="E38" s="15" t="s">
        <v>3084</v>
      </c>
      <c r="F38" s="15" t="s">
        <v>107</v>
      </c>
      <c r="G38" s="15" t="s">
        <v>109</v>
      </c>
      <c r="H38" s="15" t="s">
        <v>2947</v>
      </c>
      <c r="I38" s="15">
        <v>0</v>
      </c>
      <c r="J38" s="15">
        <v>0</v>
      </c>
      <c r="K38" s="15">
        <v>0</v>
      </c>
      <c r="L38" s="15">
        <v>0</v>
      </c>
      <c r="M38" s="15">
        <v>0</v>
      </c>
      <c r="N38" s="15">
        <v>0</v>
      </c>
      <c r="O38" s="15">
        <v>1</v>
      </c>
      <c r="P38" s="15">
        <v>0</v>
      </c>
      <c r="Q38" s="15">
        <v>0</v>
      </c>
      <c r="R38" s="15">
        <v>0</v>
      </c>
    </row>
    <row r="39" spans="1:18" x14ac:dyDescent="0.2">
      <c r="A39" s="15">
        <v>38</v>
      </c>
      <c r="B39" s="38">
        <v>1</v>
      </c>
      <c r="C39" s="15" t="s">
        <v>112</v>
      </c>
      <c r="D39" s="15"/>
      <c r="E39" s="15" t="s">
        <v>3085</v>
      </c>
      <c r="F39" s="15" t="s">
        <v>111</v>
      </c>
      <c r="G39" s="15" t="s">
        <v>113</v>
      </c>
      <c r="H39" s="15" t="s">
        <v>2948</v>
      </c>
      <c r="I39" s="15">
        <v>0</v>
      </c>
      <c r="J39" s="15">
        <v>-2</v>
      </c>
      <c r="K39" s="15">
        <v>0</v>
      </c>
      <c r="L39" s="15">
        <v>0</v>
      </c>
      <c r="M39" s="15">
        <v>0</v>
      </c>
      <c r="N39" s="15">
        <v>0</v>
      </c>
      <c r="O39" s="15">
        <v>1</v>
      </c>
      <c r="P39" s="15">
        <v>0</v>
      </c>
      <c r="Q39" s="15">
        <v>0</v>
      </c>
      <c r="R39" s="15">
        <v>0</v>
      </c>
    </row>
    <row r="40" spans="1:18" x14ac:dyDescent="0.2">
      <c r="A40" s="15">
        <v>39</v>
      </c>
      <c r="B40" s="38">
        <v>0</v>
      </c>
      <c r="C40" s="15" t="s">
        <v>115</v>
      </c>
      <c r="D40" s="15"/>
      <c r="E40" s="15" t="s">
        <v>3086</v>
      </c>
      <c r="F40" s="15" t="s">
        <v>114</v>
      </c>
      <c r="G40" s="15" t="s">
        <v>116</v>
      </c>
      <c r="H40" s="15" t="s">
        <v>2949</v>
      </c>
      <c r="I40" s="15"/>
      <c r="J40" s="15"/>
      <c r="K40" s="15"/>
      <c r="L40" s="15"/>
      <c r="M40" s="15"/>
      <c r="N40" s="15"/>
      <c r="O40" s="15"/>
      <c r="P40" s="15"/>
      <c r="Q40" s="15"/>
      <c r="R40" s="15"/>
    </row>
    <row r="41" spans="1:18" x14ac:dyDescent="0.2">
      <c r="A41" s="15">
        <v>40</v>
      </c>
      <c r="B41" s="38">
        <v>0</v>
      </c>
      <c r="C41" s="15" t="s">
        <v>119</v>
      </c>
      <c r="D41" s="15"/>
      <c r="E41" s="15" t="s">
        <v>3087</v>
      </c>
      <c r="F41" s="15" t="s">
        <v>118</v>
      </c>
      <c r="G41" s="15" t="s">
        <v>120</v>
      </c>
      <c r="H41" s="15" t="s">
        <v>2950</v>
      </c>
      <c r="I41" s="15"/>
      <c r="J41" s="15"/>
      <c r="K41" s="15"/>
      <c r="L41" s="15"/>
      <c r="M41" s="15"/>
      <c r="N41" s="15"/>
      <c r="O41" s="15"/>
      <c r="P41" s="15"/>
      <c r="Q41" s="15"/>
      <c r="R41" s="15"/>
    </row>
    <row r="42" spans="1:18" x14ac:dyDescent="0.2">
      <c r="A42" s="15">
        <v>41</v>
      </c>
      <c r="B42" s="38">
        <v>0</v>
      </c>
      <c r="C42" s="15" t="s">
        <v>122</v>
      </c>
      <c r="D42" s="15"/>
      <c r="E42" s="15" t="s">
        <v>3088</v>
      </c>
      <c r="F42" s="15" t="s">
        <v>121</v>
      </c>
      <c r="G42" s="15" t="s">
        <v>123</v>
      </c>
      <c r="H42" s="15" t="s">
        <v>2951</v>
      </c>
      <c r="I42" s="15"/>
      <c r="J42" s="15"/>
      <c r="K42" s="15"/>
      <c r="L42" s="15"/>
      <c r="M42" s="15"/>
      <c r="N42" s="15"/>
      <c r="O42" s="15"/>
      <c r="P42" s="15"/>
      <c r="Q42" s="15"/>
      <c r="R42" s="15"/>
    </row>
    <row r="43" spans="1:18" x14ac:dyDescent="0.2">
      <c r="A43" s="15">
        <v>42</v>
      </c>
      <c r="B43" s="38">
        <v>1</v>
      </c>
      <c r="C43" s="15" t="s">
        <v>125</v>
      </c>
      <c r="D43" s="15">
        <v>2</v>
      </c>
      <c r="E43" s="15" t="s">
        <v>3089</v>
      </c>
      <c r="F43" s="15" t="s">
        <v>124</v>
      </c>
      <c r="G43" s="15" t="s">
        <v>131</v>
      </c>
      <c r="H43" s="15" t="s">
        <v>2952</v>
      </c>
      <c r="I43" s="15">
        <v>0</v>
      </c>
      <c r="J43" s="15">
        <v>0</v>
      </c>
      <c r="K43" s="15">
        <v>0</v>
      </c>
      <c r="L43" s="15">
        <v>0</v>
      </c>
      <c r="M43" s="15">
        <v>0</v>
      </c>
      <c r="N43" s="15">
        <v>0</v>
      </c>
      <c r="O43" s="15">
        <v>0</v>
      </c>
      <c r="P43" s="15">
        <v>0</v>
      </c>
      <c r="Q43" s="15">
        <v>0</v>
      </c>
      <c r="R43" s="15">
        <v>0</v>
      </c>
    </row>
    <row r="44" spans="1:18" x14ac:dyDescent="0.2">
      <c r="A44" s="15">
        <v>43</v>
      </c>
      <c r="B44" s="38">
        <v>1</v>
      </c>
      <c r="C44" s="15" t="s">
        <v>126</v>
      </c>
      <c r="D44" s="15"/>
      <c r="E44" s="15" t="s">
        <v>3089</v>
      </c>
      <c r="F44" s="15" t="s">
        <v>124</v>
      </c>
      <c r="G44" s="15" t="s">
        <v>131</v>
      </c>
      <c r="H44" s="15" t="s">
        <v>2952</v>
      </c>
      <c r="I44" s="15">
        <v>0</v>
      </c>
      <c r="J44" s="15">
        <v>0</v>
      </c>
      <c r="K44" s="15">
        <v>0</v>
      </c>
      <c r="L44" s="15">
        <v>0</v>
      </c>
      <c r="M44" s="15">
        <v>0</v>
      </c>
      <c r="N44" s="15">
        <v>0</v>
      </c>
      <c r="O44" s="15">
        <v>0</v>
      </c>
      <c r="P44" s="15">
        <v>0</v>
      </c>
      <c r="Q44" s="15">
        <v>0</v>
      </c>
      <c r="R44" s="15">
        <v>0</v>
      </c>
    </row>
    <row r="45" spans="1:18" x14ac:dyDescent="0.2">
      <c r="A45" s="15">
        <v>44</v>
      </c>
      <c r="B45" s="38">
        <v>1</v>
      </c>
      <c r="C45" s="15" t="s">
        <v>127</v>
      </c>
      <c r="D45" s="15"/>
      <c r="E45" s="15" t="s">
        <v>3089</v>
      </c>
      <c r="F45" s="15" t="s">
        <v>124</v>
      </c>
      <c r="G45" s="15" t="s">
        <v>131</v>
      </c>
      <c r="H45" s="15" t="s">
        <v>2952</v>
      </c>
      <c r="I45" s="15">
        <v>0</v>
      </c>
      <c r="J45" s="15">
        <v>0</v>
      </c>
      <c r="K45" s="15">
        <v>0</v>
      </c>
      <c r="L45" s="15">
        <v>0</v>
      </c>
      <c r="M45" s="15">
        <v>0</v>
      </c>
      <c r="N45" s="15">
        <v>0</v>
      </c>
      <c r="O45" s="15">
        <v>0</v>
      </c>
      <c r="P45" s="15">
        <v>0</v>
      </c>
      <c r="Q45" s="15">
        <v>0</v>
      </c>
      <c r="R45" s="15">
        <v>0</v>
      </c>
    </row>
    <row r="46" spans="1:18" x14ac:dyDescent="0.2">
      <c r="A46" s="15">
        <v>45</v>
      </c>
      <c r="B46" s="38">
        <v>1</v>
      </c>
      <c r="C46" s="15" t="s">
        <v>128</v>
      </c>
      <c r="D46" s="15"/>
      <c r="E46" s="15" t="s">
        <v>3089</v>
      </c>
      <c r="F46" s="15" t="s">
        <v>124</v>
      </c>
      <c r="G46" s="15" t="s">
        <v>131</v>
      </c>
      <c r="H46" s="15" t="s">
        <v>2952</v>
      </c>
      <c r="I46" s="15">
        <v>0</v>
      </c>
      <c r="J46" s="15">
        <v>0</v>
      </c>
      <c r="K46" s="15">
        <v>0</v>
      </c>
      <c r="L46" s="15">
        <v>0</v>
      </c>
      <c r="M46" s="15">
        <v>0</v>
      </c>
      <c r="N46" s="15">
        <v>0</v>
      </c>
      <c r="O46" s="15">
        <v>0</v>
      </c>
      <c r="P46" s="15">
        <v>0</v>
      </c>
      <c r="Q46" s="15">
        <v>0</v>
      </c>
      <c r="R46" s="15">
        <v>0</v>
      </c>
    </row>
    <row r="47" spans="1:18" x14ac:dyDescent="0.2">
      <c r="A47" s="15">
        <v>46</v>
      </c>
      <c r="B47" s="38">
        <v>1</v>
      </c>
      <c r="C47" s="15" t="s">
        <v>129</v>
      </c>
      <c r="D47" s="15"/>
      <c r="E47" s="15" t="s">
        <v>3089</v>
      </c>
      <c r="F47" s="15" t="s">
        <v>124</v>
      </c>
      <c r="G47" s="15" t="s">
        <v>131</v>
      </c>
      <c r="H47" s="15" t="s">
        <v>2952</v>
      </c>
      <c r="I47" s="15">
        <v>0</v>
      </c>
      <c r="J47" s="15">
        <v>0</v>
      </c>
      <c r="K47" s="15">
        <v>0</v>
      </c>
      <c r="L47" s="15">
        <v>0</v>
      </c>
      <c r="M47" s="15">
        <v>0</v>
      </c>
      <c r="N47" s="15">
        <v>0</v>
      </c>
      <c r="O47" s="15">
        <v>0</v>
      </c>
      <c r="P47" s="15">
        <v>0</v>
      </c>
      <c r="Q47" s="15">
        <v>0</v>
      </c>
      <c r="R47" s="15">
        <v>0</v>
      </c>
    </row>
    <row r="48" spans="1:18" x14ac:dyDescent="0.2">
      <c r="A48" s="15">
        <v>47</v>
      </c>
      <c r="B48" s="38">
        <v>1</v>
      </c>
      <c r="C48" s="15" t="s">
        <v>130</v>
      </c>
      <c r="D48" s="15"/>
      <c r="E48" s="15" t="s">
        <v>3089</v>
      </c>
      <c r="F48" s="15" t="s">
        <v>124</v>
      </c>
      <c r="G48" s="15" t="s">
        <v>131</v>
      </c>
      <c r="H48" s="15" t="s">
        <v>2952</v>
      </c>
      <c r="I48" s="15">
        <v>0</v>
      </c>
      <c r="J48" s="15">
        <v>0</v>
      </c>
      <c r="K48" s="15">
        <v>0</v>
      </c>
      <c r="L48" s="15">
        <v>0</v>
      </c>
      <c r="M48" s="15">
        <v>0</v>
      </c>
      <c r="N48" s="15">
        <v>0</v>
      </c>
      <c r="O48" s="15">
        <v>0</v>
      </c>
      <c r="P48" s="15">
        <v>0</v>
      </c>
      <c r="Q48" s="15">
        <v>0</v>
      </c>
      <c r="R48" s="15">
        <v>0</v>
      </c>
    </row>
    <row r="49" spans="1:18" x14ac:dyDescent="0.2">
      <c r="A49" s="15">
        <v>48</v>
      </c>
      <c r="B49" s="38">
        <v>1</v>
      </c>
      <c r="C49" s="15" t="s">
        <v>134</v>
      </c>
      <c r="D49" s="15"/>
      <c r="E49" s="15" t="s">
        <v>3090</v>
      </c>
      <c r="F49" s="15" t="s">
        <v>133</v>
      </c>
      <c r="G49" s="15" t="s">
        <v>135</v>
      </c>
      <c r="H49" s="15" t="s">
        <v>2953</v>
      </c>
      <c r="I49" s="15">
        <v>-1</v>
      </c>
      <c r="J49" s="15">
        <v>-2</v>
      </c>
      <c r="K49" s="15">
        <v>4</v>
      </c>
      <c r="L49" s="15">
        <v>2</v>
      </c>
      <c r="M49" s="15">
        <v>0</v>
      </c>
      <c r="N49" s="15">
        <v>0</v>
      </c>
      <c r="O49" s="15">
        <v>0</v>
      </c>
      <c r="P49" s="15">
        <v>0</v>
      </c>
      <c r="Q49" s="15">
        <v>0</v>
      </c>
      <c r="R49" s="15">
        <v>0</v>
      </c>
    </row>
    <row r="50" spans="1:18" x14ac:dyDescent="0.2">
      <c r="A50" s="15">
        <v>49</v>
      </c>
      <c r="B50" s="38">
        <v>1</v>
      </c>
      <c r="C50" s="15" t="s">
        <v>138</v>
      </c>
      <c r="D50" s="15"/>
      <c r="E50" s="15" t="s">
        <v>3091</v>
      </c>
      <c r="F50" s="15" t="s">
        <v>137</v>
      </c>
      <c r="G50" s="15" t="s">
        <v>139</v>
      </c>
      <c r="H50" s="15" t="s">
        <v>2954</v>
      </c>
      <c r="I50" s="15">
        <v>-1</v>
      </c>
      <c r="J50" s="15">
        <v>-3</v>
      </c>
      <c r="K50" s="15">
        <v>4</v>
      </c>
      <c r="L50" s="15">
        <v>2</v>
      </c>
      <c r="M50" s="15">
        <v>0</v>
      </c>
      <c r="N50" s="15">
        <v>0</v>
      </c>
      <c r="O50" s="15">
        <v>0</v>
      </c>
      <c r="P50" s="15">
        <v>0</v>
      </c>
      <c r="Q50" s="15">
        <v>0</v>
      </c>
      <c r="R50" s="15">
        <v>0</v>
      </c>
    </row>
    <row r="51" spans="1:18" x14ac:dyDescent="0.2">
      <c r="A51" s="15">
        <v>50</v>
      </c>
      <c r="B51" s="38">
        <v>0</v>
      </c>
      <c r="C51" s="15" t="s">
        <v>144</v>
      </c>
      <c r="D51" s="15"/>
      <c r="E51" s="15" t="s">
        <v>3092</v>
      </c>
      <c r="F51" s="15" t="s">
        <v>143</v>
      </c>
      <c r="G51" s="15" t="s">
        <v>145</v>
      </c>
      <c r="H51" s="15" t="s">
        <v>2955</v>
      </c>
      <c r="I51" s="15"/>
      <c r="J51" s="15"/>
      <c r="K51" s="15"/>
      <c r="L51" s="15"/>
      <c r="M51" s="15"/>
      <c r="N51" s="15"/>
      <c r="O51" s="15"/>
      <c r="P51" s="15"/>
      <c r="Q51" s="15"/>
      <c r="R51" s="15"/>
    </row>
    <row r="52" spans="1:18" x14ac:dyDescent="0.2">
      <c r="A52" s="15">
        <v>51</v>
      </c>
      <c r="B52" s="38">
        <v>1</v>
      </c>
      <c r="C52" s="15" t="s">
        <v>148</v>
      </c>
      <c r="D52" s="15"/>
      <c r="E52" s="15" t="s">
        <v>3093</v>
      </c>
      <c r="F52" s="15" t="s">
        <v>147</v>
      </c>
      <c r="G52" s="15" t="s">
        <v>149</v>
      </c>
      <c r="H52" s="15" t="s">
        <v>2956</v>
      </c>
      <c r="I52" s="15">
        <v>0</v>
      </c>
      <c r="J52" s="15">
        <v>2</v>
      </c>
      <c r="K52" s="15">
        <v>-2</v>
      </c>
      <c r="L52" s="15">
        <v>0</v>
      </c>
      <c r="M52" s="15">
        <v>0</v>
      </c>
      <c r="N52" s="15">
        <v>0</v>
      </c>
      <c r="O52" s="15">
        <v>0</v>
      </c>
      <c r="P52" s="15">
        <v>0</v>
      </c>
      <c r="Q52" s="15">
        <v>0</v>
      </c>
      <c r="R52" s="15">
        <v>0</v>
      </c>
    </row>
    <row r="53" spans="1:18" x14ac:dyDescent="0.2">
      <c r="A53" s="15">
        <v>52</v>
      </c>
      <c r="B53" s="38">
        <v>1</v>
      </c>
      <c r="C53" s="15" t="s">
        <v>152</v>
      </c>
      <c r="D53" s="15"/>
      <c r="E53" s="15" t="s">
        <v>3094</v>
      </c>
      <c r="F53" s="15" t="s">
        <v>151</v>
      </c>
      <c r="G53" s="15" t="s">
        <v>154</v>
      </c>
      <c r="H53" s="15" t="s">
        <v>2957</v>
      </c>
      <c r="I53" s="15">
        <v>0</v>
      </c>
      <c r="J53" s="15">
        <v>0</v>
      </c>
      <c r="K53" s="15">
        <v>1</v>
      </c>
      <c r="L53" s="15">
        <v>0</v>
      </c>
      <c r="M53" s="15">
        <v>0</v>
      </c>
      <c r="N53" s="15">
        <v>0</v>
      </c>
      <c r="O53" s="15">
        <v>0</v>
      </c>
      <c r="P53" s="15">
        <v>0</v>
      </c>
      <c r="Q53" s="15">
        <v>0</v>
      </c>
      <c r="R53" s="15">
        <v>0</v>
      </c>
    </row>
    <row r="54" spans="1:18" x14ac:dyDescent="0.2">
      <c r="A54" s="15">
        <v>53</v>
      </c>
      <c r="B54" s="38">
        <v>1</v>
      </c>
      <c r="C54" s="15" t="s">
        <v>153</v>
      </c>
      <c r="D54" s="15"/>
      <c r="E54" s="15" t="s">
        <v>3094</v>
      </c>
      <c r="F54" s="15" t="s">
        <v>151</v>
      </c>
      <c r="G54" s="15" t="s">
        <v>154</v>
      </c>
      <c r="H54" s="15" t="s">
        <v>2957</v>
      </c>
      <c r="I54" s="15">
        <v>0</v>
      </c>
      <c r="J54" s="15">
        <v>0</v>
      </c>
      <c r="K54" s="15">
        <v>1</v>
      </c>
      <c r="L54" s="15">
        <v>0</v>
      </c>
      <c r="M54" s="15">
        <v>0</v>
      </c>
      <c r="N54" s="15">
        <v>0</v>
      </c>
      <c r="O54" s="15">
        <v>0</v>
      </c>
      <c r="P54" s="15">
        <v>0</v>
      </c>
      <c r="Q54" s="15">
        <v>0</v>
      </c>
      <c r="R54" s="15">
        <v>0</v>
      </c>
    </row>
    <row r="55" spans="1:18" x14ac:dyDescent="0.2">
      <c r="A55" s="15">
        <v>54</v>
      </c>
      <c r="B55" s="38">
        <v>1</v>
      </c>
      <c r="C55" s="15" t="s">
        <v>157</v>
      </c>
      <c r="D55" s="15"/>
      <c r="E55" s="15" t="s">
        <v>3095</v>
      </c>
      <c r="F55" s="15" t="s">
        <v>156</v>
      </c>
      <c r="G55" s="15" t="s">
        <v>158</v>
      </c>
      <c r="H55" s="15" t="s">
        <v>2958</v>
      </c>
      <c r="I55" s="15">
        <v>0</v>
      </c>
      <c r="J55" s="15">
        <v>-1</v>
      </c>
      <c r="K55" s="15">
        <v>1</v>
      </c>
      <c r="L55" s="15">
        <v>0</v>
      </c>
      <c r="M55" s="15">
        <v>0</v>
      </c>
      <c r="N55" s="15">
        <v>0</v>
      </c>
      <c r="O55" s="15">
        <v>0</v>
      </c>
      <c r="P55" s="15">
        <v>0</v>
      </c>
      <c r="Q55" s="15">
        <v>0</v>
      </c>
      <c r="R55" s="15">
        <v>0</v>
      </c>
    </row>
    <row r="56" spans="1:18" x14ac:dyDescent="0.2">
      <c r="A56" s="15">
        <v>55</v>
      </c>
      <c r="B56" s="38">
        <v>1</v>
      </c>
      <c r="C56" s="15" t="s">
        <v>37</v>
      </c>
      <c r="D56" s="15"/>
      <c r="E56" s="15" t="s">
        <v>3096</v>
      </c>
      <c r="F56" s="15" t="s">
        <v>159</v>
      </c>
      <c r="G56" s="15" t="s">
        <v>160</v>
      </c>
      <c r="H56" s="15" t="s">
        <v>2959</v>
      </c>
      <c r="I56" s="15">
        <v>0</v>
      </c>
      <c r="J56" s="15">
        <v>0</v>
      </c>
      <c r="K56" s="15">
        <v>-1</v>
      </c>
      <c r="L56" s="15">
        <v>0</v>
      </c>
      <c r="M56" s="15">
        <v>0</v>
      </c>
      <c r="N56" s="15">
        <v>0</v>
      </c>
      <c r="O56" s="15">
        <v>0</v>
      </c>
      <c r="P56" s="15">
        <v>0</v>
      </c>
      <c r="Q56" s="15">
        <v>0</v>
      </c>
      <c r="R56" s="15">
        <v>0</v>
      </c>
    </row>
    <row r="57" spans="1:18" x14ac:dyDescent="0.2">
      <c r="A57" s="15">
        <v>56</v>
      </c>
      <c r="B57" s="38">
        <v>1</v>
      </c>
      <c r="C57" s="15" t="s">
        <v>163</v>
      </c>
      <c r="D57" s="15"/>
      <c r="E57" s="15" t="s">
        <v>3097</v>
      </c>
      <c r="F57" s="15" t="s">
        <v>162</v>
      </c>
      <c r="G57" s="15" t="s">
        <v>168</v>
      </c>
      <c r="H57" s="15" t="s">
        <v>2960</v>
      </c>
      <c r="I57" s="15">
        <v>1</v>
      </c>
      <c r="J57" s="15">
        <v>2</v>
      </c>
      <c r="K57" s="15">
        <v>-2</v>
      </c>
      <c r="L57" s="15">
        <v>0</v>
      </c>
      <c r="M57" s="15">
        <v>0</v>
      </c>
      <c r="N57" s="15">
        <v>0</v>
      </c>
      <c r="O57" s="15">
        <v>0</v>
      </c>
      <c r="P57" s="15">
        <v>0</v>
      </c>
      <c r="Q57" s="15">
        <v>0</v>
      </c>
      <c r="R57" s="15">
        <v>0</v>
      </c>
    </row>
    <row r="58" spans="1:18" x14ac:dyDescent="0.2">
      <c r="A58" s="15">
        <v>57</v>
      </c>
      <c r="B58" s="38">
        <v>1</v>
      </c>
      <c r="C58" s="15" t="s">
        <v>164</v>
      </c>
      <c r="D58" s="15"/>
      <c r="E58" s="15" t="s">
        <v>3097</v>
      </c>
      <c r="F58" s="15" t="s">
        <v>162</v>
      </c>
      <c r="G58" s="15" t="s">
        <v>168</v>
      </c>
      <c r="H58" s="15" t="s">
        <v>2960</v>
      </c>
      <c r="I58" s="15">
        <v>1</v>
      </c>
      <c r="J58" s="15">
        <v>2</v>
      </c>
      <c r="K58" s="15">
        <v>-2</v>
      </c>
      <c r="L58" s="15">
        <v>0</v>
      </c>
      <c r="M58" s="15">
        <v>0</v>
      </c>
      <c r="N58" s="15">
        <v>0</v>
      </c>
      <c r="O58" s="15">
        <v>0</v>
      </c>
      <c r="P58" s="15">
        <v>0</v>
      </c>
      <c r="Q58" s="15">
        <v>0</v>
      </c>
      <c r="R58" s="15">
        <v>0</v>
      </c>
    </row>
    <row r="59" spans="1:18" x14ac:dyDescent="0.2">
      <c r="A59" s="15">
        <v>58</v>
      </c>
      <c r="B59" s="38">
        <v>1</v>
      </c>
      <c r="C59" s="15" t="s">
        <v>165</v>
      </c>
      <c r="D59" s="15"/>
      <c r="E59" s="15" t="s">
        <v>3097</v>
      </c>
      <c r="F59" s="15" t="s">
        <v>162</v>
      </c>
      <c r="G59" s="15" t="s">
        <v>168</v>
      </c>
      <c r="H59" s="15" t="s">
        <v>2960</v>
      </c>
      <c r="I59" s="15">
        <v>1</v>
      </c>
      <c r="J59" s="15">
        <v>2</v>
      </c>
      <c r="K59" s="15">
        <v>-2</v>
      </c>
      <c r="L59" s="15">
        <v>0</v>
      </c>
      <c r="M59" s="15">
        <v>0</v>
      </c>
      <c r="N59" s="15">
        <v>0</v>
      </c>
      <c r="O59" s="15">
        <v>0</v>
      </c>
      <c r="P59" s="15">
        <v>0</v>
      </c>
      <c r="Q59" s="15">
        <v>0</v>
      </c>
      <c r="R59" s="15">
        <v>0</v>
      </c>
    </row>
    <row r="60" spans="1:18" x14ac:dyDescent="0.2">
      <c r="A60" s="15">
        <v>59</v>
      </c>
      <c r="B60" s="38">
        <v>1</v>
      </c>
      <c r="C60" s="15" t="s">
        <v>166</v>
      </c>
      <c r="D60" s="15">
        <v>2</v>
      </c>
      <c r="E60" s="15" t="s">
        <v>3097</v>
      </c>
      <c r="F60" s="15" t="s">
        <v>162</v>
      </c>
      <c r="G60" s="15" t="s">
        <v>168</v>
      </c>
      <c r="H60" s="15" t="s">
        <v>2960</v>
      </c>
      <c r="I60" s="15">
        <v>1</v>
      </c>
      <c r="J60" s="15">
        <v>2</v>
      </c>
      <c r="K60" s="15">
        <v>-2</v>
      </c>
      <c r="L60" s="15">
        <v>0</v>
      </c>
      <c r="M60" s="15">
        <v>0</v>
      </c>
      <c r="N60" s="15">
        <v>0</v>
      </c>
      <c r="O60" s="15">
        <v>0</v>
      </c>
      <c r="P60" s="15">
        <v>0</v>
      </c>
      <c r="Q60" s="15">
        <v>0</v>
      </c>
      <c r="R60" s="15">
        <v>0</v>
      </c>
    </row>
    <row r="61" spans="1:18" x14ac:dyDescent="0.2">
      <c r="A61" s="15">
        <v>60</v>
      </c>
      <c r="B61" s="38">
        <v>1</v>
      </c>
      <c r="C61" s="15" t="s">
        <v>167</v>
      </c>
      <c r="D61" s="15">
        <v>2</v>
      </c>
      <c r="E61" s="15" t="s">
        <v>3097</v>
      </c>
      <c r="F61" s="15" t="s">
        <v>162</v>
      </c>
      <c r="G61" s="15" t="s">
        <v>168</v>
      </c>
      <c r="H61" s="15" t="s">
        <v>2960</v>
      </c>
      <c r="I61" s="15">
        <v>1</v>
      </c>
      <c r="J61" s="15">
        <v>2</v>
      </c>
      <c r="K61" s="15">
        <v>-2</v>
      </c>
      <c r="L61" s="15">
        <v>0</v>
      </c>
      <c r="M61" s="15">
        <v>0</v>
      </c>
      <c r="N61" s="15">
        <v>0</v>
      </c>
      <c r="O61" s="15">
        <v>0</v>
      </c>
      <c r="P61" s="15">
        <v>0</v>
      </c>
      <c r="Q61" s="15">
        <v>0</v>
      </c>
      <c r="R61" s="15">
        <v>0</v>
      </c>
    </row>
    <row r="62" spans="1:18" x14ac:dyDescent="0.2">
      <c r="A62" s="15">
        <v>61</v>
      </c>
      <c r="B62" s="38">
        <v>1</v>
      </c>
      <c r="C62" s="15" t="s">
        <v>171</v>
      </c>
      <c r="D62" s="15">
        <v>2</v>
      </c>
      <c r="E62" s="15" t="s">
        <v>3098</v>
      </c>
      <c r="F62" s="15" t="s">
        <v>170</v>
      </c>
      <c r="G62" s="15" t="s">
        <v>172</v>
      </c>
      <c r="H62" s="15" t="s">
        <v>2961</v>
      </c>
      <c r="I62" s="15">
        <v>1</v>
      </c>
      <c r="J62" s="15">
        <v>2</v>
      </c>
      <c r="K62" s="15">
        <v>-2</v>
      </c>
      <c r="L62" s="15">
        <v>0</v>
      </c>
      <c r="M62" s="15">
        <v>-1</v>
      </c>
      <c r="N62" s="15">
        <v>0</v>
      </c>
      <c r="O62" s="15">
        <v>0</v>
      </c>
      <c r="P62" s="15">
        <v>0</v>
      </c>
      <c r="Q62" s="15">
        <v>0</v>
      </c>
      <c r="R62" s="15">
        <v>0</v>
      </c>
    </row>
    <row r="63" spans="1:18" x14ac:dyDescent="0.2">
      <c r="A63" s="15">
        <v>62</v>
      </c>
      <c r="B63" s="38">
        <v>1</v>
      </c>
      <c r="C63" s="15" t="s">
        <v>174</v>
      </c>
      <c r="D63" s="15">
        <v>2</v>
      </c>
      <c r="E63" s="15" t="s">
        <v>3099</v>
      </c>
      <c r="F63" s="15" t="s">
        <v>173</v>
      </c>
      <c r="G63" s="15" t="s">
        <v>175</v>
      </c>
      <c r="H63" s="15" t="s">
        <v>2962</v>
      </c>
      <c r="I63" s="15">
        <v>0</v>
      </c>
      <c r="J63" s="15">
        <v>2</v>
      </c>
      <c r="K63" s="15">
        <v>-2</v>
      </c>
      <c r="L63" s="15">
        <v>0</v>
      </c>
      <c r="M63" s="15">
        <v>0</v>
      </c>
      <c r="N63" s="15">
        <v>0</v>
      </c>
      <c r="O63" s="15">
        <v>0</v>
      </c>
      <c r="P63" s="15">
        <v>0</v>
      </c>
      <c r="Q63" s="15">
        <v>0</v>
      </c>
      <c r="R63" s="15">
        <v>0</v>
      </c>
    </row>
    <row r="64" spans="1:18" x14ac:dyDescent="0.2">
      <c r="A64" s="15">
        <v>63</v>
      </c>
      <c r="B64" s="38">
        <v>1</v>
      </c>
      <c r="C64" s="15" t="s">
        <v>177</v>
      </c>
      <c r="D64" s="15">
        <v>2</v>
      </c>
      <c r="E64" s="15" t="s">
        <v>3100</v>
      </c>
      <c r="F64" s="15" t="s">
        <v>176</v>
      </c>
      <c r="G64" s="15" t="s">
        <v>179</v>
      </c>
      <c r="H64" s="15" t="s">
        <v>2963</v>
      </c>
      <c r="I64" s="15">
        <v>0</v>
      </c>
      <c r="J64" s="15">
        <v>2</v>
      </c>
      <c r="K64" s="15">
        <v>-2</v>
      </c>
      <c r="L64" s="15">
        <v>0</v>
      </c>
      <c r="M64" s="15">
        <v>-1</v>
      </c>
      <c r="N64" s="15">
        <v>0</v>
      </c>
      <c r="O64" s="15">
        <v>0</v>
      </c>
      <c r="P64" s="15">
        <v>0</v>
      </c>
      <c r="Q64" s="15">
        <v>0</v>
      </c>
      <c r="R64" s="15">
        <v>0</v>
      </c>
    </row>
    <row r="65" spans="1:18" x14ac:dyDescent="0.2">
      <c r="A65" s="15">
        <v>64</v>
      </c>
      <c r="B65" s="38">
        <v>1</v>
      </c>
      <c r="C65" s="15" t="s">
        <v>178</v>
      </c>
      <c r="D65" s="15">
        <v>2</v>
      </c>
      <c r="E65" s="15" t="s">
        <v>3100</v>
      </c>
      <c r="F65" s="15" t="s">
        <v>176</v>
      </c>
      <c r="G65" s="15" t="s">
        <v>179</v>
      </c>
      <c r="H65" s="15" t="s">
        <v>2963</v>
      </c>
      <c r="I65" s="15">
        <v>0</v>
      </c>
      <c r="J65" s="15">
        <v>2</v>
      </c>
      <c r="K65" s="15">
        <v>-2</v>
      </c>
      <c r="L65" s="15">
        <v>0</v>
      </c>
      <c r="M65" s="15">
        <v>-1</v>
      </c>
      <c r="N65" s="15">
        <v>0</v>
      </c>
      <c r="O65" s="15">
        <v>0</v>
      </c>
      <c r="P65" s="15">
        <v>0</v>
      </c>
      <c r="Q65" s="15">
        <v>0</v>
      </c>
      <c r="R65" s="15">
        <v>0</v>
      </c>
    </row>
    <row r="66" spans="1:18" x14ac:dyDescent="0.2">
      <c r="A66" s="15">
        <v>65</v>
      </c>
      <c r="B66" s="38">
        <v>1</v>
      </c>
      <c r="C66" s="15" t="s">
        <v>181</v>
      </c>
      <c r="D66" s="15"/>
      <c r="E66" s="15" t="s">
        <v>3101</v>
      </c>
      <c r="F66" s="15" t="s">
        <v>180</v>
      </c>
      <c r="G66" s="15" t="s">
        <v>190</v>
      </c>
      <c r="H66" s="15" t="s">
        <v>2964</v>
      </c>
      <c r="I66" s="15">
        <v>1</v>
      </c>
      <c r="J66" s="15">
        <v>-1</v>
      </c>
      <c r="K66" s="15">
        <v>-2</v>
      </c>
      <c r="L66" s="15">
        <v>0</v>
      </c>
      <c r="M66" s="15">
        <v>0</v>
      </c>
      <c r="N66" s="15">
        <v>0</v>
      </c>
      <c r="O66" s="15">
        <v>0</v>
      </c>
      <c r="P66" s="15">
        <v>0</v>
      </c>
      <c r="Q66" s="15">
        <v>0</v>
      </c>
      <c r="R66" s="15">
        <v>0</v>
      </c>
    </row>
    <row r="67" spans="1:18" x14ac:dyDescent="0.2">
      <c r="A67" s="15">
        <v>66</v>
      </c>
      <c r="B67" s="38">
        <v>1</v>
      </c>
      <c r="C67" s="15" t="s">
        <v>182</v>
      </c>
      <c r="D67" s="15"/>
      <c r="E67" s="15" t="s">
        <v>3101</v>
      </c>
      <c r="F67" s="15" t="s">
        <v>180</v>
      </c>
      <c r="G67" s="15" t="s">
        <v>190</v>
      </c>
      <c r="H67" s="15" t="s">
        <v>2964</v>
      </c>
      <c r="I67" s="15">
        <v>1</v>
      </c>
      <c r="J67" s="15">
        <v>-1</v>
      </c>
      <c r="K67" s="15">
        <v>-2</v>
      </c>
      <c r="L67" s="15">
        <v>0</v>
      </c>
      <c r="M67" s="15">
        <v>0</v>
      </c>
      <c r="N67" s="15">
        <v>0</v>
      </c>
      <c r="O67" s="15">
        <v>0</v>
      </c>
      <c r="P67" s="15">
        <v>0</v>
      </c>
      <c r="Q67" s="15">
        <v>0</v>
      </c>
      <c r="R67" s="15">
        <v>0</v>
      </c>
    </row>
    <row r="68" spans="1:18" x14ac:dyDescent="0.2">
      <c r="A68" s="15">
        <v>67</v>
      </c>
      <c r="B68" s="38">
        <v>1</v>
      </c>
      <c r="C68" s="15" t="s">
        <v>183</v>
      </c>
      <c r="D68" s="15"/>
      <c r="E68" s="15" t="s">
        <v>3101</v>
      </c>
      <c r="F68" s="15" t="s">
        <v>180</v>
      </c>
      <c r="G68" s="15" t="s">
        <v>190</v>
      </c>
      <c r="H68" s="15" t="s">
        <v>2964</v>
      </c>
      <c r="I68" s="15">
        <v>1</v>
      </c>
      <c r="J68" s="15">
        <v>-1</v>
      </c>
      <c r="K68" s="15">
        <v>-2</v>
      </c>
      <c r="L68" s="15">
        <v>0</v>
      </c>
      <c r="M68" s="15">
        <v>0</v>
      </c>
      <c r="N68" s="15">
        <v>0</v>
      </c>
      <c r="O68" s="15">
        <v>0</v>
      </c>
      <c r="P68" s="15">
        <v>0</v>
      </c>
      <c r="Q68" s="15">
        <v>0</v>
      </c>
      <c r="R68" s="15">
        <v>0</v>
      </c>
    </row>
    <row r="69" spans="1:18" x14ac:dyDescent="0.2">
      <c r="A69" s="15">
        <v>68</v>
      </c>
      <c r="B69" s="38">
        <v>1</v>
      </c>
      <c r="C69" s="15" t="s">
        <v>184</v>
      </c>
      <c r="D69" s="15"/>
      <c r="E69" s="15" t="s">
        <v>3101</v>
      </c>
      <c r="F69" s="15" t="s">
        <v>180</v>
      </c>
      <c r="G69" s="15" t="s">
        <v>190</v>
      </c>
      <c r="H69" s="15" t="s">
        <v>2964</v>
      </c>
      <c r="I69" s="15">
        <v>1</v>
      </c>
      <c r="J69" s="15">
        <v>-1</v>
      </c>
      <c r="K69" s="15">
        <v>-2</v>
      </c>
      <c r="L69" s="15">
        <v>0</v>
      </c>
      <c r="M69" s="15">
        <v>0</v>
      </c>
      <c r="N69" s="15">
        <v>0</v>
      </c>
      <c r="O69" s="15">
        <v>0</v>
      </c>
      <c r="P69" s="15">
        <v>0</v>
      </c>
      <c r="Q69" s="15">
        <v>0</v>
      </c>
      <c r="R69" s="15">
        <v>0</v>
      </c>
    </row>
    <row r="70" spans="1:18" x14ac:dyDescent="0.2">
      <c r="A70" s="15">
        <v>69</v>
      </c>
      <c r="B70" s="38">
        <v>1</v>
      </c>
      <c r="C70" s="15" t="s">
        <v>185</v>
      </c>
      <c r="D70" s="15"/>
      <c r="E70" s="15" t="s">
        <v>3101</v>
      </c>
      <c r="F70" s="15" t="s">
        <v>180</v>
      </c>
      <c r="G70" s="15" t="s">
        <v>190</v>
      </c>
      <c r="H70" s="15" t="s">
        <v>2964</v>
      </c>
      <c r="I70" s="15">
        <v>1</v>
      </c>
      <c r="J70" s="15">
        <v>-1</v>
      </c>
      <c r="K70" s="15">
        <v>-2</v>
      </c>
      <c r="L70" s="15">
        <v>0</v>
      </c>
      <c r="M70" s="15">
        <v>0</v>
      </c>
      <c r="N70" s="15">
        <v>0</v>
      </c>
      <c r="O70" s="15">
        <v>0</v>
      </c>
      <c r="P70" s="15">
        <v>0</v>
      </c>
      <c r="Q70" s="15">
        <v>0</v>
      </c>
      <c r="R70" s="15">
        <v>0</v>
      </c>
    </row>
    <row r="71" spans="1:18" x14ac:dyDescent="0.2">
      <c r="A71" s="15">
        <v>70</v>
      </c>
      <c r="B71" s="38">
        <v>1</v>
      </c>
      <c r="C71" s="15" t="s">
        <v>186</v>
      </c>
      <c r="D71" s="15"/>
      <c r="E71" s="15" t="s">
        <v>3101</v>
      </c>
      <c r="F71" s="15" t="s">
        <v>180</v>
      </c>
      <c r="G71" s="15" t="s">
        <v>190</v>
      </c>
      <c r="H71" s="15" t="s">
        <v>2964</v>
      </c>
      <c r="I71" s="15">
        <v>1</v>
      </c>
      <c r="J71" s="15">
        <v>-1</v>
      </c>
      <c r="K71" s="15">
        <v>-2</v>
      </c>
      <c r="L71" s="15">
        <v>0</v>
      </c>
      <c r="M71" s="15">
        <v>0</v>
      </c>
      <c r="N71" s="15">
        <v>0</v>
      </c>
      <c r="O71" s="15">
        <v>0</v>
      </c>
      <c r="P71" s="15">
        <v>0</v>
      </c>
      <c r="Q71" s="15">
        <v>0</v>
      </c>
      <c r="R71" s="15">
        <v>0</v>
      </c>
    </row>
    <row r="72" spans="1:18" x14ac:dyDescent="0.2">
      <c r="A72" s="15">
        <v>71</v>
      </c>
      <c r="B72" s="38">
        <v>1</v>
      </c>
      <c r="C72" s="15" t="s">
        <v>187</v>
      </c>
      <c r="D72" s="15"/>
      <c r="E72" s="15" t="s">
        <v>3101</v>
      </c>
      <c r="F72" s="15" t="s">
        <v>180</v>
      </c>
      <c r="G72" s="15" t="s">
        <v>190</v>
      </c>
      <c r="H72" s="15" t="s">
        <v>2964</v>
      </c>
      <c r="I72" s="15">
        <v>1</v>
      </c>
      <c r="J72" s="15">
        <v>-1</v>
      </c>
      <c r="K72" s="15">
        <v>-2</v>
      </c>
      <c r="L72" s="15">
        <v>0</v>
      </c>
      <c r="M72" s="15">
        <v>0</v>
      </c>
      <c r="N72" s="15">
        <v>0</v>
      </c>
      <c r="O72" s="15">
        <v>0</v>
      </c>
      <c r="P72" s="15">
        <v>0</v>
      </c>
      <c r="Q72" s="15">
        <v>0</v>
      </c>
      <c r="R72" s="15">
        <v>0</v>
      </c>
    </row>
    <row r="73" spans="1:18" x14ac:dyDescent="0.2">
      <c r="A73" s="15">
        <v>72</v>
      </c>
      <c r="B73" s="38">
        <v>1</v>
      </c>
      <c r="C73" s="15" t="s">
        <v>188</v>
      </c>
      <c r="D73" s="15"/>
      <c r="E73" s="15" t="s">
        <v>3101</v>
      </c>
      <c r="F73" s="15" t="s">
        <v>180</v>
      </c>
      <c r="G73" s="15" t="s">
        <v>190</v>
      </c>
      <c r="H73" s="15" t="s">
        <v>2964</v>
      </c>
      <c r="I73" s="15">
        <v>1</v>
      </c>
      <c r="J73" s="15">
        <v>-1</v>
      </c>
      <c r="K73" s="15">
        <v>-2</v>
      </c>
      <c r="L73" s="15">
        <v>0</v>
      </c>
      <c r="M73" s="15">
        <v>0</v>
      </c>
      <c r="N73" s="15">
        <v>0</v>
      </c>
      <c r="O73" s="15">
        <v>0</v>
      </c>
      <c r="P73" s="15">
        <v>0</v>
      </c>
      <c r="Q73" s="15">
        <v>0</v>
      </c>
      <c r="R73" s="15">
        <v>0</v>
      </c>
    </row>
    <row r="74" spans="1:18" x14ac:dyDescent="0.2">
      <c r="A74" s="15">
        <v>73</v>
      </c>
      <c r="B74" s="38">
        <v>1</v>
      </c>
      <c r="C74" s="15" t="s">
        <v>189</v>
      </c>
      <c r="D74" s="15"/>
      <c r="E74" s="15" t="s">
        <v>3101</v>
      </c>
      <c r="F74" s="15" t="s">
        <v>180</v>
      </c>
      <c r="G74" s="15" t="s">
        <v>190</v>
      </c>
      <c r="H74" s="15" t="s">
        <v>2964</v>
      </c>
      <c r="I74" s="15">
        <v>1</v>
      </c>
      <c r="J74" s="15">
        <v>-1</v>
      </c>
      <c r="K74" s="15">
        <v>-2</v>
      </c>
      <c r="L74" s="15">
        <v>0</v>
      </c>
      <c r="M74" s="15">
        <v>0</v>
      </c>
      <c r="N74" s="15">
        <v>0</v>
      </c>
      <c r="O74" s="15">
        <v>0</v>
      </c>
      <c r="P74" s="15">
        <v>0</v>
      </c>
      <c r="Q74" s="15">
        <v>0</v>
      </c>
      <c r="R74" s="15">
        <v>0</v>
      </c>
    </row>
    <row r="75" spans="1:18" x14ac:dyDescent="0.2">
      <c r="A75" s="15">
        <v>74</v>
      </c>
      <c r="B75" s="38">
        <v>1</v>
      </c>
      <c r="C75" s="15" t="s">
        <v>192</v>
      </c>
      <c r="D75" s="15"/>
      <c r="E75" s="15" t="s">
        <v>3102</v>
      </c>
      <c r="F75" s="15" t="s">
        <v>191</v>
      </c>
      <c r="G75" s="15" t="s">
        <v>195</v>
      </c>
      <c r="H75" s="15" t="s">
        <v>2965</v>
      </c>
      <c r="I75" s="15">
        <v>1</v>
      </c>
      <c r="J75" s="15">
        <v>2</v>
      </c>
      <c r="K75" s="15">
        <v>-2</v>
      </c>
      <c r="L75" s="15">
        <v>0</v>
      </c>
      <c r="M75" s="15">
        <v>0</v>
      </c>
      <c r="N75" s="15">
        <v>-1</v>
      </c>
      <c r="O75" s="15">
        <v>0</v>
      </c>
      <c r="P75" s="15">
        <v>0</v>
      </c>
      <c r="Q75" s="15">
        <v>0</v>
      </c>
      <c r="R75" s="15">
        <v>0</v>
      </c>
    </row>
    <row r="76" spans="1:18" x14ac:dyDescent="0.2">
      <c r="A76" s="15">
        <v>75</v>
      </c>
      <c r="B76" s="38">
        <v>1</v>
      </c>
      <c r="C76" s="15" t="s">
        <v>193</v>
      </c>
      <c r="D76" s="15"/>
      <c r="E76" s="15" t="s">
        <v>3102</v>
      </c>
      <c r="F76" s="15" t="s">
        <v>191</v>
      </c>
      <c r="G76" s="15" t="s">
        <v>195</v>
      </c>
      <c r="H76" s="15" t="s">
        <v>2965</v>
      </c>
      <c r="I76" s="15">
        <v>1</v>
      </c>
      <c r="J76" s="15">
        <v>2</v>
      </c>
      <c r="K76" s="15">
        <v>-2</v>
      </c>
      <c r="L76" s="15">
        <v>0</v>
      </c>
      <c r="M76" s="15">
        <v>0</v>
      </c>
      <c r="N76" s="15">
        <v>-1</v>
      </c>
      <c r="O76" s="15">
        <v>0</v>
      </c>
      <c r="P76" s="15">
        <v>0</v>
      </c>
      <c r="Q76" s="15">
        <v>0</v>
      </c>
      <c r="R76" s="15">
        <v>0</v>
      </c>
    </row>
    <row r="77" spans="1:18" x14ac:dyDescent="0.2">
      <c r="A77" s="15">
        <v>76</v>
      </c>
      <c r="B77" s="38">
        <v>1</v>
      </c>
      <c r="C77" s="15" t="s">
        <v>194</v>
      </c>
      <c r="D77" s="15"/>
      <c r="E77" s="15" t="s">
        <v>3102</v>
      </c>
      <c r="F77" s="15" t="s">
        <v>191</v>
      </c>
      <c r="G77" s="15" t="s">
        <v>195</v>
      </c>
      <c r="H77" s="15" t="s">
        <v>2965</v>
      </c>
      <c r="I77" s="15">
        <v>1</v>
      </c>
      <c r="J77" s="15">
        <v>2</v>
      </c>
      <c r="K77" s="15">
        <v>-2</v>
      </c>
      <c r="L77" s="15">
        <v>0</v>
      </c>
      <c r="M77" s="15">
        <v>0</v>
      </c>
      <c r="N77" s="15">
        <v>-1</v>
      </c>
      <c r="O77" s="15">
        <v>0</v>
      </c>
      <c r="P77" s="15">
        <v>0</v>
      </c>
      <c r="Q77" s="15">
        <v>0</v>
      </c>
      <c r="R77" s="15">
        <v>0</v>
      </c>
    </row>
    <row r="78" spans="1:18" x14ac:dyDescent="0.2">
      <c r="A78" s="15">
        <v>77</v>
      </c>
      <c r="B78" s="38">
        <v>1</v>
      </c>
      <c r="C78" s="15" t="s">
        <v>197</v>
      </c>
      <c r="D78" s="15">
        <v>2</v>
      </c>
      <c r="E78" s="15" t="s">
        <v>3103</v>
      </c>
      <c r="F78" s="15" t="s">
        <v>196</v>
      </c>
      <c r="G78" s="15" t="s">
        <v>200</v>
      </c>
      <c r="H78" s="15" t="s">
        <v>2966</v>
      </c>
      <c r="I78" s="15">
        <v>1</v>
      </c>
      <c r="J78" s="15">
        <v>2</v>
      </c>
      <c r="K78" s="15">
        <v>-2</v>
      </c>
      <c r="L78" s="15">
        <v>0</v>
      </c>
      <c r="M78" s="15">
        <v>-1</v>
      </c>
      <c r="N78" s="15">
        <v>-1</v>
      </c>
      <c r="O78" s="15">
        <v>0</v>
      </c>
      <c r="P78" s="15">
        <v>0</v>
      </c>
      <c r="Q78" s="15">
        <v>0</v>
      </c>
      <c r="R78" s="15">
        <v>0</v>
      </c>
    </row>
    <row r="79" spans="1:18" x14ac:dyDescent="0.2">
      <c r="A79" s="15">
        <v>78</v>
      </c>
      <c r="B79" s="38">
        <v>1</v>
      </c>
      <c r="C79" s="15" t="s">
        <v>198</v>
      </c>
      <c r="D79" s="15">
        <v>1</v>
      </c>
      <c r="E79" s="15" t="s">
        <v>3103</v>
      </c>
      <c r="F79" s="15" t="s">
        <v>196</v>
      </c>
      <c r="G79" s="15" t="s">
        <v>200</v>
      </c>
      <c r="H79" s="15" t="s">
        <v>2966</v>
      </c>
      <c r="I79" s="15">
        <v>1</v>
      </c>
      <c r="J79" s="15">
        <v>2</v>
      </c>
      <c r="K79" s="15">
        <v>-2</v>
      </c>
      <c r="L79" s="15">
        <v>0</v>
      </c>
      <c r="M79" s="15">
        <v>-1</v>
      </c>
      <c r="N79" s="15">
        <v>-1</v>
      </c>
      <c r="O79" s="15">
        <v>0</v>
      </c>
      <c r="P79" s="15">
        <v>0</v>
      </c>
      <c r="Q79" s="15">
        <v>0</v>
      </c>
      <c r="R79" s="15">
        <v>0</v>
      </c>
    </row>
    <row r="80" spans="1:18" x14ac:dyDescent="0.2">
      <c r="A80" s="15">
        <v>79</v>
      </c>
      <c r="B80" s="38">
        <v>1</v>
      </c>
      <c r="C80" s="15" t="s">
        <v>199</v>
      </c>
      <c r="D80" s="15"/>
      <c r="E80" s="15" t="s">
        <v>3103</v>
      </c>
      <c r="F80" s="15" t="s">
        <v>196</v>
      </c>
      <c r="G80" s="15" t="s">
        <v>200</v>
      </c>
      <c r="H80" s="15" t="s">
        <v>2966</v>
      </c>
      <c r="I80" s="15">
        <v>1</v>
      </c>
      <c r="J80" s="15">
        <v>2</v>
      </c>
      <c r="K80" s="15">
        <v>-2</v>
      </c>
      <c r="L80" s="15">
        <v>0</v>
      </c>
      <c r="M80" s="15">
        <v>-1</v>
      </c>
      <c r="N80" s="15">
        <v>-1</v>
      </c>
      <c r="O80" s="15">
        <v>0</v>
      </c>
      <c r="P80" s="15">
        <v>0</v>
      </c>
      <c r="Q80" s="15">
        <v>0</v>
      </c>
      <c r="R80" s="15">
        <v>0</v>
      </c>
    </row>
    <row r="81" spans="1:18" x14ac:dyDescent="0.2">
      <c r="A81" s="15">
        <v>80</v>
      </c>
      <c r="B81" s="38">
        <v>1</v>
      </c>
      <c r="C81" s="15" t="s">
        <v>202</v>
      </c>
      <c r="D81" s="15">
        <v>2</v>
      </c>
      <c r="E81" s="15" t="s">
        <v>3104</v>
      </c>
      <c r="F81" s="15" t="s">
        <v>201</v>
      </c>
      <c r="G81" s="15" t="s">
        <v>204</v>
      </c>
      <c r="H81" s="15" t="s">
        <v>2967</v>
      </c>
      <c r="I81" s="15">
        <v>0</v>
      </c>
      <c r="J81" s="15">
        <v>0</v>
      </c>
      <c r="K81" s="15">
        <v>0</v>
      </c>
      <c r="L81" s="15">
        <v>0</v>
      </c>
      <c r="M81" s="15">
        <v>1</v>
      </c>
      <c r="N81" s="15">
        <v>0</v>
      </c>
      <c r="O81" s="15">
        <v>0</v>
      </c>
      <c r="P81" s="15">
        <v>0</v>
      </c>
      <c r="Q81" s="15">
        <v>0</v>
      </c>
      <c r="R81" s="15">
        <v>0</v>
      </c>
    </row>
    <row r="82" spans="1:18" x14ac:dyDescent="0.2">
      <c r="A82" s="15">
        <v>81</v>
      </c>
      <c r="B82" s="38">
        <v>1</v>
      </c>
      <c r="C82" s="15" t="s">
        <v>203</v>
      </c>
      <c r="D82" s="15">
        <v>2</v>
      </c>
      <c r="E82" s="15" t="s">
        <v>3104</v>
      </c>
      <c r="F82" s="15" t="s">
        <v>201</v>
      </c>
      <c r="G82" s="15" t="s">
        <v>204</v>
      </c>
      <c r="H82" s="15" t="s">
        <v>2967</v>
      </c>
      <c r="I82" s="15">
        <v>0</v>
      </c>
      <c r="J82" s="15">
        <v>0</v>
      </c>
      <c r="K82" s="15">
        <v>0</v>
      </c>
      <c r="L82" s="15">
        <v>0</v>
      </c>
      <c r="M82" s="15">
        <v>1</v>
      </c>
      <c r="N82" s="15">
        <v>0</v>
      </c>
      <c r="O82" s="15">
        <v>0</v>
      </c>
      <c r="P82" s="15">
        <v>0</v>
      </c>
      <c r="Q82" s="15">
        <v>0</v>
      </c>
      <c r="R82" s="15">
        <v>0</v>
      </c>
    </row>
    <row r="83" spans="1:18" x14ac:dyDescent="0.2">
      <c r="A83" s="15">
        <v>82</v>
      </c>
      <c r="B83" s="38">
        <v>1</v>
      </c>
      <c r="C83" s="15" t="s">
        <v>207</v>
      </c>
      <c r="D83" s="15"/>
      <c r="E83" s="15" t="s">
        <v>3105</v>
      </c>
      <c r="F83" s="15" t="s">
        <v>206</v>
      </c>
      <c r="G83" s="15" t="s">
        <v>209</v>
      </c>
      <c r="H83" s="15" t="s">
        <v>2968</v>
      </c>
      <c r="I83" s="15">
        <v>-1</v>
      </c>
      <c r="J83" s="15">
        <v>0</v>
      </c>
      <c r="K83" s="15">
        <v>3</v>
      </c>
      <c r="L83" s="15">
        <v>0</v>
      </c>
      <c r="M83" s="15">
        <v>1</v>
      </c>
      <c r="N83" s="15">
        <v>0</v>
      </c>
      <c r="O83" s="15">
        <v>0</v>
      </c>
      <c r="P83" s="15">
        <v>0</v>
      </c>
      <c r="Q83" s="15">
        <v>0</v>
      </c>
      <c r="R83" s="15">
        <v>0</v>
      </c>
    </row>
    <row r="84" spans="1:18" x14ac:dyDescent="0.2">
      <c r="A84" s="15">
        <v>83</v>
      </c>
      <c r="B84" s="38">
        <v>1</v>
      </c>
      <c r="C84" s="15" t="s">
        <v>208</v>
      </c>
      <c r="D84" s="15"/>
      <c r="E84" s="15" t="s">
        <v>3105</v>
      </c>
      <c r="F84" s="15" t="s">
        <v>206</v>
      </c>
      <c r="G84" s="15" t="s">
        <v>209</v>
      </c>
      <c r="H84" s="15" t="s">
        <v>2968</v>
      </c>
      <c r="I84" s="15">
        <v>-1</v>
      </c>
      <c r="J84" s="15">
        <v>0</v>
      </c>
      <c r="K84" s="15">
        <v>3</v>
      </c>
      <c r="L84" s="15">
        <v>0</v>
      </c>
      <c r="M84" s="15">
        <v>1</v>
      </c>
      <c r="N84" s="15">
        <v>0</v>
      </c>
      <c r="O84" s="15">
        <v>0</v>
      </c>
      <c r="P84" s="15">
        <v>0</v>
      </c>
      <c r="Q84" s="15">
        <v>0</v>
      </c>
      <c r="R84" s="15">
        <v>0</v>
      </c>
    </row>
    <row r="85" spans="1:18" x14ac:dyDescent="0.2">
      <c r="A85" s="15">
        <v>84</v>
      </c>
      <c r="B85" s="38">
        <v>1</v>
      </c>
      <c r="C85" s="15" t="s">
        <v>211</v>
      </c>
      <c r="D85" s="15">
        <v>2</v>
      </c>
      <c r="E85" s="15" t="s">
        <v>3106</v>
      </c>
      <c r="F85" s="15" t="s">
        <v>210</v>
      </c>
      <c r="G85" s="15" t="s">
        <v>212</v>
      </c>
      <c r="H85" s="15" t="s">
        <v>2969</v>
      </c>
      <c r="I85" s="15">
        <v>0</v>
      </c>
      <c r="J85" s="15">
        <v>-1</v>
      </c>
      <c r="K85" s="15">
        <v>0</v>
      </c>
      <c r="L85" s="15">
        <v>0</v>
      </c>
      <c r="M85" s="15">
        <v>1</v>
      </c>
      <c r="N85" s="15">
        <v>0</v>
      </c>
      <c r="O85" s="15">
        <v>0</v>
      </c>
      <c r="P85" s="15">
        <v>0</v>
      </c>
      <c r="Q85" s="15">
        <v>0</v>
      </c>
      <c r="R85" s="15">
        <v>0</v>
      </c>
    </row>
    <row r="86" spans="1:18" x14ac:dyDescent="0.2">
      <c r="A86" s="15">
        <v>85</v>
      </c>
      <c r="B86" s="38">
        <v>1</v>
      </c>
      <c r="C86" s="15" t="s">
        <v>214</v>
      </c>
      <c r="D86" s="15">
        <v>2</v>
      </c>
      <c r="E86" s="15" t="s">
        <v>3107</v>
      </c>
      <c r="F86" s="15" t="s">
        <v>213</v>
      </c>
      <c r="G86" s="15" t="s">
        <v>215</v>
      </c>
      <c r="H86" s="15" t="s">
        <v>2970</v>
      </c>
      <c r="I86" s="15">
        <v>0</v>
      </c>
      <c r="J86" s="15">
        <v>0</v>
      </c>
      <c r="K86" s="15">
        <v>-1</v>
      </c>
      <c r="L86" s="15">
        <v>0</v>
      </c>
      <c r="M86" s="15">
        <v>1</v>
      </c>
      <c r="N86" s="15">
        <v>0</v>
      </c>
      <c r="O86" s="15">
        <v>0</v>
      </c>
      <c r="P86" s="15">
        <v>0</v>
      </c>
      <c r="Q86" s="15">
        <v>0</v>
      </c>
      <c r="R86" s="15">
        <v>0</v>
      </c>
    </row>
    <row r="87" spans="1:18" x14ac:dyDescent="0.2">
      <c r="A87" s="15">
        <v>86</v>
      </c>
      <c r="B87" s="38">
        <v>1</v>
      </c>
      <c r="C87" s="15" t="s">
        <v>217</v>
      </c>
      <c r="D87" s="15"/>
      <c r="E87" s="15" t="s">
        <v>3108</v>
      </c>
      <c r="F87" s="15" t="s">
        <v>216</v>
      </c>
      <c r="G87" s="15" t="s">
        <v>218</v>
      </c>
      <c r="H87" s="15" t="s">
        <v>2971</v>
      </c>
      <c r="I87" s="15">
        <v>-1</v>
      </c>
      <c r="J87" s="15">
        <v>-2</v>
      </c>
      <c r="K87" s="15">
        <v>3</v>
      </c>
      <c r="L87" s="15">
        <v>0</v>
      </c>
      <c r="M87" s="15">
        <v>1</v>
      </c>
      <c r="N87" s="15">
        <v>0</v>
      </c>
      <c r="O87" s="15">
        <v>0</v>
      </c>
      <c r="P87" s="15">
        <v>0</v>
      </c>
      <c r="Q87" s="15">
        <v>0</v>
      </c>
      <c r="R87" s="15">
        <v>0</v>
      </c>
    </row>
    <row r="88" spans="1:18" x14ac:dyDescent="0.2">
      <c r="A88" s="15">
        <v>87</v>
      </c>
      <c r="B88" s="38">
        <v>1</v>
      </c>
      <c r="C88" s="15" t="s">
        <v>220</v>
      </c>
      <c r="D88" s="15">
        <v>2</v>
      </c>
      <c r="E88" s="15" t="s">
        <v>3109</v>
      </c>
      <c r="F88" s="15" t="s">
        <v>219</v>
      </c>
      <c r="G88" s="15" t="s">
        <v>221</v>
      </c>
      <c r="H88" s="15" t="s">
        <v>2972</v>
      </c>
      <c r="I88" s="15">
        <v>1</v>
      </c>
      <c r="J88" s="15">
        <v>0</v>
      </c>
      <c r="K88" s="15">
        <v>0</v>
      </c>
      <c r="L88" s="15">
        <v>0</v>
      </c>
      <c r="M88" s="15">
        <v>0</v>
      </c>
      <c r="N88" s="15">
        <v>0</v>
      </c>
      <c r="O88" s="15">
        <v>0</v>
      </c>
      <c r="P88" s="15">
        <v>0</v>
      </c>
      <c r="Q88" s="15">
        <v>0</v>
      </c>
      <c r="R88" s="15">
        <v>0</v>
      </c>
    </row>
    <row r="89" spans="1:18" x14ac:dyDescent="0.2">
      <c r="A89" s="15">
        <v>88</v>
      </c>
      <c r="B89" s="38">
        <v>1</v>
      </c>
      <c r="C89" s="15" t="s">
        <v>224</v>
      </c>
      <c r="D89" s="15"/>
      <c r="E89" s="15" t="s">
        <v>3110</v>
      </c>
      <c r="F89" s="15" t="s">
        <v>223</v>
      </c>
      <c r="G89" s="15" t="s">
        <v>225</v>
      </c>
      <c r="H89" s="15" t="s">
        <v>2973</v>
      </c>
      <c r="I89" s="15">
        <v>1</v>
      </c>
      <c r="J89" s="15">
        <v>1</v>
      </c>
      <c r="K89" s="15">
        <v>0</v>
      </c>
      <c r="L89" s="15">
        <v>0</v>
      </c>
      <c r="M89" s="15">
        <v>0</v>
      </c>
      <c r="N89" s="15">
        <v>0</v>
      </c>
      <c r="O89" s="15">
        <v>0</v>
      </c>
      <c r="P89" s="15">
        <v>0</v>
      </c>
      <c r="Q89" s="15">
        <v>0</v>
      </c>
      <c r="R89" s="15">
        <v>0</v>
      </c>
    </row>
    <row r="90" spans="1:18" x14ac:dyDescent="0.2">
      <c r="A90" s="15">
        <v>89</v>
      </c>
      <c r="B90" s="38">
        <v>1</v>
      </c>
      <c r="C90" s="15" t="s">
        <v>227</v>
      </c>
      <c r="D90" s="15"/>
      <c r="E90" s="15" t="s">
        <v>3111</v>
      </c>
      <c r="F90" s="15" t="s">
        <v>226</v>
      </c>
      <c r="G90" s="15" t="s">
        <v>229</v>
      </c>
      <c r="H90" s="15" t="s">
        <v>2974</v>
      </c>
      <c r="I90" s="15">
        <v>1</v>
      </c>
      <c r="J90" s="15">
        <v>1</v>
      </c>
      <c r="K90" s="15">
        <v>-1</v>
      </c>
      <c r="L90" s="15">
        <v>0</v>
      </c>
      <c r="M90" s="15">
        <v>0</v>
      </c>
      <c r="N90" s="15">
        <v>0</v>
      </c>
      <c r="O90" s="15">
        <v>0</v>
      </c>
      <c r="P90" s="15">
        <v>0</v>
      </c>
      <c r="Q90" s="15">
        <v>0</v>
      </c>
      <c r="R90" s="15">
        <v>0</v>
      </c>
    </row>
    <row r="91" spans="1:18" x14ac:dyDescent="0.2">
      <c r="A91" s="15">
        <v>90</v>
      </c>
      <c r="B91" s="38">
        <v>1</v>
      </c>
      <c r="C91" s="15" t="s">
        <v>228</v>
      </c>
      <c r="D91" s="15"/>
      <c r="E91" s="15" t="s">
        <v>3111</v>
      </c>
      <c r="F91" s="15" t="s">
        <v>226</v>
      </c>
      <c r="G91" s="15" t="s">
        <v>229</v>
      </c>
      <c r="H91" s="15" t="s">
        <v>2974</v>
      </c>
      <c r="I91" s="15">
        <v>1</v>
      </c>
      <c r="J91" s="15">
        <v>1</v>
      </c>
      <c r="K91" s="15">
        <v>-1</v>
      </c>
      <c r="L91" s="15">
        <v>0</v>
      </c>
      <c r="M91" s="15">
        <v>0</v>
      </c>
      <c r="N91" s="15">
        <v>0</v>
      </c>
      <c r="O91" s="15">
        <v>0</v>
      </c>
      <c r="P91" s="15">
        <v>0</v>
      </c>
      <c r="Q91" s="15">
        <v>0</v>
      </c>
      <c r="R91" s="15">
        <v>0</v>
      </c>
    </row>
    <row r="92" spans="1:18" x14ac:dyDescent="0.2">
      <c r="A92" s="15">
        <v>91</v>
      </c>
      <c r="B92" s="38">
        <v>1</v>
      </c>
      <c r="C92" s="15" t="s">
        <v>231</v>
      </c>
      <c r="D92" s="15"/>
      <c r="E92" s="15" t="s">
        <v>3112</v>
      </c>
      <c r="F92" s="15" t="s">
        <v>230</v>
      </c>
      <c r="G92" s="15" t="s">
        <v>232</v>
      </c>
      <c r="H92" s="15" t="s">
        <v>2975</v>
      </c>
      <c r="I92" s="15">
        <v>1</v>
      </c>
      <c r="J92" s="15">
        <v>2</v>
      </c>
      <c r="K92" s="15">
        <v>0</v>
      </c>
      <c r="L92" s="15">
        <v>0</v>
      </c>
      <c r="M92" s="15">
        <v>0</v>
      </c>
      <c r="N92" s="15">
        <v>0</v>
      </c>
      <c r="O92" s="15">
        <v>0</v>
      </c>
      <c r="P92" s="15">
        <v>0</v>
      </c>
      <c r="Q92" s="15">
        <v>0</v>
      </c>
      <c r="R92" s="15">
        <v>0</v>
      </c>
    </row>
    <row r="93" spans="1:18" x14ac:dyDescent="0.2">
      <c r="A93" s="15">
        <v>92</v>
      </c>
      <c r="B93" s="38">
        <v>1</v>
      </c>
      <c r="C93" s="15" t="s">
        <v>234</v>
      </c>
      <c r="D93" s="15"/>
      <c r="E93" s="15" t="s">
        <v>3113</v>
      </c>
      <c r="F93" s="15" t="s">
        <v>233</v>
      </c>
      <c r="G93" s="15" t="s">
        <v>235</v>
      </c>
      <c r="H93" s="15" t="s">
        <v>2976</v>
      </c>
      <c r="I93" s="15">
        <v>0</v>
      </c>
      <c r="J93" s="15">
        <v>-2</v>
      </c>
      <c r="K93" s="15">
        <v>2</v>
      </c>
      <c r="L93" s="15">
        <v>0</v>
      </c>
      <c r="M93" s="15">
        <v>0</v>
      </c>
      <c r="N93" s="15">
        <v>0</v>
      </c>
      <c r="O93" s="15">
        <v>0</v>
      </c>
      <c r="P93" s="15">
        <v>0</v>
      </c>
      <c r="Q93" s="15">
        <v>0</v>
      </c>
      <c r="R93" s="15">
        <v>0</v>
      </c>
    </row>
    <row r="94" spans="1:18" x14ac:dyDescent="0.2">
      <c r="A94" s="15">
        <v>93</v>
      </c>
      <c r="B94" s="38">
        <v>1</v>
      </c>
      <c r="C94" s="15" t="s">
        <v>237</v>
      </c>
      <c r="D94" s="15"/>
      <c r="E94" s="15" t="s">
        <v>3114</v>
      </c>
      <c r="F94" s="15" t="s">
        <v>236</v>
      </c>
      <c r="G94" s="15" t="s">
        <v>240</v>
      </c>
      <c r="H94" s="15" t="s">
        <v>2977</v>
      </c>
      <c r="I94" s="15">
        <v>1</v>
      </c>
      <c r="J94" s="15">
        <v>-1</v>
      </c>
      <c r="K94" s="15">
        <v>0</v>
      </c>
      <c r="L94" s="15">
        <v>0</v>
      </c>
      <c r="M94" s="15">
        <v>0</v>
      </c>
      <c r="N94" s="15">
        <v>0</v>
      </c>
      <c r="O94" s="15">
        <v>0</v>
      </c>
      <c r="P94" s="15">
        <v>0</v>
      </c>
      <c r="Q94" s="15">
        <v>0</v>
      </c>
      <c r="R94" s="15">
        <v>0</v>
      </c>
    </row>
    <row r="95" spans="1:18" x14ac:dyDescent="0.2">
      <c r="A95" s="15">
        <v>94</v>
      </c>
      <c r="B95" s="38">
        <v>1</v>
      </c>
      <c r="C95" s="15" t="s">
        <v>238</v>
      </c>
      <c r="D95" s="15"/>
      <c r="E95" s="15" t="s">
        <v>3114</v>
      </c>
      <c r="F95" s="15" t="s">
        <v>236</v>
      </c>
      <c r="G95" s="15" t="s">
        <v>240</v>
      </c>
      <c r="H95" s="15" t="s">
        <v>2977</v>
      </c>
      <c r="I95" s="15">
        <v>1</v>
      </c>
      <c r="J95" s="15">
        <v>-1</v>
      </c>
      <c r="K95" s="15">
        <v>0</v>
      </c>
      <c r="L95" s="15">
        <v>0</v>
      </c>
      <c r="M95" s="15">
        <v>0</v>
      </c>
      <c r="N95" s="15">
        <v>0</v>
      </c>
      <c r="O95" s="15">
        <v>0</v>
      </c>
      <c r="P95" s="15">
        <v>0</v>
      </c>
      <c r="Q95" s="15">
        <v>0</v>
      </c>
      <c r="R95" s="15">
        <v>0</v>
      </c>
    </row>
    <row r="96" spans="1:18" x14ac:dyDescent="0.2">
      <c r="A96" s="15">
        <v>95</v>
      </c>
      <c r="B96" s="38">
        <v>1</v>
      </c>
      <c r="C96" s="15" t="s">
        <v>239</v>
      </c>
      <c r="D96" s="15"/>
      <c r="E96" s="15" t="s">
        <v>3114</v>
      </c>
      <c r="F96" s="15" t="s">
        <v>236</v>
      </c>
      <c r="G96" s="15" t="s">
        <v>240</v>
      </c>
      <c r="H96" s="15" t="s">
        <v>2977</v>
      </c>
      <c r="I96" s="15">
        <v>1</v>
      </c>
      <c r="J96" s="15">
        <v>-1</v>
      </c>
      <c r="K96" s="15">
        <v>0</v>
      </c>
      <c r="L96" s="15">
        <v>0</v>
      </c>
      <c r="M96" s="15">
        <v>0</v>
      </c>
      <c r="N96" s="15">
        <v>0</v>
      </c>
      <c r="O96" s="15">
        <v>0</v>
      </c>
      <c r="P96" s="15">
        <v>0</v>
      </c>
      <c r="Q96" s="15">
        <v>0</v>
      </c>
      <c r="R96" s="15">
        <v>0</v>
      </c>
    </row>
    <row r="97" spans="1:18" x14ac:dyDescent="0.2">
      <c r="A97" s="15">
        <v>96</v>
      </c>
      <c r="B97" s="38">
        <v>1</v>
      </c>
      <c r="C97" s="15" t="s">
        <v>242</v>
      </c>
      <c r="D97" s="15"/>
      <c r="E97" s="15" t="s">
        <v>3115</v>
      </c>
      <c r="F97" s="15" t="s">
        <v>241</v>
      </c>
      <c r="G97" s="15" t="s">
        <v>244</v>
      </c>
      <c r="H97" s="15" t="s">
        <v>2978</v>
      </c>
      <c r="I97" s="15">
        <v>1</v>
      </c>
      <c r="J97" s="15">
        <v>-2</v>
      </c>
      <c r="K97" s="15">
        <v>0</v>
      </c>
      <c r="L97" s="15">
        <v>0</v>
      </c>
      <c r="M97" s="15">
        <v>0</v>
      </c>
      <c r="N97" s="15">
        <v>0</v>
      </c>
      <c r="O97" s="15">
        <v>0</v>
      </c>
      <c r="P97" s="15">
        <v>0</v>
      </c>
      <c r="Q97" s="15">
        <v>0</v>
      </c>
      <c r="R97" s="15">
        <v>0</v>
      </c>
    </row>
    <row r="98" spans="1:18" x14ac:dyDescent="0.2">
      <c r="A98" s="15">
        <v>97</v>
      </c>
      <c r="B98" s="38">
        <v>1</v>
      </c>
      <c r="C98" s="15" t="s">
        <v>243</v>
      </c>
      <c r="D98" s="15"/>
      <c r="E98" s="15" t="s">
        <v>3115</v>
      </c>
      <c r="F98" s="15" t="s">
        <v>241</v>
      </c>
      <c r="G98" s="15" t="s">
        <v>244</v>
      </c>
      <c r="H98" s="15" t="s">
        <v>2978</v>
      </c>
      <c r="I98" s="15">
        <v>1</v>
      </c>
      <c r="J98" s="15">
        <v>-2</v>
      </c>
      <c r="K98" s="15">
        <v>0</v>
      </c>
      <c r="L98" s="15">
        <v>0</v>
      </c>
      <c r="M98" s="15">
        <v>0</v>
      </c>
      <c r="N98" s="15">
        <v>0</v>
      </c>
      <c r="O98" s="15">
        <v>0</v>
      </c>
      <c r="P98" s="15">
        <v>0</v>
      </c>
      <c r="Q98" s="15">
        <v>0</v>
      </c>
      <c r="R98" s="15">
        <v>0</v>
      </c>
    </row>
    <row r="99" spans="1:18" x14ac:dyDescent="0.2">
      <c r="A99" s="15">
        <v>98</v>
      </c>
      <c r="B99" s="38">
        <v>1</v>
      </c>
      <c r="C99" s="15" t="s">
        <v>246</v>
      </c>
      <c r="D99" s="15"/>
      <c r="E99" s="15" t="s">
        <v>3116</v>
      </c>
      <c r="F99" s="15" t="s">
        <v>245</v>
      </c>
      <c r="G99" s="15" t="s">
        <v>247</v>
      </c>
      <c r="H99" s="15" t="s">
        <v>3002</v>
      </c>
      <c r="I99" s="15">
        <v>1</v>
      </c>
      <c r="J99" s="15">
        <v>-2</v>
      </c>
      <c r="K99" s="15">
        <v>-1</v>
      </c>
      <c r="L99" s="15">
        <v>0</v>
      </c>
      <c r="M99" s="15">
        <v>0</v>
      </c>
      <c r="N99" s="15">
        <v>0</v>
      </c>
      <c r="O99" s="15">
        <v>0</v>
      </c>
      <c r="P99" s="15">
        <v>0</v>
      </c>
      <c r="Q99" s="15">
        <v>0</v>
      </c>
      <c r="R99" s="15">
        <v>0</v>
      </c>
    </row>
    <row r="100" spans="1:18" x14ac:dyDescent="0.2">
      <c r="A100" s="15">
        <v>99</v>
      </c>
      <c r="B100" s="38">
        <v>1</v>
      </c>
      <c r="C100" s="15" t="s">
        <v>249</v>
      </c>
      <c r="D100" s="15">
        <v>2</v>
      </c>
      <c r="E100" s="15" t="s">
        <v>3117</v>
      </c>
      <c r="F100" s="15" t="s">
        <v>248</v>
      </c>
      <c r="G100" s="15" t="s">
        <v>252</v>
      </c>
      <c r="H100" s="15" t="s">
        <v>2979</v>
      </c>
      <c r="I100" s="15">
        <v>1</v>
      </c>
      <c r="J100" s="15">
        <v>-3</v>
      </c>
      <c r="K100" s="15">
        <v>0</v>
      </c>
      <c r="L100" s="15">
        <v>0</v>
      </c>
      <c r="M100" s="15">
        <v>0</v>
      </c>
      <c r="N100" s="15">
        <v>0</v>
      </c>
      <c r="O100" s="15">
        <v>0</v>
      </c>
      <c r="P100" s="15">
        <v>0</v>
      </c>
      <c r="Q100" s="15">
        <v>0</v>
      </c>
      <c r="R100" s="15">
        <v>0</v>
      </c>
    </row>
    <row r="101" spans="1:18" x14ac:dyDescent="0.2">
      <c r="A101" s="15">
        <v>100</v>
      </c>
      <c r="B101" s="38">
        <v>1</v>
      </c>
      <c r="C101" s="15" t="s">
        <v>250</v>
      </c>
      <c r="D101" s="15">
        <v>2</v>
      </c>
      <c r="E101" s="15" t="s">
        <v>3117</v>
      </c>
      <c r="F101" s="15" t="s">
        <v>248</v>
      </c>
      <c r="G101" s="15" t="s">
        <v>252</v>
      </c>
      <c r="H101" s="15" t="s">
        <v>2979</v>
      </c>
      <c r="I101" s="15">
        <v>1</v>
      </c>
      <c r="J101" s="15">
        <v>-3</v>
      </c>
      <c r="K101" s="15">
        <v>0</v>
      </c>
      <c r="L101" s="15">
        <v>0</v>
      </c>
      <c r="M101" s="15">
        <v>0</v>
      </c>
      <c r="N101" s="15">
        <v>0</v>
      </c>
      <c r="O101" s="15">
        <v>0</v>
      </c>
      <c r="P101" s="15">
        <v>0</v>
      </c>
      <c r="Q101" s="15">
        <v>0</v>
      </c>
      <c r="R101" s="15">
        <v>0</v>
      </c>
    </row>
    <row r="102" spans="1:18" x14ac:dyDescent="0.2">
      <c r="A102" s="15">
        <v>101</v>
      </c>
      <c r="B102" s="38">
        <v>1</v>
      </c>
      <c r="C102" s="15" t="s">
        <v>251</v>
      </c>
      <c r="D102" s="15"/>
      <c r="E102" s="15" t="s">
        <v>3117</v>
      </c>
      <c r="F102" s="15" t="s">
        <v>248</v>
      </c>
      <c r="G102" s="15" t="s">
        <v>252</v>
      </c>
      <c r="H102" s="15" t="s">
        <v>2979</v>
      </c>
      <c r="I102" s="15">
        <v>1</v>
      </c>
      <c r="J102" s="15">
        <v>-3</v>
      </c>
      <c r="K102" s="15">
        <v>0</v>
      </c>
      <c r="L102" s="15">
        <v>0</v>
      </c>
      <c r="M102" s="15">
        <v>0</v>
      </c>
      <c r="N102" s="15">
        <v>0</v>
      </c>
      <c r="O102" s="15">
        <v>0</v>
      </c>
      <c r="P102" s="15">
        <v>0</v>
      </c>
      <c r="Q102" s="15">
        <v>0</v>
      </c>
      <c r="R102" s="15">
        <v>0</v>
      </c>
    </row>
    <row r="103" spans="1:18" x14ac:dyDescent="0.2">
      <c r="A103" s="15">
        <v>102</v>
      </c>
      <c r="B103" s="38">
        <v>1</v>
      </c>
      <c r="C103" s="15" t="s">
        <v>254</v>
      </c>
      <c r="D103" s="15"/>
      <c r="E103" s="15" t="s">
        <v>3118</v>
      </c>
      <c r="F103" s="15" t="s">
        <v>253</v>
      </c>
      <c r="G103" s="15" t="s">
        <v>255</v>
      </c>
      <c r="H103" s="15" t="s">
        <v>2980</v>
      </c>
      <c r="I103" s="15">
        <v>1</v>
      </c>
      <c r="J103" s="15">
        <v>-4</v>
      </c>
      <c r="K103" s="15">
        <v>0</v>
      </c>
      <c r="L103" s="15">
        <v>0</v>
      </c>
      <c r="M103" s="15">
        <v>0</v>
      </c>
      <c r="N103" s="15">
        <v>0</v>
      </c>
      <c r="O103" s="15">
        <v>0</v>
      </c>
      <c r="P103" s="15">
        <v>0</v>
      </c>
      <c r="Q103" s="15">
        <v>0</v>
      </c>
      <c r="R103" s="15">
        <v>0</v>
      </c>
    </row>
    <row r="104" spans="1:18" x14ac:dyDescent="0.2">
      <c r="A104" s="15">
        <v>103</v>
      </c>
      <c r="B104" s="38">
        <v>1</v>
      </c>
      <c r="C104" s="15" t="s">
        <v>257</v>
      </c>
      <c r="D104" s="15">
        <v>2</v>
      </c>
      <c r="E104" s="15" t="s">
        <v>3119</v>
      </c>
      <c r="F104" s="15" t="s">
        <v>256</v>
      </c>
      <c r="G104" s="15" t="s">
        <v>258</v>
      </c>
      <c r="H104" s="15" t="s">
        <v>2981</v>
      </c>
      <c r="I104" s="15">
        <v>1</v>
      </c>
      <c r="J104" s="15">
        <v>0</v>
      </c>
      <c r="K104" s="15">
        <v>-1</v>
      </c>
      <c r="L104" s="15">
        <v>0</v>
      </c>
      <c r="M104" s="15">
        <v>0</v>
      </c>
      <c r="N104" s="15">
        <v>0</v>
      </c>
      <c r="O104" s="15">
        <v>0</v>
      </c>
      <c r="P104" s="15">
        <v>0</v>
      </c>
      <c r="Q104" s="15">
        <v>0</v>
      </c>
      <c r="R104" s="15">
        <v>0</v>
      </c>
    </row>
    <row r="105" spans="1:18" x14ac:dyDescent="0.2">
      <c r="A105" s="15">
        <v>104</v>
      </c>
      <c r="B105" s="38">
        <v>1</v>
      </c>
      <c r="C105" s="15" t="s">
        <v>260</v>
      </c>
      <c r="D105" s="15"/>
      <c r="E105" s="15" t="s">
        <v>3120</v>
      </c>
      <c r="F105" s="15" t="s">
        <v>259</v>
      </c>
      <c r="G105" s="15" t="s">
        <v>261</v>
      </c>
      <c r="H105" s="15" t="s">
        <v>2982</v>
      </c>
      <c r="I105" s="15">
        <v>0</v>
      </c>
      <c r="J105" s="15">
        <v>0</v>
      </c>
      <c r="K105" s="15">
        <v>0</v>
      </c>
      <c r="L105" s="15">
        <v>0</v>
      </c>
      <c r="M105" s="15">
        <v>0</v>
      </c>
      <c r="N105" s="15">
        <v>0</v>
      </c>
      <c r="O105" s="15">
        <v>1</v>
      </c>
      <c r="P105" s="15">
        <v>0</v>
      </c>
      <c r="Q105" s="15">
        <v>1</v>
      </c>
      <c r="R105" s="15">
        <v>0</v>
      </c>
    </row>
    <row r="106" spans="1:18" x14ac:dyDescent="0.2">
      <c r="A106" s="15">
        <v>105</v>
      </c>
      <c r="B106" s="38">
        <v>1</v>
      </c>
      <c r="C106" s="15" t="s">
        <v>264</v>
      </c>
      <c r="D106" s="15"/>
      <c r="E106" s="15" t="s">
        <v>3121</v>
      </c>
      <c r="F106" s="15" t="s">
        <v>263</v>
      </c>
      <c r="G106" s="15" t="s">
        <v>265</v>
      </c>
      <c r="H106" s="15" t="s">
        <v>2983</v>
      </c>
      <c r="I106" s="15">
        <v>0</v>
      </c>
      <c r="J106" s="15">
        <v>0</v>
      </c>
      <c r="K106" s="15">
        <v>1</v>
      </c>
      <c r="L106" s="15">
        <v>0</v>
      </c>
      <c r="M106" s="15">
        <v>0</v>
      </c>
      <c r="N106" s="15">
        <v>0</v>
      </c>
      <c r="O106" s="15">
        <v>1</v>
      </c>
      <c r="P106" s="15">
        <v>0</v>
      </c>
      <c r="Q106" s="15">
        <v>1</v>
      </c>
      <c r="R106" s="15">
        <v>0</v>
      </c>
    </row>
    <row r="107" spans="1:18" x14ac:dyDescent="0.2">
      <c r="A107" s="15">
        <v>106</v>
      </c>
      <c r="B107" s="38">
        <v>1</v>
      </c>
      <c r="C107" s="15" t="s">
        <v>267</v>
      </c>
      <c r="D107" s="15"/>
      <c r="E107" s="15" t="s">
        <v>3122</v>
      </c>
      <c r="F107" s="15" t="s">
        <v>266</v>
      </c>
      <c r="G107" s="15" t="s">
        <v>268</v>
      </c>
      <c r="H107" s="15" t="s">
        <v>2984</v>
      </c>
      <c r="I107" s="15">
        <v>-1</v>
      </c>
      <c r="J107" s="15">
        <v>-2</v>
      </c>
      <c r="K107" s="15">
        <v>3</v>
      </c>
      <c r="L107" s="15">
        <v>0</v>
      </c>
      <c r="M107" s="15">
        <v>0</v>
      </c>
      <c r="N107" s="15">
        <v>0</v>
      </c>
      <c r="O107" s="15">
        <v>1</v>
      </c>
      <c r="P107" s="15">
        <v>0</v>
      </c>
      <c r="Q107" s="15">
        <v>1</v>
      </c>
      <c r="R107" s="15">
        <v>0</v>
      </c>
    </row>
    <row r="108" spans="1:18" x14ac:dyDescent="0.2">
      <c r="A108" s="15">
        <v>107</v>
      </c>
      <c r="B108" s="38">
        <v>1</v>
      </c>
      <c r="C108" s="15" t="s">
        <v>270</v>
      </c>
      <c r="D108" s="15"/>
      <c r="E108" s="15" t="s">
        <v>3123</v>
      </c>
      <c r="F108" s="15" t="s">
        <v>269</v>
      </c>
      <c r="G108" s="15" t="s">
        <v>271</v>
      </c>
      <c r="H108" s="15" t="s">
        <v>2985</v>
      </c>
      <c r="I108" s="15">
        <v>0</v>
      </c>
      <c r="J108" s="15">
        <v>-2</v>
      </c>
      <c r="K108" s="15">
        <v>0</v>
      </c>
      <c r="L108" s="15">
        <v>0</v>
      </c>
      <c r="M108" s="15">
        <v>0</v>
      </c>
      <c r="N108" s="15">
        <v>0</v>
      </c>
      <c r="O108" s="15">
        <v>1</v>
      </c>
      <c r="P108" s="15">
        <v>0</v>
      </c>
      <c r="Q108" s="15">
        <v>1</v>
      </c>
      <c r="R108" s="15">
        <v>0</v>
      </c>
    </row>
    <row r="109" spans="1:18" x14ac:dyDescent="0.2">
      <c r="A109" s="15">
        <v>108</v>
      </c>
      <c r="B109" s="38">
        <v>1</v>
      </c>
      <c r="C109" s="15" t="s">
        <v>274</v>
      </c>
      <c r="D109" s="15"/>
      <c r="E109" s="15" t="s">
        <v>3124</v>
      </c>
      <c r="F109" s="15" t="s">
        <v>273</v>
      </c>
      <c r="G109" s="15" t="s">
        <v>275</v>
      </c>
      <c r="H109" s="15" t="s">
        <v>2986</v>
      </c>
      <c r="I109" s="15">
        <v>0</v>
      </c>
      <c r="J109" s="15">
        <v>-2</v>
      </c>
      <c r="K109" s="15">
        <v>1</v>
      </c>
      <c r="L109" s="15">
        <v>0</v>
      </c>
      <c r="M109" s="15">
        <v>0</v>
      </c>
      <c r="N109" s="15">
        <v>0</v>
      </c>
      <c r="O109" s="15">
        <v>1</v>
      </c>
      <c r="P109" s="15">
        <v>0</v>
      </c>
      <c r="Q109" s="15">
        <v>1</v>
      </c>
      <c r="R109" s="15">
        <v>0</v>
      </c>
    </row>
    <row r="110" spans="1:18" x14ac:dyDescent="0.2">
      <c r="A110" s="15">
        <v>109</v>
      </c>
      <c r="B110" s="38">
        <v>1</v>
      </c>
      <c r="C110" s="15" t="s">
        <v>277</v>
      </c>
      <c r="D110" s="15">
        <v>2</v>
      </c>
      <c r="E110" s="15" t="s">
        <v>3125</v>
      </c>
      <c r="F110" s="15" t="s">
        <v>276</v>
      </c>
      <c r="G110" s="15" t="s">
        <v>290</v>
      </c>
      <c r="H110" s="15" t="s">
        <v>2987</v>
      </c>
      <c r="I110" s="15">
        <v>0</v>
      </c>
      <c r="J110" s="15">
        <v>1</v>
      </c>
      <c r="K110" s="15">
        <v>0</v>
      </c>
      <c r="L110" s="15">
        <v>0</v>
      </c>
      <c r="M110" s="15">
        <v>0</v>
      </c>
      <c r="N110" s="15">
        <v>0</v>
      </c>
      <c r="O110" s="15">
        <v>0</v>
      </c>
      <c r="P110" s="15">
        <v>0</v>
      </c>
      <c r="Q110" s="15">
        <v>0</v>
      </c>
      <c r="R110" s="15">
        <v>0</v>
      </c>
    </row>
    <row r="111" spans="1:18" x14ac:dyDescent="0.2">
      <c r="A111" s="15">
        <v>110</v>
      </c>
      <c r="B111" s="38">
        <v>1</v>
      </c>
      <c r="C111" s="15" t="s">
        <v>278</v>
      </c>
      <c r="D111" s="15"/>
      <c r="E111" s="15" t="s">
        <v>3125</v>
      </c>
      <c r="F111" s="15" t="s">
        <v>276</v>
      </c>
      <c r="G111" s="15" t="s">
        <v>290</v>
      </c>
      <c r="H111" s="15" t="s">
        <v>2987</v>
      </c>
      <c r="I111" s="15">
        <v>0</v>
      </c>
      <c r="J111" s="15">
        <v>1</v>
      </c>
      <c r="K111" s="15">
        <v>0</v>
      </c>
      <c r="L111" s="15">
        <v>0</v>
      </c>
      <c r="M111" s="15">
        <v>0</v>
      </c>
      <c r="N111" s="15">
        <v>0</v>
      </c>
      <c r="O111" s="15">
        <v>0</v>
      </c>
      <c r="P111" s="15">
        <v>0</v>
      </c>
      <c r="Q111" s="15">
        <v>0</v>
      </c>
      <c r="R111" s="15">
        <v>0</v>
      </c>
    </row>
    <row r="112" spans="1:18" x14ac:dyDescent="0.2">
      <c r="A112" s="15">
        <v>111</v>
      </c>
      <c r="B112" s="38">
        <v>1</v>
      </c>
      <c r="C112" s="15" t="s">
        <v>279</v>
      </c>
      <c r="D112" s="15"/>
      <c r="E112" s="15" t="s">
        <v>3125</v>
      </c>
      <c r="F112" s="15" t="s">
        <v>276</v>
      </c>
      <c r="G112" s="15" t="s">
        <v>290</v>
      </c>
      <c r="H112" s="15" t="s">
        <v>2987</v>
      </c>
      <c r="I112" s="15">
        <v>0</v>
      </c>
      <c r="J112" s="15">
        <v>1</v>
      </c>
      <c r="K112" s="15">
        <v>0</v>
      </c>
      <c r="L112" s="15">
        <v>0</v>
      </c>
      <c r="M112" s="15">
        <v>0</v>
      </c>
      <c r="N112" s="15">
        <v>0</v>
      </c>
      <c r="O112" s="15">
        <v>0</v>
      </c>
      <c r="P112" s="15">
        <v>0</v>
      </c>
      <c r="Q112" s="15">
        <v>0</v>
      </c>
      <c r="R112" s="15">
        <v>0</v>
      </c>
    </row>
    <row r="113" spans="1:18" x14ac:dyDescent="0.2">
      <c r="A113" s="15">
        <v>112</v>
      </c>
      <c r="B113" s="38">
        <v>1</v>
      </c>
      <c r="C113" s="15" t="s">
        <v>280</v>
      </c>
      <c r="D113" s="15"/>
      <c r="E113" s="15" t="s">
        <v>3125</v>
      </c>
      <c r="F113" s="15" t="s">
        <v>276</v>
      </c>
      <c r="G113" s="15" t="s">
        <v>290</v>
      </c>
      <c r="H113" s="15" t="s">
        <v>2987</v>
      </c>
      <c r="I113" s="15">
        <v>0</v>
      </c>
      <c r="J113" s="15">
        <v>1</v>
      </c>
      <c r="K113" s="15">
        <v>0</v>
      </c>
      <c r="L113" s="15">
        <v>0</v>
      </c>
      <c r="M113" s="15">
        <v>0</v>
      </c>
      <c r="N113" s="15">
        <v>0</v>
      </c>
      <c r="O113" s="15">
        <v>0</v>
      </c>
      <c r="P113" s="15">
        <v>0</v>
      </c>
      <c r="Q113" s="15">
        <v>0</v>
      </c>
      <c r="R113" s="15">
        <v>0</v>
      </c>
    </row>
    <row r="114" spans="1:18" x14ac:dyDescent="0.2">
      <c r="A114" s="15">
        <v>113</v>
      </c>
      <c r="B114" s="38">
        <v>1</v>
      </c>
      <c r="C114" s="15" t="s">
        <v>281</v>
      </c>
      <c r="D114" s="15"/>
      <c r="E114" s="15" t="s">
        <v>3125</v>
      </c>
      <c r="F114" s="15" t="s">
        <v>276</v>
      </c>
      <c r="G114" s="15" t="s">
        <v>290</v>
      </c>
      <c r="H114" s="15" t="s">
        <v>2987</v>
      </c>
      <c r="I114" s="15">
        <v>0</v>
      </c>
      <c r="J114" s="15">
        <v>1</v>
      </c>
      <c r="K114" s="15">
        <v>0</v>
      </c>
      <c r="L114" s="15">
        <v>0</v>
      </c>
      <c r="M114" s="15">
        <v>0</v>
      </c>
      <c r="N114" s="15">
        <v>0</v>
      </c>
      <c r="O114" s="15">
        <v>0</v>
      </c>
      <c r="P114" s="15">
        <v>0</v>
      </c>
      <c r="Q114" s="15">
        <v>0</v>
      </c>
      <c r="R114" s="15">
        <v>0</v>
      </c>
    </row>
    <row r="115" spans="1:18" x14ac:dyDescent="0.2">
      <c r="A115" s="15">
        <v>114</v>
      </c>
      <c r="B115" s="38">
        <v>1</v>
      </c>
      <c r="C115" s="15" t="s">
        <v>282</v>
      </c>
      <c r="D115" s="15">
        <v>1</v>
      </c>
      <c r="E115" s="15" t="s">
        <v>3125</v>
      </c>
      <c r="F115" s="15" t="s">
        <v>276</v>
      </c>
      <c r="G115" s="15" t="s">
        <v>290</v>
      </c>
      <c r="H115" s="15" t="s">
        <v>2987</v>
      </c>
      <c r="I115" s="15">
        <v>0</v>
      </c>
      <c r="J115" s="15">
        <v>1</v>
      </c>
      <c r="K115" s="15">
        <v>0</v>
      </c>
      <c r="L115" s="15">
        <v>0</v>
      </c>
      <c r="M115" s="15">
        <v>0</v>
      </c>
      <c r="N115" s="15">
        <v>0</v>
      </c>
      <c r="O115" s="15">
        <v>0</v>
      </c>
      <c r="P115" s="15">
        <v>0</v>
      </c>
      <c r="Q115" s="15">
        <v>0</v>
      </c>
      <c r="R115" s="15">
        <v>0</v>
      </c>
    </row>
    <row r="116" spans="1:18" x14ac:dyDescent="0.2">
      <c r="A116" s="15">
        <v>115</v>
      </c>
      <c r="B116" s="38">
        <v>1</v>
      </c>
      <c r="C116" s="15" t="s">
        <v>283</v>
      </c>
      <c r="D116" s="15"/>
      <c r="E116" s="15" t="s">
        <v>3125</v>
      </c>
      <c r="F116" s="15" t="s">
        <v>276</v>
      </c>
      <c r="G116" s="15" t="s">
        <v>290</v>
      </c>
      <c r="H116" s="15" t="s">
        <v>2987</v>
      </c>
      <c r="I116" s="15">
        <v>0</v>
      </c>
      <c r="J116" s="15">
        <v>1</v>
      </c>
      <c r="K116" s="15">
        <v>0</v>
      </c>
      <c r="L116" s="15">
        <v>0</v>
      </c>
      <c r="M116" s="15">
        <v>0</v>
      </c>
      <c r="N116" s="15">
        <v>0</v>
      </c>
      <c r="O116" s="15">
        <v>0</v>
      </c>
      <c r="P116" s="15">
        <v>0</v>
      </c>
      <c r="Q116" s="15">
        <v>0</v>
      </c>
      <c r="R116" s="15">
        <v>0</v>
      </c>
    </row>
    <row r="117" spans="1:18" x14ac:dyDescent="0.2">
      <c r="A117" s="15">
        <v>116</v>
      </c>
      <c r="B117" s="38">
        <v>1</v>
      </c>
      <c r="C117" s="15" t="s">
        <v>284</v>
      </c>
      <c r="D117" s="15"/>
      <c r="E117" s="15" t="s">
        <v>3125</v>
      </c>
      <c r="F117" s="15" t="s">
        <v>276</v>
      </c>
      <c r="G117" s="15" t="s">
        <v>290</v>
      </c>
      <c r="H117" s="15" t="s">
        <v>2987</v>
      </c>
      <c r="I117" s="15">
        <v>0</v>
      </c>
      <c r="J117" s="15">
        <v>1</v>
      </c>
      <c r="K117" s="15">
        <v>0</v>
      </c>
      <c r="L117" s="15">
        <v>0</v>
      </c>
      <c r="M117" s="15">
        <v>0</v>
      </c>
      <c r="N117" s="15">
        <v>0</v>
      </c>
      <c r="O117" s="15">
        <v>0</v>
      </c>
      <c r="P117" s="15">
        <v>0</v>
      </c>
      <c r="Q117" s="15">
        <v>0</v>
      </c>
      <c r="R117" s="15">
        <v>0</v>
      </c>
    </row>
    <row r="118" spans="1:18" x14ac:dyDescent="0.2">
      <c r="A118" s="15">
        <v>117</v>
      </c>
      <c r="B118" s="38">
        <v>1</v>
      </c>
      <c r="C118" s="15" t="s">
        <v>285</v>
      </c>
      <c r="D118" s="15"/>
      <c r="E118" s="15" t="s">
        <v>3125</v>
      </c>
      <c r="F118" s="15" t="s">
        <v>276</v>
      </c>
      <c r="G118" s="15" t="s">
        <v>290</v>
      </c>
      <c r="H118" s="15" t="s">
        <v>2987</v>
      </c>
      <c r="I118" s="15">
        <v>0</v>
      </c>
      <c r="J118" s="15">
        <v>1</v>
      </c>
      <c r="K118" s="15">
        <v>0</v>
      </c>
      <c r="L118" s="15">
        <v>0</v>
      </c>
      <c r="M118" s="15">
        <v>0</v>
      </c>
      <c r="N118" s="15">
        <v>0</v>
      </c>
      <c r="O118" s="15">
        <v>0</v>
      </c>
      <c r="P118" s="15">
        <v>0</v>
      </c>
      <c r="Q118" s="15">
        <v>0</v>
      </c>
      <c r="R118" s="15">
        <v>0</v>
      </c>
    </row>
    <row r="119" spans="1:18" x14ac:dyDescent="0.2">
      <c r="A119" s="15">
        <v>118</v>
      </c>
      <c r="B119" s="38">
        <v>1</v>
      </c>
      <c r="C119" s="15" t="s">
        <v>286</v>
      </c>
      <c r="D119" s="15"/>
      <c r="E119" s="15" t="s">
        <v>3125</v>
      </c>
      <c r="F119" s="15" t="s">
        <v>276</v>
      </c>
      <c r="G119" s="15" t="s">
        <v>290</v>
      </c>
      <c r="H119" s="15" t="s">
        <v>2987</v>
      </c>
      <c r="I119" s="15">
        <v>0</v>
      </c>
      <c r="J119" s="15">
        <v>1</v>
      </c>
      <c r="K119" s="15">
        <v>0</v>
      </c>
      <c r="L119" s="15">
        <v>0</v>
      </c>
      <c r="M119" s="15">
        <v>0</v>
      </c>
      <c r="N119" s="15">
        <v>0</v>
      </c>
      <c r="O119" s="15">
        <v>0</v>
      </c>
      <c r="P119" s="15">
        <v>0</v>
      </c>
      <c r="Q119" s="15">
        <v>0</v>
      </c>
      <c r="R119" s="15">
        <v>0</v>
      </c>
    </row>
    <row r="120" spans="1:18" x14ac:dyDescent="0.2">
      <c r="A120" s="15">
        <v>119</v>
      </c>
      <c r="B120" s="38">
        <v>1</v>
      </c>
      <c r="C120" s="15" t="s">
        <v>287</v>
      </c>
      <c r="D120" s="15"/>
      <c r="E120" s="15" t="s">
        <v>3125</v>
      </c>
      <c r="F120" s="15" t="s">
        <v>276</v>
      </c>
      <c r="G120" s="15" t="s">
        <v>290</v>
      </c>
      <c r="H120" s="15" t="s">
        <v>2987</v>
      </c>
      <c r="I120" s="15">
        <v>0</v>
      </c>
      <c r="J120" s="15">
        <v>1</v>
      </c>
      <c r="K120" s="15">
        <v>0</v>
      </c>
      <c r="L120" s="15">
        <v>0</v>
      </c>
      <c r="M120" s="15">
        <v>0</v>
      </c>
      <c r="N120" s="15">
        <v>0</v>
      </c>
      <c r="O120" s="15">
        <v>0</v>
      </c>
      <c r="P120" s="15">
        <v>0</v>
      </c>
      <c r="Q120" s="15">
        <v>0</v>
      </c>
      <c r="R120" s="15">
        <v>0</v>
      </c>
    </row>
    <row r="121" spans="1:18" x14ac:dyDescent="0.2">
      <c r="A121" s="15">
        <v>120</v>
      </c>
      <c r="B121" s="38">
        <v>1</v>
      </c>
      <c r="C121" s="15" t="s">
        <v>288</v>
      </c>
      <c r="D121" s="15"/>
      <c r="E121" s="15" t="s">
        <v>3125</v>
      </c>
      <c r="F121" s="15" t="s">
        <v>276</v>
      </c>
      <c r="G121" s="15" t="s">
        <v>290</v>
      </c>
      <c r="H121" s="15" t="s">
        <v>2987</v>
      </c>
      <c r="I121" s="15">
        <v>0</v>
      </c>
      <c r="J121" s="15">
        <v>1</v>
      </c>
      <c r="K121" s="15">
        <v>0</v>
      </c>
      <c r="L121" s="15">
        <v>0</v>
      </c>
      <c r="M121" s="15">
        <v>0</v>
      </c>
      <c r="N121" s="15">
        <v>0</v>
      </c>
      <c r="O121" s="15">
        <v>0</v>
      </c>
      <c r="P121" s="15">
        <v>0</v>
      </c>
      <c r="Q121" s="15">
        <v>0</v>
      </c>
      <c r="R121" s="15">
        <v>0</v>
      </c>
    </row>
    <row r="122" spans="1:18" x14ac:dyDescent="0.2">
      <c r="A122" s="15">
        <v>121</v>
      </c>
      <c r="B122" s="38">
        <v>1</v>
      </c>
      <c r="C122" s="15" t="s">
        <v>289</v>
      </c>
      <c r="D122" s="15"/>
      <c r="E122" s="15" t="s">
        <v>3125</v>
      </c>
      <c r="F122" s="15" t="s">
        <v>276</v>
      </c>
      <c r="G122" s="15" t="s">
        <v>290</v>
      </c>
      <c r="H122" s="15" t="s">
        <v>2987</v>
      </c>
      <c r="I122" s="15">
        <v>0</v>
      </c>
      <c r="J122" s="15">
        <v>1</v>
      </c>
      <c r="K122" s="15">
        <v>0</v>
      </c>
      <c r="L122" s="15">
        <v>0</v>
      </c>
      <c r="M122" s="15">
        <v>0</v>
      </c>
      <c r="N122" s="15">
        <v>0</v>
      </c>
      <c r="O122" s="15">
        <v>0</v>
      </c>
      <c r="P122" s="15">
        <v>0</v>
      </c>
      <c r="Q122" s="15">
        <v>0</v>
      </c>
      <c r="R122" s="15">
        <v>0</v>
      </c>
    </row>
    <row r="123" spans="1:18" x14ac:dyDescent="0.2">
      <c r="A123" s="15">
        <v>122</v>
      </c>
      <c r="B123" s="38">
        <v>1</v>
      </c>
      <c r="C123" s="15" t="s">
        <v>293</v>
      </c>
      <c r="D123" s="15"/>
      <c r="E123" s="15" t="s">
        <v>3126</v>
      </c>
      <c r="F123" s="15" t="s">
        <v>292</v>
      </c>
      <c r="G123" s="15" t="s">
        <v>294</v>
      </c>
      <c r="H123" s="15" t="s">
        <v>2988</v>
      </c>
      <c r="I123" s="15">
        <v>0</v>
      </c>
      <c r="J123" s="15">
        <v>1</v>
      </c>
      <c r="K123" s="15">
        <v>0</v>
      </c>
      <c r="L123" s="15">
        <v>0</v>
      </c>
      <c r="M123" s="15">
        <v>-1</v>
      </c>
      <c r="N123" s="15">
        <v>0</v>
      </c>
      <c r="O123" s="15">
        <v>0</v>
      </c>
      <c r="P123" s="15">
        <v>0</v>
      </c>
      <c r="Q123" s="15">
        <v>0</v>
      </c>
      <c r="R123" s="15">
        <v>0</v>
      </c>
    </row>
    <row r="124" spans="1:18" x14ac:dyDescent="0.2">
      <c r="A124" s="15">
        <v>123</v>
      </c>
      <c r="B124" s="38">
        <v>1</v>
      </c>
      <c r="C124" s="15" t="s">
        <v>296</v>
      </c>
      <c r="D124" s="15">
        <v>2</v>
      </c>
      <c r="E124" s="15" t="s">
        <v>3127</v>
      </c>
      <c r="F124" s="15" t="s">
        <v>295</v>
      </c>
      <c r="G124" s="15" t="s">
        <v>297</v>
      </c>
      <c r="H124" s="15" t="s">
        <v>2989</v>
      </c>
      <c r="I124" s="15">
        <v>0</v>
      </c>
      <c r="J124" s="15">
        <v>1</v>
      </c>
      <c r="K124" s="15">
        <v>-1</v>
      </c>
      <c r="L124" s="15">
        <v>0</v>
      </c>
      <c r="M124" s="15">
        <v>0</v>
      </c>
      <c r="N124" s="15">
        <v>0</v>
      </c>
      <c r="O124" s="15">
        <v>0</v>
      </c>
      <c r="P124" s="15">
        <v>0</v>
      </c>
      <c r="Q124" s="15">
        <v>0</v>
      </c>
      <c r="R124" s="15">
        <v>0</v>
      </c>
    </row>
    <row r="125" spans="1:18" x14ac:dyDescent="0.2">
      <c r="A125" s="15">
        <v>124</v>
      </c>
      <c r="B125" s="38">
        <v>1</v>
      </c>
      <c r="C125" s="15" t="s">
        <v>299</v>
      </c>
      <c r="D125" s="15">
        <v>2</v>
      </c>
      <c r="E125" s="15" t="s">
        <v>3128</v>
      </c>
      <c r="F125" s="15" t="s">
        <v>298</v>
      </c>
      <c r="G125" s="15" t="s">
        <v>300</v>
      </c>
      <c r="H125" s="15" t="s">
        <v>2990</v>
      </c>
      <c r="I125" s="15">
        <v>0</v>
      </c>
      <c r="J125" s="15">
        <v>1</v>
      </c>
      <c r="K125" s="15">
        <v>-2</v>
      </c>
      <c r="L125" s="15">
        <v>0</v>
      </c>
      <c r="M125" s="15">
        <v>0</v>
      </c>
      <c r="N125" s="15">
        <v>0</v>
      </c>
      <c r="O125" s="15">
        <v>0</v>
      </c>
      <c r="P125" s="15">
        <v>0</v>
      </c>
      <c r="Q125" s="15">
        <v>0</v>
      </c>
      <c r="R125" s="15">
        <v>0</v>
      </c>
    </row>
    <row r="126" spans="1:18" x14ac:dyDescent="0.2">
      <c r="A126" s="15">
        <v>125</v>
      </c>
      <c r="B126" s="38">
        <v>1</v>
      </c>
      <c r="C126" s="15" t="s">
        <v>302</v>
      </c>
      <c r="D126" s="15">
        <v>2</v>
      </c>
      <c r="E126" s="15" t="s">
        <v>3129</v>
      </c>
      <c r="F126" s="15" t="s">
        <v>301</v>
      </c>
      <c r="G126" s="15" t="s">
        <v>303</v>
      </c>
      <c r="H126" s="15" t="s">
        <v>2931</v>
      </c>
      <c r="I126" s="15">
        <v>0</v>
      </c>
      <c r="J126" s="15">
        <v>2</v>
      </c>
      <c r="K126" s="15">
        <v>0</v>
      </c>
      <c r="L126" s="15">
        <v>0</v>
      </c>
      <c r="M126" s="15">
        <v>0</v>
      </c>
      <c r="N126" s="15">
        <v>0</v>
      </c>
      <c r="O126" s="15">
        <v>0</v>
      </c>
      <c r="P126" s="15">
        <v>0</v>
      </c>
      <c r="Q126" s="15">
        <v>0</v>
      </c>
      <c r="R126" s="15">
        <v>0</v>
      </c>
    </row>
    <row r="127" spans="1:18" x14ac:dyDescent="0.2">
      <c r="A127" s="15">
        <v>126</v>
      </c>
      <c r="B127" s="38">
        <v>1</v>
      </c>
      <c r="C127" s="15" t="s">
        <v>305</v>
      </c>
      <c r="D127" s="15"/>
      <c r="E127" s="15" t="s">
        <v>3130</v>
      </c>
      <c r="F127" s="15" t="s">
        <v>304</v>
      </c>
      <c r="G127" s="15" t="s">
        <v>306</v>
      </c>
      <c r="H127" s="15" t="s">
        <v>2991</v>
      </c>
      <c r="I127" s="15">
        <v>-1</v>
      </c>
      <c r="J127" s="15">
        <v>2</v>
      </c>
      <c r="K127" s="15">
        <v>0</v>
      </c>
      <c r="L127" s="15">
        <v>0</v>
      </c>
      <c r="M127" s="15">
        <v>0</v>
      </c>
      <c r="N127" s="15">
        <v>0</v>
      </c>
      <c r="O127" s="15">
        <v>0</v>
      </c>
      <c r="P127" s="15">
        <v>0</v>
      </c>
      <c r="Q127" s="15">
        <v>0</v>
      </c>
      <c r="R127" s="15">
        <v>0</v>
      </c>
    </row>
    <row r="128" spans="1:18" x14ac:dyDescent="0.2">
      <c r="A128" s="15">
        <v>127</v>
      </c>
      <c r="B128" s="38">
        <v>1</v>
      </c>
      <c r="C128" s="15" t="s">
        <v>308</v>
      </c>
      <c r="D128" s="15"/>
      <c r="E128" s="15" t="s">
        <v>3131</v>
      </c>
      <c r="F128" s="15" t="s">
        <v>307</v>
      </c>
      <c r="G128" s="15" t="s">
        <v>309</v>
      </c>
      <c r="H128" s="15" t="s">
        <v>2992</v>
      </c>
      <c r="I128" s="15">
        <v>0</v>
      </c>
      <c r="J128" s="15">
        <v>2</v>
      </c>
      <c r="K128" s="15">
        <v>0</v>
      </c>
      <c r="L128" s="15">
        <v>0</v>
      </c>
      <c r="M128" s="15">
        <v>0</v>
      </c>
      <c r="N128" s="15">
        <v>-1</v>
      </c>
      <c r="O128" s="15">
        <v>0</v>
      </c>
      <c r="P128" s="15">
        <v>0</v>
      </c>
      <c r="Q128" s="15">
        <v>0</v>
      </c>
      <c r="R128" s="15">
        <v>0</v>
      </c>
    </row>
    <row r="129" spans="1:18" x14ac:dyDescent="0.2">
      <c r="A129" s="15">
        <v>128</v>
      </c>
      <c r="B129" s="38">
        <v>1</v>
      </c>
      <c r="C129" s="15" t="s">
        <v>311</v>
      </c>
      <c r="D129" s="15"/>
      <c r="E129" s="15" t="s">
        <v>3132</v>
      </c>
      <c r="F129" s="15" t="s">
        <v>310</v>
      </c>
      <c r="G129" s="15" t="s">
        <v>313</v>
      </c>
      <c r="H129" s="15" t="s">
        <v>2993</v>
      </c>
      <c r="I129" s="15">
        <v>-1</v>
      </c>
      <c r="J129" s="15">
        <v>3</v>
      </c>
      <c r="K129" s="15">
        <v>1</v>
      </c>
      <c r="L129" s="15">
        <v>0</v>
      </c>
      <c r="M129" s="15">
        <v>0</v>
      </c>
      <c r="N129" s="15">
        <v>0</v>
      </c>
      <c r="O129" s="15">
        <v>0</v>
      </c>
      <c r="P129" s="15">
        <v>0</v>
      </c>
      <c r="Q129" s="15">
        <v>0</v>
      </c>
      <c r="R129" s="15">
        <v>0</v>
      </c>
    </row>
    <row r="130" spans="1:18" x14ac:dyDescent="0.2">
      <c r="A130" s="15">
        <v>129</v>
      </c>
      <c r="B130" s="38">
        <v>1</v>
      </c>
      <c r="C130" s="15" t="s">
        <v>312</v>
      </c>
      <c r="D130" s="15"/>
      <c r="E130" s="15" t="s">
        <v>3132</v>
      </c>
      <c r="F130" s="15" t="s">
        <v>310</v>
      </c>
      <c r="G130" s="15" t="s">
        <v>313</v>
      </c>
      <c r="H130" s="15" t="s">
        <v>2993</v>
      </c>
      <c r="I130" s="15">
        <v>-1</v>
      </c>
      <c r="J130" s="15">
        <v>3</v>
      </c>
      <c r="K130" s="15">
        <v>1</v>
      </c>
      <c r="L130" s="15">
        <v>0</v>
      </c>
      <c r="M130" s="15">
        <v>0</v>
      </c>
      <c r="N130" s="15">
        <v>0</v>
      </c>
      <c r="O130" s="15">
        <v>0</v>
      </c>
      <c r="P130" s="15">
        <v>0</v>
      </c>
      <c r="Q130" s="15">
        <v>0</v>
      </c>
      <c r="R130" s="15">
        <v>0</v>
      </c>
    </row>
    <row r="131" spans="1:18" x14ac:dyDescent="0.2">
      <c r="A131" s="15">
        <v>130</v>
      </c>
      <c r="B131" s="38">
        <v>1</v>
      </c>
      <c r="C131" s="15" t="s">
        <v>315</v>
      </c>
      <c r="D131" s="15"/>
      <c r="E131" s="15" t="s">
        <v>3133</v>
      </c>
      <c r="F131" s="15" t="s">
        <v>314</v>
      </c>
      <c r="G131" s="15" t="s">
        <v>319</v>
      </c>
      <c r="H131" s="15" t="s">
        <v>2994</v>
      </c>
      <c r="I131" s="15">
        <v>0</v>
      </c>
      <c r="J131" s="15">
        <v>2</v>
      </c>
      <c r="K131" s="15">
        <v>-1</v>
      </c>
      <c r="L131" s="15">
        <v>0</v>
      </c>
      <c r="M131" s="15">
        <v>0</v>
      </c>
      <c r="N131" s="15">
        <v>0</v>
      </c>
      <c r="O131" s="15">
        <v>0</v>
      </c>
      <c r="P131" s="15">
        <v>0</v>
      </c>
      <c r="Q131" s="15">
        <v>0</v>
      </c>
      <c r="R131" s="15">
        <v>0</v>
      </c>
    </row>
    <row r="132" spans="1:18" x14ac:dyDescent="0.2">
      <c r="A132" s="15">
        <v>131</v>
      </c>
      <c r="B132" s="38">
        <v>1</v>
      </c>
      <c r="C132" s="15" t="s">
        <v>316</v>
      </c>
      <c r="D132" s="15"/>
      <c r="E132" s="15" t="s">
        <v>3133</v>
      </c>
      <c r="F132" s="15" t="s">
        <v>314</v>
      </c>
      <c r="G132" s="15" t="s">
        <v>319</v>
      </c>
      <c r="H132" s="15" t="s">
        <v>2994</v>
      </c>
      <c r="I132" s="15">
        <v>0</v>
      </c>
      <c r="J132" s="15">
        <v>2</v>
      </c>
      <c r="K132" s="15">
        <v>-1</v>
      </c>
      <c r="L132" s="15">
        <v>0</v>
      </c>
      <c r="M132" s="15">
        <v>0</v>
      </c>
      <c r="N132" s="15">
        <v>0</v>
      </c>
      <c r="O132" s="15">
        <v>0</v>
      </c>
      <c r="P132" s="15">
        <v>0</v>
      </c>
      <c r="Q132" s="15">
        <v>0</v>
      </c>
      <c r="R132" s="15">
        <v>0</v>
      </c>
    </row>
    <row r="133" spans="1:18" x14ac:dyDescent="0.2">
      <c r="A133" s="15">
        <v>132</v>
      </c>
      <c r="B133" s="38">
        <v>1</v>
      </c>
      <c r="C133" s="15" t="s">
        <v>317</v>
      </c>
      <c r="D133" s="15"/>
      <c r="E133" s="15" t="s">
        <v>3133</v>
      </c>
      <c r="F133" s="15" t="s">
        <v>314</v>
      </c>
      <c r="G133" s="15" t="s">
        <v>319</v>
      </c>
      <c r="H133" s="15" t="s">
        <v>2994</v>
      </c>
      <c r="I133" s="15">
        <v>0</v>
      </c>
      <c r="J133" s="15">
        <v>2</v>
      </c>
      <c r="K133" s="15">
        <v>-1</v>
      </c>
      <c r="L133" s="15">
        <v>0</v>
      </c>
      <c r="M133" s="15">
        <v>0</v>
      </c>
      <c r="N133" s="15">
        <v>0</v>
      </c>
      <c r="O133" s="15">
        <v>0</v>
      </c>
      <c r="P133" s="15">
        <v>0</v>
      </c>
      <c r="Q133" s="15">
        <v>0</v>
      </c>
      <c r="R133" s="15">
        <v>0</v>
      </c>
    </row>
    <row r="134" spans="1:18" x14ac:dyDescent="0.2">
      <c r="A134" s="15">
        <v>133</v>
      </c>
      <c r="B134" s="38">
        <v>1</v>
      </c>
      <c r="C134" s="15" t="s">
        <v>318</v>
      </c>
      <c r="D134" s="15">
        <v>2</v>
      </c>
      <c r="E134" s="15" t="s">
        <v>3133</v>
      </c>
      <c r="F134" s="15" t="s">
        <v>314</v>
      </c>
      <c r="G134" s="15" t="s">
        <v>319</v>
      </c>
      <c r="H134" s="15" t="s">
        <v>2994</v>
      </c>
      <c r="I134" s="15">
        <v>0</v>
      </c>
      <c r="J134" s="15">
        <v>2</v>
      </c>
      <c r="K134" s="15">
        <v>-1</v>
      </c>
      <c r="L134" s="15">
        <v>0</v>
      </c>
      <c r="M134" s="15">
        <v>0</v>
      </c>
      <c r="N134" s="15">
        <v>0</v>
      </c>
      <c r="O134" s="15">
        <v>0</v>
      </c>
      <c r="P134" s="15">
        <v>0</v>
      </c>
      <c r="Q134" s="15">
        <v>0</v>
      </c>
      <c r="R134" s="15">
        <v>0</v>
      </c>
    </row>
    <row r="135" spans="1:18" x14ac:dyDescent="0.2">
      <c r="A135" s="15">
        <v>134</v>
      </c>
      <c r="B135" s="38">
        <v>1</v>
      </c>
      <c r="C135" s="15" t="s">
        <v>321</v>
      </c>
      <c r="D135" s="15">
        <v>2</v>
      </c>
      <c r="E135" s="15" t="s">
        <v>3134</v>
      </c>
      <c r="F135" s="15" t="s">
        <v>320</v>
      </c>
      <c r="G135" s="15" t="s">
        <v>322</v>
      </c>
      <c r="H135" s="15" t="s">
        <v>2995</v>
      </c>
      <c r="I135" s="15">
        <v>0</v>
      </c>
      <c r="J135" s="15">
        <v>3</v>
      </c>
      <c r="K135" s="15">
        <v>0</v>
      </c>
      <c r="L135" s="15">
        <v>0</v>
      </c>
      <c r="M135" s="15">
        <v>0</v>
      </c>
      <c r="N135" s="15">
        <v>0</v>
      </c>
      <c r="O135" s="15">
        <v>0</v>
      </c>
      <c r="P135" s="15">
        <v>0</v>
      </c>
      <c r="Q135" s="15">
        <v>0</v>
      </c>
      <c r="R135" s="15">
        <v>0</v>
      </c>
    </row>
    <row r="136" spans="1:18" x14ac:dyDescent="0.2">
      <c r="A136" s="15">
        <v>135</v>
      </c>
      <c r="B136" s="38">
        <v>1</v>
      </c>
      <c r="C136" s="15" t="s">
        <v>324</v>
      </c>
      <c r="D136" s="15"/>
      <c r="E136" s="15" t="s">
        <v>3135</v>
      </c>
      <c r="F136" s="15" t="s">
        <v>323</v>
      </c>
      <c r="G136" s="15" t="s">
        <v>325</v>
      </c>
      <c r="H136" s="15" t="s">
        <v>2996</v>
      </c>
      <c r="I136" s="15">
        <v>-1</v>
      </c>
      <c r="J136" s="15">
        <v>1</v>
      </c>
      <c r="K136" s="15">
        <v>2</v>
      </c>
      <c r="L136" s="15">
        <v>0</v>
      </c>
      <c r="M136" s="15">
        <v>0</v>
      </c>
      <c r="N136" s="15">
        <v>0</v>
      </c>
      <c r="O136" s="15">
        <v>0</v>
      </c>
      <c r="P136" s="15">
        <v>0</v>
      </c>
      <c r="Q136" s="15">
        <v>0</v>
      </c>
      <c r="R136" s="15">
        <v>0</v>
      </c>
    </row>
    <row r="137" spans="1:18" x14ac:dyDescent="0.2">
      <c r="A137" s="15">
        <v>136</v>
      </c>
      <c r="B137" s="38">
        <v>1</v>
      </c>
      <c r="C137" s="15" t="s">
        <v>327</v>
      </c>
      <c r="D137" s="15">
        <v>2</v>
      </c>
      <c r="E137" s="15" t="s">
        <v>3136</v>
      </c>
      <c r="F137" s="15" t="s">
        <v>326</v>
      </c>
      <c r="G137" s="15" t="s">
        <v>329</v>
      </c>
      <c r="H137" s="15" t="s">
        <v>2997</v>
      </c>
      <c r="I137" s="15">
        <v>-1</v>
      </c>
      <c r="J137" s="15">
        <v>3</v>
      </c>
      <c r="K137" s="15">
        <v>0</v>
      </c>
      <c r="L137" s="15">
        <v>0</v>
      </c>
      <c r="M137" s="15">
        <v>0</v>
      </c>
      <c r="N137" s="15">
        <v>0</v>
      </c>
      <c r="O137" s="15">
        <v>0</v>
      </c>
      <c r="P137" s="15">
        <v>0</v>
      </c>
      <c r="Q137" s="15">
        <v>0</v>
      </c>
      <c r="R137" s="15">
        <v>0</v>
      </c>
    </row>
    <row r="138" spans="1:18" x14ac:dyDescent="0.2">
      <c r="A138" s="15">
        <v>137</v>
      </c>
      <c r="B138" s="38">
        <v>1</v>
      </c>
      <c r="C138" s="15" t="s">
        <v>328</v>
      </c>
      <c r="D138" s="15"/>
      <c r="E138" s="15" t="s">
        <v>3136</v>
      </c>
      <c r="F138" s="15" t="s">
        <v>326</v>
      </c>
      <c r="G138" s="15" t="s">
        <v>329</v>
      </c>
      <c r="H138" s="15" t="s">
        <v>2997</v>
      </c>
      <c r="I138" s="15">
        <v>-1</v>
      </c>
      <c r="J138" s="15">
        <v>3</v>
      </c>
      <c r="K138" s="15">
        <v>0</v>
      </c>
      <c r="L138" s="15">
        <v>0</v>
      </c>
      <c r="M138" s="15">
        <v>0</v>
      </c>
      <c r="N138" s="15">
        <v>0</v>
      </c>
      <c r="O138" s="15">
        <v>0</v>
      </c>
      <c r="P138" s="15">
        <v>0</v>
      </c>
      <c r="Q138" s="15">
        <v>0</v>
      </c>
      <c r="R138" s="15">
        <v>0</v>
      </c>
    </row>
    <row r="139" spans="1:18" x14ac:dyDescent="0.2">
      <c r="A139" s="15">
        <v>138</v>
      </c>
      <c r="B139" s="38">
        <v>1</v>
      </c>
      <c r="C139" s="15" t="s">
        <v>331</v>
      </c>
      <c r="D139" s="15"/>
      <c r="E139" s="15" t="s">
        <v>3137</v>
      </c>
      <c r="F139" s="15" t="s">
        <v>330</v>
      </c>
      <c r="G139" s="15" t="s">
        <v>332</v>
      </c>
      <c r="H139" s="15" t="s">
        <v>2998</v>
      </c>
      <c r="I139" s="15">
        <v>0</v>
      </c>
      <c r="J139" s="15">
        <v>3</v>
      </c>
      <c r="K139" s="15">
        <v>0</v>
      </c>
      <c r="L139" s="15">
        <v>0</v>
      </c>
      <c r="M139" s="15">
        <v>0</v>
      </c>
      <c r="N139" s="15">
        <v>-1</v>
      </c>
      <c r="O139" s="15">
        <v>0</v>
      </c>
      <c r="P139" s="15">
        <v>0</v>
      </c>
      <c r="Q139" s="15">
        <v>0</v>
      </c>
      <c r="R139" s="15">
        <v>0</v>
      </c>
    </row>
    <row r="140" spans="1:18" x14ac:dyDescent="0.2">
      <c r="A140" s="15">
        <v>139</v>
      </c>
      <c r="B140" s="38">
        <v>1</v>
      </c>
      <c r="C140" s="15" t="s">
        <v>334</v>
      </c>
      <c r="D140" s="15"/>
      <c r="E140" s="15" t="s">
        <v>3138</v>
      </c>
      <c r="F140" s="15" t="s">
        <v>333</v>
      </c>
      <c r="G140" s="15" t="s">
        <v>335</v>
      </c>
      <c r="H140" s="15" t="s">
        <v>2999</v>
      </c>
      <c r="I140" s="15">
        <v>-1</v>
      </c>
      <c r="J140" s="15">
        <v>4</v>
      </c>
      <c r="K140" s="15">
        <v>1</v>
      </c>
      <c r="L140" s="15">
        <v>0</v>
      </c>
      <c r="M140" s="15">
        <v>0</v>
      </c>
      <c r="N140" s="15">
        <v>0</v>
      </c>
      <c r="O140" s="15">
        <v>0</v>
      </c>
      <c r="P140" s="15">
        <v>0</v>
      </c>
      <c r="Q140" s="15">
        <v>0</v>
      </c>
      <c r="R140" s="15">
        <v>0</v>
      </c>
    </row>
    <row r="141" spans="1:18" x14ac:dyDescent="0.2">
      <c r="A141" s="15">
        <v>140</v>
      </c>
      <c r="B141" s="38">
        <v>1</v>
      </c>
      <c r="C141" s="15" t="s">
        <v>340</v>
      </c>
      <c r="D141" s="15"/>
      <c r="E141" s="15" t="s">
        <v>3139</v>
      </c>
      <c r="F141" s="15" t="s">
        <v>339</v>
      </c>
      <c r="G141" s="15" t="s">
        <v>341</v>
      </c>
      <c r="H141" s="15" t="s">
        <v>3003</v>
      </c>
      <c r="I141" s="15">
        <v>-2</v>
      </c>
      <c r="J141" s="15">
        <v>5</v>
      </c>
      <c r="K141" s="15">
        <v>2</v>
      </c>
      <c r="L141" s="15">
        <v>0</v>
      </c>
      <c r="M141" s="15">
        <v>0</v>
      </c>
      <c r="N141" s="15">
        <v>0</v>
      </c>
      <c r="O141" s="15">
        <v>0</v>
      </c>
      <c r="P141" s="15">
        <v>0</v>
      </c>
      <c r="Q141" s="15">
        <v>0</v>
      </c>
      <c r="R141" s="15">
        <v>0</v>
      </c>
    </row>
    <row r="142" spans="1:18" x14ac:dyDescent="0.2">
      <c r="A142" s="15">
        <v>141</v>
      </c>
      <c r="B142" s="38">
        <v>1</v>
      </c>
      <c r="C142" s="15" t="s">
        <v>343</v>
      </c>
      <c r="D142" s="15">
        <v>2</v>
      </c>
      <c r="E142" s="15" t="s">
        <v>3140</v>
      </c>
      <c r="F142" s="15" t="s">
        <v>342</v>
      </c>
      <c r="G142" s="15" t="s">
        <v>344</v>
      </c>
      <c r="H142" s="15" t="s">
        <v>3000</v>
      </c>
      <c r="I142" s="15">
        <v>0</v>
      </c>
      <c r="J142" s="15">
        <v>3</v>
      </c>
      <c r="K142" s="15">
        <v>-1</v>
      </c>
      <c r="L142" s="15">
        <v>0</v>
      </c>
      <c r="M142" s="15">
        <v>0</v>
      </c>
      <c r="N142" s="15">
        <v>0</v>
      </c>
      <c r="O142" s="15">
        <v>0</v>
      </c>
      <c r="P142" s="15">
        <v>0</v>
      </c>
      <c r="Q142" s="15">
        <v>0</v>
      </c>
      <c r="R142" s="15">
        <v>0</v>
      </c>
    </row>
    <row r="143" spans="1:18" x14ac:dyDescent="0.2">
      <c r="A143" s="15">
        <v>142</v>
      </c>
      <c r="B143" s="38">
        <v>1</v>
      </c>
      <c r="C143" s="15" t="s">
        <v>346</v>
      </c>
      <c r="D143" s="15"/>
      <c r="E143" s="15" t="s">
        <v>3141</v>
      </c>
      <c r="F143" s="15" t="s">
        <v>345</v>
      </c>
      <c r="G143" s="15" t="s">
        <v>347</v>
      </c>
      <c r="H143" s="15" t="s">
        <v>3001</v>
      </c>
      <c r="I143" s="15">
        <v>0</v>
      </c>
      <c r="J143" s="15">
        <v>3</v>
      </c>
      <c r="K143" s="15">
        <v>-2</v>
      </c>
      <c r="L143" s="15">
        <v>0</v>
      </c>
      <c r="M143" s="15">
        <v>0</v>
      </c>
      <c r="N143" s="15">
        <v>0</v>
      </c>
      <c r="O143" s="15">
        <v>0</v>
      </c>
      <c r="P143" s="15">
        <v>0</v>
      </c>
      <c r="Q143" s="15">
        <v>0</v>
      </c>
      <c r="R143" s="15">
        <v>0</v>
      </c>
    </row>
    <row r="144" spans="1:18" x14ac:dyDescent="0.2">
      <c r="A144" s="15">
        <v>143</v>
      </c>
      <c r="B144" s="38">
        <v>1</v>
      </c>
      <c r="C144" s="15" t="s">
        <v>3203</v>
      </c>
      <c r="D144" s="15"/>
      <c r="E144" s="15" t="s">
        <v>3205</v>
      </c>
      <c r="F144" s="15" t="s">
        <v>348</v>
      </c>
      <c r="G144" s="15" t="s">
        <v>350</v>
      </c>
      <c r="H144" s="15" t="s">
        <v>4463</v>
      </c>
      <c r="I144" s="15">
        <v>0</v>
      </c>
      <c r="J144" s="15">
        <v>0</v>
      </c>
      <c r="K144" s="15">
        <v>0</v>
      </c>
      <c r="L144" s="15">
        <v>0</v>
      </c>
      <c r="M144" s="15">
        <v>0</v>
      </c>
      <c r="N144" s="15">
        <v>0</v>
      </c>
      <c r="O144" s="15">
        <v>0</v>
      </c>
      <c r="P144" s="15">
        <v>0</v>
      </c>
      <c r="Q144" s="15">
        <v>0</v>
      </c>
      <c r="R144" s="15">
        <v>0</v>
      </c>
    </row>
    <row r="145" spans="1:18" x14ac:dyDescent="0.2">
      <c r="A145" s="15">
        <v>144</v>
      </c>
      <c r="B145" s="38">
        <v>1</v>
      </c>
      <c r="C145" s="15" t="s">
        <v>3204</v>
      </c>
      <c r="D145" s="15"/>
      <c r="E145" s="15" t="s">
        <v>3206</v>
      </c>
      <c r="F145" s="15" t="s">
        <v>351</v>
      </c>
      <c r="G145" s="15" t="s">
        <v>352</v>
      </c>
      <c r="H145" s="15" t="s">
        <v>4395</v>
      </c>
      <c r="I145" s="15">
        <v>0</v>
      </c>
      <c r="J145" s="15">
        <v>0</v>
      </c>
      <c r="K145" s="15">
        <v>0</v>
      </c>
      <c r="L145" s="15">
        <v>0</v>
      </c>
      <c r="M145" s="15">
        <v>0</v>
      </c>
      <c r="N145" s="15">
        <v>0</v>
      </c>
      <c r="O145" s="15">
        <v>0</v>
      </c>
      <c r="P145" s="15">
        <v>0</v>
      </c>
      <c r="Q145" s="15">
        <v>0</v>
      </c>
      <c r="R145" s="15">
        <v>0</v>
      </c>
    </row>
    <row r="146" spans="1:18" x14ac:dyDescent="0.2">
      <c r="A146" s="15">
        <v>145</v>
      </c>
      <c r="B146" s="38">
        <v>1</v>
      </c>
      <c r="C146" s="15" t="s">
        <v>354</v>
      </c>
      <c r="D146" s="15"/>
      <c r="E146" s="15" t="s">
        <v>3142</v>
      </c>
      <c r="F146" s="15" t="s">
        <v>353</v>
      </c>
      <c r="G146" s="15" t="s">
        <v>356</v>
      </c>
      <c r="H146" s="15" t="s">
        <v>3004</v>
      </c>
      <c r="I146" s="15">
        <v>0</v>
      </c>
      <c r="J146" s="15">
        <v>4</v>
      </c>
      <c r="K146" s="15">
        <v>0</v>
      </c>
      <c r="L146" s="15">
        <v>0</v>
      </c>
      <c r="M146" s="15">
        <v>0</v>
      </c>
      <c r="N146" s="15">
        <v>0</v>
      </c>
      <c r="O146" s="15">
        <v>0</v>
      </c>
      <c r="P146" s="15">
        <v>0</v>
      </c>
      <c r="Q146" s="15">
        <v>0</v>
      </c>
      <c r="R146" s="15">
        <v>0</v>
      </c>
    </row>
    <row r="147" spans="1:18" x14ac:dyDescent="0.2">
      <c r="A147" s="15">
        <v>146</v>
      </c>
      <c r="B147" s="38">
        <v>1</v>
      </c>
      <c r="C147" s="15" t="s">
        <v>355</v>
      </c>
      <c r="D147" s="15"/>
      <c r="E147" s="15" t="s">
        <v>3142</v>
      </c>
      <c r="F147" s="15" t="s">
        <v>353</v>
      </c>
      <c r="G147" s="15" t="s">
        <v>356</v>
      </c>
      <c r="H147" s="15" t="s">
        <v>3004</v>
      </c>
      <c r="I147" s="15">
        <v>0</v>
      </c>
      <c r="J147" s="15">
        <v>4</v>
      </c>
      <c r="K147" s="15">
        <v>0</v>
      </c>
      <c r="L147" s="15">
        <v>0</v>
      </c>
      <c r="M147" s="15">
        <v>0</v>
      </c>
      <c r="N147" s="15">
        <v>0</v>
      </c>
      <c r="O147" s="15">
        <v>0</v>
      </c>
      <c r="P147" s="15">
        <v>0</v>
      </c>
      <c r="Q147" s="15">
        <v>0</v>
      </c>
      <c r="R147" s="15">
        <v>0</v>
      </c>
    </row>
    <row r="148" spans="1:18" x14ac:dyDescent="0.2">
      <c r="A148" s="15">
        <v>147</v>
      </c>
      <c r="B148" s="38">
        <v>1</v>
      </c>
      <c r="C148" s="15" t="s">
        <v>358</v>
      </c>
      <c r="D148" s="15"/>
      <c r="E148" s="15" t="s">
        <v>3143</v>
      </c>
      <c r="F148" s="15" t="s">
        <v>357</v>
      </c>
      <c r="G148" s="15" t="s">
        <v>359</v>
      </c>
      <c r="H148" s="15" t="s">
        <v>3005</v>
      </c>
      <c r="I148" s="15">
        <v>0</v>
      </c>
      <c r="J148" s="15">
        <v>4</v>
      </c>
      <c r="K148" s="15">
        <v>-1</v>
      </c>
      <c r="L148" s="15">
        <v>0</v>
      </c>
      <c r="M148" s="15">
        <v>0</v>
      </c>
      <c r="N148" s="15">
        <v>0</v>
      </c>
      <c r="O148" s="15">
        <v>0</v>
      </c>
      <c r="P148" s="15">
        <v>0</v>
      </c>
      <c r="Q148" s="15">
        <v>0</v>
      </c>
      <c r="R148" s="15">
        <v>0</v>
      </c>
    </row>
    <row r="149" spans="1:18" x14ac:dyDescent="0.2">
      <c r="A149" s="15">
        <v>148</v>
      </c>
      <c r="B149" s="38">
        <v>1</v>
      </c>
      <c r="C149" s="15" t="s">
        <v>361</v>
      </c>
      <c r="D149" s="15">
        <v>2</v>
      </c>
      <c r="E149" s="15" t="s">
        <v>3144</v>
      </c>
      <c r="F149" s="15" t="s">
        <v>360</v>
      </c>
      <c r="G149" s="15" t="s">
        <v>362</v>
      </c>
      <c r="H149" s="15" t="s">
        <v>3006</v>
      </c>
      <c r="I149" s="15">
        <v>0</v>
      </c>
      <c r="J149" s="15">
        <v>0</v>
      </c>
      <c r="K149" s="15">
        <v>0</v>
      </c>
      <c r="L149" s="15">
        <v>0</v>
      </c>
      <c r="M149" s="15">
        <v>0</v>
      </c>
      <c r="N149" s="15">
        <v>1</v>
      </c>
      <c r="O149" s="15">
        <v>0</v>
      </c>
      <c r="P149" s="15">
        <v>0</v>
      </c>
      <c r="Q149" s="15">
        <v>0</v>
      </c>
      <c r="R149" s="15">
        <v>0</v>
      </c>
    </row>
    <row r="150" spans="1:18" x14ac:dyDescent="0.2">
      <c r="A150" s="15">
        <v>149</v>
      </c>
      <c r="B150" s="38">
        <v>1</v>
      </c>
      <c r="C150" s="15" t="s">
        <v>365</v>
      </c>
      <c r="D150" s="15"/>
      <c r="E150" s="15" t="s">
        <v>3145</v>
      </c>
      <c r="F150" s="15" t="s">
        <v>364</v>
      </c>
      <c r="G150" s="15" t="s">
        <v>366</v>
      </c>
      <c r="H150" s="15" t="s">
        <v>3007</v>
      </c>
      <c r="I150" s="15">
        <v>0</v>
      </c>
      <c r="J150" s="15">
        <v>-2</v>
      </c>
      <c r="K150" s="15">
        <v>0</v>
      </c>
      <c r="L150" s="15">
        <v>0</v>
      </c>
      <c r="M150" s="15">
        <v>0</v>
      </c>
      <c r="N150" s="15">
        <v>1</v>
      </c>
      <c r="O150" s="15">
        <v>0</v>
      </c>
      <c r="P150" s="15">
        <v>0</v>
      </c>
      <c r="Q150" s="15">
        <v>0</v>
      </c>
      <c r="R150" s="15">
        <v>0</v>
      </c>
    </row>
    <row r="151" spans="1:18" x14ac:dyDescent="0.2">
      <c r="A151" s="15">
        <v>150</v>
      </c>
      <c r="B151" s="38">
        <v>1</v>
      </c>
      <c r="C151" s="15" t="s">
        <v>368</v>
      </c>
      <c r="D151" s="15"/>
      <c r="E151" s="15" t="s">
        <v>3146</v>
      </c>
      <c r="F151" s="15" t="s">
        <v>367</v>
      </c>
      <c r="G151" s="15" t="s">
        <v>369</v>
      </c>
      <c r="H151" s="15" t="s">
        <v>3008</v>
      </c>
      <c r="I151" s="15">
        <v>0</v>
      </c>
      <c r="J151" s="15">
        <v>-2</v>
      </c>
      <c r="K151" s="15">
        <v>-1</v>
      </c>
      <c r="L151" s="15">
        <v>0</v>
      </c>
      <c r="M151" s="15">
        <v>0</v>
      </c>
      <c r="N151" s="15">
        <v>1</v>
      </c>
      <c r="O151" s="15">
        <v>0</v>
      </c>
      <c r="P151" s="15">
        <v>0</v>
      </c>
      <c r="Q151" s="15">
        <v>0</v>
      </c>
      <c r="R151" s="15">
        <v>0</v>
      </c>
    </row>
    <row r="152" spans="1:18" x14ac:dyDescent="0.2">
      <c r="A152" s="15">
        <v>151</v>
      </c>
      <c r="B152" s="38">
        <v>1</v>
      </c>
      <c r="C152" s="15" t="s">
        <v>371</v>
      </c>
      <c r="D152" s="15"/>
      <c r="E152" s="15" t="s">
        <v>3147</v>
      </c>
      <c r="F152" s="15" t="s">
        <v>370</v>
      </c>
      <c r="G152" s="15" t="s">
        <v>373</v>
      </c>
      <c r="H152" s="15" t="s">
        <v>3009</v>
      </c>
      <c r="I152" s="15">
        <v>0</v>
      </c>
      <c r="J152" s="15">
        <v>-3</v>
      </c>
      <c r="K152" s="15">
        <v>0</v>
      </c>
      <c r="L152" s="15">
        <v>0</v>
      </c>
      <c r="M152" s="15">
        <v>0</v>
      </c>
      <c r="N152" s="15">
        <v>1</v>
      </c>
      <c r="O152" s="15">
        <v>0</v>
      </c>
      <c r="P152" s="15">
        <v>0</v>
      </c>
      <c r="Q152" s="15">
        <v>0</v>
      </c>
      <c r="R152" s="15">
        <v>0</v>
      </c>
    </row>
    <row r="153" spans="1:18" x14ac:dyDescent="0.2">
      <c r="A153" s="15">
        <v>152</v>
      </c>
      <c r="B153" s="38">
        <v>1</v>
      </c>
      <c r="C153" s="15" t="s">
        <v>372</v>
      </c>
      <c r="D153" s="15">
        <v>2</v>
      </c>
      <c r="E153" s="15" t="s">
        <v>3147</v>
      </c>
      <c r="F153" s="15" t="s">
        <v>370</v>
      </c>
      <c r="G153" s="15" t="s">
        <v>373</v>
      </c>
      <c r="H153" s="15" t="s">
        <v>3009</v>
      </c>
      <c r="I153" s="15">
        <v>0</v>
      </c>
      <c r="J153" s="15">
        <v>-3</v>
      </c>
      <c r="K153" s="15">
        <v>0</v>
      </c>
      <c r="L153" s="15">
        <v>0</v>
      </c>
      <c r="M153" s="15">
        <v>0</v>
      </c>
      <c r="N153" s="15">
        <v>1</v>
      </c>
      <c r="O153" s="15">
        <v>0</v>
      </c>
      <c r="P153" s="15">
        <v>0</v>
      </c>
      <c r="Q153" s="15">
        <v>0</v>
      </c>
      <c r="R153" s="15">
        <v>0</v>
      </c>
    </row>
    <row r="154" spans="1:18" x14ac:dyDescent="0.2">
      <c r="A154" s="15">
        <v>153</v>
      </c>
      <c r="B154" s="38">
        <v>1</v>
      </c>
      <c r="C154" s="15" t="s">
        <v>375</v>
      </c>
      <c r="D154" s="15">
        <v>2</v>
      </c>
      <c r="E154" s="15" t="s">
        <v>3148</v>
      </c>
      <c r="F154" s="15" t="s">
        <v>374</v>
      </c>
      <c r="G154" s="15" t="s">
        <v>376</v>
      </c>
      <c r="H154" s="15" t="s">
        <v>3010</v>
      </c>
      <c r="I154" s="15">
        <v>0</v>
      </c>
      <c r="J154" s="15">
        <v>0</v>
      </c>
      <c r="K154" s="15">
        <v>-1</v>
      </c>
      <c r="L154" s="15">
        <v>0</v>
      </c>
      <c r="M154" s="15">
        <v>0</v>
      </c>
      <c r="N154" s="15">
        <v>1</v>
      </c>
      <c r="O154" s="15">
        <v>0</v>
      </c>
      <c r="P154" s="15">
        <v>0</v>
      </c>
      <c r="Q154" s="15">
        <v>0</v>
      </c>
      <c r="R154" s="15">
        <v>0</v>
      </c>
    </row>
    <row r="155" spans="1:18" x14ac:dyDescent="0.2">
      <c r="A155" s="15">
        <v>154</v>
      </c>
      <c r="B155" s="38">
        <v>1</v>
      </c>
      <c r="C155" s="15" t="s">
        <v>378</v>
      </c>
      <c r="D155" s="15">
        <v>2</v>
      </c>
      <c r="E155" s="15" t="s">
        <v>3149</v>
      </c>
      <c r="F155" s="15" t="s">
        <v>377</v>
      </c>
      <c r="G155" s="15" t="s">
        <v>379</v>
      </c>
      <c r="H155" s="15" t="s">
        <v>3011</v>
      </c>
      <c r="I155" s="15">
        <v>1</v>
      </c>
      <c r="J155" s="15">
        <v>1</v>
      </c>
      <c r="K155" s="15">
        <v>-2</v>
      </c>
      <c r="L155" s="15">
        <v>0</v>
      </c>
      <c r="M155" s="15">
        <v>0</v>
      </c>
      <c r="N155" s="15">
        <v>0</v>
      </c>
      <c r="O155" s="15">
        <v>0</v>
      </c>
      <c r="P155" s="15">
        <v>0</v>
      </c>
      <c r="Q155" s="15">
        <v>0</v>
      </c>
      <c r="R155" s="15">
        <v>0</v>
      </c>
    </row>
    <row r="156" spans="1:18" x14ac:dyDescent="0.2">
      <c r="A156" s="15">
        <v>155</v>
      </c>
      <c r="B156" s="38">
        <v>1</v>
      </c>
      <c r="C156" s="15" t="s">
        <v>382</v>
      </c>
      <c r="D156" s="15"/>
      <c r="E156" s="15" t="s">
        <v>3150</v>
      </c>
      <c r="F156" s="15" t="s">
        <v>381</v>
      </c>
      <c r="G156" s="15" t="s">
        <v>383</v>
      </c>
      <c r="H156" s="15" t="s">
        <v>3012</v>
      </c>
      <c r="I156" s="15">
        <v>1</v>
      </c>
      <c r="J156" s="15">
        <v>3</v>
      </c>
      <c r="K156" s="15">
        <v>-2</v>
      </c>
      <c r="L156" s="15">
        <v>0</v>
      </c>
      <c r="M156" s="15">
        <v>0</v>
      </c>
      <c r="N156" s="15">
        <v>0</v>
      </c>
      <c r="O156" s="15">
        <v>0</v>
      </c>
      <c r="P156" s="15">
        <v>0</v>
      </c>
      <c r="Q156" s="15">
        <v>0</v>
      </c>
      <c r="R156" s="15">
        <v>0</v>
      </c>
    </row>
    <row r="157" spans="1:18" x14ac:dyDescent="0.2">
      <c r="A157" s="15">
        <v>156</v>
      </c>
      <c r="B157" s="38">
        <v>1</v>
      </c>
      <c r="C157" s="15" t="s">
        <v>385</v>
      </c>
      <c r="D157" s="15"/>
      <c r="E157" s="15" t="s">
        <v>3151</v>
      </c>
      <c r="F157" s="15" t="s">
        <v>384</v>
      </c>
      <c r="G157" s="15" t="s">
        <v>387</v>
      </c>
      <c r="H157" s="15" t="s">
        <v>3013</v>
      </c>
      <c r="I157" s="15">
        <v>1</v>
      </c>
      <c r="J157" s="15">
        <v>0</v>
      </c>
      <c r="K157" s="15">
        <v>-2</v>
      </c>
      <c r="L157" s="15">
        <v>0</v>
      </c>
      <c r="M157" s="15">
        <v>0</v>
      </c>
      <c r="N157" s="15">
        <v>0</v>
      </c>
      <c r="O157" s="15">
        <v>0</v>
      </c>
      <c r="P157" s="15">
        <v>0</v>
      </c>
      <c r="Q157" s="15">
        <v>0</v>
      </c>
      <c r="R157" s="15">
        <v>0</v>
      </c>
    </row>
    <row r="158" spans="1:18" x14ac:dyDescent="0.2">
      <c r="A158" s="15">
        <v>157</v>
      </c>
      <c r="B158" s="38">
        <v>1</v>
      </c>
      <c r="C158" s="15" t="s">
        <v>386</v>
      </c>
      <c r="D158" s="15"/>
      <c r="E158" s="15" t="s">
        <v>3151</v>
      </c>
      <c r="F158" s="15" t="s">
        <v>384</v>
      </c>
      <c r="G158" s="15" t="s">
        <v>387</v>
      </c>
      <c r="H158" s="15" t="s">
        <v>3013</v>
      </c>
      <c r="I158" s="15">
        <v>1</v>
      </c>
      <c r="J158" s="15">
        <v>0</v>
      </c>
      <c r="K158" s="15">
        <v>-2</v>
      </c>
      <c r="L158" s="15">
        <v>0</v>
      </c>
      <c r="M158" s="15">
        <v>0</v>
      </c>
      <c r="N158" s="15">
        <v>0</v>
      </c>
      <c r="O158" s="15">
        <v>0</v>
      </c>
      <c r="P158" s="15">
        <v>0</v>
      </c>
      <c r="Q158" s="15">
        <v>0</v>
      </c>
      <c r="R158" s="15">
        <v>0</v>
      </c>
    </row>
    <row r="159" spans="1:18" x14ac:dyDescent="0.2">
      <c r="A159" s="15">
        <v>158</v>
      </c>
      <c r="B159" s="38">
        <v>1</v>
      </c>
      <c r="C159" s="15" t="s">
        <v>389</v>
      </c>
      <c r="D159" s="15"/>
      <c r="E159" s="15" t="s">
        <v>3152</v>
      </c>
      <c r="F159" s="15" t="s">
        <v>388</v>
      </c>
      <c r="G159" s="15" t="s">
        <v>391</v>
      </c>
      <c r="H159" s="15" t="s">
        <v>3014</v>
      </c>
      <c r="I159" s="15">
        <v>1</v>
      </c>
      <c r="J159" s="15">
        <v>-2</v>
      </c>
      <c r="K159" s="15">
        <v>-2</v>
      </c>
      <c r="L159" s="15">
        <v>0</v>
      </c>
      <c r="M159" s="15">
        <v>0</v>
      </c>
      <c r="N159" s="15">
        <v>0</v>
      </c>
      <c r="O159" s="15">
        <v>0</v>
      </c>
      <c r="P159" s="15">
        <v>0</v>
      </c>
      <c r="Q159" s="15">
        <v>0</v>
      </c>
      <c r="R159" s="15">
        <v>0</v>
      </c>
    </row>
    <row r="160" spans="1:18" x14ac:dyDescent="0.2">
      <c r="A160" s="15">
        <v>159</v>
      </c>
      <c r="B160" s="38">
        <v>1</v>
      </c>
      <c r="C160" s="15" t="s">
        <v>390</v>
      </c>
      <c r="D160" s="15"/>
      <c r="E160" s="15" t="s">
        <v>3152</v>
      </c>
      <c r="F160" s="15" t="s">
        <v>388</v>
      </c>
      <c r="G160" s="15" t="s">
        <v>391</v>
      </c>
      <c r="H160" s="15" t="s">
        <v>3014</v>
      </c>
      <c r="I160" s="15">
        <v>1</v>
      </c>
      <c r="J160" s="15">
        <v>-2</v>
      </c>
      <c r="K160" s="15">
        <v>-2</v>
      </c>
      <c r="L160" s="15">
        <v>0</v>
      </c>
      <c r="M160" s="15">
        <v>0</v>
      </c>
      <c r="N160" s="15">
        <v>0</v>
      </c>
      <c r="O160" s="15">
        <v>0</v>
      </c>
      <c r="P160" s="15">
        <v>0</v>
      </c>
      <c r="Q160" s="15">
        <v>0</v>
      </c>
      <c r="R160" s="15">
        <v>0</v>
      </c>
    </row>
    <row r="161" spans="1:18" x14ac:dyDescent="0.2">
      <c r="A161" s="15">
        <v>160</v>
      </c>
      <c r="B161" s="38">
        <v>1</v>
      </c>
      <c r="C161" s="15" t="s">
        <v>393</v>
      </c>
      <c r="D161" s="15"/>
      <c r="E161" s="15" t="s">
        <v>3153</v>
      </c>
      <c r="F161" s="15" t="s">
        <v>392</v>
      </c>
      <c r="G161" s="15" t="s">
        <v>394</v>
      </c>
      <c r="H161" s="15" t="s">
        <v>3015</v>
      </c>
      <c r="I161" s="15">
        <v>3</v>
      </c>
      <c r="J161" s="15">
        <v>-3</v>
      </c>
      <c r="K161" s="15">
        <v>-8</v>
      </c>
      <c r="L161" s="15">
        <v>0</v>
      </c>
      <c r="M161" s="15">
        <v>0</v>
      </c>
      <c r="N161" s="15">
        <v>0</v>
      </c>
      <c r="O161" s="15">
        <v>0</v>
      </c>
      <c r="P161" s="15">
        <v>0</v>
      </c>
      <c r="Q161" s="15">
        <v>0</v>
      </c>
      <c r="R161" s="15">
        <v>0</v>
      </c>
    </row>
    <row r="162" spans="1:18" x14ac:dyDescent="0.2">
      <c r="A162" s="15">
        <v>161</v>
      </c>
      <c r="B162" s="38">
        <v>0</v>
      </c>
      <c r="C162" s="15" t="s">
        <v>396</v>
      </c>
      <c r="D162" s="15"/>
      <c r="E162" s="15" t="s">
        <v>3154</v>
      </c>
      <c r="F162" s="15" t="s">
        <v>395</v>
      </c>
      <c r="G162" s="15" t="s">
        <v>397</v>
      </c>
      <c r="H162" s="15" t="s">
        <v>3016</v>
      </c>
      <c r="I162" s="15"/>
      <c r="J162" s="15"/>
      <c r="K162" s="15"/>
      <c r="L162" s="15"/>
      <c r="M162" s="15"/>
      <c r="N162" s="15"/>
      <c r="O162" s="15"/>
      <c r="P162" s="15"/>
      <c r="Q162" s="15"/>
      <c r="R162" s="15"/>
    </row>
    <row r="163" spans="1:18" x14ac:dyDescent="0.2">
      <c r="A163" s="15">
        <v>162</v>
      </c>
      <c r="B163" s="38">
        <v>1</v>
      </c>
      <c r="C163" s="15" t="s">
        <v>400</v>
      </c>
      <c r="D163" s="15"/>
      <c r="E163" s="15" t="s">
        <v>3155</v>
      </c>
      <c r="F163" s="15" t="s">
        <v>399</v>
      </c>
      <c r="G163" s="15" t="s">
        <v>401</v>
      </c>
      <c r="H163" s="15" t="s">
        <v>3017</v>
      </c>
      <c r="I163" s="15">
        <v>0</v>
      </c>
      <c r="J163" s="15">
        <v>0</v>
      </c>
      <c r="K163" s="15">
        <v>0</v>
      </c>
      <c r="L163" s="15">
        <v>0</v>
      </c>
      <c r="M163" s="15">
        <v>0</v>
      </c>
      <c r="N163" s="15">
        <v>0</v>
      </c>
      <c r="O163" s="15">
        <v>0</v>
      </c>
      <c r="P163" s="15">
        <v>0</v>
      </c>
      <c r="Q163" s="15">
        <v>0</v>
      </c>
      <c r="R163" s="15">
        <v>0</v>
      </c>
    </row>
    <row r="164" spans="1:18" x14ac:dyDescent="0.2">
      <c r="A164" s="15">
        <v>163</v>
      </c>
      <c r="B164" s="38">
        <v>1</v>
      </c>
      <c r="C164" s="15" t="s">
        <v>404</v>
      </c>
      <c r="D164" s="15"/>
      <c r="E164" s="15" t="s">
        <v>3156</v>
      </c>
      <c r="F164" s="15" t="s">
        <v>403</v>
      </c>
      <c r="G164" s="15" t="s">
        <v>403</v>
      </c>
      <c r="H164" s="15" t="s">
        <v>3018</v>
      </c>
      <c r="I164" s="15">
        <v>1</v>
      </c>
      <c r="J164" s="15">
        <v>2</v>
      </c>
      <c r="K164" s="15">
        <v>-3</v>
      </c>
      <c r="L164" s="15">
        <v>-2</v>
      </c>
      <c r="M164" s="15">
        <v>0</v>
      </c>
      <c r="N164" s="15">
        <v>0</v>
      </c>
      <c r="O164" s="15">
        <v>0</v>
      </c>
      <c r="P164" s="15">
        <v>0</v>
      </c>
      <c r="Q164" s="15">
        <v>0</v>
      </c>
      <c r="R164" s="15">
        <v>0</v>
      </c>
    </row>
    <row r="165" spans="1:18" x14ac:dyDescent="0.2">
      <c r="A165" s="15">
        <v>164</v>
      </c>
      <c r="B165" s="38">
        <v>1</v>
      </c>
      <c r="C165" s="15" t="s">
        <v>405</v>
      </c>
      <c r="D165" s="15"/>
      <c r="E165" s="15" t="s">
        <v>3156</v>
      </c>
      <c r="F165" s="15" t="s">
        <v>403</v>
      </c>
      <c r="G165" s="15" t="s">
        <v>403</v>
      </c>
      <c r="H165" s="15" t="s">
        <v>3018</v>
      </c>
      <c r="I165" s="15">
        <v>1</v>
      </c>
      <c r="J165" s="15">
        <v>2</v>
      </c>
      <c r="K165" s="15">
        <v>-3</v>
      </c>
      <c r="L165" s="15">
        <v>-2</v>
      </c>
      <c r="M165" s="15">
        <v>0</v>
      </c>
      <c r="N165" s="15">
        <v>0</v>
      </c>
      <c r="O165" s="15">
        <v>0</v>
      </c>
      <c r="P165" s="15">
        <v>0</v>
      </c>
      <c r="Q165" s="15">
        <v>0</v>
      </c>
      <c r="R165" s="15">
        <v>0</v>
      </c>
    </row>
    <row r="166" spans="1:18" x14ac:dyDescent="0.2">
      <c r="A166" s="15">
        <v>165</v>
      </c>
      <c r="B166" s="38">
        <v>1</v>
      </c>
      <c r="C166" s="15" t="s">
        <v>408</v>
      </c>
      <c r="D166" s="15"/>
      <c r="E166" s="15" t="s">
        <v>3157</v>
      </c>
      <c r="F166" s="15" t="s">
        <v>407</v>
      </c>
      <c r="G166" s="15" t="s">
        <v>409</v>
      </c>
      <c r="H166" s="15" t="s">
        <v>3019</v>
      </c>
      <c r="I166" s="15">
        <v>1</v>
      </c>
      <c r="J166" s="15">
        <v>3</v>
      </c>
      <c r="K166" s="15">
        <v>-3</v>
      </c>
      <c r="L166" s="15">
        <v>-2</v>
      </c>
      <c r="M166" s="15">
        <v>0</v>
      </c>
      <c r="N166" s="15">
        <v>0</v>
      </c>
      <c r="O166" s="15">
        <v>0</v>
      </c>
      <c r="P166" s="15">
        <v>0</v>
      </c>
      <c r="Q166" s="15">
        <v>0</v>
      </c>
      <c r="R166" s="15">
        <v>0</v>
      </c>
    </row>
    <row r="167" spans="1:18" x14ac:dyDescent="0.2">
      <c r="A167" s="15">
        <v>166</v>
      </c>
      <c r="B167" s="38">
        <v>1</v>
      </c>
      <c r="C167" s="15" t="s">
        <v>411</v>
      </c>
      <c r="D167" s="15"/>
      <c r="E167" s="15" t="s">
        <v>3158</v>
      </c>
      <c r="F167" s="15" t="s">
        <v>410</v>
      </c>
      <c r="G167" s="15" t="s">
        <v>412</v>
      </c>
      <c r="H167" s="15" t="s">
        <v>3020</v>
      </c>
      <c r="I167" s="15">
        <v>1</v>
      </c>
      <c r="J167" s="15">
        <v>1</v>
      </c>
      <c r="K167" s="15">
        <v>-3</v>
      </c>
      <c r="L167" s="15">
        <v>-2</v>
      </c>
      <c r="M167" s="15">
        <v>0</v>
      </c>
      <c r="N167" s="15">
        <v>0</v>
      </c>
      <c r="O167" s="15">
        <v>0</v>
      </c>
      <c r="P167" s="15">
        <v>0</v>
      </c>
      <c r="Q167" s="15">
        <v>0</v>
      </c>
      <c r="R167" s="15">
        <v>0</v>
      </c>
    </row>
    <row r="168" spans="1:18" x14ac:dyDescent="0.2">
      <c r="A168" s="15">
        <v>167</v>
      </c>
      <c r="B168" s="38">
        <v>1</v>
      </c>
      <c r="C168" s="15" t="s">
        <v>414</v>
      </c>
      <c r="D168" s="15">
        <v>2</v>
      </c>
      <c r="E168" s="15" t="s">
        <v>3159</v>
      </c>
      <c r="F168" s="15" t="s">
        <v>413</v>
      </c>
      <c r="G168" s="15" t="s">
        <v>416</v>
      </c>
      <c r="H168" s="15" t="s">
        <v>3021</v>
      </c>
      <c r="I168" s="15">
        <v>1</v>
      </c>
      <c r="J168" s="15">
        <v>-1</v>
      </c>
      <c r="K168" s="15">
        <v>-2</v>
      </c>
      <c r="L168" s="15">
        <v>0</v>
      </c>
      <c r="M168" s="15">
        <v>0</v>
      </c>
      <c r="N168" s="15">
        <v>0</v>
      </c>
      <c r="O168" s="15">
        <v>0</v>
      </c>
      <c r="P168" s="15">
        <v>0</v>
      </c>
      <c r="Q168" s="15">
        <v>0</v>
      </c>
      <c r="R168" s="15">
        <v>0</v>
      </c>
    </row>
    <row r="169" spans="1:18" x14ac:dyDescent="0.2">
      <c r="A169" s="15">
        <v>168</v>
      </c>
      <c r="B169" s="38">
        <v>1</v>
      </c>
      <c r="C169" s="15" t="s">
        <v>415</v>
      </c>
      <c r="D169" s="15">
        <v>2</v>
      </c>
      <c r="E169" s="15" t="s">
        <v>3159</v>
      </c>
      <c r="F169" s="15" t="s">
        <v>413</v>
      </c>
      <c r="G169" s="15" t="s">
        <v>416</v>
      </c>
      <c r="H169" s="15" t="s">
        <v>3021</v>
      </c>
      <c r="I169" s="15">
        <v>1</v>
      </c>
      <c r="J169" s="15">
        <v>-1</v>
      </c>
      <c r="K169" s="15">
        <v>-2</v>
      </c>
      <c r="L169" s="15">
        <v>0</v>
      </c>
      <c r="M169" s="15">
        <v>0</v>
      </c>
      <c r="N169" s="15">
        <v>0</v>
      </c>
      <c r="O169" s="15">
        <v>0</v>
      </c>
      <c r="P169" s="15">
        <v>0</v>
      </c>
      <c r="Q169" s="15">
        <v>0</v>
      </c>
      <c r="R169" s="15">
        <v>0</v>
      </c>
    </row>
    <row r="170" spans="1:18" x14ac:dyDescent="0.2">
      <c r="A170" s="15">
        <v>169</v>
      </c>
      <c r="B170" s="38">
        <v>1</v>
      </c>
      <c r="C170" s="15" t="s">
        <v>419</v>
      </c>
      <c r="D170" s="15">
        <v>1</v>
      </c>
      <c r="E170" s="15" t="s">
        <v>3160</v>
      </c>
      <c r="F170" s="15" t="s">
        <v>418</v>
      </c>
      <c r="G170" s="15" t="s">
        <v>421</v>
      </c>
      <c r="H170" s="15" t="s">
        <v>3022</v>
      </c>
      <c r="I170" s="15">
        <v>1</v>
      </c>
      <c r="J170" s="15">
        <v>-1</v>
      </c>
      <c r="K170" s="15">
        <v>-1</v>
      </c>
      <c r="L170" s="15">
        <v>0</v>
      </c>
      <c r="M170" s="15">
        <v>0</v>
      </c>
      <c r="N170" s="15">
        <v>0</v>
      </c>
      <c r="O170" s="15">
        <v>0</v>
      </c>
      <c r="P170" s="15">
        <v>0</v>
      </c>
      <c r="Q170" s="15">
        <v>0</v>
      </c>
      <c r="R170" s="15">
        <v>0</v>
      </c>
    </row>
    <row r="171" spans="1:18" x14ac:dyDescent="0.2">
      <c r="A171" s="15">
        <v>170</v>
      </c>
      <c r="B171" s="38">
        <v>1</v>
      </c>
      <c r="C171" s="15" t="s">
        <v>420</v>
      </c>
      <c r="D171" s="15"/>
      <c r="E171" s="15" t="s">
        <v>3160</v>
      </c>
      <c r="F171" s="15" t="s">
        <v>418</v>
      </c>
      <c r="G171" s="15" t="s">
        <v>421</v>
      </c>
      <c r="H171" s="15" t="s">
        <v>3022</v>
      </c>
      <c r="I171" s="15">
        <v>1</v>
      </c>
      <c r="J171" s="15">
        <v>-1</v>
      </c>
      <c r="K171" s="15">
        <v>-1</v>
      </c>
      <c r="L171" s="15">
        <v>0</v>
      </c>
      <c r="M171" s="15">
        <v>0</v>
      </c>
      <c r="N171" s="15">
        <v>0</v>
      </c>
      <c r="O171" s="15">
        <v>0</v>
      </c>
      <c r="P171" s="15">
        <v>0</v>
      </c>
      <c r="Q171" s="15">
        <v>0</v>
      </c>
      <c r="R171" s="15">
        <v>0</v>
      </c>
    </row>
    <row r="172" spans="1:18" x14ac:dyDescent="0.2">
      <c r="A172" s="15">
        <v>171</v>
      </c>
      <c r="B172" s="38">
        <v>1</v>
      </c>
      <c r="C172" s="15" t="s">
        <v>423</v>
      </c>
      <c r="D172" s="15"/>
      <c r="E172" s="15" t="s">
        <v>3161</v>
      </c>
      <c r="F172" s="15" t="s">
        <v>422</v>
      </c>
      <c r="G172" s="15" t="s">
        <v>425</v>
      </c>
      <c r="H172" s="15" t="s">
        <v>3023</v>
      </c>
      <c r="I172" s="15">
        <v>1</v>
      </c>
      <c r="J172" s="15">
        <v>-4</v>
      </c>
      <c r="K172" s="15">
        <v>-1</v>
      </c>
      <c r="L172" s="15">
        <v>0</v>
      </c>
      <c r="M172" s="15">
        <v>0</v>
      </c>
      <c r="N172" s="15">
        <v>0</v>
      </c>
      <c r="O172" s="15">
        <v>0</v>
      </c>
      <c r="P172" s="15">
        <v>0</v>
      </c>
      <c r="Q172" s="15">
        <v>0</v>
      </c>
      <c r="R172" s="15">
        <v>0</v>
      </c>
    </row>
    <row r="173" spans="1:18" x14ac:dyDescent="0.2">
      <c r="A173" s="15">
        <v>172</v>
      </c>
      <c r="B173" s="38">
        <v>1</v>
      </c>
      <c r="C173" s="15" t="s">
        <v>424</v>
      </c>
      <c r="D173" s="15"/>
      <c r="E173" s="15" t="s">
        <v>3161</v>
      </c>
      <c r="F173" s="15" t="s">
        <v>422</v>
      </c>
      <c r="G173" s="15" t="s">
        <v>425</v>
      </c>
      <c r="H173" s="15" t="s">
        <v>3023</v>
      </c>
      <c r="I173" s="15">
        <v>1</v>
      </c>
      <c r="J173" s="15">
        <v>-4</v>
      </c>
      <c r="K173" s="15">
        <v>-1</v>
      </c>
      <c r="L173" s="15">
        <v>0</v>
      </c>
      <c r="M173" s="15">
        <v>0</v>
      </c>
      <c r="N173" s="15">
        <v>0</v>
      </c>
      <c r="O173" s="15">
        <v>0</v>
      </c>
      <c r="P173" s="15">
        <v>0</v>
      </c>
      <c r="Q173" s="15">
        <v>0</v>
      </c>
      <c r="R173" s="15">
        <v>0</v>
      </c>
    </row>
    <row r="174" spans="1:18" x14ac:dyDescent="0.2">
      <c r="A174" s="15">
        <v>173</v>
      </c>
      <c r="B174" s="38">
        <v>1</v>
      </c>
      <c r="C174" s="15" t="s">
        <v>427</v>
      </c>
      <c r="D174" s="15"/>
      <c r="E174" s="15" t="s">
        <v>3162</v>
      </c>
      <c r="F174" s="15" t="s">
        <v>426</v>
      </c>
      <c r="G174" s="15" t="s">
        <v>428</v>
      </c>
      <c r="H174" s="15" t="s">
        <v>3024</v>
      </c>
      <c r="I174" s="15">
        <v>1</v>
      </c>
      <c r="J174" s="15">
        <v>-7</v>
      </c>
      <c r="K174" s="15">
        <v>-1</v>
      </c>
      <c r="L174" s="15">
        <v>0</v>
      </c>
      <c r="M174" s="15">
        <v>0</v>
      </c>
      <c r="N174" s="15">
        <v>0</v>
      </c>
      <c r="O174" s="15">
        <v>0</v>
      </c>
      <c r="P174" s="15">
        <v>0</v>
      </c>
      <c r="Q174" s="15">
        <v>0</v>
      </c>
      <c r="R174" s="15">
        <v>0</v>
      </c>
    </row>
    <row r="175" spans="1:18" x14ac:dyDescent="0.2">
      <c r="A175" s="15">
        <v>174</v>
      </c>
      <c r="B175" s="38">
        <v>1</v>
      </c>
      <c r="C175" s="15" t="s">
        <v>432</v>
      </c>
      <c r="D175" s="15"/>
      <c r="E175" s="15" t="s">
        <v>3163</v>
      </c>
      <c r="F175" s="15" t="s">
        <v>431</v>
      </c>
      <c r="G175" s="15" t="s">
        <v>433</v>
      </c>
      <c r="H175" s="15" t="s">
        <v>3025</v>
      </c>
      <c r="I175" s="15">
        <v>1</v>
      </c>
      <c r="J175" s="15">
        <v>-4</v>
      </c>
      <c r="K175" s="15">
        <v>-2</v>
      </c>
      <c r="L175" s="15">
        <v>0</v>
      </c>
      <c r="M175" s="15">
        <v>0</v>
      </c>
      <c r="N175" s="15">
        <v>0</v>
      </c>
      <c r="O175" s="15">
        <v>0</v>
      </c>
      <c r="P175" s="15">
        <v>0</v>
      </c>
      <c r="Q175" s="15">
        <v>0</v>
      </c>
      <c r="R175" s="15">
        <v>0</v>
      </c>
    </row>
    <row r="176" spans="1:18" x14ac:dyDescent="0.2">
      <c r="A176" s="15">
        <v>175</v>
      </c>
      <c r="B176" s="38">
        <v>1</v>
      </c>
      <c r="C176" s="15" t="s">
        <v>435</v>
      </c>
      <c r="D176" s="15"/>
      <c r="E176" s="15" t="s">
        <v>3164</v>
      </c>
      <c r="F176" s="15" t="s">
        <v>434</v>
      </c>
      <c r="G176" s="15" t="s">
        <v>436</v>
      </c>
      <c r="H176" s="15" t="s">
        <v>3026</v>
      </c>
      <c r="I176" s="15">
        <v>1</v>
      </c>
      <c r="J176" s="15">
        <v>-1</v>
      </c>
      <c r="K176" s="15">
        <v>-3</v>
      </c>
      <c r="L176" s="15">
        <v>0</v>
      </c>
      <c r="M176" s="15">
        <v>0</v>
      </c>
      <c r="N176" s="15">
        <v>0</v>
      </c>
      <c r="O176" s="15">
        <v>0</v>
      </c>
      <c r="P176" s="15">
        <v>0</v>
      </c>
      <c r="Q176" s="15">
        <v>0</v>
      </c>
      <c r="R176" s="15">
        <v>0</v>
      </c>
    </row>
    <row r="177" spans="1:18" x14ac:dyDescent="0.2">
      <c r="A177" s="15">
        <v>176</v>
      </c>
      <c r="B177" s="38">
        <v>1</v>
      </c>
      <c r="C177" s="15" t="s">
        <v>438</v>
      </c>
      <c r="D177" s="15"/>
      <c r="E177" s="15" t="s">
        <v>3165</v>
      </c>
      <c r="F177" s="15" t="s">
        <v>437</v>
      </c>
      <c r="G177" s="15" t="s">
        <v>439</v>
      </c>
      <c r="H177" s="15" t="s">
        <v>3027</v>
      </c>
      <c r="I177" s="15">
        <v>2</v>
      </c>
      <c r="J177" s="15">
        <v>-2</v>
      </c>
      <c r="K177" s="15">
        <v>-4</v>
      </c>
      <c r="L177" s="15">
        <v>0</v>
      </c>
      <c r="M177" s="15">
        <v>0</v>
      </c>
      <c r="N177" s="15">
        <v>0</v>
      </c>
      <c r="O177" s="15">
        <v>0</v>
      </c>
      <c r="P177" s="15">
        <v>0</v>
      </c>
      <c r="Q177" s="15">
        <v>0</v>
      </c>
      <c r="R177" s="15">
        <v>0</v>
      </c>
    </row>
    <row r="178" spans="1:18" x14ac:dyDescent="0.2">
      <c r="A178" s="15">
        <v>177</v>
      </c>
      <c r="B178" s="38">
        <v>1</v>
      </c>
      <c r="C178" s="15" t="s">
        <v>440</v>
      </c>
      <c r="D178" s="15"/>
      <c r="E178" s="15" t="s">
        <v>3166</v>
      </c>
      <c r="F178" s="15" t="s">
        <v>440</v>
      </c>
      <c r="G178" s="15" t="s">
        <v>440</v>
      </c>
      <c r="H178" s="15" t="s">
        <v>3028</v>
      </c>
      <c r="I178" s="15">
        <v>0</v>
      </c>
      <c r="J178" s="15">
        <v>0</v>
      </c>
      <c r="K178" s="15">
        <v>0</v>
      </c>
      <c r="L178" s="15">
        <v>0</v>
      </c>
      <c r="M178" s="15">
        <v>0</v>
      </c>
      <c r="N178" s="15">
        <v>0</v>
      </c>
      <c r="O178" s="15">
        <v>0</v>
      </c>
      <c r="P178" s="15">
        <v>0</v>
      </c>
      <c r="Q178" s="15">
        <v>0</v>
      </c>
      <c r="R178" s="15">
        <v>0</v>
      </c>
    </row>
    <row r="179" spans="1:18" x14ac:dyDescent="0.2">
      <c r="A179" s="15">
        <v>178</v>
      </c>
      <c r="B179" s="38">
        <v>1</v>
      </c>
      <c r="C179" s="15" t="s">
        <v>443</v>
      </c>
      <c r="D179" s="15">
        <v>2</v>
      </c>
      <c r="E179" s="15" t="s">
        <v>3167</v>
      </c>
      <c r="F179" s="15" t="s">
        <v>442</v>
      </c>
      <c r="G179" s="15" t="s">
        <v>444</v>
      </c>
      <c r="H179" s="15" t="s">
        <v>3029</v>
      </c>
      <c r="I179" s="15">
        <v>0</v>
      </c>
      <c r="J179" s="15">
        <v>0</v>
      </c>
      <c r="K179" s="15">
        <v>0</v>
      </c>
      <c r="L179" s="15">
        <v>0</v>
      </c>
      <c r="M179" s="15">
        <v>0</v>
      </c>
      <c r="N179" s="15">
        <v>0</v>
      </c>
      <c r="O179" s="15">
        <v>0</v>
      </c>
      <c r="P179" s="15">
        <v>1</v>
      </c>
      <c r="Q179" s="15">
        <v>0</v>
      </c>
      <c r="R179" s="15">
        <v>0</v>
      </c>
    </row>
    <row r="180" spans="1:18" x14ac:dyDescent="0.2">
      <c r="A180" s="15">
        <v>179</v>
      </c>
      <c r="B180" s="38">
        <v>1</v>
      </c>
      <c r="C180" s="15" t="s">
        <v>447</v>
      </c>
      <c r="D180" s="15"/>
      <c r="E180" s="15" t="s">
        <v>3168</v>
      </c>
      <c r="F180" s="15" t="s">
        <v>446</v>
      </c>
      <c r="G180" s="15" t="s">
        <v>448</v>
      </c>
      <c r="H180" s="15" t="s">
        <v>3030</v>
      </c>
      <c r="I180" s="15">
        <v>0</v>
      </c>
      <c r="J180" s="15">
        <v>-1</v>
      </c>
      <c r="K180" s="15">
        <v>0</v>
      </c>
      <c r="L180" s="15">
        <v>0</v>
      </c>
      <c r="M180" s="15">
        <v>0</v>
      </c>
      <c r="N180" s="15">
        <v>0</v>
      </c>
      <c r="O180" s="15">
        <v>0</v>
      </c>
      <c r="P180" s="15">
        <v>1</v>
      </c>
      <c r="Q180" s="15">
        <v>0</v>
      </c>
      <c r="R180" s="15">
        <v>0</v>
      </c>
    </row>
    <row r="181" spans="1:18" x14ac:dyDescent="0.2">
      <c r="A181" s="15">
        <v>180</v>
      </c>
      <c r="B181" s="38">
        <v>1</v>
      </c>
      <c r="C181" s="15" t="s">
        <v>450</v>
      </c>
      <c r="D181" s="15"/>
      <c r="E181" s="15" t="s">
        <v>3169</v>
      </c>
      <c r="F181" s="15" t="s">
        <v>449</v>
      </c>
      <c r="G181" s="15" t="s">
        <v>451</v>
      </c>
      <c r="H181" s="15" t="s">
        <v>3031</v>
      </c>
      <c r="I181" s="15">
        <v>0</v>
      </c>
      <c r="J181" s="15">
        <v>-3</v>
      </c>
      <c r="K181" s="15">
        <v>0</v>
      </c>
      <c r="L181" s="15">
        <v>0</v>
      </c>
      <c r="M181" s="15">
        <v>0</v>
      </c>
      <c r="N181" s="15">
        <v>0</v>
      </c>
      <c r="O181" s="15">
        <v>0</v>
      </c>
      <c r="P181" s="15">
        <v>1</v>
      </c>
      <c r="Q181" s="15">
        <v>0</v>
      </c>
      <c r="R181" s="15">
        <v>0</v>
      </c>
    </row>
    <row r="182" spans="1:18" x14ac:dyDescent="0.2">
      <c r="A182" s="15">
        <v>181</v>
      </c>
      <c r="B182" s="38">
        <v>1</v>
      </c>
      <c r="C182" s="15" t="s">
        <v>453</v>
      </c>
      <c r="D182" s="15"/>
      <c r="E182" s="15" t="s">
        <v>3170</v>
      </c>
      <c r="F182" s="15" t="s">
        <v>452</v>
      </c>
      <c r="G182" s="15" t="s">
        <v>458</v>
      </c>
      <c r="H182" s="15" t="s">
        <v>3032</v>
      </c>
      <c r="I182" s="15">
        <v>0</v>
      </c>
      <c r="J182" s="15">
        <v>0</v>
      </c>
      <c r="K182" s="15">
        <v>-1</v>
      </c>
      <c r="L182" s="15">
        <v>0</v>
      </c>
      <c r="M182" s="15">
        <v>0</v>
      </c>
      <c r="N182" s="15">
        <v>0</v>
      </c>
      <c r="O182" s="15">
        <v>0</v>
      </c>
      <c r="P182" s="15">
        <v>1</v>
      </c>
      <c r="Q182" s="15">
        <v>0</v>
      </c>
      <c r="R182" s="15">
        <v>0</v>
      </c>
    </row>
    <row r="183" spans="1:18" x14ac:dyDescent="0.2">
      <c r="A183" s="15">
        <v>182</v>
      </c>
      <c r="B183" s="38">
        <v>1</v>
      </c>
      <c r="C183" s="15" t="s">
        <v>454</v>
      </c>
      <c r="D183" s="15"/>
      <c r="E183" s="15" t="s">
        <v>3170</v>
      </c>
      <c r="F183" s="15" t="s">
        <v>452</v>
      </c>
      <c r="G183" s="15" t="s">
        <v>458</v>
      </c>
      <c r="H183" s="15" t="s">
        <v>3032</v>
      </c>
      <c r="I183" s="15">
        <v>0</v>
      </c>
      <c r="J183" s="15">
        <v>0</v>
      </c>
      <c r="K183" s="15">
        <v>-1</v>
      </c>
      <c r="L183" s="15">
        <v>0</v>
      </c>
      <c r="M183" s="15">
        <v>0</v>
      </c>
      <c r="N183" s="15">
        <v>0</v>
      </c>
      <c r="O183" s="15">
        <v>0</v>
      </c>
      <c r="P183" s="15">
        <v>1</v>
      </c>
      <c r="Q183" s="15">
        <v>0</v>
      </c>
      <c r="R183" s="15">
        <v>0</v>
      </c>
    </row>
    <row r="184" spans="1:18" x14ac:dyDescent="0.2">
      <c r="A184" s="15">
        <v>183</v>
      </c>
      <c r="B184" s="38">
        <v>1</v>
      </c>
      <c r="C184" s="15" t="s">
        <v>455</v>
      </c>
      <c r="D184" s="15"/>
      <c r="E184" s="15" t="s">
        <v>3170</v>
      </c>
      <c r="F184" s="15" t="s">
        <v>452</v>
      </c>
      <c r="G184" s="15" t="s">
        <v>458</v>
      </c>
      <c r="H184" s="15" t="s">
        <v>3032</v>
      </c>
      <c r="I184" s="15">
        <v>0</v>
      </c>
      <c r="J184" s="15">
        <v>0</v>
      </c>
      <c r="K184" s="15">
        <v>-1</v>
      </c>
      <c r="L184" s="15">
        <v>0</v>
      </c>
      <c r="M184" s="15">
        <v>0</v>
      </c>
      <c r="N184" s="15">
        <v>0</v>
      </c>
      <c r="O184" s="15">
        <v>0</v>
      </c>
      <c r="P184" s="15">
        <v>1</v>
      </c>
      <c r="Q184" s="15">
        <v>0</v>
      </c>
      <c r="R184" s="15">
        <v>0</v>
      </c>
    </row>
    <row r="185" spans="1:18" x14ac:dyDescent="0.2">
      <c r="A185" s="15">
        <v>184</v>
      </c>
      <c r="B185" s="38">
        <v>1</v>
      </c>
      <c r="C185" s="15" t="s">
        <v>456</v>
      </c>
      <c r="D185" s="15"/>
      <c r="E185" s="15" t="s">
        <v>3170</v>
      </c>
      <c r="F185" s="15" t="s">
        <v>452</v>
      </c>
      <c r="G185" s="15" t="s">
        <v>458</v>
      </c>
      <c r="H185" s="15" t="s">
        <v>3032</v>
      </c>
      <c r="I185" s="15">
        <v>0</v>
      </c>
      <c r="J185" s="15">
        <v>0</v>
      </c>
      <c r="K185" s="15">
        <v>-1</v>
      </c>
      <c r="L185" s="15">
        <v>0</v>
      </c>
      <c r="M185" s="15">
        <v>0</v>
      </c>
      <c r="N185" s="15">
        <v>0</v>
      </c>
      <c r="O185" s="15">
        <v>0</v>
      </c>
      <c r="P185" s="15">
        <v>1</v>
      </c>
      <c r="Q185" s="15">
        <v>0</v>
      </c>
      <c r="R185" s="15">
        <v>0</v>
      </c>
    </row>
    <row r="186" spans="1:18" x14ac:dyDescent="0.2">
      <c r="A186" s="15">
        <v>185</v>
      </c>
      <c r="B186" s="38">
        <v>1</v>
      </c>
      <c r="C186" s="15" t="s">
        <v>457</v>
      </c>
      <c r="D186" s="15"/>
      <c r="E186" s="15" t="s">
        <v>3170</v>
      </c>
      <c r="F186" s="15" t="s">
        <v>452</v>
      </c>
      <c r="G186" s="15" t="s">
        <v>458</v>
      </c>
      <c r="H186" s="15" t="s">
        <v>3032</v>
      </c>
      <c r="I186" s="15">
        <v>0</v>
      </c>
      <c r="J186" s="15">
        <v>0</v>
      </c>
      <c r="K186" s="15">
        <v>-1</v>
      </c>
      <c r="L186" s="15">
        <v>0</v>
      </c>
      <c r="M186" s="15">
        <v>0</v>
      </c>
      <c r="N186" s="15">
        <v>0</v>
      </c>
      <c r="O186" s="15">
        <v>0</v>
      </c>
      <c r="P186" s="15">
        <v>1</v>
      </c>
      <c r="Q186" s="15">
        <v>0</v>
      </c>
      <c r="R186" s="15">
        <v>0</v>
      </c>
    </row>
    <row r="187" spans="1:18" x14ac:dyDescent="0.2">
      <c r="A187" s="15">
        <v>186</v>
      </c>
      <c r="B187" s="38">
        <v>1</v>
      </c>
      <c r="C187" s="15" t="s">
        <v>460</v>
      </c>
      <c r="D187" s="15"/>
      <c r="E187" s="15" t="s">
        <v>3171</v>
      </c>
      <c r="F187" s="15" t="s">
        <v>459</v>
      </c>
      <c r="G187" s="15" t="s">
        <v>461</v>
      </c>
      <c r="H187" s="15" t="s">
        <v>3033</v>
      </c>
      <c r="I187" s="15">
        <v>0</v>
      </c>
      <c r="J187" s="15">
        <v>0</v>
      </c>
      <c r="K187" s="15">
        <v>-2</v>
      </c>
      <c r="L187" s="15">
        <v>0</v>
      </c>
      <c r="M187" s="15">
        <v>0</v>
      </c>
      <c r="N187" s="15">
        <v>0</v>
      </c>
      <c r="O187" s="15">
        <v>0</v>
      </c>
      <c r="P187" s="15">
        <v>1</v>
      </c>
      <c r="Q187" s="15">
        <v>0</v>
      </c>
      <c r="R187" s="15">
        <v>0</v>
      </c>
    </row>
    <row r="188" spans="1:18" x14ac:dyDescent="0.2">
      <c r="A188" s="15">
        <v>187</v>
      </c>
      <c r="B188" s="38">
        <v>1</v>
      </c>
      <c r="C188" s="15" t="s">
        <v>463</v>
      </c>
      <c r="D188" s="15"/>
      <c r="E188" s="15" t="s">
        <v>3172</v>
      </c>
      <c r="F188" s="15" t="s">
        <v>462</v>
      </c>
      <c r="G188" s="15" t="s">
        <v>466</v>
      </c>
      <c r="H188" s="15" t="s">
        <v>3034</v>
      </c>
      <c r="I188" s="15">
        <v>-1</v>
      </c>
      <c r="J188" s="15">
        <v>-2</v>
      </c>
      <c r="K188" s="15">
        <v>3</v>
      </c>
      <c r="L188" s="15">
        <v>2</v>
      </c>
      <c r="M188" s="15">
        <v>0</v>
      </c>
      <c r="N188" s="15">
        <v>0</v>
      </c>
      <c r="O188" s="15">
        <v>0</v>
      </c>
      <c r="P188" s="15">
        <v>0</v>
      </c>
      <c r="Q188" s="15">
        <v>0</v>
      </c>
      <c r="R188" s="15">
        <v>0</v>
      </c>
    </row>
    <row r="189" spans="1:18" x14ac:dyDescent="0.2">
      <c r="A189" s="15">
        <v>188</v>
      </c>
      <c r="B189" s="38">
        <v>1</v>
      </c>
      <c r="C189" s="15" t="s">
        <v>464</v>
      </c>
      <c r="D189" s="15"/>
      <c r="E189" s="15" t="s">
        <v>3172</v>
      </c>
      <c r="F189" s="15" t="s">
        <v>462</v>
      </c>
      <c r="G189" s="15" t="s">
        <v>466</v>
      </c>
      <c r="H189" s="15" t="s">
        <v>3034</v>
      </c>
      <c r="I189" s="15">
        <v>-1</v>
      </c>
      <c r="J189" s="15">
        <v>-2</v>
      </c>
      <c r="K189" s="15">
        <v>3</v>
      </c>
      <c r="L189" s="15">
        <v>2</v>
      </c>
      <c r="M189" s="15">
        <v>0</v>
      </c>
      <c r="N189" s="15">
        <v>0</v>
      </c>
      <c r="O189" s="15">
        <v>0</v>
      </c>
      <c r="P189" s="15">
        <v>0</v>
      </c>
      <c r="Q189" s="15">
        <v>0</v>
      </c>
      <c r="R189" s="15">
        <v>0</v>
      </c>
    </row>
    <row r="190" spans="1:18" x14ac:dyDescent="0.2">
      <c r="A190" s="15">
        <v>189</v>
      </c>
      <c r="B190" s="38">
        <v>1</v>
      </c>
      <c r="C190" s="15" t="s">
        <v>465</v>
      </c>
      <c r="D190" s="15"/>
      <c r="E190" s="15" t="s">
        <v>3172</v>
      </c>
      <c r="F190" s="15" t="s">
        <v>462</v>
      </c>
      <c r="G190" s="15" t="s">
        <v>466</v>
      </c>
      <c r="H190" s="15" t="s">
        <v>3034</v>
      </c>
      <c r="I190" s="15">
        <v>-1</v>
      </c>
      <c r="J190" s="15">
        <v>-2</v>
      </c>
      <c r="K190" s="15">
        <v>3</v>
      </c>
      <c r="L190" s="15">
        <v>2</v>
      </c>
      <c r="M190" s="15">
        <v>0</v>
      </c>
      <c r="N190" s="15">
        <v>0</v>
      </c>
      <c r="O190" s="15">
        <v>0</v>
      </c>
      <c r="P190" s="15">
        <v>0</v>
      </c>
      <c r="Q190" s="15">
        <v>0</v>
      </c>
      <c r="R190" s="15">
        <v>0</v>
      </c>
    </row>
    <row r="191" spans="1:18" x14ac:dyDescent="0.2">
      <c r="A191" s="15">
        <v>190</v>
      </c>
      <c r="B191" s="38">
        <v>1</v>
      </c>
      <c r="C191" s="15" t="s">
        <v>469</v>
      </c>
      <c r="D191" s="15">
        <v>2</v>
      </c>
      <c r="E191" s="15" t="s">
        <v>3173</v>
      </c>
      <c r="F191" s="15" t="s">
        <v>468</v>
      </c>
      <c r="G191" s="15" t="s">
        <v>470</v>
      </c>
      <c r="H191" s="15" t="s">
        <v>3035</v>
      </c>
      <c r="I191" s="15">
        <v>0</v>
      </c>
      <c r="J191" s="15">
        <v>0</v>
      </c>
      <c r="K191" s="15">
        <v>1</v>
      </c>
      <c r="L191" s="15">
        <v>0</v>
      </c>
      <c r="M191" s="15">
        <v>0</v>
      </c>
      <c r="N191" s="15">
        <v>0</v>
      </c>
      <c r="O191" s="15">
        <v>0</v>
      </c>
      <c r="P191" s="15">
        <v>0</v>
      </c>
      <c r="Q191" s="15">
        <v>0</v>
      </c>
      <c r="R191" s="15">
        <v>0</v>
      </c>
    </row>
    <row r="192" spans="1:18" x14ac:dyDescent="0.2">
      <c r="A192" s="15">
        <v>191</v>
      </c>
      <c r="B192" s="38">
        <v>1</v>
      </c>
      <c r="C192" s="15" t="s">
        <v>473</v>
      </c>
      <c r="D192" s="15"/>
      <c r="E192" s="15" t="s">
        <v>3174</v>
      </c>
      <c r="F192" s="15" t="s">
        <v>472</v>
      </c>
      <c r="G192" s="15" t="s">
        <v>474</v>
      </c>
      <c r="H192" s="15" t="s">
        <v>3036</v>
      </c>
      <c r="I192" s="15">
        <v>-1</v>
      </c>
      <c r="J192" s="15">
        <v>-3</v>
      </c>
      <c r="K192" s="15">
        <v>3</v>
      </c>
      <c r="L192" s="15">
        <v>2</v>
      </c>
      <c r="M192" s="15">
        <v>0</v>
      </c>
      <c r="N192" s="15">
        <v>0</v>
      </c>
      <c r="O192" s="15">
        <v>0</v>
      </c>
      <c r="P192" s="15">
        <v>0</v>
      </c>
      <c r="Q192" s="15">
        <v>0</v>
      </c>
      <c r="R192" s="15">
        <v>0</v>
      </c>
    </row>
    <row r="193" spans="1:18" x14ac:dyDescent="0.2">
      <c r="A193" s="15">
        <v>192</v>
      </c>
      <c r="B193" s="38">
        <v>1</v>
      </c>
      <c r="C193" s="15" t="s">
        <v>476</v>
      </c>
      <c r="D193" s="15"/>
      <c r="E193" s="15" t="s">
        <v>3175</v>
      </c>
      <c r="F193" s="15" t="s">
        <v>475</v>
      </c>
      <c r="G193" s="15" t="s">
        <v>479</v>
      </c>
      <c r="H193" s="15" t="s">
        <v>3037</v>
      </c>
      <c r="I193" s="15">
        <v>0</v>
      </c>
      <c r="J193" s="15">
        <v>-1</v>
      </c>
      <c r="K193" s="15">
        <v>1</v>
      </c>
      <c r="L193" s="15">
        <v>0</v>
      </c>
      <c r="M193" s="15">
        <v>0</v>
      </c>
      <c r="N193" s="15">
        <v>0</v>
      </c>
      <c r="O193" s="15">
        <v>0</v>
      </c>
      <c r="P193" s="15">
        <v>0</v>
      </c>
      <c r="Q193" s="15">
        <v>0</v>
      </c>
      <c r="R193" s="15">
        <v>0</v>
      </c>
    </row>
    <row r="194" spans="1:18" x14ac:dyDescent="0.2">
      <c r="A194" s="15">
        <v>193</v>
      </c>
      <c r="B194" s="38">
        <v>1</v>
      </c>
      <c r="C194" s="15" t="s">
        <v>477</v>
      </c>
      <c r="D194" s="15"/>
      <c r="E194" s="15" t="s">
        <v>3175</v>
      </c>
      <c r="F194" s="15" t="s">
        <v>475</v>
      </c>
      <c r="G194" s="15" t="s">
        <v>479</v>
      </c>
      <c r="H194" s="15" t="s">
        <v>3037</v>
      </c>
      <c r="I194" s="15">
        <v>0</v>
      </c>
      <c r="J194" s="15">
        <v>-1</v>
      </c>
      <c r="K194" s="15">
        <v>1</v>
      </c>
      <c r="L194" s="15">
        <v>0</v>
      </c>
      <c r="M194" s="15">
        <v>0</v>
      </c>
      <c r="N194" s="15">
        <v>0</v>
      </c>
      <c r="O194" s="15">
        <v>0</v>
      </c>
      <c r="P194" s="15">
        <v>0</v>
      </c>
      <c r="Q194" s="15">
        <v>0</v>
      </c>
      <c r="R194" s="15">
        <v>0</v>
      </c>
    </row>
    <row r="195" spans="1:18" x14ac:dyDescent="0.2">
      <c r="A195" s="15">
        <v>194</v>
      </c>
      <c r="B195" s="38">
        <v>1</v>
      </c>
      <c r="C195" s="15" t="s">
        <v>478</v>
      </c>
      <c r="D195" s="15"/>
      <c r="E195" s="15" t="s">
        <v>3175</v>
      </c>
      <c r="F195" s="15" t="s">
        <v>475</v>
      </c>
      <c r="G195" s="15" t="s">
        <v>479</v>
      </c>
      <c r="H195" s="15" t="s">
        <v>3037</v>
      </c>
      <c r="I195" s="15">
        <v>0</v>
      </c>
      <c r="J195" s="15">
        <v>-1</v>
      </c>
      <c r="K195" s="15">
        <v>1</v>
      </c>
      <c r="L195" s="15">
        <v>0</v>
      </c>
      <c r="M195" s="15">
        <v>0</v>
      </c>
      <c r="N195" s="15">
        <v>0</v>
      </c>
      <c r="O195" s="15">
        <v>0</v>
      </c>
      <c r="P195" s="15">
        <v>0</v>
      </c>
      <c r="Q195" s="15">
        <v>0</v>
      </c>
      <c r="R195" s="15">
        <v>0</v>
      </c>
    </row>
    <row r="196" spans="1:18" x14ac:dyDescent="0.2">
      <c r="A196" s="15">
        <v>195</v>
      </c>
      <c r="B196" s="38">
        <v>1</v>
      </c>
      <c r="C196" s="15" t="s">
        <v>481</v>
      </c>
      <c r="D196" s="15"/>
      <c r="E196" s="15" t="s">
        <v>3176</v>
      </c>
      <c r="F196" s="15" t="s">
        <v>480</v>
      </c>
      <c r="G196" s="15" t="s">
        <v>482</v>
      </c>
      <c r="H196" s="15" t="s">
        <v>3038</v>
      </c>
      <c r="I196" s="15">
        <v>0</v>
      </c>
      <c r="J196" s="15">
        <v>-3</v>
      </c>
      <c r="K196" s="15">
        <v>1</v>
      </c>
      <c r="L196" s="15">
        <v>0</v>
      </c>
      <c r="M196" s="15">
        <v>0</v>
      </c>
      <c r="N196" s="15">
        <v>0</v>
      </c>
      <c r="O196" s="15">
        <v>0</v>
      </c>
      <c r="P196" s="15">
        <v>0</v>
      </c>
      <c r="Q196" s="15">
        <v>0</v>
      </c>
      <c r="R196" s="15">
        <v>0</v>
      </c>
    </row>
    <row r="197" spans="1:18" x14ac:dyDescent="0.2">
      <c r="A197" s="15">
        <v>196</v>
      </c>
      <c r="B197" s="38">
        <v>1</v>
      </c>
      <c r="C197" s="15" t="s">
        <v>3196</v>
      </c>
      <c r="D197" s="15"/>
      <c r="E197" s="15" t="s">
        <v>3207</v>
      </c>
      <c r="F197" s="15" t="s">
        <v>483</v>
      </c>
      <c r="G197" s="15" t="s">
        <v>485</v>
      </c>
      <c r="H197" s="15" t="s">
        <v>4464</v>
      </c>
      <c r="I197" s="15">
        <v>0</v>
      </c>
      <c r="J197" s="15">
        <v>3</v>
      </c>
      <c r="K197" s="15">
        <v>0</v>
      </c>
      <c r="L197" s="15">
        <v>0</v>
      </c>
      <c r="M197" s="15">
        <v>0</v>
      </c>
      <c r="N197" s="15">
        <v>0</v>
      </c>
      <c r="O197" s="15">
        <v>0</v>
      </c>
      <c r="P197" s="15">
        <v>0</v>
      </c>
      <c r="Q197" s="15">
        <v>0</v>
      </c>
      <c r="R197" s="15">
        <v>0</v>
      </c>
    </row>
    <row r="198" spans="1:18" x14ac:dyDescent="0.2">
      <c r="A198" s="15">
        <v>197</v>
      </c>
      <c r="B198" s="38">
        <v>1</v>
      </c>
      <c r="C198" s="15" t="s">
        <v>3197</v>
      </c>
      <c r="D198" s="15"/>
      <c r="E198" s="15" t="s">
        <v>3208</v>
      </c>
      <c r="F198" s="15" t="s">
        <v>487</v>
      </c>
      <c r="G198" s="15" t="s">
        <v>489</v>
      </c>
      <c r="H198" s="15" t="s">
        <v>4465</v>
      </c>
      <c r="I198" s="15">
        <v>0</v>
      </c>
      <c r="J198" s="15">
        <v>1</v>
      </c>
      <c r="K198" s="15">
        <v>0</v>
      </c>
      <c r="L198" s="15">
        <v>0</v>
      </c>
      <c r="M198" s="15">
        <v>0</v>
      </c>
      <c r="N198" s="15">
        <v>0</v>
      </c>
      <c r="O198" s="15">
        <v>0</v>
      </c>
      <c r="P198" s="15">
        <v>0</v>
      </c>
      <c r="Q198" s="15">
        <v>0</v>
      </c>
      <c r="R198" s="15">
        <v>0</v>
      </c>
    </row>
    <row r="199" spans="1:18" x14ac:dyDescent="0.2">
      <c r="A199" s="15">
        <v>198</v>
      </c>
      <c r="B199" s="38">
        <v>1</v>
      </c>
      <c r="C199" s="15" t="s">
        <v>3198</v>
      </c>
      <c r="D199" s="15"/>
      <c r="E199" s="15" t="s">
        <v>3209</v>
      </c>
      <c r="F199" s="15" t="s">
        <v>490</v>
      </c>
      <c r="G199" s="15" t="s">
        <v>492</v>
      </c>
      <c r="H199" s="15" t="s">
        <v>4466</v>
      </c>
      <c r="I199" s="15">
        <v>0</v>
      </c>
      <c r="J199" s="15">
        <v>0</v>
      </c>
      <c r="K199" s="15">
        <v>0</v>
      </c>
      <c r="L199" s="15">
        <v>0</v>
      </c>
      <c r="M199" s="15">
        <v>0</v>
      </c>
      <c r="N199" s="15">
        <v>0</v>
      </c>
      <c r="O199" s="15">
        <v>0</v>
      </c>
      <c r="P199" s="15">
        <v>0</v>
      </c>
      <c r="Q199" s="15">
        <v>0</v>
      </c>
      <c r="R199" s="15">
        <v>0</v>
      </c>
    </row>
    <row r="200" spans="1:18" x14ac:dyDescent="0.2">
      <c r="A200" s="15">
        <v>199</v>
      </c>
      <c r="B200" s="38">
        <v>1</v>
      </c>
      <c r="C200" s="15" t="s">
        <v>3199</v>
      </c>
      <c r="D200" s="15"/>
      <c r="E200" s="15" t="s">
        <v>3210</v>
      </c>
      <c r="F200" s="15" t="s">
        <v>493</v>
      </c>
      <c r="G200" s="15" t="s">
        <v>494</v>
      </c>
      <c r="H200" s="15" t="s">
        <v>4396</v>
      </c>
      <c r="I200" s="15">
        <v>0</v>
      </c>
      <c r="J200" s="15">
        <v>3</v>
      </c>
      <c r="K200" s="15">
        <v>0</v>
      </c>
      <c r="L200" s="15">
        <v>0</v>
      </c>
      <c r="M200" s="15">
        <v>0</v>
      </c>
      <c r="N200" s="15">
        <v>0</v>
      </c>
      <c r="O200" s="15">
        <v>0</v>
      </c>
      <c r="P200" s="15">
        <v>0</v>
      </c>
      <c r="Q200" s="15">
        <v>0</v>
      </c>
      <c r="R200" s="15">
        <v>0</v>
      </c>
    </row>
    <row r="201" spans="1:18" x14ac:dyDescent="0.2">
      <c r="A201" s="15">
        <v>200</v>
      </c>
      <c r="B201" s="38">
        <v>1</v>
      </c>
      <c r="C201" s="15" t="s">
        <v>3200</v>
      </c>
      <c r="D201" s="15"/>
      <c r="E201" s="15" t="s">
        <v>3211</v>
      </c>
      <c r="F201" s="15" t="s">
        <v>496</v>
      </c>
      <c r="G201" s="15" t="s">
        <v>497</v>
      </c>
      <c r="H201" s="15" t="s">
        <v>4397</v>
      </c>
      <c r="I201" s="15">
        <v>0</v>
      </c>
      <c r="J201" s="15">
        <v>1</v>
      </c>
      <c r="K201" s="15">
        <v>0</v>
      </c>
      <c r="L201" s="15">
        <v>0</v>
      </c>
      <c r="M201" s="15">
        <v>0</v>
      </c>
      <c r="N201" s="15">
        <v>0</v>
      </c>
      <c r="O201" s="15">
        <v>0</v>
      </c>
      <c r="P201" s="15">
        <v>0</v>
      </c>
      <c r="Q201" s="15">
        <v>0</v>
      </c>
      <c r="R201" s="15">
        <v>0</v>
      </c>
    </row>
    <row r="202" spans="1:18" x14ac:dyDescent="0.2">
      <c r="A202" s="15">
        <v>201</v>
      </c>
      <c r="B202" s="38">
        <v>1</v>
      </c>
      <c r="C202" s="15" t="s">
        <v>3201</v>
      </c>
      <c r="D202" s="15"/>
      <c r="E202" s="15" t="s">
        <v>3212</v>
      </c>
      <c r="F202" s="15" t="s">
        <v>498</v>
      </c>
      <c r="G202" s="15" t="s">
        <v>499</v>
      </c>
      <c r="H202" s="15" t="s">
        <v>4398</v>
      </c>
      <c r="I202" s="15">
        <v>0</v>
      </c>
      <c r="J202" s="15">
        <v>0</v>
      </c>
      <c r="K202" s="15">
        <v>0</v>
      </c>
      <c r="L202" s="15">
        <v>0</v>
      </c>
      <c r="M202" s="15">
        <v>0</v>
      </c>
      <c r="N202" s="15">
        <v>0</v>
      </c>
      <c r="O202" s="15">
        <v>0</v>
      </c>
      <c r="P202" s="15">
        <v>0</v>
      </c>
      <c r="Q202" s="15">
        <v>0</v>
      </c>
      <c r="R202" s="15">
        <v>0</v>
      </c>
    </row>
    <row r="203" spans="1:18" x14ac:dyDescent="0.2">
      <c r="A203" s="15">
        <v>202</v>
      </c>
      <c r="B203" s="38">
        <v>1</v>
      </c>
      <c r="C203" s="15" t="s">
        <v>3202</v>
      </c>
      <c r="D203" s="15"/>
      <c r="E203" s="15" t="s">
        <v>3213</v>
      </c>
      <c r="F203" s="15" t="s">
        <v>500</v>
      </c>
      <c r="G203" s="15" t="s">
        <v>502</v>
      </c>
      <c r="H203" s="15" t="s">
        <v>4399</v>
      </c>
      <c r="I203" s="15">
        <v>0</v>
      </c>
      <c r="J203" s="15">
        <v>3</v>
      </c>
      <c r="K203" s="15">
        <v>-1</v>
      </c>
      <c r="L203" s="15">
        <v>0</v>
      </c>
      <c r="M203" s="15">
        <v>0</v>
      </c>
      <c r="N203" s="15">
        <v>0</v>
      </c>
      <c r="O203" s="15">
        <v>0</v>
      </c>
      <c r="P203" s="15">
        <v>0</v>
      </c>
      <c r="Q203" s="15">
        <v>0</v>
      </c>
      <c r="R203" s="15">
        <v>0</v>
      </c>
    </row>
    <row r="204" spans="1:18" x14ac:dyDescent="0.2">
      <c r="A204" s="15">
        <v>203</v>
      </c>
      <c r="B204" s="38">
        <v>1</v>
      </c>
      <c r="C204" s="15" t="s">
        <v>504</v>
      </c>
      <c r="D204" s="15">
        <v>2</v>
      </c>
      <c r="E204" s="15" t="s">
        <v>3177</v>
      </c>
      <c r="F204" s="15" t="s">
        <v>503</v>
      </c>
      <c r="G204" s="15" t="s">
        <v>505</v>
      </c>
      <c r="H204" s="15" t="s">
        <v>3039</v>
      </c>
      <c r="I204" s="15">
        <v>0</v>
      </c>
      <c r="J204" s="15">
        <v>0</v>
      </c>
      <c r="K204" s="15">
        <v>0</v>
      </c>
      <c r="L204" s="15">
        <v>0</v>
      </c>
      <c r="M204" s="15">
        <v>0</v>
      </c>
      <c r="N204" s="15">
        <v>0</v>
      </c>
      <c r="O204" s="15">
        <v>0</v>
      </c>
      <c r="P204" s="15">
        <v>0</v>
      </c>
      <c r="Q204" s="15">
        <v>1</v>
      </c>
      <c r="R204" s="15">
        <v>0</v>
      </c>
    </row>
    <row r="205" spans="1:18" x14ac:dyDescent="0.2">
      <c r="A205" s="15">
        <v>204</v>
      </c>
      <c r="B205" s="38">
        <v>1</v>
      </c>
      <c r="C205" s="15" t="s">
        <v>508</v>
      </c>
      <c r="D205" s="15"/>
      <c r="E205" s="15" t="s">
        <v>3178</v>
      </c>
      <c r="F205" s="15" t="s">
        <v>507</v>
      </c>
      <c r="G205" s="15" t="s">
        <v>509</v>
      </c>
      <c r="H205" s="15" t="s">
        <v>3040</v>
      </c>
      <c r="I205" s="15">
        <v>0</v>
      </c>
      <c r="J205" s="15">
        <v>2</v>
      </c>
      <c r="K205" s="15">
        <v>-2</v>
      </c>
      <c r="L205" s="15">
        <v>0</v>
      </c>
      <c r="M205" s="15">
        <v>0</v>
      </c>
      <c r="N205" s="15">
        <v>0</v>
      </c>
      <c r="O205" s="15">
        <v>0</v>
      </c>
      <c r="P205" s="15">
        <v>0</v>
      </c>
      <c r="Q205" s="15">
        <v>0</v>
      </c>
      <c r="R205" s="15">
        <v>0</v>
      </c>
    </row>
    <row r="206" spans="1:18" x14ac:dyDescent="0.2">
      <c r="A206" s="15">
        <v>205</v>
      </c>
      <c r="B206" s="38">
        <v>1</v>
      </c>
      <c r="C206" s="15" t="s">
        <v>512</v>
      </c>
      <c r="D206" s="15"/>
      <c r="E206" s="15" t="s">
        <v>3179</v>
      </c>
      <c r="F206" s="15" t="s">
        <v>511</v>
      </c>
      <c r="G206" s="15" t="s">
        <v>513</v>
      </c>
      <c r="H206" s="15" t="s">
        <v>3041</v>
      </c>
      <c r="I206" s="15">
        <v>0</v>
      </c>
      <c r="J206" s="15">
        <v>2</v>
      </c>
      <c r="K206" s="15">
        <v>-3</v>
      </c>
      <c r="L206" s="15">
        <v>0</v>
      </c>
      <c r="M206" s="15">
        <v>0</v>
      </c>
      <c r="N206" s="15">
        <v>0</v>
      </c>
      <c r="O206" s="15">
        <v>0</v>
      </c>
      <c r="P206" s="15">
        <v>0</v>
      </c>
      <c r="Q206" s="15">
        <v>0</v>
      </c>
      <c r="R206" s="15">
        <v>0</v>
      </c>
    </row>
    <row r="207" spans="1:18" x14ac:dyDescent="0.2">
      <c r="A207" s="15">
        <v>206</v>
      </c>
      <c r="B207" s="38">
        <v>1</v>
      </c>
      <c r="C207" s="15" t="s">
        <v>516</v>
      </c>
      <c r="D207" s="15"/>
      <c r="E207" s="15" t="s">
        <v>3180</v>
      </c>
      <c r="F207" s="15" t="s">
        <v>515</v>
      </c>
      <c r="G207" s="15" t="s">
        <v>518</v>
      </c>
      <c r="H207" s="15" t="s">
        <v>3042</v>
      </c>
      <c r="I207" s="15">
        <v>1</v>
      </c>
      <c r="J207" s="15">
        <v>0</v>
      </c>
      <c r="K207" s="15">
        <v>-2</v>
      </c>
      <c r="L207" s="15">
        <v>-1</v>
      </c>
      <c r="M207" s="15">
        <v>0</v>
      </c>
      <c r="N207" s="15">
        <v>0</v>
      </c>
      <c r="O207" s="15">
        <v>0</v>
      </c>
      <c r="P207" s="15">
        <v>0</v>
      </c>
      <c r="Q207" s="15">
        <v>0</v>
      </c>
      <c r="R207" s="15">
        <v>0</v>
      </c>
    </row>
    <row r="208" spans="1:18" x14ac:dyDescent="0.2">
      <c r="A208" s="15">
        <v>207</v>
      </c>
      <c r="B208" s="38">
        <v>1</v>
      </c>
      <c r="C208" s="15" t="s">
        <v>517</v>
      </c>
      <c r="D208" s="15"/>
      <c r="E208" s="15" t="s">
        <v>3180</v>
      </c>
      <c r="F208" s="15" t="s">
        <v>515</v>
      </c>
      <c r="G208" s="15" t="s">
        <v>518</v>
      </c>
      <c r="H208" s="15" t="s">
        <v>3042</v>
      </c>
      <c r="I208" s="15">
        <v>1</v>
      </c>
      <c r="J208" s="15">
        <v>0</v>
      </c>
      <c r="K208" s="15">
        <v>-2</v>
      </c>
      <c r="L208" s="15">
        <v>-1</v>
      </c>
      <c r="M208" s="15">
        <v>0</v>
      </c>
      <c r="N208" s="15">
        <v>0</v>
      </c>
      <c r="O208" s="15">
        <v>0</v>
      </c>
      <c r="P208" s="15">
        <v>0</v>
      </c>
      <c r="Q208" s="15">
        <v>0</v>
      </c>
      <c r="R208" s="15">
        <v>0</v>
      </c>
    </row>
    <row r="209" spans="1:18" x14ac:dyDescent="0.2">
      <c r="A209" s="15">
        <v>208</v>
      </c>
      <c r="B209" s="38">
        <v>1</v>
      </c>
      <c r="C209" s="15" t="s">
        <v>521</v>
      </c>
      <c r="D209" s="15"/>
      <c r="E209" s="15" t="s">
        <v>3181</v>
      </c>
      <c r="F209" s="15" t="s">
        <v>520</v>
      </c>
      <c r="G209" s="15" t="s">
        <v>522</v>
      </c>
      <c r="H209" s="15" t="s">
        <v>3043</v>
      </c>
      <c r="I209" s="15">
        <v>1</v>
      </c>
      <c r="J209" s="15">
        <v>2</v>
      </c>
      <c r="K209" s="15">
        <v>-3</v>
      </c>
      <c r="L209" s="15">
        <v>-1</v>
      </c>
      <c r="M209" s="15">
        <v>0</v>
      </c>
      <c r="N209" s="15">
        <v>0</v>
      </c>
      <c r="O209" s="15">
        <v>0</v>
      </c>
      <c r="P209" s="15">
        <v>0</v>
      </c>
      <c r="Q209" s="15">
        <v>0</v>
      </c>
      <c r="R209" s="15">
        <v>0</v>
      </c>
    </row>
    <row r="210" spans="1:18" x14ac:dyDescent="0.2">
      <c r="A210" s="15">
        <v>209</v>
      </c>
      <c r="B210" s="38">
        <v>1</v>
      </c>
      <c r="C210" s="15" t="s">
        <v>525</v>
      </c>
      <c r="D210" s="15"/>
      <c r="E210" s="15" t="s">
        <v>3182</v>
      </c>
      <c r="F210" s="15" t="s">
        <v>524</v>
      </c>
      <c r="G210" s="15" t="s">
        <v>526</v>
      </c>
      <c r="H210" s="15" t="s">
        <v>3044</v>
      </c>
      <c r="I210" s="15">
        <v>1</v>
      </c>
      <c r="J210" s="15">
        <v>2</v>
      </c>
      <c r="K210" s="15">
        <v>-3</v>
      </c>
      <c r="L210" s="15">
        <v>-1</v>
      </c>
      <c r="M210" s="15">
        <v>0</v>
      </c>
      <c r="N210" s="15">
        <v>0</v>
      </c>
      <c r="O210" s="15">
        <v>0</v>
      </c>
      <c r="P210" s="15">
        <v>0</v>
      </c>
      <c r="Q210" s="15">
        <v>0</v>
      </c>
      <c r="R210" s="15">
        <v>0</v>
      </c>
    </row>
    <row r="211" spans="1:18" x14ac:dyDescent="0.2">
      <c r="A211" s="15">
        <v>210</v>
      </c>
      <c r="B211" s="38">
        <v>1</v>
      </c>
      <c r="C211" s="15" t="s">
        <v>528</v>
      </c>
      <c r="D211" s="15"/>
      <c r="E211" s="15" t="s">
        <v>3183</v>
      </c>
      <c r="F211" s="15" t="s">
        <v>527</v>
      </c>
      <c r="G211" s="15" t="s">
        <v>529</v>
      </c>
      <c r="H211" s="15" t="s">
        <v>3045</v>
      </c>
      <c r="I211" s="15">
        <v>1</v>
      </c>
      <c r="J211" s="15">
        <v>1</v>
      </c>
      <c r="K211" s="15">
        <v>-3</v>
      </c>
      <c r="L211" s="15">
        <v>-1</v>
      </c>
      <c r="M211" s="15">
        <v>0</v>
      </c>
      <c r="N211" s="15">
        <v>0</v>
      </c>
      <c r="O211" s="15">
        <v>0</v>
      </c>
      <c r="P211" s="15">
        <v>0</v>
      </c>
      <c r="Q211" s="15">
        <v>0</v>
      </c>
      <c r="R211" s="15">
        <v>0</v>
      </c>
    </row>
    <row r="212" spans="1:18" x14ac:dyDescent="0.2">
      <c r="A212" s="15">
        <v>211</v>
      </c>
      <c r="B212" s="38">
        <v>1</v>
      </c>
      <c r="C212" s="15" t="s">
        <v>531</v>
      </c>
      <c r="D212" s="15">
        <v>2</v>
      </c>
      <c r="E212" s="15" t="s">
        <v>3184</v>
      </c>
      <c r="F212" s="15" t="s">
        <v>530</v>
      </c>
      <c r="G212" s="15" t="s">
        <v>533</v>
      </c>
      <c r="H212" s="15" t="s">
        <v>3046</v>
      </c>
      <c r="I212" s="15">
        <v>1</v>
      </c>
      <c r="J212" s="15">
        <v>2</v>
      </c>
      <c r="K212" s="15">
        <v>-3</v>
      </c>
      <c r="L212" s="15">
        <v>0</v>
      </c>
      <c r="M212" s="15">
        <v>0</v>
      </c>
      <c r="N212" s="15">
        <v>0</v>
      </c>
      <c r="O212" s="15">
        <v>0</v>
      </c>
      <c r="P212" s="15">
        <v>0</v>
      </c>
      <c r="Q212" s="15">
        <v>0</v>
      </c>
      <c r="R212" s="15">
        <v>0</v>
      </c>
    </row>
    <row r="213" spans="1:18" x14ac:dyDescent="0.2">
      <c r="A213" s="15">
        <v>212</v>
      </c>
      <c r="B213" s="38">
        <v>1</v>
      </c>
      <c r="C213" s="15" t="s">
        <v>532</v>
      </c>
      <c r="D213" s="15">
        <v>2</v>
      </c>
      <c r="E213" s="15" t="s">
        <v>3184</v>
      </c>
      <c r="F213" s="15" t="s">
        <v>530</v>
      </c>
      <c r="G213" s="15" t="s">
        <v>533</v>
      </c>
      <c r="H213" s="15" t="s">
        <v>3046</v>
      </c>
      <c r="I213" s="15">
        <v>1</v>
      </c>
      <c r="J213" s="15">
        <v>2</v>
      </c>
      <c r="K213" s="15">
        <v>-3</v>
      </c>
      <c r="L213" s="15">
        <v>0</v>
      </c>
      <c r="M213" s="15">
        <v>0</v>
      </c>
      <c r="N213" s="15">
        <v>0</v>
      </c>
      <c r="O213" s="15">
        <v>0</v>
      </c>
      <c r="P213" s="15">
        <v>0</v>
      </c>
      <c r="Q213" s="15">
        <v>0</v>
      </c>
      <c r="R213" s="15">
        <v>0</v>
      </c>
    </row>
    <row r="214" spans="1:18" x14ac:dyDescent="0.2">
      <c r="A214" s="15">
        <v>213</v>
      </c>
      <c r="B214" s="38">
        <v>1</v>
      </c>
      <c r="C214" s="15" t="s">
        <v>536</v>
      </c>
      <c r="D214" s="15"/>
      <c r="E214" s="15" t="s">
        <v>3185</v>
      </c>
      <c r="F214" s="15" t="s">
        <v>535</v>
      </c>
      <c r="G214" s="15" t="s">
        <v>537</v>
      </c>
      <c r="H214" s="15" t="s">
        <v>3047</v>
      </c>
      <c r="I214" s="15">
        <v>1</v>
      </c>
      <c r="J214" s="15">
        <v>2</v>
      </c>
      <c r="K214" s="15">
        <v>-3</v>
      </c>
      <c r="L214" s="15">
        <v>0</v>
      </c>
      <c r="M214" s="15">
        <v>-1</v>
      </c>
      <c r="N214" s="15">
        <v>0</v>
      </c>
      <c r="O214" s="15">
        <v>0</v>
      </c>
      <c r="P214" s="15">
        <v>0</v>
      </c>
      <c r="Q214" s="15">
        <v>0</v>
      </c>
      <c r="R214" s="15">
        <v>0</v>
      </c>
    </row>
    <row r="215" spans="1:18" x14ac:dyDescent="0.2">
      <c r="A215" s="15">
        <v>214</v>
      </c>
      <c r="B215" s="38">
        <v>1</v>
      </c>
      <c r="C215" s="15" t="s">
        <v>539</v>
      </c>
      <c r="D215" s="15"/>
      <c r="E215" s="15" t="s">
        <v>3186</v>
      </c>
      <c r="F215" s="15" t="s">
        <v>538</v>
      </c>
      <c r="G215" s="15" t="s">
        <v>541</v>
      </c>
      <c r="H215" s="15" t="s">
        <v>3048</v>
      </c>
      <c r="I215" s="15">
        <v>1</v>
      </c>
      <c r="J215" s="15">
        <v>1</v>
      </c>
      <c r="K215" s="15">
        <v>-3</v>
      </c>
      <c r="L215" s="15">
        <v>0</v>
      </c>
      <c r="M215" s="15">
        <v>-1</v>
      </c>
      <c r="N215" s="15">
        <v>0</v>
      </c>
      <c r="O215" s="15">
        <v>0</v>
      </c>
      <c r="P215" s="15">
        <v>0</v>
      </c>
      <c r="Q215" s="15">
        <v>0</v>
      </c>
      <c r="R215" s="15">
        <v>0</v>
      </c>
    </row>
    <row r="216" spans="1:18" x14ac:dyDescent="0.2">
      <c r="A216" s="15">
        <v>215</v>
      </c>
      <c r="B216" s="38">
        <v>1</v>
      </c>
      <c r="C216" s="15" t="s">
        <v>540</v>
      </c>
      <c r="D216" s="15"/>
      <c r="E216" s="15" t="s">
        <v>3186</v>
      </c>
      <c r="F216" s="15" t="s">
        <v>538</v>
      </c>
      <c r="G216" s="15" t="s">
        <v>541</v>
      </c>
      <c r="H216" s="15" t="s">
        <v>3048</v>
      </c>
      <c r="I216" s="15">
        <v>1</v>
      </c>
      <c r="J216" s="15">
        <v>1</v>
      </c>
      <c r="K216" s="15">
        <v>-3</v>
      </c>
      <c r="L216" s="15">
        <v>0</v>
      </c>
      <c r="M216" s="15">
        <v>-1</v>
      </c>
      <c r="N216" s="15">
        <v>0</v>
      </c>
      <c r="O216" s="15">
        <v>0</v>
      </c>
      <c r="P216" s="15">
        <v>0</v>
      </c>
      <c r="Q216" s="15">
        <v>0</v>
      </c>
      <c r="R216" s="15">
        <v>0</v>
      </c>
    </row>
    <row r="217" spans="1:18" x14ac:dyDescent="0.2">
      <c r="A217" s="15">
        <v>216</v>
      </c>
      <c r="B217" s="38">
        <v>1</v>
      </c>
      <c r="C217" s="15" t="s">
        <v>543</v>
      </c>
      <c r="D217" s="15">
        <v>2</v>
      </c>
      <c r="E217" s="15" t="s">
        <v>3187</v>
      </c>
      <c r="F217" s="15" t="s">
        <v>542</v>
      </c>
      <c r="G217" s="15" t="s">
        <v>551</v>
      </c>
      <c r="H217" s="15" t="s">
        <v>3049</v>
      </c>
      <c r="I217" s="15">
        <v>1</v>
      </c>
      <c r="J217" s="15">
        <v>0</v>
      </c>
      <c r="K217" s="15">
        <v>-3</v>
      </c>
      <c r="L217" s="15">
        <v>0</v>
      </c>
      <c r="M217" s="15">
        <v>0</v>
      </c>
      <c r="N217" s="15">
        <v>0</v>
      </c>
      <c r="O217" s="15">
        <v>0</v>
      </c>
      <c r="P217" s="15">
        <v>0</v>
      </c>
      <c r="Q217" s="15">
        <v>0</v>
      </c>
      <c r="R217" s="15">
        <v>0</v>
      </c>
    </row>
    <row r="218" spans="1:18" x14ac:dyDescent="0.2">
      <c r="A218" s="15">
        <v>217</v>
      </c>
      <c r="B218" s="38">
        <v>1</v>
      </c>
      <c r="C218" s="15" t="s">
        <v>544</v>
      </c>
      <c r="D218" s="15"/>
      <c r="E218" s="15" t="s">
        <v>3187</v>
      </c>
      <c r="F218" s="15" t="s">
        <v>542</v>
      </c>
      <c r="G218" s="15" t="s">
        <v>551</v>
      </c>
      <c r="H218" s="15" t="s">
        <v>3049</v>
      </c>
      <c r="I218" s="15">
        <v>1</v>
      </c>
      <c r="J218" s="15">
        <v>0</v>
      </c>
      <c r="K218" s="15">
        <v>-3</v>
      </c>
      <c r="L218" s="15">
        <v>0</v>
      </c>
      <c r="M218" s="15">
        <v>0</v>
      </c>
      <c r="N218" s="15">
        <v>0</v>
      </c>
      <c r="O218" s="15">
        <v>0</v>
      </c>
      <c r="P218" s="15">
        <v>0</v>
      </c>
      <c r="Q218" s="15">
        <v>0</v>
      </c>
      <c r="R218" s="15">
        <v>0</v>
      </c>
    </row>
    <row r="219" spans="1:18" x14ac:dyDescent="0.2">
      <c r="A219" s="15">
        <v>218</v>
      </c>
      <c r="B219" s="38">
        <v>1</v>
      </c>
      <c r="C219" s="15" t="s">
        <v>545</v>
      </c>
      <c r="D219" s="15"/>
      <c r="E219" s="15" t="s">
        <v>3187</v>
      </c>
      <c r="F219" s="15" t="s">
        <v>542</v>
      </c>
      <c r="G219" s="15" t="s">
        <v>551</v>
      </c>
      <c r="H219" s="15" t="s">
        <v>3049</v>
      </c>
      <c r="I219" s="15">
        <v>1</v>
      </c>
      <c r="J219" s="15">
        <v>0</v>
      </c>
      <c r="K219" s="15">
        <v>-3</v>
      </c>
      <c r="L219" s="15">
        <v>0</v>
      </c>
      <c r="M219" s="15">
        <v>0</v>
      </c>
      <c r="N219" s="15">
        <v>0</v>
      </c>
      <c r="O219" s="15">
        <v>0</v>
      </c>
      <c r="P219" s="15">
        <v>0</v>
      </c>
      <c r="Q219" s="15">
        <v>0</v>
      </c>
      <c r="R219" s="15">
        <v>0</v>
      </c>
    </row>
    <row r="220" spans="1:18" x14ac:dyDescent="0.2">
      <c r="A220" s="15">
        <v>219</v>
      </c>
      <c r="B220" s="38">
        <v>1</v>
      </c>
      <c r="C220" s="15" t="s">
        <v>546</v>
      </c>
      <c r="D220" s="15"/>
      <c r="E220" s="15" t="s">
        <v>3187</v>
      </c>
      <c r="F220" s="15" t="s">
        <v>542</v>
      </c>
      <c r="G220" s="15" t="s">
        <v>551</v>
      </c>
      <c r="H220" s="15" t="s">
        <v>3049</v>
      </c>
      <c r="I220" s="15">
        <v>1</v>
      </c>
      <c r="J220" s="15">
        <v>0</v>
      </c>
      <c r="K220" s="15">
        <v>-3</v>
      </c>
      <c r="L220" s="15">
        <v>0</v>
      </c>
      <c r="M220" s="15">
        <v>0</v>
      </c>
      <c r="N220" s="15">
        <v>0</v>
      </c>
      <c r="O220" s="15">
        <v>0</v>
      </c>
      <c r="P220" s="15">
        <v>0</v>
      </c>
      <c r="Q220" s="15">
        <v>0</v>
      </c>
      <c r="R220" s="15">
        <v>0</v>
      </c>
    </row>
    <row r="221" spans="1:18" x14ac:dyDescent="0.2">
      <c r="A221" s="15">
        <v>220</v>
      </c>
      <c r="B221" s="38">
        <v>1</v>
      </c>
      <c r="C221" s="15" t="s">
        <v>547</v>
      </c>
      <c r="D221" s="15"/>
      <c r="E221" s="15" t="s">
        <v>3187</v>
      </c>
      <c r="F221" s="15" t="s">
        <v>542</v>
      </c>
      <c r="G221" s="15" t="s">
        <v>551</v>
      </c>
      <c r="H221" s="15" t="s">
        <v>3049</v>
      </c>
      <c r="I221" s="15">
        <v>1</v>
      </c>
      <c r="J221" s="15">
        <v>0</v>
      </c>
      <c r="K221" s="15">
        <v>-3</v>
      </c>
      <c r="L221" s="15">
        <v>0</v>
      </c>
      <c r="M221" s="15">
        <v>0</v>
      </c>
      <c r="N221" s="15">
        <v>0</v>
      </c>
      <c r="O221" s="15">
        <v>0</v>
      </c>
      <c r="P221" s="15">
        <v>0</v>
      </c>
      <c r="Q221" s="15">
        <v>0</v>
      </c>
      <c r="R221" s="15">
        <v>0</v>
      </c>
    </row>
    <row r="222" spans="1:18" x14ac:dyDescent="0.2">
      <c r="A222" s="15">
        <v>221</v>
      </c>
      <c r="B222" s="38">
        <v>1</v>
      </c>
      <c r="C222" s="15" t="s">
        <v>548</v>
      </c>
      <c r="D222" s="15"/>
      <c r="E222" s="15" t="s">
        <v>3187</v>
      </c>
      <c r="F222" s="15" t="s">
        <v>542</v>
      </c>
      <c r="G222" s="15" t="s">
        <v>551</v>
      </c>
      <c r="H222" s="15" t="s">
        <v>3049</v>
      </c>
      <c r="I222" s="15">
        <v>1</v>
      </c>
      <c r="J222" s="15">
        <v>0</v>
      </c>
      <c r="K222" s="15">
        <v>-3</v>
      </c>
      <c r="L222" s="15">
        <v>0</v>
      </c>
      <c r="M222" s="15">
        <v>0</v>
      </c>
      <c r="N222" s="15">
        <v>0</v>
      </c>
      <c r="O222" s="15">
        <v>0</v>
      </c>
      <c r="P222" s="15">
        <v>0</v>
      </c>
      <c r="Q222" s="15">
        <v>0</v>
      </c>
      <c r="R222" s="15">
        <v>0</v>
      </c>
    </row>
    <row r="223" spans="1:18" x14ac:dyDescent="0.2">
      <c r="A223" s="15">
        <v>222</v>
      </c>
      <c r="B223" s="38">
        <v>1</v>
      </c>
      <c r="C223" s="15" t="s">
        <v>549</v>
      </c>
      <c r="D223" s="15"/>
      <c r="E223" s="15" t="s">
        <v>3187</v>
      </c>
      <c r="F223" s="15" t="s">
        <v>542</v>
      </c>
      <c r="G223" s="15" t="s">
        <v>551</v>
      </c>
      <c r="H223" s="15" t="s">
        <v>3049</v>
      </c>
      <c r="I223" s="15">
        <v>1</v>
      </c>
      <c r="J223" s="15">
        <v>0</v>
      </c>
      <c r="K223" s="15">
        <v>-3</v>
      </c>
      <c r="L223" s="15">
        <v>0</v>
      </c>
      <c r="M223" s="15">
        <v>0</v>
      </c>
      <c r="N223" s="15">
        <v>0</v>
      </c>
      <c r="O223" s="15">
        <v>0</v>
      </c>
      <c r="P223" s="15">
        <v>0</v>
      </c>
      <c r="Q223" s="15">
        <v>0</v>
      </c>
      <c r="R223" s="15">
        <v>0</v>
      </c>
    </row>
    <row r="224" spans="1:18" x14ac:dyDescent="0.2">
      <c r="A224" s="15">
        <v>223</v>
      </c>
      <c r="B224" s="38">
        <v>1</v>
      </c>
      <c r="C224" s="15" t="s">
        <v>550</v>
      </c>
      <c r="D224" s="15"/>
      <c r="E224" s="15" t="s">
        <v>3187</v>
      </c>
      <c r="F224" s="15" t="s">
        <v>542</v>
      </c>
      <c r="G224" s="15" t="s">
        <v>551</v>
      </c>
      <c r="H224" s="15" t="s">
        <v>3049</v>
      </c>
      <c r="I224" s="15">
        <v>1</v>
      </c>
      <c r="J224" s="15">
        <v>0</v>
      </c>
      <c r="K224" s="15">
        <v>-3</v>
      </c>
      <c r="L224" s="15">
        <v>0</v>
      </c>
      <c r="M224" s="15">
        <v>0</v>
      </c>
      <c r="N224" s="15">
        <v>0</v>
      </c>
      <c r="O224" s="15">
        <v>0</v>
      </c>
      <c r="P224" s="15">
        <v>0</v>
      </c>
      <c r="Q224" s="15">
        <v>0</v>
      </c>
      <c r="R224" s="15">
        <v>0</v>
      </c>
    </row>
    <row r="225" spans="1:18" x14ac:dyDescent="0.2">
      <c r="A225" s="15">
        <v>224</v>
      </c>
      <c r="B225" s="38">
        <v>1</v>
      </c>
      <c r="C225" s="15" t="s">
        <v>553</v>
      </c>
      <c r="D225" s="15">
        <v>2</v>
      </c>
      <c r="E225" s="15" t="s">
        <v>3188</v>
      </c>
      <c r="F225" s="15" t="s">
        <v>552</v>
      </c>
      <c r="G225" s="15" t="s">
        <v>554</v>
      </c>
      <c r="H225" s="15" t="s">
        <v>3050</v>
      </c>
      <c r="I225" s="15">
        <v>1</v>
      </c>
      <c r="J225" s="15">
        <v>0</v>
      </c>
      <c r="K225" s="15">
        <v>-3</v>
      </c>
      <c r="L225" s="15">
        <v>0</v>
      </c>
      <c r="M225" s="15">
        <v>-1</v>
      </c>
      <c r="N225" s="15">
        <v>0</v>
      </c>
      <c r="O225" s="15">
        <v>0</v>
      </c>
      <c r="P225" s="15">
        <v>0</v>
      </c>
      <c r="Q225" s="15">
        <v>0</v>
      </c>
      <c r="R225" s="15">
        <v>0</v>
      </c>
    </row>
    <row r="226" spans="1:18" x14ac:dyDescent="0.2">
      <c r="A226" s="15">
        <v>225</v>
      </c>
      <c r="B226" s="38">
        <v>1</v>
      </c>
      <c r="C226" s="15" t="s">
        <v>556</v>
      </c>
      <c r="D226" s="15"/>
      <c r="E226" s="15" t="s">
        <v>3189</v>
      </c>
      <c r="F226" s="15" t="s">
        <v>555</v>
      </c>
      <c r="G226" s="15" t="s">
        <v>557</v>
      </c>
      <c r="H226" s="15" t="s">
        <v>3051</v>
      </c>
      <c r="I226" s="15">
        <v>1</v>
      </c>
      <c r="J226" s="15">
        <v>0</v>
      </c>
      <c r="K226" s="15">
        <v>-3</v>
      </c>
      <c r="L226" s="15">
        <v>0</v>
      </c>
      <c r="M226" s="15">
        <v>0</v>
      </c>
      <c r="N226" s="15">
        <v>0</v>
      </c>
      <c r="O226" s="15">
        <v>0</v>
      </c>
      <c r="P226" s="15">
        <v>0</v>
      </c>
      <c r="Q226" s="15">
        <v>-1</v>
      </c>
      <c r="R226" s="15">
        <v>0</v>
      </c>
    </row>
    <row r="227" spans="1:18" x14ac:dyDescent="0.2">
      <c r="A227" s="15">
        <v>226</v>
      </c>
      <c r="B227" s="38">
        <v>1</v>
      </c>
      <c r="C227" s="15" t="s">
        <v>559</v>
      </c>
      <c r="D227" s="15"/>
      <c r="E227" s="15" t="s">
        <v>3190</v>
      </c>
      <c r="F227" s="15" t="s">
        <v>558</v>
      </c>
      <c r="G227" s="15" t="s">
        <v>560</v>
      </c>
      <c r="H227" s="15" t="s">
        <v>3052</v>
      </c>
      <c r="I227" s="15">
        <v>1</v>
      </c>
      <c r="J227" s="15">
        <v>-1</v>
      </c>
      <c r="K227" s="15">
        <v>-3</v>
      </c>
      <c r="L227" s="15">
        <v>0</v>
      </c>
      <c r="M227" s="15">
        <v>0</v>
      </c>
      <c r="N227" s="15">
        <v>0</v>
      </c>
      <c r="O227" s="15">
        <v>0</v>
      </c>
      <c r="P227" s="15">
        <v>0</v>
      </c>
      <c r="Q227" s="15">
        <v>0</v>
      </c>
      <c r="R227" s="15">
        <v>0</v>
      </c>
    </row>
    <row r="228" spans="1:18" x14ac:dyDescent="0.2">
      <c r="A228" s="15">
        <v>227</v>
      </c>
      <c r="B228" s="38">
        <v>1</v>
      </c>
      <c r="C228" s="15" t="s">
        <v>562</v>
      </c>
      <c r="D228" s="15"/>
      <c r="E228" s="15" t="s">
        <v>3191</v>
      </c>
      <c r="F228" s="15" t="s">
        <v>561</v>
      </c>
      <c r="G228" s="15" t="s">
        <v>563</v>
      </c>
      <c r="H228" s="15" t="s">
        <v>3053</v>
      </c>
      <c r="I228" s="15">
        <v>1</v>
      </c>
      <c r="J228" s="15">
        <v>-1</v>
      </c>
      <c r="K228" s="15">
        <v>-3</v>
      </c>
      <c r="L228" s="15">
        <v>0</v>
      </c>
      <c r="M228" s="15">
        <v>-1</v>
      </c>
      <c r="N228" s="15">
        <v>0</v>
      </c>
      <c r="O228" s="15">
        <v>0</v>
      </c>
      <c r="P228" s="15">
        <v>0</v>
      </c>
      <c r="Q228" s="15">
        <v>0</v>
      </c>
      <c r="R228" s="15">
        <v>0</v>
      </c>
    </row>
    <row r="229" spans="1:18" x14ac:dyDescent="0.2">
      <c r="A229" s="15">
        <v>228</v>
      </c>
      <c r="B229" s="38">
        <v>1</v>
      </c>
      <c r="C229" s="15" t="s">
        <v>565</v>
      </c>
      <c r="D229" s="15"/>
      <c r="E229" s="15" t="s">
        <v>3192</v>
      </c>
      <c r="F229" s="15" t="s">
        <v>564</v>
      </c>
      <c r="G229" s="15" t="s">
        <v>566</v>
      </c>
      <c r="H229" s="15" t="s">
        <v>3054</v>
      </c>
      <c r="I229" s="15">
        <v>1</v>
      </c>
      <c r="J229" s="15">
        <v>2</v>
      </c>
      <c r="K229" s="15">
        <v>-3</v>
      </c>
      <c r="L229" s="15">
        <v>0</v>
      </c>
      <c r="M229" s="15">
        <v>0</v>
      </c>
      <c r="N229" s="15">
        <v>0</v>
      </c>
      <c r="O229" s="15">
        <v>0</v>
      </c>
      <c r="P229" s="15">
        <v>0</v>
      </c>
      <c r="Q229" s="15">
        <v>-1</v>
      </c>
      <c r="R229" s="15">
        <v>0</v>
      </c>
    </row>
    <row r="230" spans="1:18" x14ac:dyDescent="0.2">
      <c r="A230" s="15">
        <v>229</v>
      </c>
      <c r="B230" s="38">
        <v>1</v>
      </c>
      <c r="C230" s="15" t="s">
        <v>568</v>
      </c>
      <c r="D230" s="15"/>
      <c r="E230" s="15" t="s">
        <v>3193</v>
      </c>
      <c r="F230" s="15" t="s">
        <v>567</v>
      </c>
      <c r="G230" s="15" t="s">
        <v>569</v>
      </c>
      <c r="H230" s="15" t="s">
        <v>3055</v>
      </c>
      <c r="I230" s="15">
        <v>1</v>
      </c>
      <c r="J230" s="15">
        <v>2</v>
      </c>
      <c r="K230" s="15">
        <v>-2</v>
      </c>
      <c r="L230" s="15">
        <v>-1</v>
      </c>
      <c r="M230" s="15">
        <v>0</v>
      </c>
      <c r="N230" s="15">
        <v>0</v>
      </c>
      <c r="O230" s="15">
        <v>0</v>
      </c>
      <c r="P230" s="15">
        <v>0</v>
      </c>
      <c r="Q230" s="15">
        <v>0</v>
      </c>
      <c r="R230" s="15">
        <v>0</v>
      </c>
    </row>
    <row r="231" spans="1:18" x14ac:dyDescent="0.2">
      <c r="A231" s="15">
        <v>230</v>
      </c>
      <c r="B231" s="38">
        <v>1</v>
      </c>
      <c r="C231" s="15" t="s">
        <v>572</v>
      </c>
      <c r="D231" s="15"/>
      <c r="E231" s="15" t="s">
        <v>3194</v>
      </c>
      <c r="F231" s="15" t="s">
        <v>571</v>
      </c>
      <c r="G231" s="15" t="s">
        <v>573</v>
      </c>
      <c r="H231" s="15" t="s">
        <v>3056</v>
      </c>
      <c r="I231" s="15">
        <v>1</v>
      </c>
      <c r="J231" s="15">
        <v>3</v>
      </c>
      <c r="K231" s="15">
        <v>-2</v>
      </c>
      <c r="L231" s="15">
        <v>-1</v>
      </c>
      <c r="M231" s="15">
        <v>0</v>
      </c>
      <c r="N231" s="15">
        <v>0</v>
      </c>
      <c r="O231" s="15">
        <v>0</v>
      </c>
      <c r="P231" s="15">
        <v>0</v>
      </c>
      <c r="Q231" s="15">
        <v>0</v>
      </c>
      <c r="R231" s="15">
        <v>0</v>
      </c>
    </row>
    <row r="232" spans="1:18" x14ac:dyDescent="0.2">
      <c r="A232" s="15">
        <v>231</v>
      </c>
      <c r="B232" s="38">
        <v>1</v>
      </c>
      <c r="C232" s="15" t="s">
        <v>575</v>
      </c>
      <c r="D232" s="15"/>
      <c r="E232" s="15" t="s">
        <v>3195</v>
      </c>
      <c r="F232" s="15" t="s">
        <v>574</v>
      </c>
      <c r="G232" s="15" t="s">
        <v>576</v>
      </c>
      <c r="H232" s="15" t="s">
        <v>3057</v>
      </c>
      <c r="I232" s="15">
        <v>1</v>
      </c>
      <c r="J232" s="15">
        <v>1</v>
      </c>
      <c r="K232" s="15">
        <v>-2</v>
      </c>
      <c r="L232" s="15">
        <v>-1</v>
      </c>
      <c r="M232" s="15">
        <v>0</v>
      </c>
      <c r="N232" s="15">
        <v>0</v>
      </c>
      <c r="O232" s="15">
        <v>0</v>
      </c>
      <c r="P232" s="15">
        <v>0</v>
      </c>
      <c r="Q232" s="15">
        <v>0</v>
      </c>
      <c r="R232" s="15">
        <v>0</v>
      </c>
    </row>
    <row r="233" spans="1:18" x14ac:dyDescent="0.2">
      <c r="A233" s="15">
        <v>232</v>
      </c>
      <c r="B233" s="38">
        <v>1</v>
      </c>
      <c r="C233" s="15" t="s">
        <v>587</v>
      </c>
      <c r="D233" s="15"/>
      <c r="E233" s="15" t="s">
        <v>4400</v>
      </c>
      <c r="F233" s="15" t="s">
        <v>587</v>
      </c>
      <c r="G233" s="15" t="s">
        <v>131</v>
      </c>
      <c r="H233" s="15" t="s">
        <v>2952</v>
      </c>
      <c r="I233" s="15">
        <v>0</v>
      </c>
      <c r="J233" s="15">
        <v>0</v>
      </c>
      <c r="K233" s="15">
        <v>0</v>
      </c>
      <c r="L233" s="15">
        <v>0</v>
      </c>
      <c r="M233" s="15">
        <v>0</v>
      </c>
      <c r="N233" s="15">
        <v>0</v>
      </c>
      <c r="O233" s="15">
        <v>0</v>
      </c>
      <c r="P233" s="15">
        <v>0</v>
      </c>
      <c r="Q233" s="15">
        <v>0</v>
      </c>
      <c r="R233" s="15">
        <v>0</v>
      </c>
    </row>
    <row r="234" spans="1:18" x14ac:dyDescent="0.2">
      <c r="A234" s="15">
        <v>233</v>
      </c>
      <c r="B234" s="38">
        <v>1</v>
      </c>
      <c r="C234" s="15" t="s">
        <v>659</v>
      </c>
      <c r="D234" s="15"/>
      <c r="E234" s="15" t="s">
        <v>4401</v>
      </c>
      <c r="F234" s="15" t="s">
        <v>659</v>
      </c>
      <c r="G234" s="15" t="s">
        <v>131</v>
      </c>
      <c r="H234" s="15" t="s">
        <v>2952</v>
      </c>
      <c r="I234" s="15">
        <v>0</v>
      </c>
      <c r="J234" s="15">
        <v>0</v>
      </c>
      <c r="K234" s="15">
        <v>0</v>
      </c>
      <c r="L234" s="15">
        <v>0</v>
      </c>
      <c r="M234" s="15">
        <v>0</v>
      </c>
      <c r="N234" s="15">
        <v>0</v>
      </c>
      <c r="O234" s="15">
        <v>0</v>
      </c>
      <c r="P234" s="15">
        <v>0</v>
      </c>
      <c r="Q234" s="15">
        <v>0</v>
      </c>
      <c r="R234" s="15">
        <v>0</v>
      </c>
    </row>
    <row r="235" spans="1:18" x14ac:dyDescent="0.2">
      <c r="A235" s="15">
        <v>234</v>
      </c>
      <c r="B235" s="38">
        <v>1</v>
      </c>
      <c r="C235" s="15" t="s">
        <v>664</v>
      </c>
      <c r="D235" s="15"/>
      <c r="E235" s="15" t="s">
        <v>4402</v>
      </c>
      <c r="F235" s="15" t="s">
        <v>664</v>
      </c>
      <c r="G235" s="15" t="s">
        <v>319</v>
      </c>
      <c r="H235" s="15" t="s">
        <v>2994</v>
      </c>
      <c r="I235" s="15">
        <v>0</v>
      </c>
      <c r="J235" s="15">
        <v>2</v>
      </c>
      <c r="K235" s="15">
        <v>-1</v>
      </c>
      <c r="L235" s="15">
        <v>0</v>
      </c>
      <c r="M235" s="15">
        <v>0</v>
      </c>
      <c r="N235" s="15">
        <v>0</v>
      </c>
      <c r="O235" s="15">
        <v>0</v>
      </c>
      <c r="P235" s="15">
        <v>0</v>
      </c>
      <c r="Q235" s="15">
        <v>0</v>
      </c>
      <c r="R235" s="15">
        <v>0</v>
      </c>
    </row>
    <row r="236" spans="1:18" x14ac:dyDescent="0.2">
      <c r="A236" s="15">
        <v>235</v>
      </c>
      <c r="B236" s="38">
        <v>1</v>
      </c>
      <c r="C236" s="15" t="s">
        <v>349</v>
      </c>
      <c r="D236" s="15"/>
      <c r="E236" s="15" t="s">
        <v>4403</v>
      </c>
      <c r="F236" s="15" t="s">
        <v>349</v>
      </c>
      <c r="G236" s="15" t="s">
        <v>352</v>
      </c>
      <c r="H236" s="15" t="s">
        <v>4395</v>
      </c>
      <c r="I236" s="15">
        <v>0</v>
      </c>
      <c r="J236" s="15">
        <v>0</v>
      </c>
      <c r="K236" s="15">
        <v>0</v>
      </c>
      <c r="L236" s="15">
        <v>0</v>
      </c>
      <c r="M236" s="15">
        <v>0</v>
      </c>
      <c r="N236" s="15">
        <v>0</v>
      </c>
      <c r="O236" s="15">
        <v>0</v>
      </c>
      <c r="P236" s="15">
        <v>0</v>
      </c>
      <c r="Q236" s="15">
        <v>0</v>
      </c>
      <c r="R236" s="15">
        <v>0</v>
      </c>
    </row>
    <row r="237" spans="1:18" x14ac:dyDescent="0.2">
      <c r="A237" s="15">
        <v>236</v>
      </c>
      <c r="B237" s="38">
        <v>1</v>
      </c>
      <c r="C237" s="15" t="s">
        <v>722</v>
      </c>
      <c r="D237" s="15"/>
      <c r="E237" s="15" t="s">
        <v>4404</v>
      </c>
      <c r="F237" s="15" t="s">
        <v>722</v>
      </c>
      <c r="G237" s="15" t="s">
        <v>20</v>
      </c>
      <c r="H237" s="15" t="s">
        <v>2923</v>
      </c>
      <c r="I237" s="15">
        <v>0</v>
      </c>
      <c r="J237" s="15">
        <v>-1</v>
      </c>
      <c r="K237" s="15">
        <v>0</v>
      </c>
      <c r="L237" s="15">
        <v>0</v>
      </c>
      <c r="M237" s="15">
        <v>0</v>
      </c>
      <c r="N237" s="15">
        <v>0</v>
      </c>
      <c r="O237" s="15">
        <v>0</v>
      </c>
      <c r="P237" s="15">
        <v>0</v>
      </c>
      <c r="Q237" s="15">
        <v>0</v>
      </c>
      <c r="R237" s="15">
        <v>0</v>
      </c>
    </row>
    <row r="238" spans="1:18" x14ac:dyDescent="0.2">
      <c r="A238" s="15">
        <v>237</v>
      </c>
      <c r="B238" s="38">
        <v>1</v>
      </c>
      <c r="C238" s="15" t="s">
        <v>736</v>
      </c>
      <c r="D238" s="15"/>
      <c r="E238" s="15" t="s">
        <v>4405</v>
      </c>
      <c r="F238" s="15" t="s">
        <v>736</v>
      </c>
      <c r="G238" s="15" t="s">
        <v>436</v>
      </c>
      <c r="H238" s="15" t="s">
        <v>3026</v>
      </c>
      <c r="I238" s="15">
        <v>1</v>
      </c>
      <c r="J238" s="15">
        <v>-1</v>
      </c>
      <c r="K238" s="15">
        <v>-3</v>
      </c>
      <c r="L238" s="15">
        <v>0</v>
      </c>
      <c r="M238" s="15">
        <v>0</v>
      </c>
      <c r="N238" s="15">
        <v>0</v>
      </c>
      <c r="O238" s="15">
        <v>0</v>
      </c>
      <c r="P238" s="15">
        <v>0</v>
      </c>
      <c r="Q238" s="15">
        <v>0</v>
      </c>
      <c r="R238" s="15">
        <v>0</v>
      </c>
    </row>
    <row r="239" spans="1:18" x14ac:dyDescent="0.2">
      <c r="A239" s="15">
        <v>238</v>
      </c>
      <c r="B239" s="38">
        <v>1</v>
      </c>
      <c r="C239" s="15" t="s">
        <v>743</v>
      </c>
      <c r="D239" s="15"/>
      <c r="E239" s="15" t="s">
        <v>4406</v>
      </c>
      <c r="F239" s="15" t="s">
        <v>743</v>
      </c>
      <c r="G239" s="15" t="s">
        <v>290</v>
      </c>
      <c r="H239" s="15" t="s">
        <v>2987</v>
      </c>
      <c r="I239" s="15">
        <v>0</v>
      </c>
      <c r="J239" s="15">
        <v>1</v>
      </c>
      <c r="K239" s="15">
        <v>0</v>
      </c>
      <c r="L239" s="15">
        <v>0</v>
      </c>
      <c r="M239" s="15">
        <v>0</v>
      </c>
      <c r="N239" s="15">
        <v>0</v>
      </c>
      <c r="O239" s="15">
        <v>0</v>
      </c>
      <c r="P239" s="15">
        <v>0</v>
      </c>
      <c r="Q239" s="15">
        <v>0</v>
      </c>
      <c r="R239" s="15">
        <v>0</v>
      </c>
    </row>
    <row r="240" spans="1:18" x14ac:dyDescent="0.2">
      <c r="A240" s="15">
        <v>239</v>
      </c>
      <c r="B240" s="38">
        <v>1</v>
      </c>
      <c r="C240" s="15" t="s">
        <v>754</v>
      </c>
      <c r="D240" s="15"/>
      <c r="E240" s="15" t="s">
        <v>4407</v>
      </c>
      <c r="F240" s="15" t="s">
        <v>754</v>
      </c>
      <c r="G240" s="15" t="s">
        <v>38</v>
      </c>
      <c r="H240" s="15" t="s">
        <v>2928</v>
      </c>
      <c r="I240" s="15">
        <v>0</v>
      </c>
      <c r="J240" s="15">
        <v>0</v>
      </c>
      <c r="K240" s="15">
        <v>-1</v>
      </c>
      <c r="L240" s="15">
        <v>0</v>
      </c>
      <c r="M240" s="15">
        <v>0</v>
      </c>
      <c r="N240" s="15">
        <v>0</v>
      </c>
      <c r="O240" s="15">
        <v>0</v>
      </c>
      <c r="P240" s="15">
        <v>0</v>
      </c>
      <c r="Q240" s="15">
        <v>0</v>
      </c>
      <c r="R240" s="15">
        <v>0</v>
      </c>
    </row>
    <row r="241" spans="1:18" x14ac:dyDescent="0.2">
      <c r="A241" s="15">
        <v>240</v>
      </c>
      <c r="B241" s="38">
        <v>1</v>
      </c>
      <c r="C241" s="15" t="s">
        <v>767</v>
      </c>
      <c r="D241" s="15"/>
      <c r="E241" s="15" t="s">
        <v>4408</v>
      </c>
      <c r="F241" s="15" t="s">
        <v>767</v>
      </c>
      <c r="G241" s="15" t="s">
        <v>303</v>
      </c>
      <c r="H241" s="15" t="s">
        <v>2931</v>
      </c>
      <c r="I241" s="15">
        <v>0</v>
      </c>
      <c r="J241" s="15">
        <v>2</v>
      </c>
      <c r="K241" s="15">
        <v>0</v>
      </c>
      <c r="L241" s="15">
        <v>0</v>
      </c>
      <c r="M241" s="15">
        <v>0</v>
      </c>
      <c r="N241" s="15">
        <v>0</v>
      </c>
      <c r="O241" s="15">
        <v>0</v>
      </c>
      <c r="P241" s="15">
        <v>0</v>
      </c>
      <c r="Q241" s="15">
        <v>0</v>
      </c>
      <c r="R241" s="15">
        <v>0</v>
      </c>
    </row>
    <row r="242" spans="1:18" x14ac:dyDescent="0.2">
      <c r="A242" s="15">
        <v>241</v>
      </c>
      <c r="B242" s="38">
        <v>1</v>
      </c>
      <c r="C242" s="15" t="s">
        <v>586</v>
      </c>
      <c r="D242" s="15"/>
      <c r="E242" s="15" t="s">
        <v>4409</v>
      </c>
      <c r="F242" s="15" t="s">
        <v>586</v>
      </c>
      <c r="G242" s="15" t="s">
        <v>131</v>
      </c>
      <c r="H242" s="15" t="s">
        <v>2952</v>
      </c>
      <c r="I242" s="15">
        <v>0</v>
      </c>
      <c r="J242" s="15">
        <v>0</v>
      </c>
      <c r="K242" s="15">
        <v>0</v>
      </c>
      <c r="L242" s="15">
        <v>0</v>
      </c>
      <c r="M242" s="15">
        <v>0</v>
      </c>
      <c r="N242" s="15">
        <v>0</v>
      </c>
      <c r="O242" s="15">
        <v>0</v>
      </c>
      <c r="P242" s="15">
        <v>0</v>
      </c>
      <c r="Q242" s="15">
        <v>0</v>
      </c>
      <c r="R242" s="15">
        <v>0</v>
      </c>
    </row>
    <row r="243" spans="1:18" x14ac:dyDescent="0.2">
      <c r="A243" s="15">
        <v>242</v>
      </c>
      <c r="B243" s="38">
        <v>1</v>
      </c>
      <c r="C243" s="15" t="s">
        <v>1001</v>
      </c>
      <c r="D243" s="15"/>
      <c r="E243" s="15" t="s">
        <v>4410</v>
      </c>
      <c r="F243" s="15" t="s">
        <v>1001</v>
      </c>
      <c r="G243" s="15" t="s">
        <v>303</v>
      </c>
      <c r="H243" s="15" t="s">
        <v>2931</v>
      </c>
      <c r="I243" s="15">
        <v>0</v>
      </c>
      <c r="J243" s="15">
        <v>2</v>
      </c>
      <c r="K243" s="15">
        <v>0</v>
      </c>
      <c r="L243" s="15">
        <v>0</v>
      </c>
      <c r="M243" s="15">
        <v>0</v>
      </c>
      <c r="N243" s="15">
        <v>0</v>
      </c>
      <c r="O243" s="15">
        <v>0</v>
      </c>
      <c r="P243" s="15">
        <v>0</v>
      </c>
      <c r="Q243" s="15">
        <v>0</v>
      </c>
      <c r="R243" s="15">
        <v>0</v>
      </c>
    </row>
    <row r="244" spans="1:18" x14ac:dyDescent="0.2">
      <c r="A244" s="15">
        <v>243</v>
      </c>
      <c r="B244" s="38">
        <v>1</v>
      </c>
      <c r="C244" s="15" t="s">
        <v>1005</v>
      </c>
      <c r="D244" s="15"/>
      <c r="E244" s="15" t="s">
        <v>4411</v>
      </c>
      <c r="F244" s="15" t="s">
        <v>1005</v>
      </c>
      <c r="G244" s="15" t="s">
        <v>322</v>
      </c>
      <c r="H244" s="15" t="s">
        <v>2995</v>
      </c>
      <c r="I244" s="15">
        <v>0</v>
      </c>
      <c r="J244" s="15">
        <v>3</v>
      </c>
      <c r="K244" s="15">
        <v>0</v>
      </c>
      <c r="L244" s="15">
        <v>0</v>
      </c>
      <c r="M244" s="15">
        <v>0</v>
      </c>
      <c r="N244" s="15">
        <v>0</v>
      </c>
      <c r="O244" s="15">
        <v>0</v>
      </c>
      <c r="P244" s="15">
        <v>0</v>
      </c>
      <c r="Q244" s="15">
        <v>0</v>
      </c>
      <c r="R244" s="15">
        <v>0</v>
      </c>
    </row>
    <row r="245" spans="1:18" x14ac:dyDescent="0.2">
      <c r="A245" s="15">
        <v>244</v>
      </c>
      <c r="B245" s="38">
        <v>1</v>
      </c>
      <c r="C245" s="15" t="s">
        <v>585</v>
      </c>
      <c r="D245" s="15"/>
      <c r="E245" s="15" t="s">
        <v>4412</v>
      </c>
      <c r="F245" s="15" t="s">
        <v>585</v>
      </c>
      <c r="G245" s="15" t="s">
        <v>131</v>
      </c>
      <c r="H245" s="15" t="s">
        <v>2952</v>
      </c>
      <c r="I245" s="15">
        <v>0</v>
      </c>
      <c r="J245" s="15">
        <v>0</v>
      </c>
      <c r="K245" s="15">
        <v>0</v>
      </c>
      <c r="L245" s="15">
        <v>0</v>
      </c>
      <c r="M245" s="15">
        <v>0</v>
      </c>
      <c r="N245" s="15">
        <v>0</v>
      </c>
      <c r="O245" s="15">
        <v>0</v>
      </c>
      <c r="P245" s="15">
        <v>0</v>
      </c>
      <c r="Q245" s="15">
        <v>0</v>
      </c>
      <c r="R245" s="15">
        <v>0</v>
      </c>
    </row>
    <row r="246" spans="1:18" x14ac:dyDescent="0.2">
      <c r="A246" s="15">
        <v>245</v>
      </c>
      <c r="B246" s="38">
        <v>1</v>
      </c>
      <c r="C246" s="15" t="s">
        <v>1204</v>
      </c>
      <c r="D246" s="15"/>
      <c r="E246" s="15" t="s">
        <v>4413</v>
      </c>
      <c r="F246" s="15" t="s">
        <v>1204</v>
      </c>
      <c r="G246" s="15" t="s">
        <v>131</v>
      </c>
      <c r="H246" s="15" t="s">
        <v>2952</v>
      </c>
      <c r="I246" s="15">
        <v>0</v>
      </c>
      <c r="J246" s="15">
        <v>0</v>
      </c>
      <c r="K246" s="15">
        <v>0</v>
      </c>
      <c r="L246" s="15">
        <v>0</v>
      </c>
      <c r="M246" s="15">
        <v>0</v>
      </c>
      <c r="N246" s="15">
        <v>0</v>
      </c>
      <c r="O246" s="15">
        <v>0</v>
      </c>
      <c r="P246" s="15">
        <v>0</v>
      </c>
      <c r="Q246" s="15">
        <v>0</v>
      </c>
      <c r="R246" s="15">
        <v>0</v>
      </c>
    </row>
    <row r="247" spans="1:18" x14ac:dyDescent="0.2">
      <c r="A247" s="15">
        <v>246</v>
      </c>
      <c r="B247" s="38">
        <v>1</v>
      </c>
      <c r="C247" s="15" t="s">
        <v>1205</v>
      </c>
      <c r="D247" s="15"/>
      <c r="E247" s="15" t="s">
        <v>4414</v>
      </c>
      <c r="F247" s="15" t="s">
        <v>1205</v>
      </c>
      <c r="G247" s="15" t="s">
        <v>131</v>
      </c>
      <c r="H247" s="15" t="s">
        <v>2952</v>
      </c>
      <c r="I247" s="15">
        <v>0</v>
      </c>
      <c r="J247" s="15">
        <v>0</v>
      </c>
      <c r="K247" s="15">
        <v>0</v>
      </c>
      <c r="L247" s="15">
        <v>0</v>
      </c>
      <c r="M247" s="15">
        <v>0</v>
      </c>
      <c r="N247" s="15">
        <v>0</v>
      </c>
      <c r="O247" s="15">
        <v>0</v>
      </c>
      <c r="P247" s="15">
        <v>0</v>
      </c>
      <c r="Q247" s="15">
        <v>0</v>
      </c>
      <c r="R247" s="15">
        <v>0</v>
      </c>
    </row>
    <row r="248" spans="1:18" x14ac:dyDescent="0.2">
      <c r="A248" s="15">
        <v>247</v>
      </c>
      <c r="B248" s="38">
        <v>1</v>
      </c>
      <c r="C248" s="15" t="s">
        <v>1208</v>
      </c>
      <c r="D248" s="15"/>
      <c r="E248" s="15" t="s">
        <v>4415</v>
      </c>
      <c r="F248" s="15" t="s">
        <v>1208</v>
      </c>
      <c r="G248" s="15" t="s">
        <v>23</v>
      </c>
      <c r="H248" s="15" t="s">
        <v>2924</v>
      </c>
      <c r="I248" s="15">
        <v>0</v>
      </c>
      <c r="J248" s="15">
        <v>-2</v>
      </c>
      <c r="K248" s="15">
        <v>0</v>
      </c>
      <c r="L248" s="15">
        <v>0</v>
      </c>
      <c r="M248" s="15">
        <v>0</v>
      </c>
      <c r="N248" s="15">
        <v>0</v>
      </c>
      <c r="O248" s="15">
        <v>0</v>
      </c>
      <c r="P248" s="15">
        <v>0</v>
      </c>
      <c r="Q248" s="15">
        <v>0</v>
      </c>
      <c r="R248" s="15">
        <v>0</v>
      </c>
    </row>
    <row r="249" spans="1:18" x14ac:dyDescent="0.2">
      <c r="A249" s="15">
        <v>248</v>
      </c>
      <c r="B249" s="38">
        <v>1</v>
      </c>
      <c r="C249" s="15" t="s">
        <v>484</v>
      </c>
      <c r="D249" s="15"/>
      <c r="E249" s="15" t="s">
        <v>4416</v>
      </c>
      <c r="F249" s="15" t="s">
        <v>484</v>
      </c>
      <c r="G249" s="15" t="s">
        <v>494</v>
      </c>
      <c r="H249" s="15" t="s">
        <v>4396</v>
      </c>
      <c r="I249" s="15">
        <v>0</v>
      </c>
      <c r="J249" s="15">
        <v>3</v>
      </c>
      <c r="K249" s="15">
        <v>0</v>
      </c>
      <c r="L249" s="15">
        <v>0</v>
      </c>
      <c r="M249" s="15">
        <v>0</v>
      </c>
      <c r="N249" s="15">
        <v>0</v>
      </c>
      <c r="O249" s="15">
        <v>0</v>
      </c>
      <c r="P249" s="15">
        <v>0</v>
      </c>
      <c r="Q249" s="15">
        <v>0</v>
      </c>
      <c r="R249" s="15">
        <v>0</v>
      </c>
    </row>
    <row r="250" spans="1:18" x14ac:dyDescent="0.2">
      <c r="A250" s="15">
        <v>249</v>
      </c>
      <c r="B250" s="38">
        <v>1</v>
      </c>
      <c r="C250" s="15" t="s">
        <v>1271</v>
      </c>
      <c r="D250" s="15"/>
      <c r="E250" s="15" t="s">
        <v>4417</v>
      </c>
      <c r="F250" s="15" t="s">
        <v>1271</v>
      </c>
      <c r="G250" s="15" t="s">
        <v>297</v>
      </c>
      <c r="H250" s="15" t="s">
        <v>2989</v>
      </c>
      <c r="I250" s="15">
        <v>0</v>
      </c>
      <c r="J250" s="15">
        <v>1</v>
      </c>
      <c r="K250" s="15">
        <v>-1</v>
      </c>
      <c r="L250" s="15">
        <v>0</v>
      </c>
      <c r="M250" s="15">
        <v>0</v>
      </c>
      <c r="N250" s="15">
        <v>0</v>
      </c>
      <c r="O250" s="15">
        <v>0</v>
      </c>
      <c r="P250" s="15">
        <v>0</v>
      </c>
      <c r="Q250" s="15">
        <v>0</v>
      </c>
      <c r="R250" s="15">
        <v>0</v>
      </c>
    </row>
    <row r="251" spans="1:18" x14ac:dyDescent="0.2">
      <c r="A251" s="15">
        <v>250</v>
      </c>
      <c r="B251" s="38">
        <v>1</v>
      </c>
      <c r="C251" s="15" t="s">
        <v>583</v>
      </c>
      <c r="D251" s="15"/>
      <c r="E251" s="15" t="s">
        <v>4418</v>
      </c>
      <c r="F251" s="15" t="s">
        <v>583</v>
      </c>
      <c r="G251" s="15" t="s">
        <v>131</v>
      </c>
      <c r="H251" s="15" t="s">
        <v>2952</v>
      </c>
      <c r="I251" s="15">
        <v>0</v>
      </c>
      <c r="J251" s="15">
        <v>0</v>
      </c>
      <c r="K251" s="15">
        <v>0</v>
      </c>
      <c r="L251" s="15">
        <v>0</v>
      </c>
      <c r="M251" s="15">
        <v>0</v>
      </c>
      <c r="N251" s="15">
        <v>0</v>
      </c>
      <c r="O251" s="15">
        <v>0</v>
      </c>
      <c r="P251" s="15">
        <v>0</v>
      </c>
      <c r="Q251" s="15">
        <v>0</v>
      </c>
      <c r="R251" s="15">
        <v>0</v>
      </c>
    </row>
    <row r="252" spans="1:18" x14ac:dyDescent="0.2">
      <c r="A252" s="15">
        <v>251</v>
      </c>
      <c r="B252" s="38">
        <v>1</v>
      </c>
      <c r="C252" s="15" t="s">
        <v>1572</v>
      </c>
      <c r="D252" s="15"/>
      <c r="E252" s="15" t="s">
        <v>4419</v>
      </c>
      <c r="F252" s="15" t="s">
        <v>1572</v>
      </c>
      <c r="G252" s="15" t="s">
        <v>379</v>
      </c>
      <c r="H252" s="15" t="s">
        <v>3011</v>
      </c>
      <c r="I252" s="15">
        <v>1</v>
      </c>
      <c r="J252" s="15">
        <v>1</v>
      </c>
      <c r="K252" s="15">
        <v>-2</v>
      </c>
      <c r="L252" s="15">
        <v>0</v>
      </c>
      <c r="M252" s="15">
        <v>0</v>
      </c>
      <c r="N252" s="15">
        <v>0</v>
      </c>
      <c r="O252" s="15">
        <v>0</v>
      </c>
      <c r="P252" s="15">
        <v>0</v>
      </c>
      <c r="Q252" s="15">
        <v>0</v>
      </c>
      <c r="R252" s="15">
        <v>0</v>
      </c>
    </row>
    <row r="253" spans="1:18" x14ac:dyDescent="0.2">
      <c r="A253" s="15">
        <v>252</v>
      </c>
      <c r="B253" s="38">
        <v>1</v>
      </c>
      <c r="C253" s="15" t="s">
        <v>1591</v>
      </c>
      <c r="D253" s="15"/>
      <c r="E253" s="15" t="s">
        <v>4420</v>
      </c>
      <c r="F253" s="15" t="s">
        <v>1591</v>
      </c>
      <c r="G253" s="15" t="s">
        <v>379</v>
      </c>
      <c r="H253" s="15" t="s">
        <v>3011</v>
      </c>
      <c r="I253" s="15">
        <v>1</v>
      </c>
      <c r="J253" s="15">
        <v>1</v>
      </c>
      <c r="K253" s="15">
        <v>-2</v>
      </c>
      <c r="L253" s="15">
        <v>0</v>
      </c>
      <c r="M253" s="15">
        <v>0</v>
      </c>
      <c r="N253" s="15">
        <v>0</v>
      </c>
      <c r="O253" s="15">
        <v>0</v>
      </c>
      <c r="P253" s="15">
        <v>0</v>
      </c>
      <c r="Q253" s="15">
        <v>0</v>
      </c>
      <c r="R253" s="15">
        <v>0</v>
      </c>
    </row>
    <row r="254" spans="1:18" x14ac:dyDescent="0.2">
      <c r="A254" s="15">
        <v>253</v>
      </c>
      <c r="B254" s="38">
        <v>1</v>
      </c>
      <c r="C254" s="15" t="s">
        <v>1657</v>
      </c>
      <c r="D254" s="15"/>
      <c r="E254" s="15" t="s">
        <v>4421</v>
      </c>
      <c r="F254" s="15" t="s">
        <v>1657</v>
      </c>
      <c r="G254" s="15" t="s">
        <v>379</v>
      </c>
      <c r="H254" s="15" t="s">
        <v>3011</v>
      </c>
      <c r="I254" s="15">
        <v>1</v>
      </c>
      <c r="J254" s="15">
        <v>1</v>
      </c>
      <c r="K254" s="15">
        <v>-2</v>
      </c>
      <c r="L254" s="15">
        <v>0</v>
      </c>
      <c r="M254" s="15">
        <v>0</v>
      </c>
      <c r="N254" s="15">
        <v>0</v>
      </c>
      <c r="O254" s="15">
        <v>0</v>
      </c>
      <c r="P254" s="15">
        <v>0</v>
      </c>
      <c r="Q254" s="15">
        <v>0</v>
      </c>
      <c r="R254" s="15">
        <v>0</v>
      </c>
    </row>
    <row r="255" spans="1:18" x14ac:dyDescent="0.2">
      <c r="A255" s="15">
        <v>254</v>
      </c>
      <c r="B255" s="38">
        <v>1</v>
      </c>
      <c r="C255" s="15" t="s">
        <v>584</v>
      </c>
      <c r="D255" s="15"/>
      <c r="E255" s="15" t="s">
        <v>4422</v>
      </c>
      <c r="F255" s="15" t="s">
        <v>584</v>
      </c>
      <c r="G255" s="15" t="s">
        <v>131</v>
      </c>
      <c r="H255" s="15" t="s">
        <v>2952</v>
      </c>
      <c r="I255" s="15">
        <v>0</v>
      </c>
      <c r="J255" s="15">
        <v>0</v>
      </c>
      <c r="K255" s="15">
        <v>0</v>
      </c>
      <c r="L255" s="15">
        <v>0</v>
      </c>
      <c r="M255" s="15">
        <v>0</v>
      </c>
      <c r="N255" s="15">
        <v>0</v>
      </c>
      <c r="O255" s="15">
        <v>0</v>
      </c>
      <c r="P255" s="15">
        <v>0</v>
      </c>
      <c r="Q255" s="15">
        <v>0</v>
      </c>
      <c r="R255" s="15">
        <v>0</v>
      </c>
    </row>
    <row r="256" spans="1:18" x14ac:dyDescent="0.2">
      <c r="A256" s="15">
        <v>255</v>
      </c>
      <c r="B256" s="38">
        <v>1</v>
      </c>
      <c r="C256" s="15" t="s">
        <v>501</v>
      </c>
      <c r="D256" s="15"/>
      <c r="E256" s="15" t="s">
        <v>4423</v>
      </c>
      <c r="F256" s="15" t="s">
        <v>501</v>
      </c>
      <c r="G256" s="15" t="s">
        <v>502</v>
      </c>
      <c r="H256" s="15" t="s">
        <v>4399</v>
      </c>
      <c r="I256" s="15">
        <v>0</v>
      </c>
      <c r="J256" s="15">
        <v>3</v>
      </c>
      <c r="K256" s="15">
        <v>-1</v>
      </c>
      <c r="L256" s="15">
        <v>0</v>
      </c>
      <c r="M256" s="15">
        <v>0</v>
      </c>
      <c r="N256" s="15">
        <v>0</v>
      </c>
      <c r="O256" s="15">
        <v>0</v>
      </c>
      <c r="P256" s="15">
        <v>0</v>
      </c>
      <c r="Q256" s="15">
        <v>0</v>
      </c>
      <c r="R256" s="15">
        <v>0</v>
      </c>
    </row>
    <row r="257" spans="1:18" x14ac:dyDescent="0.2">
      <c r="A257" s="15">
        <v>256</v>
      </c>
      <c r="B257" s="38">
        <v>1</v>
      </c>
      <c r="C257" s="15" t="s">
        <v>1944</v>
      </c>
      <c r="D257" s="15"/>
      <c r="E257" s="15" t="s">
        <v>4424</v>
      </c>
      <c r="F257" s="15" t="s">
        <v>1944</v>
      </c>
      <c r="G257" s="15" t="s">
        <v>271</v>
      </c>
      <c r="H257" s="15" t="s">
        <v>2985</v>
      </c>
      <c r="I257" s="15">
        <v>0</v>
      </c>
      <c r="J257" s="15">
        <v>-2</v>
      </c>
      <c r="K257" s="15">
        <v>0</v>
      </c>
      <c r="L257" s="15">
        <v>0</v>
      </c>
      <c r="M257" s="15">
        <v>0</v>
      </c>
      <c r="N257" s="15">
        <v>0</v>
      </c>
      <c r="O257" s="15">
        <v>1</v>
      </c>
      <c r="P257" s="15">
        <v>0</v>
      </c>
      <c r="Q257" s="15">
        <v>1</v>
      </c>
      <c r="R257" s="15">
        <v>0</v>
      </c>
    </row>
    <row r="258" spans="1:18" x14ac:dyDescent="0.2">
      <c r="A258" s="15">
        <v>257</v>
      </c>
      <c r="B258" s="38">
        <v>1</v>
      </c>
      <c r="C258" s="15" t="s">
        <v>488</v>
      </c>
      <c r="D258" s="15"/>
      <c r="E258" s="15" t="s">
        <v>4425</v>
      </c>
      <c r="F258" s="15" t="s">
        <v>488</v>
      </c>
      <c r="G258" s="15" t="s">
        <v>497</v>
      </c>
      <c r="H258" s="15" t="s">
        <v>4397</v>
      </c>
      <c r="I258" s="15">
        <v>0</v>
      </c>
      <c r="J258" s="15">
        <v>1</v>
      </c>
      <c r="K258" s="15">
        <v>0</v>
      </c>
      <c r="L258" s="15">
        <v>0</v>
      </c>
      <c r="M258" s="15">
        <v>0</v>
      </c>
      <c r="N258" s="15">
        <v>0</v>
      </c>
      <c r="O258" s="15">
        <v>0</v>
      </c>
      <c r="P258" s="15">
        <v>0</v>
      </c>
      <c r="Q258" s="15">
        <v>0</v>
      </c>
      <c r="R258" s="15">
        <v>0</v>
      </c>
    </row>
    <row r="259" spans="1:18" x14ac:dyDescent="0.2">
      <c r="A259" s="15">
        <v>258</v>
      </c>
      <c r="B259" s="38">
        <v>1</v>
      </c>
      <c r="C259" s="15" t="s">
        <v>491</v>
      </c>
      <c r="D259" s="15"/>
      <c r="E259" s="15" t="s">
        <v>4426</v>
      </c>
      <c r="F259" s="15" t="s">
        <v>491</v>
      </c>
      <c r="G259" s="15" t="s">
        <v>499</v>
      </c>
      <c r="H259" s="15" t="s">
        <v>4398</v>
      </c>
      <c r="I259" s="15">
        <v>0</v>
      </c>
      <c r="J259" s="15">
        <v>0</v>
      </c>
      <c r="K259" s="15">
        <v>0</v>
      </c>
      <c r="L259" s="15">
        <v>0</v>
      </c>
      <c r="M259" s="15">
        <v>0</v>
      </c>
      <c r="N259" s="15">
        <v>0</v>
      </c>
      <c r="O259" s="15">
        <v>0</v>
      </c>
      <c r="P259" s="15">
        <v>0</v>
      </c>
      <c r="Q259" s="15">
        <v>0</v>
      </c>
      <c r="R259" s="15">
        <v>0</v>
      </c>
    </row>
    <row r="260" spans="1:18" x14ac:dyDescent="0.2">
      <c r="A260" s="15">
        <v>259</v>
      </c>
      <c r="B260" s="38">
        <v>1</v>
      </c>
      <c r="C260" s="15" t="s">
        <v>2372</v>
      </c>
      <c r="D260" s="15"/>
      <c r="E260" s="15" t="s">
        <v>4427</v>
      </c>
      <c r="F260" s="15" t="s">
        <v>2372</v>
      </c>
      <c r="G260" s="15" t="s">
        <v>131</v>
      </c>
      <c r="H260" s="15" t="s">
        <v>2952</v>
      </c>
      <c r="I260" s="15">
        <v>0</v>
      </c>
      <c r="J260" s="15">
        <v>0</v>
      </c>
      <c r="K260" s="15">
        <v>0</v>
      </c>
      <c r="L260" s="15">
        <v>0</v>
      </c>
      <c r="M260" s="15">
        <v>0</v>
      </c>
      <c r="N260" s="15">
        <v>0</v>
      </c>
      <c r="O260" s="15">
        <v>0</v>
      </c>
      <c r="P260" s="15">
        <v>0</v>
      </c>
      <c r="Q260" s="15">
        <v>0</v>
      </c>
      <c r="R260" s="15">
        <v>0</v>
      </c>
    </row>
    <row r="261" spans="1:18" x14ac:dyDescent="0.2">
      <c r="A261" s="15"/>
      <c r="B261" s="38"/>
      <c r="C261" s="15"/>
      <c r="D261" s="15"/>
      <c r="E261" s="15"/>
      <c r="F261" s="15"/>
      <c r="G261" s="15"/>
      <c r="H261" s="15"/>
      <c r="I261" s="15"/>
      <c r="J261" s="15"/>
      <c r="K261" s="15"/>
      <c r="L261" s="15"/>
      <c r="M261" s="15"/>
      <c r="N261" s="15"/>
      <c r="O261" s="15"/>
      <c r="P261" s="15"/>
      <c r="Q261" s="15"/>
      <c r="R261" s="15"/>
    </row>
    <row r="262" spans="1:18" x14ac:dyDescent="0.2">
      <c r="A262" s="15"/>
      <c r="B262" s="38"/>
      <c r="C262" s="15"/>
      <c r="D262" s="15"/>
      <c r="E262" s="15"/>
      <c r="F262" s="15"/>
      <c r="G262" s="15"/>
      <c r="H262" s="15"/>
      <c r="I262" s="15"/>
      <c r="J262" s="15"/>
      <c r="K262" s="15"/>
      <c r="L262" s="15"/>
      <c r="M262" s="15"/>
      <c r="N262" s="15"/>
      <c r="O262" s="15"/>
      <c r="P262" s="15"/>
      <c r="Q262" s="15"/>
      <c r="R262" s="15"/>
    </row>
    <row r="263" spans="1:18" x14ac:dyDescent="0.2">
      <c r="A263" s="15"/>
      <c r="B263" s="38"/>
      <c r="C263" s="15"/>
      <c r="D263" s="15"/>
      <c r="E263" s="15"/>
      <c r="F263" s="15"/>
      <c r="G263" s="15"/>
      <c r="H263" s="15"/>
      <c r="I263" s="15"/>
      <c r="J263" s="15"/>
      <c r="K263" s="15"/>
      <c r="L263" s="15"/>
      <c r="M263" s="15"/>
      <c r="N263" s="15"/>
      <c r="O263" s="15"/>
      <c r="P263" s="15"/>
      <c r="Q263" s="15"/>
      <c r="R263" s="15"/>
    </row>
    <row r="264" spans="1:18" x14ac:dyDescent="0.2">
      <c r="A264" s="15"/>
      <c r="B264" s="38"/>
      <c r="C264" s="15"/>
      <c r="D264" s="15"/>
      <c r="E264" s="15"/>
      <c r="F264" s="15"/>
      <c r="G264" s="15"/>
      <c r="H264" s="15"/>
      <c r="I264" s="15"/>
      <c r="J264" s="15"/>
      <c r="K264" s="15"/>
      <c r="L264" s="15"/>
      <c r="M264" s="15"/>
      <c r="N264" s="15"/>
      <c r="O264" s="15"/>
      <c r="P264" s="15"/>
      <c r="Q264" s="15"/>
      <c r="R264" s="15"/>
    </row>
    <row r="265" spans="1:18" x14ac:dyDescent="0.2">
      <c r="A265" s="15"/>
      <c r="B265" s="38"/>
      <c r="C265" s="15"/>
      <c r="D265" s="15"/>
      <c r="E265" s="15"/>
      <c r="F265" s="15"/>
      <c r="G265" s="15"/>
      <c r="H265" s="15"/>
      <c r="I265" s="15"/>
      <c r="J265" s="15"/>
      <c r="K265" s="15"/>
      <c r="L265" s="15"/>
      <c r="M265" s="15"/>
      <c r="N265" s="15"/>
      <c r="O265" s="15"/>
      <c r="P265" s="15"/>
      <c r="Q265" s="15"/>
      <c r="R265" s="15"/>
    </row>
    <row r="266" spans="1:18" x14ac:dyDescent="0.2">
      <c r="A266" s="15"/>
      <c r="B266" s="38"/>
      <c r="C266" s="15"/>
      <c r="D266" s="15"/>
      <c r="E266" s="15"/>
      <c r="F266" s="15"/>
      <c r="G266" s="15"/>
      <c r="H266" s="15"/>
      <c r="I266" s="15"/>
      <c r="J266" s="15"/>
      <c r="K266" s="15"/>
      <c r="L266" s="15"/>
      <c r="M266" s="15"/>
      <c r="N266" s="15"/>
      <c r="O266" s="15"/>
      <c r="P266" s="15"/>
      <c r="Q266" s="15"/>
      <c r="R266" s="15"/>
    </row>
    <row r="267" spans="1:18" x14ac:dyDescent="0.2">
      <c r="A267" s="15"/>
      <c r="B267" s="38"/>
      <c r="C267" s="15"/>
      <c r="D267" s="15"/>
      <c r="E267" s="15"/>
      <c r="F267" s="15"/>
      <c r="G267" s="15"/>
      <c r="H267" s="15"/>
      <c r="I267" s="15"/>
      <c r="J267" s="15"/>
      <c r="K267" s="15"/>
      <c r="L267" s="15"/>
      <c r="M267" s="15"/>
      <c r="N267" s="15"/>
      <c r="O267" s="15"/>
      <c r="P267" s="15"/>
      <c r="Q267" s="15"/>
      <c r="R267" s="15"/>
    </row>
    <row r="268" spans="1:18" x14ac:dyDescent="0.2">
      <c r="A268" s="15"/>
      <c r="B268" s="38"/>
      <c r="C268" s="15"/>
      <c r="D268" s="15"/>
      <c r="E268" s="15"/>
      <c r="F268" s="15"/>
      <c r="G268" s="15"/>
      <c r="H268" s="15"/>
      <c r="I268" s="15"/>
      <c r="J268" s="15"/>
      <c r="K268" s="15"/>
      <c r="L268" s="15"/>
      <c r="M268" s="15"/>
      <c r="N268" s="15"/>
      <c r="O268" s="15"/>
      <c r="P268" s="15"/>
      <c r="Q268" s="15"/>
      <c r="R268" s="15"/>
    </row>
    <row r="269" spans="1:18" x14ac:dyDescent="0.2">
      <c r="A269" s="15"/>
      <c r="B269" s="38"/>
      <c r="C269" s="15"/>
      <c r="D269" s="15"/>
      <c r="E269" s="15"/>
      <c r="F269" s="15"/>
      <c r="G269" s="15"/>
      <c r="H269" s="15"/>
      <c r="I269" s="15"/>
      <c r="J269" s="15"/>
      <c r="K269" s="15"/>
      <c r="L269" s="15"/>
      <c r="M269" s="15"/>
      <c r="N269" s="15"/>
      <c r="O269" s="15"/>
      <c r="P269" s="15"/>
      <c r="Q269" s="15"/>
      <c r="R269" s="15"/>
    </row>
    <row r="270" spans="1:18" x14ac:dyDescent="0.2">
      <c r="A270" s="15"/>
      <c r="B270" s="38"/>
      <c r="C270" s="15"/>
      <c r="D270" s="15"/>
      <c r="E270" s="15"/>
      <c r="F270" s="15"/>
      <c r="G270" s="15"/>
      <c r="H270" s="15"/>
      <c r="I270" s="15"/>
      <c r="J270" s="15"/>
      <c r="K270" s="15"/>
      <c r="L270" s="15"/>
      <c r="M270" s="15"/>
      <c r="N270" s="15"/>
      <c r="O270" s="15"/>
      <c r="P270" s="15"/>
      <c r="Q270" s="15"/>
      <c r="R270" s="15"/>
    </row>
    <row r="271" spans="1:18" x14ac:dyDescent="0.2">
      <c r="A271" s="15"/>
      <c r="B271" s="38"/>
      <c r="C271" s="15"/>
      <c r="D271" s="15"/>
      <c r="E271" s="15"/>
      <c r="F271" s="15"/>
      <c r="G271" s="15"/>
      <c r="H271" s="15"/>
      <c r="I271" s="15"/>
      <c r="J271" s="15"/>
      <c r="K271" s="15"/>
      <c r="L271" s="15"/>
      <c r="M271" s="15"/>
      <c r="N271" s="15"/>
      <c r="O271" s="15"/>
      <c r="P271" s="15"/>
      <c r="Q271" s="15"/>
      <c r="R271" s="15"/>
    </row>
    <row r="272" spans="1:18" x14ac:dyDescent="0.2">
      <c r="A272" s="15"/>
      <c r="B272" s="38"/>
      <c r="C272" s="15"/>
      <c r="D272" s="15"/>
      <c r="E272" s="15"/>
      <c r="F272" s="15"/>
      <c r="G272" s="15"/>
      <c r="H272" s="15"/>
      <c r="I272" s="15"/>
      <c r="J272" s="15"/>
      <c r="K272" s="15"/>
      <c r="L272" s="15"/>
      <c r="M272" s="15"/>
      <c r="N272" s="15"/>
      <c r="O272" s="15"/>
      <c r="P272" s="15"/>
      <c r="Q272" s="15"/>
      <c r="R272" s="15"/>
    </row>
    <row r="273" spans="1:18" x14ac:dyDescent="0.2">
      <c r="A273" s="15"/>
      <c r="B273" s="38"/>
      <c r="C273" s="15"/>
      <c r="D273" s="15"/>
      <c r="E273" s="15"/>
      <c r="F273" s="15"/>
      <c r="G273" s="15"/>
      <c r="H273" s="15"/>
      <c r="I273" s="15"/>
      <c r="J273" s="15"/>
      <c r="K273" s="15"/>
      <c r="L273" s="15"/>
      <c r="M273" s="15"/>
      <c r="N273" s="15"/>
      <c r="O273" s="15"/>
      <c r="P273" s="15"/>
      <c r="Q273" s="15"/>
      <c r="R273" s="15"/>
    </row>
    <row r="274" spans="1:18" x14ac:dyDescent="0.2">
      <c r="A274" s="15"/>
      <c r="B274" s="38"/>
      <c r="C274" s="15"/>
      <c r="D274" s="15"/>
      <c r="E274" s="15"/>
      <c r="F274" s="15"/>
      <c r="G274" s="15"/>
      <c r="H274" s="15"/>
      <c r="I274" s="15"/>
      <c r="J274" s="15"/>
      <c r="K274" s="15"/>
      <c r="L274" s="15"/>
      <c r="M274" s="15"/>
      <c r="N274" s="15"/>
      <c r="O274" s="15"/>
      <c r="P274" s="15"/>
      <c r="Q274" s="15"/>
      <c r="R274" s="15"/>
    </row>
    <row r="275" spans="1:18" x14ac:dyDescent="0.2">
      <c r="A275" s="15"/>
      <c r="B275" s="38"/>
      <c r="C275" s="15"/>
      <c r="D275" s="15"/>
      <c r="E275" s="15"/>
      <c r="F275" s="15"/>
      <c r="G275" s="15"/>
      <c r="H275" s="15"/>
      <c r="I275" s="15"/>
      <c r="J275" s="15"/>
      <c r="K275" s="15"/>
      <c r="L275" s="15"/>
      <c r="M275" s="15"/>
      <c r="N275" s="15"/>
      <c r="O275" s="15"/>
      <c r="P275" s="15"/>
      <c r="Q275" s="15"/>
      <c r="R275" s="15"/>
    </row>
    <row r="276" spans="1:18" x14ac:dyDescent="0.2">
      <c r="A276" s="15"/>
      <c r="B276" s="38"/>
      <c r="C276" s="15"/>
      <c r="D276" s="15"/>
      <c r="E276" s="15"/>
      <c r="F276" s="15"/>
      <c r="G276" s="15"/>
      <c r="H276" s="15"/>
      <c r="I276" s="15"/>
      <c r="J276" s="15"/>
      <c r="K276" s="15"/>
      <c r="L276" s="15"/>
      <c r="M276" s="15"/>
      <c r="N276" s="15"/>
      <c r="O276" s="15"/>
      <c r="P276" s="15"/>
      <c r="Q276" s="15"/>
      <c r="R276" s="15"/>
    </row>
    <row r="277" spans="1:18" x14ac:dyDescent="0.2">
      <c r="A277" s="15"/>
      <c r="B277" s="38"/>
      <c r="C277" s="15"/>
      <c r="D277" s="15"/>
      <c r="E277" s="15"/>
      <c r="F277" s="15"/>
      <c r="G277" s="15"/>
      <c r="H277" s="15"/>
      <c r="I277" s="15"/>
      <c r="J277" s="15"/>
      <c r="K277" s="15"/>
      <c r="L277" s="15"/>
      <c r="M277" s="15"/>
      <c r="N277" s="15"/>
      <c r="O277" s="15"/>
      <c r="P277" s="15"/>
      <c r="Q277" s="15"/>
      <c r="R277" s="15"/>
    </row>
    <row r="278" spans="1:18" x14ac:dyDescent="0.2">
      <c r="A278" s="15"/>
      <c r="B278" s="38"/>
      <c r="C278" s="15"/>
      <c r="D278" s="15"/>
      <c r="E278" s="15"/>
      <c r="F278" s="15"/>
      <c r="G278" s="15"/>
      <c r="H278" s="15"/>
      <c r="I278" s="15"/>
      <c r="J278" s="15"/>
      <c r="K278" s="15"/>
      <c r="L278" s="15"/>
      <c r="M278" s="15"/>
      <c r="N278" s="15"/>
      <c r="O278" s="15"/>
      <c r="P278" s="15"/>
      <c r="Q278" s="15"/>
      <c r="R278" s="15"/>
    </row>
    <row r="279" spans="1:18" x14ac:dyDescent="0.2">
      <c r="A279" s="15"/>
      <c r="B279" s="38"/>
      <c r="C279" s="15"/>
      <c r="D279" s="15"/>
      <c r="E279" s="15"/>
      <c r="F279" s="15"/>
      <c r="G279" s="15"/>
      <c r="H279" s="15"/>
      <c r="I279" s="15"/>
      <c r="J279" s="15"/>
      <c r="K279" s="15"/>
      <c r="L279" s="15"/>
      <c r="M279" s="15"/>
      <c r="N279" s="15"/>
      <c r="O279" s="15"/>
      <c r="P279" s="15"/>
      <c r="Q279" s="15"/>
      <c r="R279" s="15"/>
    </row>
    <row r="280" spans="1:18" x14ac:dyDescent="0.2">
      <c r="A280" s="15"/>
      <c r="B280" s="38"/>
      <c r="C280" s="15"/>
      <c r="D280" s="15"/>
      <c r="E280" s="15"/>
      <c r="F280" s="15"/>
      <c r="G280" s="15"/>
      <c r="H280" s="15"/>
      <c r="I280" s="15"/>
      <c r="J280" s="15"/>
      <c r="K280" s="15"/>
      <c r="L280" s="15"/>
      <c r="M280" s="15"/>
      <c r="N280" s="15"/>
      <c r="O280" s="15"/>
      <c r="P280" s="15"/>
      <c r="Q280" s="15"/>
      <c r="R280" s="15"/>
    </row>
    <row r="281" spans="1:18" x14ac:dyDescent="0.2">
      <c r="A281" s="15"/>
      <c r="B281" s="38"/>
      <c r="C281" s="15"/>
      <c r="D281" s="15"/>
      <c r="E281" s="15"/>
      <c r="F281" s="15"/>
      <c r="G281" s="15"/>
      <c r="H281" s="15"/>
      <c r="I281" s="15"/>
      <c r="J281" s="15"/>
      <c r="K281" s="15"/>
      <c r="L281" s="15"/>
      <c r="M281" s="15"/>
      <c r="N281" s="15"/>
      <c r="O281" s="15"/>
      <c r="P281" s="15"/>
      <c r="Q281" s="15"/>
      <c r="R281" s="15"/>
    </row>
    <row r="282" spans="1:18" x14ac:dyDescent="0.2">
      <c r="A282" s="15"/>
      <c r="B282" s="38"/>
      <c r="C282" s="15"/>
      <c r="D282" s="15"/>
      <c r="E282" s="15"/>
      <c r="F282" s="15"/>
      <c r="G282" s="15"/>
      <c r="H282" s="15"/>
      <c r="I282" s="15"/>
      <c r="J282" s="15"/>
      <c r="K282" s="15"/>
      <c r="L282" s="15"/>
      <c r="M282" s="15"/>
      <c r="N282" s="15"/>
      <c r="O282" s="15"/>
      <c r="P282" s="15"/>
      <c r="Q282" s="15"/>
      <c r="R282" s="15"/>
    </row>
    <row r="283" spans="1:18" x14ac:dyDescent="0.2">
      <c r="A283" s="15"/>
      <c r="B283" s="38"/>
      <c r="C283" s="15"/>
      <c r="D283" s="15"/>
      <c r="E283" s="15"/>
      <c r="F283" s="15"/>
      <c r="G283" s="15"/>
      <c r="H283" s="15"/>
      <c r="I283" s="15"/>
      <c r="J283" s="15"/>
      <c r="K283" s="15"/>
      <c r="L283" s="15"/>
      <c r="M283" s="15"/>
      <c r="N283" s="15"/>
      <c r="O283" s="15"/>
      <c r="P283" s="15"/>
      <c r="Q283" s="15"/>
      <c r="R283" s="15"/>
    </row>
    <row r="284" spans="1:18" x14ac:dyDescent="0.2">
      <c r="A284" s="15"/>
      <c r="B284" s="38"/>
      <c r="C284" s="15"/>
      <c r="D284" s="15"/>
      <c r="E284" s="15"/>
      <c r="F284" s="15"/>
      <c r="G284" s="15"/>
      <c r="H284" s="15"/>
      <c r="I284" s="15"/>
      <c r="J284" s="15"/>
      <c r="K284" s="15"/>
      <c r="L284" s="15"/>
      <c r="M284" s="15"/>
      <c r="N284" s="15"/>
      <c r="O284" s="15"/>
      <c r="P284" s="15"/>
      <c r="Q284" s="15"/>
      <c r="R284" s="15"/>
    </row>
    <row r="285" spans="1:18" x14ac:dyDescent="0.2">
      <c r="A285" s="15"/>
      <c r="B285" s="38"/>
      <c r="C285" s="15"/>
      <c r="D285" s="15"/>
      <c r="E285" s="15"/>
      <c r="F285" s="15"/>
      <c r="G285" s="15"/>
      <c r="H285" s="15"/>
      <c r="I285" s="15"/>
      <c r="J285" s="15"/>
      <c r="K285" s="15"/>
      <c r="L285" s="15"/>
      <c r="M285" s="15"/>
      <c r="N285" s="15"/>
      <c r="O285" s="15"/>
      <c r="P285" s="15"/>
      <c r="Q285" s="15"/>
      <c r="R285" s="15"/>
    </row>
    <row r="286" spans="1:18" x14ac:dyDescent="0.2">
      <c r="A286" s="15"/>
      <c r="B286" s="38"/>
      <c r="C286" s="15"/>
      <c r="D286" s="15"/>
      <c r="E286" s="15"/>
      <c r="F286" s="15"/>
      <c r="G286" s="15"/>
      <c r="H286" s="15"/>
      <c r="I286" s="15"/>
      <c r="J286" s="15"/>
      <c r="K286" s="15"/>
      <c r="L286" s="15"/>
      <c r="M286" s="15"/>
      <c r="N286" s="15"/>
      <c r="O286" s="15"/>
      <c r="P286" s="15"/>
      <c r="Q286" s="15"/>
      <c r="R286" s="15"/>
    </row>
    <row r="287" spans="1:18" x14ac:dyDescent="0.2">
      <c r="A287" s="15"/>
      <c r="B287" s="38"/>
      <c r="C287" s="15"/>
      <c r="D287" s="15"/>
      <c r="E287" s="15"/>
      <c r="F287" s="15"/>
      <c r="G287" s="15"/>
      <c r="H287" s="15"/>
      <c r="I287" s="15"/>
      <c r="J287" s="15"/>
      <c r="K287" s="15"/>
      <c r="L287" s="15"/>
      <c r="M287" s="15"/>
      <c r="N287" s="15"/>
      <c r="O287" s="15"/>
      <c r="P287" s="15"/>
      <c r="Q287" s="15"/>
      <c r="R287" s="15"/>
    </row>
    <row r="288" spans="1:18" x14ac:dyDescent="0.2">
      <c r="A288" s="15"/>
      <c r="B288" s="38"/>
      <c r="C288" s="15"/>
      <c r="D288" s="15"/>
      <c r="E288" s="15"/>
      <c r="F288" s="15"/>
      <c r="G288" s="15"/>
      <c r="H288" s="15"/>
      <c r="I288" s="15"/>
      <c r="J288" s="15"/>
      <c r="K288" s="15"/>
      <c r="L288" s="15"/>
      <c r="M288" s="15"/>
      <c r="N288" s="15"/>
      <c r="O288" s="15"/>
      <c r="P288" s="15"/>
      <c r="Q288" s="15"/>
      <c r="R288" s="15"/>
    </row>
    <row r="289" spans="1:18" x14ac:dyDescent="0.2">
      <c r="A289" s="15"/>
      <c r="B289" s="38"/>
      <c r="C289" s="15"/>
      <c r="D289" s="15"/>
      <c r="E289" s="15"/>
      <c r="F289" s="15"/>
      <c r="G289" s="15"/>
      <c r="H289" s="15"/>
      <c r="I289" s="15"/>
      <c r="J289" s="15"/>
      <c r="K289" s="15"/>
      <c r="L289" s="15"/>
      <c r="M289" s="15"/>
      <c r="N289" s="15"/>
      <c r="O289" s="15"/>
      <c r="P289" s="15"/>
      <c r="Q289" s="15"/>
      <c r="R289" s="15"/>
    </row>
    <row r="290" spans="1:18" x14ac:dyDescent="0.2">
      <c r="A290" s="15"/>
      <c r="B290" s="38"/>
      <c r="C290" s="15"/>
      <c r="D290" s="15"/>
      <c r="E290" s="15"/>
      <c r="F290" s="15"/>
      <c r="G290" s="15"/>
      <c r="H290" s="15"/>
      <c r="I290" s="15"/>
      <c r="J290" s="15"/>
      <c r="K290" s="15"/>
      <c r="L290" s="15"/>
      <c r="M290" s="15"/>
      <c r="N290" s="15"/>
      <c r="O290" s="15"/>
      <c r="P290" s="15"/>
      <c r="Q290" s="15"/>
      <c r="R290" s="15"/>
    </row>
    <row r="291" spans="1:18" x14ac:dyDescent="0.2">
      <c r="A291" s="15"/>
      <c r="B291" s="38"/>
      <c r="C291" s="15"/>
      <c r="D291" s="15"/>
      <c r="E291" s="15"/>
      <c r="F291" s="15"/>
      <c r="G291" s="15"/>
      <c r="H291" s="15"/>
      <c r="I291" s="15"/>
      <c r="J291" s="15"/>
      <c r="K291" s="15"/>
      <c r="L291" s="15"/>
      <c r="M291" s="15"/>
      <c r="N291" s="15"/>
      <c r="O291" s="15"/>
      <c r="P291" s="15"/>
      <c r="Q291" s="15"/>
      <c r="R291" s="15"/>
    </row>
    <row r="292" spans="1:18" x14ac:dyDescent="0.2">
      <c r="A292" s="15"/>
      <c r="B292" s="38"/>
      <c r="C292" s="15"/>
      <c r="D292" s="15"/>
      <c r="E292" s="15"/>
      <c r="F292" s="15"/>
      <c r="G292" s="15"/>
      <c r="H292" s="15"/>
      <c r="I292" s="15"/>
      <c r="J292" s="15"/>
      <c r="K292" s="15"/>
      <c r="L292" s="15"/>
      <c r="M292" s="15"/>
      <c r="N292" s="15"/>
      <c r="O292" s="15"/>
      <c r="P292" s="15"/>
      <c r="Q292" s="15"/>
      <c r="R292" s="15"/>
    </row>
    <row r="293" spans="1:18" x14ac:dyDescent="0.2">
      <c r="A293" s="15"/>
      <c r="B293" s="38"/>
      <c r="C293" s="15"/>
      <c r="D293" s="15"/>
      <c r="E293" s="15"/>
      <c r="F293" s="15"/>
      <c r="G293" s="15"/>
      <c r="H293" s="15"/>
      <c r="I293" s="15"/>
      <c r="J293" s="15"/>
      <c r="K293" s="15"/>
      <c r="L293" s="15"/>
      <c r="M293" s="15"/>
      <c r="N293" s="15"/>
      <c r="O293" s="15"/>
      <c r="P293" s="15"/>
      <c r="Q293" s="15"/>
      <c r="R293" s="15"/>
    </row>
    <row r="294" spans="1:18" x14ac:dyDescent="0.2">
      <c r="A294" s="15"/>
      <c r="B294" s="38"/>
      <c r="C294" s="15"/>
      <c r="D294" s="15"/>
      <c r="E294" s="15"/>
      <c r="F294" s="15"/>
      <c r="G294" s="15"/>
      <c r="H294" s="15"/>
      <c r="I294" s="15"/>
      <c r="J294" s="15"/>
      <c r="K294" s="15"/>
      <c r="L294" s="15"/>
      <c r="M294" s="15"/>
      <c r="N294" s="15"/>
      <c r="O294" s="15"/>
      <c r="P294" s="15"/>
      <c r="Q294" s="15"/>
      <c r="R294" s="15"/>
    </row>
    <row r="295" spans="1:18" x14ac:dyDescent="0.2">
      <c r="A295" s="15"/>
      <c r="B295" s="38"/>
      <c r="C295" s="15"/>
      <c r="D295" s="15"/>
      <c r="E295" s="15"/>
      <c r="F295" s="15"/>
      <c r="G295" s="15"/>
      <c r="H295" s="15"/>
      <c r="I295" s="15"/>
      <c r="J295" s="15"/>
      <c r="K295" s="15"/>
      <c r="L295" s="15"/>
      <c r="M295" s="15"/>
      <c r="N295" s="15"/>
      <c r="O295" s="15"/>
      <c r="P295" s="15"/>
      <c r="Q295" s="15"/>
      <c r="R295" s="15"/>
    </row>
    <row r="296" spans="1:18" x14ac:dyDescent="0.2">
      <c r="A296" s="15"/>
      <c r="B296" s="38"/>
      <c r="C296" s="15"/>
      <c r="D296" s="15"/>
      <c r="E296" s="15"/>
      <c r="F296" s="15"/>
      <c r="G296" s="15"/>
      <c r="H296" s="15"/>
      <c r="I296" s="15"/>
      <c r="J296" s="15"/>
      <c r="K296" s="15"/>
      <c r="L296" s="15"/>
      <c r="M296" s="15"/>
      <c r="N296" s="15"/>
      <c r="O296" s="15"/>
      <c r="P296" s="15"/>
      <c r="Q296" s="15"/>
      <c r="R296" s="15"/>
    </row>
    <row r="297" spans="1:18" x14ac:dyDescent="0.2">
      <c r="A297" s="15"/>
      <c r="B297" s="38"/>
      <c r="C297" s="15"/>
      <c r="D297" s="15"/>
      <c r="E297" s="15"/>
      <c r="F297" s="15"/>
      <c r="G297" s="15"/>
      <c r="H297" s="15"/>
      <c r="I297" s="15"/>
      <c r="J297" s="15"/>
      <c r="K297" s="15"/>
      <c r="L297" s="15"/>
      <c r="M297" s="15"/>
      <c r="N297" s="15"/>
      <c r="O297" s="15"/>
      <c r="P297" s="15"/>
      <c r="Q297" s="15"/>
      <c r="R297" s="15"/>
    </row>
    <row r="298" spans="1:18" x14ac:dyDescent="0.2">
      <c r="A298" s="15"/>
      <c r="B298" s="38"/>
      <c r="C298" s="15"/>
      <c r="D298" s="15"/>
      <c r="E298" s="15"/>
      <c r="F298" s="15"/>
      <c r="G298" s="15"/>
      <c r="H298" s="15"/>
      <c r="I298" s="15"/>
      <c r="J298" s="15"/>
      <c r="K298" s="15"/>
      <c r="L298" s="15"/>
      <c r="M298" s="15"/>
      <c r="N298" s="15"/>
      <c r="O298" s="15"/>
      <c r="P298" s="15"/>
      <c r="Q298" s="15"/>
      <c r="R298" s="15"/>
    </row>
    <row r="299" spans="1:18" x14ac:dyDescent="0.2">
      <c r="A299" s="15"/>
      <c r="B299" s="38"/>
      <c r="C299" s="15"/>
      <c r="D299" s="15"/>
      <c r="E299" s="15"/>
      <c r="F299" s="15"/>
      <c r="G299" s="15"/>
      <c r="H299" s="15"/>
      <c r="I299" s="15"/>
      <c r="J299" s="15"/>
      <c r="K299" s="15"/>
      <c r="L299" s="15"/>
      <c r="M299" s="15"/>
      <c r="N299" s="15"/>
      <c r="O299" s="15"/>
      <c r="P299" s="15"/>
      <c r="Q299" s="15"/>
      <c r="R299" s="15"/>
    </row>
    <row r="300" spans="1:18" x14ac:dyDescent="0.2">
      <c r="A300" s="15"/>
      <c r="B300" s="38"/>
      <c r="C300" s="15"/>
      <c r="D300" s="15"/>
      <c r="E300" s="15"/>
      <c r="F300" s="15"/>
      <c r="G300" s="15"/>
      <c r="H300" s="15"/>
      <c r="I300" s="15"/>
      <c r="J300" s="15"/>
      <c r="K300" s="15"/>
      <c r="L300" s="15"/>
      <c r="M300" s="15"/>
      <c r="N300" s="15"/>
      <c r="O300" s="15"/>
      <c r="P300" s="15"/>
      <c r="Q300" s="15"/>
      <c r="R300" s="15"/>
    </row>
    <row r="301" spans="1:18" x14ac:dyDescent="0.2">
      <c r="A301" s="15"/>
      <c r="B301" s="38"/>
      <c r="C301" s="15"/>
      <c r="D301" s="15"/>
      <c r="E301" s="15"/>
      <c r="F301" s="15"/>
      <c r="G301" s="15"/>
      <c r="H301" s="15"/>
      <c r="I301" s="15"/>
      <c r="J301" s="15"/>
      <c r="K301" s="15"/>
      <c r="L301" s="15"/>
      <c r="M301" s="15"/>
      <c r="N301" s="15"/>
      <c r="O301" s="15"/>
      <c r="P301" s="15"/>
      <c r="Q301" s="15"/>
      <c r="R301" s="15"/>
    </row>
    <row r="302" spans="1:18" x14ac:dyDescent="0.2">
      <c r="A302" s="15"/>
      <c r="B302" s="38"/>
      <c r="C302" s="15"/>
      <c r="D302" s="15"/>
      <c r="E302" s="15"/>
      <c r="F302" s="15"/>
      <c r="G302" s="15"/>
      <c r="H302" s="15"/>
      <c r="I302" s="15"/>
      <c r="J302" s="15"/>
      <c r="K302" s="15"/>
      <c r="L302" s="15"/>
      <c r="M302" s="15"/>
      <c r="N302" s="15"/>
      <c r="O302" s="15"/>
      <c r="P302" s="15"/>
      <c r="Q302" s="15"/>
      <c r="R302" s="15"/>
    </row>
    <row r="303" spans="1:18" x14ac:dyDescent="0.2">
      <c r="A303" s="15"/>
      <c r="B303" s="38"/>
      <c r="C303" s="15"/>
      <c r="D303" s="15"/>
      <c r="E303" s="15"/>
      <c r="F303" s="15"/>
      <c r="G303" s="15"/>
      <c r="H303" s="15"/>
      <c r="I303" s="15"/>
      <c r="J303" s="15"/>
      <c r="K303" s="15"/>
      <c r="L303" s="15"/>
      <c r="M303" s="15"/>
      <c r="N303" s="15"/>
      <c r="O303" s="15"/>
      <c r="P303" s="15"/>
      <c r="Q303" s="15"/>
      <c r="R303" s="15"/>
    </row>
    <row r="304" spans="1:18" x14ac:dyDescent="0.2">
      <c r="A304" s="15"/>
      <c r="B304" s="38"/>
      <c r="C304" s="15"/>
      <c r="D304" s="15"/>
      <c r="E304" s="15"/>
      <c r="F304" s="15"/>
      <c r="G304" s="15"/>
      <c r="H304" s="15"/>
      <c r="I304" s="15"/>
      <c r="J304" s="15"/>
      <c r="K304" s="15"/>
      <c r="L304" s="15"/>
      <c r="M304" s="15"/>
      <c r="N304" s="15"/>
      <c r="O304" s="15"/>
      <c r="P304" s="15"/>
      <c r="Q304" s="15"/>
      <c r="R304" s="15"/>
    </row>
    <row r="305" spans="1:18" x14ac:dyDescent="0.2">
      <c r="A305" s="15"/>
      <c r="B305" s="38"/>
      <c r="C305" s="15"/>
      <c r="D305" s="15"/>
      <c r="E305" s="15"/>
      <c r="F305" s="15"/>
      <c r="G305" s="15"/>
      <c r="H305" s="15"/>
      <c r="I305" s="15"/>
      <c r="J305" s="15"/>
      <c r="K305" s="15"/>
      <c r="L305" s="15"/>
      <c r="M305" s="15"/>
      <c r="N305" s="15"/>
      <c r="O305" s="15"/>
      <c r="P305" s="15"/>
      <c r="Q305" s="15"/>
      <c r="R305" s="15"/>
    </row>
    <row r="306" spans="1:18" x14ac:dyDescent="0.2">
      <c r="A306" s="15"/>
      <c r="B306" s="38"/>
      <c r="C306" s="15"/>
      <c r="D306" s="15"/>
      <c r="E306" s="15"/>
      <c r="F306" s="15"/>
      <c r="G306" s="15"/>
      <c r="H306" s="15"/>
      <c r="I306" s="15"/>
      <c r="J306" s="15"/>
      <c r="K306" s="15"/>
      <c r="L306" s="15"/>
      <c r="M306" s="15"/>
      <c r="N306" s="15"/>
      <c r="O306" s="15"/>
      <c r="P306" s="15"/>
      <c r="Q306" s="15"/>
      <c r="R306" s="15"/>
    </row>
    <row r="307" spans="1:18" x14ac:dyDescent="0.2">
      <c r="A307" s="15"/>
      <c r="B307" s="38"/>
      <c r="C307" s="15"/>
      <c r="D307" s="15"/>
      <c r="E307" s="15"/>
      <c r="F307" s="15"/>
      <c r="G307" s="15"/>
      <c r="H307" s="15"/>
      <c r="I307" s="15"/>
      <c r="J307" s="15"/>
      <c r="K307" s="15"/>
      <c r="L307" s="15"/>
      <c r="M307" s="15"/>
      <c r="N307" s="15"/>
      <c r="O307" s="15"/>
      <c r="P307" s="15"/>
      <c r="Q307" s="15"/>
      <c r="R307" s="15"/>
    </row>
    <row r="308" spans="1:18" x14ac:dyDescent="0.2">
      <c r="A308" s="15"/>
      <c r="B308" s="38"/>
      <c r="C308" s="15"/>
      <c r="D308" s="15"/>
      <c r="E308" s="15"/>
      <c r="F308" s="15"/>
      <c r="G308" s="15"/>
      <c r="H308" s="15"/>
      <c r="I308" s="15"/>
      <c r="J308" s="15"/>
      <c r="K308" s="15"/>
      <c r="L308" s="15"/>
      <c r="M308" s="15"/>
      <c r="N308" s="15"/>
      <c r="O308" s="15"/>
      <c r="P308" s="15"/>
      <c r="Q308" s="15"/>
      <c r="R308" s="15"/>
    </row>
    <row r="309" spans="1:18" x14ac:dyDescent="0.2">
      <c r="A309" s="15"/>
      <c r="B309" s="38"/>
      <c r="C309" s="15"/>
      <c r="D309" s="15"/>
      <c r="E309" s="15"/>
      <c r="F309" s="15"/>
      <c r="G309" s="15"/>
      <c r="H309" s="15"/>
      <c r="I309" s="15"/>
      <c r="J309" s="15"/>
      <c r="K309" s="15"/>
      <c r="L309" s="15"/>
      <c r="M309" s="15"/>
      <c r="N309" s="15"/>
      <c r="O309" s="15"/>
      <c r="P309" s="15"/>
      <c r="Q309" s="15"/>
      <c r="R309" s="15"/>
    </row>
    <row r="310" spans="1:18" x14ac:dyDescent="0.2">
      <c r="A310" s="15"/>
      <c r="B310" s="38"/>
      <c r="C310" s="15"/>
      <c r="D310" s="15"/>
      <c r="E310" s="15"/>
      <c r="F310" s="15"/>
      <c r="G310" s="15"/>
      <c r="H310" s="15"/>
      <c r="I310" s="15"/>
      <c r="J310" s="15"/>
      <c r="K310" s="15"/>
      <c r="L310" s="15"/>
      <c r="M310" s="15"/>
      <c r="N310" s="15"/>
      <c r="O310" s="15"/>
      <c r="P310" s="15"/>
      <c r="Q310" s="15"/>
      <c r="R310" s="15"/>
    </row>
    <row r="311" spans="1:18" x14ac:dyDescent="0.2">
      <c r="A311" s="15"/>
      <c r="B311" s="38"/>
      <c r="C311" s="15"/>
      <c r="D311" s="15"/>
      <c r="E311" s="15"/>
      <c r="F311" s="15"/>
      <c r="G311" s="15"/>
      <c r="H311" s="15"/>
      <c r="I311" s="15"/>
      <c r="J311" s="15"/>
      <c r="K311" s="15"/>
      <c r="L311" s="15"/>
      <c r="M311" s="15"/>
      <c r="N311" s="15"/>
      <c r="O311" s="15"/>
      <c r="P311" s="15"/>
      <c r="Q311" s="15"/>
      <c r="R311" s="15"/>
    </row>
    <row r="312" spans="1:18" x14ac:dyDescent="0.2">
      <c r="A312" s="15"/>
      <c r="B312" s="38"/>
      <c r="C312" s="15"/>
      <c r="D312" s="15"/>
      <c r="E312" s="15"/>
      <c r="F312" s="15"/>
      <c r="G312" s="15"/>
      <c r="H312" s="15"/>
      <c r="I312" s="15"/>
      <c r="J312" s="15"/>
      <c r="K312" s="15"/>
      <c r="L312" s="15"/>
      <c r="M312" s="15"/>
      <c r="N312" s="15"/>
      <c r="O312" s="15"/>
      <c r="P312" s="15"/>
      <c r="Q312" s="15"/>
      <c r="R312" s="15"/>
    </row>
    <row r="313" spans="1:18" x14ac:dyDescent="0.2">
      <c r="A313" s="15"/>
      <c r="B313" s="38"/>
      <c r="C313" s="15"/>
      <c r="D313" s="15"/>
      <c r="E313" s="15"/>
      <c r="F313" s="15"/>
      <c r="G313" s="15"/>
      <c r="H313" s="15"/>
      <c r="I313" s="15"/>
      <c r="J313" s="15"/>
      <c r="K313" s="15"/>
      <c r="L313" s="15"/>
      <c r="M313" s="15"/>
      <c r="N313" s="15"/>
      <c r="O313" s="15"/>
      <c r="P313" s="15"/>
      <c r="Q313" s="15"/>
      <c r="R313" s="15"/>
    </row>
    <row r="314" spans="1:18" x14ac:dyDescent="0.2">
      <c r="A314" s="15"/>
      <c r="B314" s="38"/>
      <c r="C314" s="15"/>
      <c r="D314" s="15"/>
      <c r="E314" s="15"/>
      <c r="F314" s="15"/>
      <c r="G314" s="15"/>
      <c r="H314" s="15"/>
      <c r="I314" s="15"/>
      <c r="J314" s="15"/>
      <c r="K314" s="15"/>
      <c r="L314" s="15"/>
      <c r="M314" s="15"/>
      <c r="N314" s="15"/>
      <c r="O314" s="15"/>
      <c r="P314" s="15"/>
      <c r="Q314" s="15"/>
      <c r="R314" s="15"/>
    </row>
    <row r="315" spans="1:18" x14ac:dyDescent="0.2">
      <c r="A315" s="15"/>
      <c r="B315" s="38"/>
      <c r="C315" s="15"/>
      <c r="D315" s="15"/>
      <c r="E315" s="15"/>
      <c r="F315" s="15"/>
      <c r="G315" s="15"/>
      <c r="H315" s="15"/>
      <c r="I315" s="15"/>
      <c r="J315" s="15"/>
      <c r="K315" s="15"/>
      <c r="L315" s="15"/>
      <c r="M315" s="15"/>
      <c r="N315" s="15"/>
      <c r="O315" s="15"/>
      <c r="P315" s="15"/>
      <c r="Q315" s="15"/>
      <c r="R315" s="15"/>
    </row>
    <row r="316" spans="1:18" x14ac:dyDescent="0.2">
      <c r="A316" s="15"/>
      <c r="B316" s="38"/>
      <c r="C316" s="15"/>
      <c r="D316" s="15"/>
      <c r="E316" s="15"/>
      <c r="F316" s="15"/>
      <c r="G316" s="15"/>
      <c r="H316" s="15"/>
      <c r="I316" s="15"/>
      <c r="J316" s="15"/>
      <c r="K316" s="15"/>
      <c r="L316" s="15"/>
      <c r="M316" s="15"/>
      <c r="N316" s="15"/>
      <c r="O316" s="15"/>
      <c r="P316" s="15"/>
      <c r="Q316" s="15"/>
      <c r="R316" s="15"/>
    </row>
    <row r="317" spans="1:18" x14ac:dyDescent="0.2">
      <c r="A317" s="15"/>
      <c r="B317" s="38"/>
      <c r="C317" s="15"/>
      <c r="D317" s="15"/>
      <c r="E317" s="15"/>
      <c r="F317" s="15"/>
      <c r="G317" s="15"/>
      <c r="H317" s="15"/>
      <c r="I317" s="15"/>
      <c r="J317" s="15"/>
      <c r="K317" s="15"/>
      <c r="L317" s="15"/>
      <c r="M317" s="15"/>
      <c r="N317" s="15"/>
      <c r="O317" s="15"/>
      <c r="P317" s="15"/>
      <c r="Q317" s="15"/>
      <c r="R317" s="15"/>
    </row>
    <row r="318" spans="1:18" x14ac:dyDescent="0.2">
      <c r="A318" s="15"/>
      <c r="B318" s="38"/>
      <c r="C318" s="15"/>
      <c r="D318" s="15"/>
      <c r="E318" s="15"/>
      <c r="F318" s="15"/>
      <c r="G318" s="15"/>
      <c r="H318" s="15"/>
      <c r="I318" s="15"/>
      <c r="J318" s="15"/>
      <c r="K318" s="15"/>
      <c r="L318" s="15"/>
      <c r="M318" s="15"/>
      <c r="N318" s="15"/>
      <c r="O318" s="15"/>
      <c r="P318" s="15"/>
      <c r="Q318" s="15"/>
      <c r="R318" s="15"/>
    </row>
    <row r="319" spans="1:18" x14ac:dyDescent="0.2">
      <c r="A319" s="15"/>
      <c r="B319" s="38"/>
      <c r="C319" s="15"/>
      <c r="D319" s="15"/>
      <c r="E319" s="15"/>
      <c r="F319" s="15"/>
      <c r="G319" s="15"/>
      <c r="H319" s="15"/>
      <c r="I319" s="15"/>
      <c r="J319" s="15"/>
      <c r="K319" s="15"/>
      <c r="L319" s="15"/>
      <c r="M319" s="15"/>
      <c r="N319" s="15"/>
      <c r="O319" s="15"/>
      <c r="P319" s="15"/>
      <c r="Q319" s="15"/>
      <c r="R319" s="15"/>
    </row>
    <row r="320" spans="1:18" x14ac:dyDescent="0.2">
      <c r="A320" s="15"/>
      <c r="B320" s="38"/>
      <c r="C320" s="15"/>
      <c r="D320" s="15"/>
      <c r="E320" s="15"/>
      <c r="F320" s="15"/>
      <c r="G320" s="15"/>
      <c r="H320" s="15"/>
      <c r="I320" s="15"/>
      <c r="J320" s="15"/>
      <c r="K320" s="15"/>
      <c r="L320" s="15"/>
      <c r="M320" s="15"/>
      <c r="N320" s="15"/>
      <c r="O320" s="15"/>
      <c r="P320" s="15"/>
      <c r="Q320" s="15"/>
      <c r="R320" s="15"/>
    </row>
    <row r="321" spans="1:18" x14ac:dyDescent="0.2">
      <c r="A321" s="15"/>
      <c r="B321" s="38"/>
      <c r="C321" s="15"/>
      <c r="D321" s="15"/>
      <c r="E321" s="15"/>
      <c r="F321" s="15"/>
      <c r="G321" s="15"/>
      <c r="H321" s="15"/>
      <c r="I321" s="15"/>
      <c r="J321" s="15"/>
      <c r="K321" s="15"/>
      <c r="L321" s="15"/>
      <c r="M321" s="15"/>
      <c r="N321" s="15"/>
      <c r="O321" s="15"/>
      <c r="P321" s="15"/>
      <c r="Q321" s="15"/>
      <c r="R321" s="15"/>
    </row>
    <row r="322" spans="1:18" x14ac:dyDescent="0.2">
      <c r="A322" s="15"/>
      <c r="B322" s="38"/>
      <c r="C322" s="15"/>
      <c r="D322" s="15"/>
      <c r="E322" s="15"/>
      <c r="F322" s="15"/>
      <c r="G322" s="15"/>
      <c r="H322" s="15"/>
      <c r="I322" s="15"/>
      <c r="J322" s="15"/>
      <c r="K322" s="15"/>
      <c r="L322" s="15"/>
      <c r="M322" s="15"/>
      <c r="N322" s="15"/>
      <c r="O322" s="15"/>
      <c r="P322" s="15"/>
      <c r="Q322" s="15"/>
      <c r="R322" s="15"/>
    </row>
    <row r="323" spans="1:18" x14ac:dyDescent="0.2">
      <c r="A323" s="15"/>
      <c r="B323" s="38"/>
      <c r="C323" s="15"/>
      <c r="D323" s="15"/>
      <c r="E323" s="15"/>
      <c r="F323" s="15"/>
      <c r="G323" s="15"/>
      <c r="H323" s="15"/>
      <c r="I323" s="15"/>
      <c r="J323" s="15"/>
      <c r="K323" s="15"/>
      <c r="L323" s="15"/>
      <c r="M323" s="15"/>
      <c r="N323" s="15"/>
      <c r="O323" s="15"/>
      <c r="P323" s="15"/>
      <c r="Q323" s="15"/>
      <c r="R323" s="15"/>
    </row>
    <row r="324" spans="1:18" x14ac:dyDescent="0.2">
      <c r="A324" s="15"/>
      <c r="B324" s="38"/>
      <c r="C324" s="15"/>
      <c r="D324" s="15"/>
      <c r="E324" s="15"/>
      <c r="F324" s="15"/>
      <c r="G324" s="15"/>
      <c r="H324" s="15"/>
      <c r="I324" s="15"/>
      <c r="J324" s="15"/>
      <c r="K324" s="15"/>
      <c r="L324" s="15"/>
      <c r="M324" s="15"/>
      <c r="N324" s="15"/>
      <c r="O324" s="15"/>
      <c r="P324" s="15"/>
      <c r="Q324" s="15"/>
      <c r="R324" s="15"/>
    </row>
    <row r="325" spans="1:18" x14ac:dyDescent="0.2">
      <c r="A325" s="15"/>
      <c r="B325" s="38"/>
      <c r="C325" s="15"/>
      <c r="D325" s="15"/>
      <c r="E325" s="15"/>
      <c r="F325" s="15"/>
      <c r="G325" s="15"/>
      <c r="H325" s="15"/>
      <c r="I325" s="15"/>
      <c r="J325" s="15"/>
      <c r="K325" s="15"/>
      <c r="L325" s="15"/>
      <c r="M325" s="15"/>
      <c r="N325" s="15"/>
      <c r="O325" s="15"/>
      <c r="P325" s="15"/>
      <c r="Q325" s="15"/>
      <c r="R325" s="15"/>
    </row>
    <row r="326" spans="1:18" x14ac:dyDescent="0.2">
      <c r="A326" s="15"/>
      <c r="B326" s="38"/>
      <c r="C326" s="15"/>
      <c r="D326" s="15"/>
      <c r="E326" s="15"/>
      <c r="F326" s="15"/>
      <c r="G326" s="15"/>
      <c r="H326" s="15"/>
      <c r="I326" s="15"/>
      <c r="J326" s="15"/>
      <c r="K326" s="15"/>
      <c r="L326" s="15"/>
      <c r="M326" s="15"/>
      <c r="N326" s="15"/>
      <c r="O326" s="15"/>
      <c r="P326" s="15"/>
      <c r="Q326" s="15"/>
      <c r="R326" s="15"/>
    </row>
    <row r="327" spans="1:18" x14ac:dyDescent="0.2">
      <c r="A327" s="15"/>
      <c r="B327" s="38"/>
      <c r="C327" s="15"/>
      <c r="D327" s="15"/>
      <c r="E327" s="15"/>
      <c r="F327" s="15"/>
      <c r="G327" s="15"/>
      <c r="H327" s="15"/>
      <c r="I327" s="15"/>
      <c r="J327" s="15"/>
      <c r="K327" s="15"/>
      <c r="L327" s="15"/>
      <c r="M327" s="15"/>
      <c r="N327" s="15"/>
      <c r="O327" s="15"/>
      <c r="P327" s="15"/>
      <c r="Q327" s="15"/>
      <c r="R327" s="15"/>
    </row>
    <row r="328" spans="1:18" x14ac:dyDescent="0.2">
      <c r="A328" s="15"/>
      <c r="B328" s="38"/>
      <c r="C328" s="15"/>
      <c r="D328" s="15"/>
      <c r="E328" s="15"/>
      <c r="F328" s="15"/>
      <c r="G328" s="15"/>
      <c r="H328" s="15"/>
      <c r="I328" s="15"/>
      <c r="J328" s="15"/>
      <c r="K328" s="15"/>
      <c r="L328" s="15"/>
      <c r="M328" s="15"/>
      <c r="N328" s="15"/>
      <c r="O328" s="15"/>
      <c r="P328" s="15"/>
      <c r="Q328" s="15"/>
      <c r="R328" s="15"/>
    </row>
    <row r="329" spans="1:18" x14ac:dyDescent="0.2">
      <c r="A329" s="15"/>
      <c r="B329" s="38"/>
      <c r="C329" s="15"/>
      <c r="D329" s="15"/>
      <c r="E329" s="15"/>
      <c r="F329" s="15"/>
      <c r="G329" s="15"/>
      <c r="H329" s="15"/>
      <c r="I329" s="15"/>
      <c r="J329" s="15"/>
      <c r="K329" s="15"/>
      <c r="L329" s="15"/>
      <c r="M329" s="15"/>
      <c r="N329" s="15"/>
      <c r="O329" s="15"/>
      <c r="P329" s="15"/>
      <c r="Q329" s="15"/>
      <c r="R329" s="15"/>
    </row>
    <row r="330" spans="1:18" x14ac:dyDescent="0.2">
      <c r="A330" s="15"/>
      <c r="B330" s="38"/>
      <c r="C330" s="15"/>
      <c r="D330" s="15"/>
      <c r="E330" s="15"/>
      <c r="F330" s="15"/>
      <c r="G330" s="15"/>
      <c r="H330" s="15"/>
      <c r="I330" s="15"/>
      <c r="J330" s="15"/>
      <c r="K330" s="15"/>
      <c r="L330" s="15"/>
      <c r="M330" s="15"/>
      <c r="N330" s="15"/>
      <c r="O330" s="15"/>
      <c r="P330" s="15"/>
      <c r="Q330" s="15"/>
      <c r="R330" s="15"/>
    </row>
    <row r="331" spans="1:18" x14ac:dyDescent="0.2">
      <c r="A331" s="15"/>
      <c r="B331" s="38"/>
      <c r="C331" s="15"/>
      <c r="D331" s="15"/>
      <c r="E331" s="15"/>
      <c r="F331" s="15"/>
      <c r="G331" s="15"/>
      <c r="H331" s="15"/>
      <c r="I331" s="15"/>
      <c r="J331" s="15"/>
      <c r="K331" s="15"/>
      <c r="L331" s="15"/>
      <c r="M331" s="15"/>
      <c r="N331" s="15"/>
      <c r="O331" s="15"/>
      <c r="P331" s="15"/>
      <c r="Q331" s="15"/>
      <c r="R331" s="15"/>
    </row>
    <row r="332" spans="1:18" x14ac:dyDescent="0.2">
      <c r="A332" s="15"/>
      <c r="B332" s="38"/>
      <c r="C332" s="15"/>
      <c r="D332" s="15"/>
      <c r="E332" s="15"/>
      <c r="F332" s="15"/>
      <c r="G332" s="15"/>
      <c r="H332" s="15"/>
      <c r="I332" s="15"/>
      <c r="J332" s="15"/>
      <c r="K332" s="15"/>
      <c r="L332" s="15"/>
      <c r="M332" s="15"/>
      <c r="N332" s="15"/>
      <c r="O332" s="15"/>
      <c r="P332" s="15"/>
      <c r="Q332" s="15"/>
      <c r="R332" s="15"/>
    </row>
    <row r="333" spans="1:18" x14ac:dyDescent="0.2">
      <c r="A333" s="15"/>
      <c r="B333" s="38"/>
      <c r="C333" s="15"/>
      <c r="D333" s="15"/>
      <c r="E333" s="15"/>
      <c r="F333" s="15"/>
      <c r="G333" s="15"/>
      <c r="H333" s="15"/>
      <c r="I333" s="15"/>
      <c r="J333" s="15"/>
      <c r="K333" s="15"/>
      <c r="L333" s="15"/>
      <c r="M333" s="15"/>
      <c r="N333" s="15"/>
      <c r="O333" s="15"/>
      <c r="P333" s="15"/>
      <c r="Q333" s="15"/>
      <c r="R333" s="15"/>
    </row>
    <row r="334" spans="1:18" x14ac:dyDescent="0.2">
      <c r="A334" s="15"/>
      <c r="B334" s="38"/>
      <c r="C334" s="15"/>
      <c r="D334" s="15"/>
      <c r="E334" s="15"/>
      <c r="F334" s="15"/>
      <c r="G334" s="15"/>
      <c r="H334" s="15"/>
      <c r="I334" s="15"/>
      <c r="J334" s="15"/>
      <c r="K334" s="15"/>
      <c r="L334" s="15"/>
      <c r="M334" s="15"/>
      <c r="N334" s="15"/>
      <c r="O334" s="15"/>
      <c r="P334" s="15"/>
      <c r="Q334" s="15"/>
      <c r="R334" s="15"/>
    </row>
    <row r="335" spans="1:18" x14ac:dyDescent="0.2">
      <c r="A335" s="15"/>
      <c r="B335" s="38"/>
      <c r="C335" s="15"/>
      <c r="D335" s="15"/>
      <c r="E335" s="15"/>
      <c r="F335" s="15"/>
      <c r="G335" s="15"/>
      <c r="H335" s="15"/>
      <c r="I335" s="15"/>
      <c r="J335" s="15"/>
      <c r="K335" s="15"/>
      <c r="L335" s="15"/>
      <c r="M335" s="15"/>
      <c r="N335" s="15"/>
      <c r="O335" s="15"/>
      <c r="P335" s="15"/>
      <c r="Q335" s="15"/>
      <c r="R335" s="15"/>
    </row>
    <row r="336" spans="1:18" x14ac:dyDescent="0.2">
      <c r="A336" s="15"/>
      <c r="B336" s="38"/>
      <c r="C336" s="15"/>
      <c r="D336" s="15"/>
      <c r="E336" s="15"/>
      <c r="F336" s="15"/>
      <c r="G336" s="15"/>
      <c r="H336" s="15"/>
      <c r="I336" s="15"/>
      <c r="J336" s="15"/>
      <c r="K336" s="15"/>
      <c r="L336" s="15"/>
      <c r="M336" s="15"/>
      <c r="N336" s="15"/>
      <c r="O336" s="15"/>
      <c r="P336" s="15"/>
      <c r="Q336" s="15"/>
      <c r="R336" s="15"/>
    </row>
    <row r="337" spans="1:18" x14ac:dyDescent="0.2">
      <c r="A337" s="15"/>
      <c r="B337" s="38"/>
      <c r="C337" s="15"/>
      <c r="D337" s="15"/>
      <c r="E337" s="15"/>
      <c r="F337" s="15"/>
      <c r="G337" s="15"/>
      <c r="H337" s="15"/>
      <c r="I337" s="15"/>
      <c r="J337" s="15"/>
      <c r="K337" s="15"/>
      <c r="L337" s="15"/>
      <c r="M337" s="15"/>
      <c r="N337" s="15"/>
      <c r="O337" s="15"/>
      <c r="P337" s="15"/>
      <c r="Q337" s="15"/>
      <c r="R337" s="15"/>
    </row>
    <row r="338" spans="1:18" x14ac:dyDescent="0.2">
      <c r="A338" s="15"/>
      <c r="B338" s="38"/>
      <c r="C338" s="15"/>
      <c r="D338" s="15"/>
      <c r="E338" s="15"/>
      <c r="F338" s="15"/>
      <c r="G338" s="15"/>
      <c r="H338" s="15"/>
      <c r="I338" s="15"/>
      <c r="J338" s="15"/>
      <c r="K338" s="15"/>
      <c r="L338" s="15"/>
      <c r="M338" s="15"/>
      <c r="N338" s="15"/>
      <c r="O338" s="15"/>
      <c r="P338" s="15"/>
      <c r="Q338" s="15"/>
      <c r="R338" s="15"/>
    </row>
    <row r="339" spans="1:18" x14ac:dyDescent="0.2">
      <c r="A339" s="15"/>
      <c r="B339" s="38"/>
      <c r="C339" s="15"/>
      <c r="D339" s="15"/>
      <c r="E339" s="15"/>
      <c r="F339" s="15"/>
      <c r="G339" s="15"/>
      <c r="H339" s="15"/>
      <c r="I339" s="15"/>
      <c r="J339" s="15"/>
      <c r="K339" s="15"/>
      <c r="L339" s="15"/>
      <c r="M339" s="15"/>
      <c r="N339" s="15"/>
      <c r="O339" s="15"/>
      <c r="P339" s="15"/>
      <c r="Q339" s="15"/>
      <c r="R339" s="15"/>
    </row>
    <row r="340" spans="1:18" x14ac:dyDescent="0.2">
      <c r="A340" s="15"/>
      <c r="B340" s="38"/>
      <c r="C340" s="15"/>
      <c r="D340" s="15"/>
      <c r="E340" s="15"/>
      <c r="F340" s="15"/>
      <c r="G340" s="15"/>
      <c r="H340" s="15"/>
      <c r="I340" s="15"/>
      <c r="J340" s="15"/>
      <c r="K340" s="15"/>
      <c r="L340" s="15"/>
      <c r="M340" s="15"/>
      <c r="N340" s="15"/>
      <c r="O340" s="15"/>
      <c r="P340" s="15"/>
      <c r="Q340" s="15"/>
      <c r="R340" s="15"/>
    </row>
    <row r="341" spans="1:18" x14ac:dyDescent="0.2">
      <c r="A341" s="15"/>
      <c r="B341" s="38"/>
      <c r="C341" s="15"/>
      <c r="D341" s="15"/>
      <c r="E341" s="15"/>
      <c r="F341" s="15"/>
      <c r="G341" s="15"/>
      <c r="H341" s="15"/>
      <c r="I341" s="15"/>
      <c r="J341" s="15"/>
      <c r="K341" s="15"/>
      <c r="L341" s="15"/>
      <c r="M341" s="15"/>
      <c r="N341" s="15"/>
      <c r="O341" s="15"/>
      <c r="P341" s="15"/>
      <c r="Q341" s="15"/>
      <c r="R341" s="15"/>
    </row>
    <row r="342" spans="1:18" x14ac:dyDescent="0.2">
      <c r="A342" s="15"/>
      <c r="B342" s="38"/>
      <c r="C342" s="15"/>
      <c r="D342" s="15"/>
      <c r="E342" s="15"/>
      <c r="F342" s="15"/>
      <c r="G342" s="15"/>
      <c r="H342" s="15"/>
      <c r="I342" s="15"/>
      <c r="J342" s="15"/>
      <c r="K342" s="15"/>
      <c r="L342" s="15"/>
      <c r="M342" s="15"/>
      <c r="N342" s="15"/>
      <c r="O342" s="15"/>
      <c r="P342" s="15"/>
      <c r="Q342" s="15"/>
      <c r="R342" s="15"/>
    </row>
    <row r="343" spans="1:18" x14ac:dyDescent="0.2">
      <c r="A343" s="15"/>
      <c r="B343" s="38"/>
      <c r="C343" s="15"/>
      <c r="D343" s="15"/>
      <c r="E343" s="15"/>
      <c r="F343" s="15"/>
      <c r="G343" s="15"/>
      <c r="H343" s="15"/>
      <c r="I343" s="15"/>
      <c r="J343" s="15"/>
      <c r="K343" s="15"/>
      <c r="L343" s="15"/>
      <c r="M343" s="15"/>
      <c r="N343" s="15"/>
      <c r="O343" s="15"/>
      <c r="P343" s="15"/>
      <c r="Q343" s="15"/>
      <c r="R343" s="15"/>
    </row>
    <row r="344" spans="1:18" x14ac:dyDescent="0.2">
      <c r="A344" s="15"/>
      <c r="B344" s="38"/>
      <c r="C344" s="15"/>
      <c r="D344" s="15"/>
      <c r="E344" s="15"/>
      <c r="F344" s="15"/>
      <c r="G344" s="15"/>
      <c r="H344" s="15"/>
      <c r="I344" s="15"/>
      <c r="J344" s="15"/>
      <c r="K344" s="15"/>
      <c r="L344" s="15"/>
      <c r="M344" s="15"/>
      <c r="N344" s="15"/>
      <c r="O344" s="15"/>
      <c r="P344" s="15"/>
      <c r="Q344" s="15"/>
      <c r="R344" s="15"/>
    </row>
    <row r="345" spans="1:18" x14ac:dyDescent="0.2">
      <c r="A345" s="15"/>
      <c r="B345" s="38"/>
      <c r="C345" s="15"/>
      <c r="D345" s="15"/>
      <c r="E345" s="15"/>
      <c r="F345" s="15"/>
      <c r="G345" s="15"/>
      <c r="H345" s="15"/>
      <c r="I345" s="15"/>
      <c r="J345" s="15"/>
      <c r="K345" s="15"/>
      <c r="L345" s="15"/>
      <c r="M345" s="15"/>
      <c r="N345" s="15"/>
      <c r="O345" s="15"/>
      <c r="P345" s="15"/>
      <c r="Q345" s="15"/>
      <c r="R345" s="15"/>
    </row>
    <row r="346" spans="1:18" x14ac:dyDescent="0.2">
      <c r="A346" s="15"/>
      <c r="B346" s="38"/>
      <c r="C346" s="15"/>
      <c r="D346" s="15"/>
      <c r="E346" s="15"/>
      <c r="F346" s="15"/>
      <c r="G346" s="15"/>
      <c r="H346" s="15"/>
      <c r="I346" s="15"/>
      <c r="J346" s="15"/>
      <c r="K346" s="15"/>
      <c r="L346" s="15"/>
      <c r="M346" s="15"/>
      <c r="N346" s="15"/>
      <c r="O346" s="15"/>
      <c r="P346" s="15"/>
      <c r="Q346" s="15"/>
      <c r="R346" s="15"/>
    </row>
    <row r="347" spans="1:18" x14ac:dyDescent="0.2">
      <c r="A347" s="15"/>
      <c r="B347" s="38"/>
      <c r="C347" s="15"/>
      <c r="D347" s="15"/>
      <c r="E347" s="15"/>
      <c r="F347" s="15"/>
      <c r="G347" s="15"/>
      <c r="H347" s="15"/>
      <c r="I347" s="15"/>
      <c r="J347" s="15"/>
      <c r="K347" s="15"/>
      <c r="L347" s="15"/>
      <c r="M347" s="15"/>
      <c r="N347" s="15"/>
      <c r="O347" s="15"/>
      <c r="P347" s="15"/>
      <c r="Q347" s="15"/>
      <c r="R347" s="15"/>
    </row>
    <row r="348" spans="1:18" x14ac:dyDescent="0.2">
      <c r="A348" s="15"/>
      <c r="B348" s="38"/>
      <c r="C348" s="15"/>
      <c r="D348" s="15"/>
      <c r="E348" s="15"/>
      <c r="F348" s="15"/>
      <c r="G348" s="15"/>
      <c r="H348" s="15"/>
      <c r="I348" s="15"/>
      <c r="J348" s="15"/>
      <c r="K348" s="15"/>
      <c r="L348" s="15"/>
      <c r="M348" s="15"/>
      <c r="N348" s="15"/>
      <c r="O348" s="15"/>
      <c r="P348" s="15"/>
      <c r="Q348" s="15"/>
      <c r="R348" s="15"/>
    </row>
    <row r="349" spans="1:18" x14ac:dyDescent="0.2">
      <c r="A349" s="15"/>
      <c r="B349" s="38"/>
      <c r="C349" s="15"/>
      <c r="D349" s="15"/>
      <c r="E349" s="15"/>
      <c r="F349" s="15"/>
      <c r="G349" s="15"/>
      <c r="H349" s="15"/>
      <c r="I349" s="15"/>
      <c r="J349" s="15"/>
      <c r="K349" s="15"/>
      <c r="L349" s="15"/>
      <c r="M349" s="15"/>
      <c r="N349" s="15"/>
      <c r="O349" s="15"/>
      <c r="P349" s="15"/>
      <c r="Q349" s="15"/>
      <c r="R349" s="15"/>
    </row>
    <row r="350" spans="1:18" x14ac:dyDescent="0.2">
      <c r="A350" s="15"/>
      <c r="B350" s="38"/>
      <c r="C350" s="15"/>
      <c r="D350" s="15"/>
      <c r="E350" s="15"/>
      <c r="F350" s="15"/>
      <c r="G350" s="15"/>
      <c r="H350" s="15"/>
      <c r="I350" s="15"/>
      <c r="J350" s="15"/>
      <c r="K350" s="15"/>
      <c r="L350" s="15"/>
      <c r="M350" s="15"/>
      <c r="N350" s="15"/>
      <c r="O350" s="15"/>
      <c r="P350" s="15"/>
      <c r="Q350" s="15"/>
      <c r="R350" s="15"/>
    </row>
    <row r="351" spans="1:18" x14ac:dyDescent="0.2">
      <c r="A351" s="15"/>
      <c r="B351" s="38"/>
      <c r="C351" s="15"/>
      <c r="D351" s="15"/>
      <c r="E351" s="15"/>
      <c r="F351" s="15"/>
      <c r="G351" s="15"/>
      <c r="H351" s="15"/>
      <c r="I351" s="15"/>
      <c r="J351" s="15"/>
      <c r="K351" s="15"/>
      <c r="L351" s="15"/>
      <c r="M351" s="15"/>
      <c r="N351" s="15"/>
      <c r="O351" s="15"/>
      <c r="P351" s="15"/>
      <c r="Q351" s="15"/>
      <c r="R351" s="15"/>
    </row>
    <row r="352" spans="1:18" x14ac:dyDescent="0.2">
      <c r="A352" s="15"/>
      <c r="B352" s="38"/>
      <c r="C352" s="15"/>
      <c r="D352" s="15"/>
      <c r="E352" s="15"/>
      <c r="F352" s="15"/>
      <c r="G352" s="15"/>
      <c r="H352" s="15"/>
      <c r="I352" s="15"/>
      <c r="J352" s="15"/>
      <c r="K352" s="15"/>
      <c r="L352" s="15"/>
      <c r="M352" s="15"/>
      <c r="N352" s="15"/>
      <c r="O352" s="15"/>
      <c r="P352" s="15"/>
      <c r="Q352" s="15"/>
      <c r="R352" s="15"/>
    </row>
    <row r="353" spans="1:18" x14ac:dyDescent="0.2">
      <c r="A353" s="15"/>
      <c r="B353" s="38"/>
      <c r="C353" s="15"/>
      <c r="D353" s="15"/>
      <c r="E353" s="15"/>
      <c r="F353" s="15"/>
      <c r="G353" s="15"/>
      <c r="H353" s="15"/>
      <c r="I353" s="15"/>
      <c r="J353" s="15"/>
      <c r="K353" s="15"/>
      <c r="L353" s="15"/>
      <c r="M353" s="15"/>
      <c r="N353" s="15"/>
      <c r="O353" s="15"/>
      <c r="P353" s="15"/>
      <c r="Q353" s="15"/>
      <c r="R353" s="15"/>
    </row>
    <row r="354" spans="1:18" x14ac:dyDescent="0.2">
      <c r="A354" s="15"/>
      <c r="B354" s="38"/>
      <c r="C354" s="15"/>
      <c r="D354" s="15"/>
      <c r="E354" s="15"/>
      <c r="F354" s="15"/>
      <c r="G354" s="15"/>
      <c r="H354" s="15"/>
      <c r="I354" s="15"/>
      <c r="J354" s="15"/>
      <c r="K354" s="15"/>
      <c r="L354" s="15"/>
      <c r="M354" s="15"/>
      <c r="N354" s="15"/>
      <c r="O354" s="15"/>
      <c r="P354" s="15"/>
      <c r="Q354" s="15"/>
      <c r="R354" s="15"/>
    </row>
    <row r="355" spans="1:18" x14ac:dyDescent="0.2">
      <c r="A355" s="15"/>
      <c r="B355" s="38"/>
      <c r="C355" s="15"/>
      <c r="D355" s="15"/>
      <c r="E355" s="15"/>
      <c r="F355" s="15"/>
      <c r="G355" s="15"/>
      <c r="H355" s="15"/>
      <c r="I355" s="15"/>
      <c r="J355" s="15"/>
      <c r="K355" s="15"/>
      <c r="L355" s="15"/>
      <c r="M355" s="15"/>
      <c r="N355" s="15"/>
      <c r="O355" s="15"/>
      <c r="P355" s="15"/>
      <c r="Q355" s="15"/>
      <c r="R355" s="15"/>
    </row>
    <row r="356" spans="1:18" x14ac:dyDescent="0.2">
      <c r="A356" s="15"/>
      <c r="B356" s="38"/>
      <c r="C356" s="15"/>
      <c r="D356" s="15"/>
      <c r="E356" s="15"/>
      <c r="F356" s="15"/>
      <c r="G356" s="15"/>
      <c r="H356" s="15"/>
      <c r="I356" s="15"/>
      <c r="J356" s="15"/>
      <c r="K356" s="15"/>
      <c r="L356" s="15"/>
      <c r="M356" s="15"/>
      <c r="N356" s="15"/>
      <c r="O356" s="15"/>
      <c r="P356" s="15"/>
      <c r="Q356" s="15"/>
      <c r="R356" s="15"/>
    </row>
    <row r="357" spans="1:18" x14ac:dyDescent="0.2">
      <c r="A357" s="15"/>
      <c r="B357" s="38"/>
      <c r="C357" s="15"/>
      <c r="D357" s="15"/>
      <c r="E357" s="15"/>
      <c r="F357" s="15"/>
      <c r="G357" s="15"/>
      <c r="H357" s="15"/>
      <c r="I357" s="15"/>
      <c r="J357" s="15"/>
      <c r="K357" s="15"/>
      <c r="L357" s="15"/>
      <c r="M357" s="15"/>
      <c r="N357" s="15"/>
      <c r="O357" s="15"/>
      <c r="P357" s="15"/>
      <c r="Q357" s="15"/>
      <c r="R357" s="15"/>
    </row>
    <row r="358" spans="1:18" x14ac:dyDescent="0.2">
      <c r="A358" s="15"/>
      <c r="B358" s="38"/>
      <c r="C358" s="15"/>
      <c r="D358" s="15"/>
      <c r="E358" s="15"/>
      <c r="F358" s="15"/>
      <c r="G358" s="15"/>
      <c r="H358" s="15"/>
      <c r="I358" s="15"/>
      <c r="J358" s="15"/>
      <c r="K358" s="15"/>
      <c r="L358" s="15"/>
      <c r="M358" s="15"/>
      <c r="N358" s="15"/>
      <c r="O358" s="15"/>
      <c r="P358" s="15"/>
      <c r="Q358" s="15"/>
      <c r="R358" s="15"/>
    </row>
    <row r="359" spans="1:18" x14ac:dyDescent="0.2">
      <c r="A359" s="15"/>
      <c r="B359" s="38"/>
      <c r="C359" s="15"/>
      <c r="D359" s="15"/>
      <c r="E359" s="15"/>
      <c r="F359" s="15"/>
      <c r="G359" s="15"/>
      <c r="H359" s="15"/>
      <c r="I359" s="15"/>
      <c r="J359" s="15"/>
      <c r="K359" s="15"/>
      <c r="L359" s="15"/>
      <c r="M359" s="15"/>
      <c r="N359" s="15"/>
      <c r="O359" s="15"/>
      <c r="P359" s="15"/>
      <c r="Q359" s="15"/>
      <c r="R359" s="15"/>
    </row>
    <row r="360" spans="1:18" x14ac:dyDescent="0.2">
      <c r="A360" s="15"/>
      <c r="B360" s="38"/>
      <c r="C360" s="15"/>
      <c r="D360" s="15"/>
      <c r="E360" s="15"/>
      <c r="F360" s="15"/>
      <c r="G360" s="15"/>
      <c r="H360" s="15"/>
      <c r="I360" s="15"/>
      <c r="J360" s="15"/>
      <c r="K360" s="15"/>
      <c r="L360" s="15"/>
      <c r="M360" s="15"/>
      <c r="N360" s="15"/>
      <c r="O360" s="15"/>
      <c r="P360" s="15"/>
      <c r="Q360" s="15"/>
      <c r="R360" s="15"/>
    </row>
    <row r="361" spans="1:18" x14ac:dyDescent="0.2">
      <c r="A361" s="15"/>
      <c r="B361" s="38"/>
      <c r="C361" s="15"/>
      <c r="D361" s="15"/>
      <c r="E361" s="15"/>
      <c r="F361" s="15"/>
      <c r="G361" s="15"/>
      <c r="H361" s="15"/>
      <c r="I361" s="15"/>
      <c r="J361" s="15"/>
      <c r="K361" s="15"/>
      <c r="L361" s="15"/>
      <c r="M361" s="15"/>
      <c r="N361" s="15"/>
      <c r="O361" s="15"/>
      <c r="P361" s="15"/>
      <c r="Q361" s="15"/>
      <c r="R361" s="15"/>
    </row>
    <row r="362" spans="1:18" x14ac:dyDescent="0.2">
      <c r="A362" s="15"/>
      <c r="B362" s="38"/>
      <c r="C362" s="15"/>
      <c r="D362" s="15"/>
      <c r="E362" s="15"/>
      <c r="F362" s="15"/>
      <c r="G362" s="15"/>
      <c r="H362" s="15"/>
      <c r="I362" s="15"/>
      <c r="J362" s="15"/>
      <c r="K362" s="15"/>
      <c r="L362" s="15"/>
      <c r="M362" s="15"/>
      <c r="N362" s="15"/>
      <c r="O362" s="15"/>
      <c r="P362" s="15"/>
      <c r="Q362" s="15"/>
      <c r="R362" s="15"/>
    </row>
    <row r="363" spans="1:18" x14ac:dyDescent="0.2">
      <c r="A363" s="15"/>
      <c r="B363" s="38"/>
      <c r="C363" s="15"/>
      <c r="D363" s="15"/>
      <c r="E363" s="15"/>
      <c r="F363" s="15"/>
      <c r="G363" s="15"/>
      <c r="H363" s="15"/>
      <c r="I363" s="15"/>
      <c r="J363" s="15"/>
      <c r="K363" s="15"/>
      <c r="L363" s="15"/>
      <c r="M363" s="15"/>
      <c r="N363" s="15"/>
      <c r="O363" s="15"/>
      <c r="P363" s="15"/>
      <c r="Q363" s="15"/>
      <c r="R363" s="15"/>
    </row>
    <row r="364" spans="1:18" x14ac:dyDescent="0.2">
      <c r="A364" s="15"/>
      <c r="B364" s="38"/>
      <c r="C364" s="15"/>
      <c r="D364" s="15"/>
      <c r="E364" s="15"/>
      <c r="F364" s="15"/>
      <c r="G364" s="15"/>
      <c r="H364" s="15"/>
      <c r="I364" s="15"/>
      <c r="J364" s="15"/>
      <c r="K364" s="15"/>
      <c r="L364" s="15"/>
      <c r="M364" s="15"/>
      <c r="N364" s="15"/>
      <c r="O364" s="15"/>
      <c r="P364" s="15"/>
      <c r="Q364" s="15"/>
      <c r="R364" s="15"/>
    </row>
    <row r="365" spans="1:18" x14ac:dyDescent="0.2">
      <c r="A365" s="15"/>
      <c r="B365" s="38"/>
      <c r="C365" s="15"/>
      <c r="D365" s="15"/>
      <c r="E365" s="15"/>
      <c r="F365" s="15"/>
      <c r="G365" s="15"/>
      <c r="H365" s="15"/>
      <c r="I365" s="15"/>
      <c r="J365" s="15"/>
      <c r="K365" s="15"/>
      <c r="L365" s="15"/>
      <c r="M365" s="15"/>
      <c r="N365" s="15"/>
      <c r="O365" s="15"/>
      <c r="P365" s="15"/>
      <c r="Q365" s="15"/>
      <c r="R365" s="15"/>
    </row>
    <row r="366" spans="1:18" x14ac:dyDescent="0.2">
      <c r="A366" s="15"/>
      <c r="B366" s="38"/>
      <c r="C366" s="15"/>
      <c r="D366" s="15"/>
      <c r="E366" s="15"/>
      <c r="F366" s="15"/>
      <c r="G366" s="15"/>
      <c r="H366" s="15"/>
      <c r="I366" s="15"/>
      <c r="J366" s="15"/>
      <c r="K366" s="15"/>
      <c r="L366" s="15"/>
      <c r="M366" s="15"/>
      <c r="N366" s="15"/>
      <c r="O366" s="15"/>
      <c r="P366" s="15"/>
      <c r="Q366" s="15"/>
      <c r="R366" s="15"/>
    </row>
    <row r="367" spans="1:18" x14ac:dyDescent="0.2">
      <c r="A367" s="15"/>
      <c r="B367" s="38"/>
      <c r="C367" s="15"/>
      <c r="D367" s="15"/>
      <c r="E367" s="15"/>
      <c r="F367" s="15"/>
      <c r="G367" s="15"/>
      <c r="H367" s="15"/>
      <c r="I367" s="15"/>
      <c r="J367" s="15"/>
      <c r="K367" s="15"/>
      <c r="L367" s="15"/>
      <c r="M367" s="15"/>
      <c r="N367" s="15"/>
      <c r="O367" s="15"/>
      <c r="P367" s="15"/>
      <c r="Q367" s="15"/>
      <c r="R367" s="15"/>
    </row>
    <row r="368" spans="1:18" x14ac:dyDescent="0.2">
      <c r="A368" s="15"/>
      <c r="B368" s="38"/>
      <c r="C368" s="15"/>
      <c r="D368" s="15"/>
      <c r="E368" s="15"/>
      <c r="F368" s="15"/>
      <c r="G368" s="15"/>
      <c r="H368" s="15"/>
      <c r="I368" s="15"/>
      <c r="J368" s="15"/>
      <c r="K368" s="15"/>
      <c r="L368" s="15"/>
      <c r="M368" s="15"/>
      <c r="N368" s="15"/>
      <c r="O368" s="15"/>
      <c r="P368" s="15"/>
      <c r="Q368" s="15"/>
      <c r="R368" s="15"/>
    </row>
    <row r="369" spans="1:18" x14ac:dyDescent="0.2">
      <c r="A369" s="15"/>
      <c r="B369" s="38"/>
      <c r="C369" s="15"/>
      <c r="D369" s="15"/>
      <c r="E369" s="15"/>
      <c r="F369" s="15"/>
      <c r="G369" s="15"/>
      <c r="H369" s="15"/>
      <c r="I369" s="15"/>
      <c r="J369" s="15"/>
      <c r="K369" s="15"/>
      <c r="L369" s="15"/>
      <c r="M369" s="15"/>
      <c r="N369" s="15"/>
      <c r="O369" s="15"/>
      <c r="P369" s="15"/>
      <c r="Q369" s="15"/>
      <c r="R369" s="15"/>
    </row>
    <row r="370" spans="1:18" x14ac:dyDescent="0.2">
      <c r="A370" s="15"/>
      <c r="B370" s="38"/>
      <c r="C370" s="15"/>
      <c r="D370" s="15"/>
      <c r="E370" s="15"/>
      <c r="F370" s="15"/>
      <c r="G370" s="15"/>
      <c r="H370" s="15"/>
      <c r="I370" s="15"/>
      <c r="J370" s="15"/>
      <c r="K370" s="15"/>
      <c r="L370" s="15"/>
      <c r="M370" s="15"/>
      <c r="N370" s="15"/>
      <c r="O370" s="15"/>
      <c r="P370" s="15"/>
      <c r="Q370" s="15"/>
      <c r="R370" s="15"/>
    </row>
    <row r="371" spans="1:18" x14ac:dyDescent="0.2">
      <c r="A371" s="15"/>
      <c r="B371" s="38"/>
      <c r="C371" s="15"/>
      <c r="D371" s="15"/>
      <c r="E371" s="15"/>
      <c r="F371" s="15"/>
      <c r="G371" s="15"/>
      <c r="H371" s="15"/>
      <c r="I371" s="15"/>
      <c r="J371" s="15"/>
      <c r="K371" s="15"/>
      <c r="L371" s="15"/>
      <c r="M371" s="15"/>
      <c r="N371" s="15"/>
      <c r="O371" s="15"/>
      <c r="P371" s="15"/>
      <c r="Q371" s="15"/>
      <c r="R371" s="15"/>
    </row>
    <row r="372" spans="1:18" x14ac:dyDescent="0.2">
      <c r="A372" s="15"/>
      <c r="B372" s="38"/>
      <c r="C372" s="15"/>
      <c r="D372" s="15"/>
      <c r="E372" s="15"/>
      <c r="F372" s="15"/>
      <c r="G372" s="15"/>
      <c r="H372" s="15"/>
      <c r="I372" s="15"/>
      <c r="J372" s="15"/>
      <c r="K372" s="15"/>
      <c r="L372" s="15"/>
      <c r="M372" s="15"/>
      <c r="N372" s="15"/>
      <c r="O372" s="15"/>
      <c r="P372" s="15"/>
      <c r="Q372" s="15"/>
      <c r="R372" s="15"/>
    </row>
    <row r="373" spans="1:18" x14ac:dyDescent="0.2">
      <c r="A373" s="15"/>
      <c r="B373" s="38"/>
      <c r="C373" s="15"/>
      <c r="D373" s="15"/>
      <c r="E373" s="15"/>
      <c r="F373" s="15"/>
      <c r="G373" s="15"/>
      <c r="H373" s="15"/>
      <c r="I373" s="15"/>
      <c r="J373" s="15"/>
      <c r="K373" s="15"/>
      <c r="L373" s="15"/>
      <c r="M373" s="15"/>
      <c r="N373" s="15"/>
      <c r="O373" s="15"/>
      <c r="P373" s="15"/>
      <c r="Q373" s="15"/>
      <c r="R373" s="15"/>
    </row>
    <row r="374" spans="1:18" x14ac:dyDescent="0.2">
      <c r="A374" s="15"/>
      <c r="B374" s="38"/>
      <c r="C374" s="15"/>
      <c r="D374" s="15"/>
      <c r="E374" s="15"/>
      <c r="F374" s="15"/>
      <c r="G374" s="15"/>
      <c r="H374" s="15"/>
      <c r="I374" s="15"/>
      <c r="J374" s="15"/>
      <c r="K374" s="15"/>
      <c r="L374" s="15"/>
      <c r="M374" s="15"/>
      <c r="N374" s="15"/>
      <c r="O374" s="15"/>
      <c r="P374" s="15"/>
      <c r="Q374" s="15"/>
      <c r="R374" s="15"/>
    </row>
    <row r="375" spans="1:18" x14ac:dyDescent="0.2">
      <c r="A375" s="15"/>
      <c r="B375" s="38"/>
      <c r="C375" s="15"/>
      <c r="D375" s="15"/>
      <c r="E375" s="15"/>
      <c r="F375" s="15"/>
      <c r="G375" s="15"/>
      <c r="H375" s="15"/>
      <c r="I375" s="15"/>
      <c r="J375" s="15"/>
      <c r="K375" s="15"/>
      <c r="L375" s="15"/>
      <c r="M375" s="15"/>
      <c r="N375" s="15"/>
      <c r="O375" s="15"/>
      <c r="P375" s="15"/>
      <c r="Q375" s="15"/>
      <c r="R375" s="15"/>
    </row>
    <row r="376" spans="1:18" x14ac:dyDescent="0.2">
      <c r="A376" s="15"/>
      <c r="B376" s="38"/>
      <c r="C376" s="15"/>
      <c r="D376" s="15"/>
      <c r="E376" s="15"/>
      <c r="F376" s="15"/>
      <c r="G376" s="15"/>
      <c r="H376" s="15"/>
      <c r="I376" s="15"/>
      <c r="J376" s="15"/>
      <c r="K376" s="15"/>
      <c r="L376" s="15"/>
      <c r="M376" s="15"/>
      <c r="N376" s="15"/>
      <c r="O376" s="15"/>
      <c r="P376" s="15"/>
      <c r="Q376" s="15"/>
      <c r="R376" s="15"/>
    </row>
    <row r="377" spans="1:18" x14ac:dyDescent="0.2">
      <c r="A377" s="15"/>
      <c r="B377" s="38"/>
      <c r="C377" s="15"/>
      <c r="D377" s="15"/>
      <c r="E377" s="15"/>
      <c r="F377" s="15"/>
      <c r="G377" s="15"/>
      <c r="H377" s="15"/>
      <c r="I377" s="15"/>
      <c r="J377" s="15"/>
      <c r="K377" s="15"/>
      <c r="L377" s="15"/>
      <c r="M377" s="15"/>
      <c r="N377" s="15"/>
      <c r="O377" s="15"/>
      <c r="P377" s="15"/>
      <c r="Q377" s="15"/>
      <c r="R377" s="15"/>
    </row>
    <row r="378" spans="1:18" x14ac:dyDescent="0.2">
      <c r="A378" s="15"/>
      <c r="B378" s="38"/>
      <c r="C378" s="15"/>
      <c r="D378" s="15"/>
      <c r="E378" s="15"/>
      <c r="F378" s="15"/>
      <c r="G378" s="15"/>
      <c r="H378" s="15"/>
      <c r="I378" s="15"/>
      <c r="J378" s="15"/>
      <c r="K378" s="15"/>
      <c r="L378" s="15"/>
      <c r="M378" s="15"/>
      <c r="N378" s="15"/>
      <c r="O378" s="15"/>
      <c r="P378" s="15"/>
      <c r="Q378" s="15"/>
      <c r="R378" s="15"/>
    </row>
    <row r="379" spans="1:18" x14ac:dyDescent="0.2">
      <c r="A379" s="15"/>
      <c r="B379" s="38"/>
      <c r="C379" s="15"/>
      <c r="D379" s="15"/>
      <c r="E379" s="15"/>
      <c r="F379" s="15"/>
      <c r="G379" s="15"/>
      <c r="H379" s="15"/>
      <c r="I379" s="15"/>
      <c r="J379" s="15"/>
      <c r="K379" s="15"/>
      <c r="L379" s="15"/>
      <c r="M379" s="15"/>
      <c r="N379" s="15"/>
      <c r="O379" s="15"/>
      <c r="P379" s="15"/>
      <c r="Q379" s="15"/>
      <c r="R379" s="15"/>
    </row>
    <row r="380" spans="1:18" x14ac:dyDescent="0.2">
      <c r="A380" s="15"/>
      <c r="B380" s="38"/>
      <c r="C380" s="15"/>
      <c r="D380" s="15"/>
      <c r="E380" s="15"/>
      <c r="F380" s="15"/>
      <c r="G380" s="15"/>
      <c r="H380" s="15"/>
      <c r="I380" s="15"/>
      <c r="J380" s="15"/>
      <c r="K380" s="15"/>
      <c r="L380" s="15"/>
      <c r="M380" s="15"/>
      <c r="N380" s="15"/>
      <c r="O380" s="15"/>
      <c r="P380" s="15"/>
      <c r="Q380" s="15"/>
      <c r="R380" s="15"/>
    </row>
    <row r="381" spans="1:18" x14ac:dyDescent="0.2">
      <c r="A381" s="15"/>
      <c r="B381" s="38"/>
      <c r="C381" s="15"/>
      <c r="D381" s="15"/>
      <c r="E381" s="15"/>
      <c r="F381" s="15"/>
      <c r="G381" s="15"/>
      <c r="H381" s="15"/>
      <c r="I381" s="15"/>
      <c r="J381" s="15"/>
      <c r="K381" s="15"/>
      <c r="L381" s="15"/>
      <c r="M381" s="15"/>
      <c r="N381" s="15"/>
      <c r="O381" s="15"/>
      <c r="P381" s="15"/>
      <c r="Q381" s="15"/>
      <c r="R381" s="15"/>
    </row>
    <row r="382" spans="1:18" x14ac:dyDescent="0.2">
      <c r="A382" s="15"/>
      <c r="B382" s="38"/>
      <c r="C382" s="15"/>
      <c r="D382" s="15"/>
      <c r="E382" s="15"/>
      <c r="F382" s="15"/>
      <c r="G382" s="15"/>
      <c r="H382" s="15"/>
      <c r="I382" s="15"/>
      <c r="J382" s="15"/>
      <c r="K382" s="15"/>
      <c r="L382" s="15"/>
      <c r="M382" s="15"/>
      <c r="N382" s="15"/>
      <c r="O382" s="15"/>
      <c r="P382" s="15"/>
      <c r="Q382" s="15"/>
      <c r="R382" s="15"/>
    </row>
    <row r="383" spans="1:18" x14ac:dyDescent="0.2">
      <c r="A383" s="15"/>
      <c r="B383" s="38"/>
      <c r="C383" s="15"/>
      <c r="D383" s="15"/>
      <c r="E383" s="15"/>
      <c r="F383" s="15"/>
      <c r="G383" s="15"/>
      <c r="H383" s="15"/>
      <c r="I383" s="15"/>
      <c r="J383" s="15"/>
      <c r="K383" s="15"/>
      <c r="L383" s="15"/>
      <c r="M383" s="15"/>
      <c r="N383" s="15"/>
      <c r="O383" s="15"/>
      <c r="P383" s="15"/>
      <c r="Q383" s="15"/>
      <c r="R383" s="15"/>
    </row>
    <row r="384" spans="1:18" x14ac:dyDescent="0.2">
      <c r="A384" s="15"/>
      <c r="B384" s="38"/>
      <c r="C384" s="15"/>
      <c r="D384" s="15"/>
      <c r="E384" s="15"/>
      <c r="F384" s="15"/>
      <c r="G384" s="15"/>
      <c r="H384" s="15"/>
      <c r="I384" s="15"/>
      <c r="J384" s="15"/>
      <c r="K384" s="15"/>
      <c r="L384" s="15"/>
      <c r="M384" s="15"/>
      <c r="N384" s="15"/>
      <c r="O384" s="15"/>
      <c r="P384" s="15"/>
      <c r="Q384" s="15"/>
      <c r="R384" s="15"/>
    </row>
    <row r="385" spans="1:18" x14ac:dyDescent="0.2">
      <c r="A385" s="15"/>
      <c r="B385" s="38"/>
      <c r="C385" s="15"/>
      <c r="D385" s="15"/>
      <c r="E385" s="15"/>
      <c r="F385" s="15"/>
      <c r="G385" s="15"/>
      <c r="H385" s="15"/>
      <c r="I385" s="15"/>
      <c r="J385" s="15"/>
      <c r="K385" s="15"/>
      <c r="L385" s="15"/>
      <c r="M385" s="15"/>
      <c r="N385" s="15"/>
      <c r="O385" s="15"/>
      <c r="P385" s="15"/>
      <c r="Q385" s="15"/>
      <c r="R385" s="15"/>
    </row>
    <row r="386" spans="1:18" x14ac:dyDescent="0.2">
      <c r="A386" s="15"/>
      <c r="B386" s="38"/>
      <c r="C386" s="15"/>
      <c r="D386" s="15"/>
      <c r="E386" s="15"/>
      <c r="F386" s="15"/>
      <c r="G386" s="15"/>
      <c r="H386" s="15"/>
      <c r="I386" s="15"/>
      <c r="J386" s="15"/>
      <c r="K386" s="15"/>
      <c r="L386" s="15"/>
      <c r="M386" s="15"/>
      <c r="N386" s="15"/>
      <c r="O386" s="15"/>
      <c r="P386" s="15"/>
      <c r="Q386" s="15"/>
      <c r="R386" s="15"/>
    </row>
    <row r="387" spans="1:18" x14ac:dyDescent="0.2">
      <c r="A387" s="15"/>
      <c r="B387" s="38"/>
      <c r="C387" s="15"/>
      <c r="D387" s="15"/>
      <c r="E387" s="15"/>
      <c r="F387" s="15"/>
      <c r="G387" s="15"/>
      <c r="H387" s="15"/>
      <c r="I387" s="15"/>
      <c r="J387" s="15"/>
      <c r="K387" s="15"/>
      <c r="L387" s="15"/>
      <c r="M387" s="15"/>
      <c r="N387" s="15"/>
      <c r="O387" s="15"/>
      <c r="P387" s="15"/>
      <c r="Q387" s="15"/>
      <c r="R387" s="15"/>
    </row>
    <row r="388" spans="1:18" x14ac:dyDescent="0.2">
      <c r="A388" s="15"/>
      <c r="B388" s="38"/>
      <c r="C388" s="15"/>
      <c r="D388" s="15"/>
      <c r="E388" s="15"/>
      <c r="F388" s="15"/>
      <c r="G388" s="15"/>
      <c r="H388" s="15"/>
      <c r="I388" s="15"/>
      <c r="J388" s="15"/>
      <c r="K388" s="15"/>
      <c r="L388" s="15"/>
      <c r="M388" s="15"/>
      <c r="N388" s="15"/>
      <c r="O388" s="15"/>
      <c r="P388" s="15"/>
      <c r="Q388" s="15"/>
      <c r="R388" s="15"/>
    </row>
    <row r="389" spans="1:18" x14ac:dyDescent="0.2">
      <c r="A389" s="15"/>
      <c r="B389" s="38"/>
      <c r="C389" s="15"/>
      <c r="D389" s="15"/>
      <c r="E389" s="15"/>
      <c r="F389" s="15"/>
      <c r="G389" s="15"/>
      <c r="H389" s="15"/>
      <c r="I389" s="15"/>
      <c r="J389" s="15"/>
      <c r="K389" s="15"/>
      <c r="L389" s="15"/>
      <c r="M389" s="15"/>
      <c r="N389" s="15"/>
      <c r="O389" s="15"/>
      <c r="P389" s="15"/>
      <c r="Q389" s="15"/>
      <c r="R389" s="15"/>
    </row>
    <row r="390" spans="1:18" x14ac:dyDescent="0.2">
      <c r="A390" s="15"/>
      <c r="B390" s="38"/>
      <c r="C390" s="15"/>
      <c r="D390" s="15"/>
      <c r="E390" s="15"/>
      <c r="F390" s="15"/>
      <c r="G390" s="15"/>
      <c r="H390" s="15"/>
      <c r="I390" s="15"/>
      <c r="J390" s="15"/>
      <c r="K390" s="15"/>
      <c r="L390" s="15"/>
      <c r="M390" s="15"/>
      <c r="N390" s="15"/>
      <c r="O390" s="15"/>
      <c r="P390" s="15"/>
      <c r="Q390" s="15"/>
      <c r="R390" s="15"/>
    </row>
    <row r="391" spans="1:18" x14ac:dyDescent="0.2">
      <c r="A391" s="15"/>
      <c r="B391" s="38"/>
      <c r="C391" s="15"/>
      <c r="D391" s="15"/>
      <c r="E391" s="15"/>
      <c r="F391" s="15"/>
      <c r="G391" s="15"/>
      <c r="H391" s="15"/>
      <c r="I391" s="15"/>
      <c r="J391" s="15"/>
      <c r="K391" s="15"/>
      <c r="L391" s="15"/>
      <c r="M391" s="15"/>
      <c r="N391" s="15"/>
      <c r="O391" s="15"/>
      <c r="P391" s="15"/>
      <c r="Q391" s="15"/>
      <c r="R391" s="15"/>
    </row>
    <row r="392" spans="1:18" x14ac:dyDescent="0.2">
      <c r="A392" s="15"/>
      <c r="B392" s="38"/>
      <c r="C392" s="15"/>
      <c r="D392" s="15"/>
      <c r="E392" s="15"/>
      <c r="F392" s="15"/>
      <c r="G392" s="15"/>
      <c r="H392" s="15"/>
      <c r="I392" s="15"/>
      <c r="J392" s="15"/>
      <c r="K392" s="15"/>
      <c r="L392" s="15"/>
      <c r="M392" s="15"/>
      <c r="N392" s="15"/>
      <c r="O392" s="15"/>
      <c r="P392" s="15"/>
      <c r="Q392" s="15"/>
      <c r="R392" s="15"/>
    </row>
    <row r="393" spans="1:18" x14ac:dyDescent="0.2">
      <c r="A393" s="15"/>
      <c r="B393" s="38"/>
      <c r="C393" s="15"/>
      <c r="D393" s="15"/>
      <c r="E393" s="15"/>
      <c r="F393" s="15"/>
      <c r="G393" s="15"/>
      <c r="H393" s="15"/>
      <c r="I393" s="15"/>
      <c r="J393" s="15"/>
      <c r="K393" s="15"/>
      <c r="L393" s="15"/>
      <c r="M393" s="15"/>
      <c r="N393" s="15"/>
      <c r="O393" s="15"/>
      <c r="P393" s="15"/>
      <c r="Q393" s="15"/>
      <c r="R393" s="15"/>
    </row>
    <row r="394" spans="1:18" x14ac:dyDescent="0.2">
      <c r="A394" s="15"/>
      <c r="B394" s="38"/>
      <c r="C394" s="15"/>
      <c r="D394" s="15"/>
      <c r="E394" s="15"/>
      <c r="F394" s="15"/>
      <c r="G394" s="15"/>
      <c r="H394" s="15"/>
      <c r="I394" s="15"/>
      <c r="J394" s="15"/>
      <c r="K394" s="15"/>
      <c r="L394" s="15"/>
      <c r="M394" s="15"/>
      <c r="N394" s="15"/>
      <c r="O394" s="15"/>
      <c r="P394" s="15"/>
      <c r="Q394" s="15"/>
      <c r="R394" s="15"/>
    </row>
    <row r="395" spans="1:18" x14ac:dyDescent="0.2">
      <c r="A395" s="15"/>
      <c r="B395" s="38"/>
      <c r="C395" s="15"/>
      <c r="D395" s="15"/>
      <c r="E395" s="15"/>
      <c r="F395" s="15"/>
      <c r="G395" s="15"/>
      <c r="H395" s="15"/>
      <c r="I395" s="15"/>
      <c r="J395" s="15"/>
      <c r="K395" s="15"/>
      <c r="L395" s="15"/>
      <c r="M395" s="15"/>
      <c r="N395" s="15"/>
      <c r="O395" s="15"/>
      <c r="P395" s="15"/>
      <c r="Q395" s="15"/>
      <c r="R395" s="15"/>
    </row>
    <row r="396" spans="1:18" x14ac:dyDescent="0.2">
      <c r="A396" s="15"/>
      <c r="B396" s="38"/>
      <c r="C396" s="15"/>
      <c r="D396" s="15"/>
      <c r="E396" s="15"/>
      <c r="F396" s="15"/>
      <c r="G396" s="15"/>
      <c r="H396" s="15"/>
      <c r="I396" s="15"/>
      <c r="J396" s="15"/>
      <c r="K396" s="15"/>
      <c r="L396" s="15"/>
      <c r="M396" s="15"/>
      <c r="N396" s="15"/>
      <c r="O396" s="15"/>
      <c r="P396" s="15"/>
      <c r="Q396" s="15"/>
      <c r="R396" s="15"/>
    </row>
    <row r="397" spans="1:18" x14ac:dyDescent="0.2">
      <c r="A397" s="15"/>
      <c r="B397" s="38"/>
      <c r="C397" s="15"/>
      <c r="D397" s="15"/>
      <c r="E397" s="15"/>
      <c r="F397" s="15"/>
      <c r="G397" s="15"/>
      <c r="H397" s="15"/>
      <c r="I397" s="15"/>
      <c r="J397" s="15"/>
      <c r="K397" s="15"/>
      <c r="L397" s="15"/>
      <c r="M397" s="15"/>
      <c r="N397" s="15"/>
      <c r="O397" s="15"/>
      <c r="P397" s="15"/>
      <c r="Q397" s="15"/>
      <c r="R397" s="15"/>
    </row>
    <row r="398" spans="1:18" x14ac:dyDescent="0.2">
      <c r="A398" s="15"/>
      <c r="B398" s="38"/>
      <c r="C398" s="15"/>
      <c r="D398" s="15"/>
      <c r="E398" s="15"/>
      <c r="F398" s="15"/>
      <c r="G398" s="15"/>
      <c r="H398" s="15"/>
      <c r="I398" s="15"/>
      <c r="J398" s="15"/>
      <c r="K398" s="15"/>
      <c r="L398" s="15"/>
      <c r="M398" s="15"/>
      <c r="N398" s="15"/>
      <c r="O398" s="15"/>
      <c r="P398" s="15"/>
      <c r="Q398" s="15"/>
      <c r="R398" s="15"/>
    </row>
    <row r="399" spans="1:18" x14ac:dyDescent="0.2">
      <c r="A399" s="15"/>
      <c r="B399" s="38"/>
      <c r="C399" s="15"/>
      <c r="D399" s="15"/>
      <c r="E399" s="15"/>
      <c r="F399" s="15"/>
      <c r="G399" s="15"/>
      <c r="H399" s="15"/>
      <c r="I399" s="15"/>
      <c r="J399" s="15"/>
      <c r="K399" s="15"/>
      <c r="L399" s="15"/>
      <c r="M399" s="15"/>
      <c r="N399" s="15"/>
      <c r="O399" s="15"/>
      <c r="P399" s="15"/>
      <c r="Q399" s="15"/>
      <c r="R399" s="15"/>
    </row>
    <row r="400" spans="1:18" x14ac:dyDescent="0.2">
      <c r="A400" s="15"/>
      <c r="B400" s="38"/>
      <c r="C400" s="15"/>
      <c r="D400" s="15"/>
      <c r="E400" s="15"/>
      <c r="F400" s="15"/>
      <c r="G400" s="15"/>
      <c r="H400" s="15"/>
      <c r="I400" s="15"/>
      <c r="J400" s="15"/>
      <c r="K400" s="15"/>
      <c r="L400" s="15"/>
      <c r="M400" s="15"/>
      <c r="N400" s="15"/>
      <c r="O400" s="15"/>
      <c r="P400" s="15"/>
      <c r="Q400" s="15"/>
      <c r="R400" s="15"/>
    </row>
    <row r="401" spans="1:18" x14ac:dyDescent="0.2">
      <c r="A401" s="15"/>
      <c r="B401" s="38"/>
      <c r="C401" s="15"/>
      <c r="D401" s="15"/>
      <c r="E401" s="15"/>
      <c r="F401" s="15"/>
      <c r="G401" s="15"/>
      <c r="H401" s="15"/>
      <c r="I401" s="15"/>
      <c r="J401" s="15"/>
      <c r="K401" s="15"/>
      <c r="L401" s="15"/>
      <c r="M401" s="15"/>
      <c r="N401" s="15"/>
      <c r="O401" s="15"/>
      <c r="P401" s="15"/>
      <c r="Q401" s="15"/>
      <c r="R401" s="15"/>
    </row>
    <row r="402" spans="1:18" x14ac:dyDescent="0.2">
      <c r="A402" s="15"/>
      <c r="B402" s="38"/>
      <c r="C402" s="15"/>
      <c r="D402" s="15"/>
      <c r="E402" s="15"/>
      <c r="F402" s="15"/>
      <c r="G402" s="15"/>
      <c r="H402" s="15"/>
      <c r="I402" s="15"/>
      <c r="J402" s="15"/>
      <c r="K402" s="15"/>
      <c r="L402" s="15"/>
      <c r="M402" s="15"/>
      <c r="N402" s="15"/>
      <c r="O402" s="15"/>
      <c r="P402" s="15"/>
      <c r="Q402" s="15"/>
      <c r="R402" s="15"/>
    </row>
    <row r="403" spans="1:18" x14ac:dyDescent="0.2">
      <c r="A403" s="15"/>
      <c r="B403" s="38"/>
      <c r="C403" s="15"/>
      <c r="D403" s="15"/>
      <c r="E403" s="15"/>
      <c r="F403" s="15"/>
      <c r="G403" s="15"/>
      <c r="H403" s="15"/>
      <c r="I403" s="15"/>
      <c r="J403" s="15"/>
      <c r="K403" s="15"/>
      <c r="L403" s="15"/>
      <c r="M403" s="15"/>
      <c r="N403" s="15"/>
      <c r="O403" s="15"/>
      <c r="P403" s="15"/>
      <c r="Q403" s="15"/>
      <c r="R403" s="15"/>
    </row>
    <row r="404" spans="1:18" x14ac:dyDescent="0.2">
      <c r="A404" s="15"/>
      <c r="B404" s="38"/>
      <c r="C404" s="15"/>
      <c r="D404" s="15"/>
      <c r="E404" s="15"/>
      <c r="F404" s="15"/>
      <c r="G404" s="15"/>
      <c r="H404" s="15"/>
      <c r="I404" s="15"/>
      <c r="J404" s="15"/>
      <c r="K404" s="15"/>
      <c r="L404" s="15"/>
      <c r="M404" s="15"/>
      <c r="N404" s="15"/>
      <c r="O404" s="15"/>
      <c r="P404" s="15"/>
      <c r="Q404" s="15"/>
      <c r="R404" s="15"/>
    </row>
    <row r="405" spans="1:18" x14ac:dyDescent="0.2">
      <c r="A405" s="15"/>
      <c r="B405" s="38"/>
      <c r="C405" s="15"/>
      <c r="D405" s="15"/>
      <c r="E405" s="15"/>
      <c r="F405" s="15"/>
      <c r="G405" s="15"/>
      <c r="H405" s="15"/>
      <c r="I405" s="15"/>
      <c r="J405" s="15"/>
      <c r="K405" s="15"/>
      <c r="L405" s="15"/>
      <c r="M405" s="15"/>
      <c r="N405" s="15"/>
      <c r="O405" s="15"/>
      <c r="P405" s="15"/>
      <c r="Q405" s="15"/>
      <c r="R405" s="15"/>
    </row>
    <row r="406" spans="1:18" x14ac:dyDescent="0.2">
      <c r="A406" s="15"/>
      <c r="B406" s="38"/>
      <c r="C406" s="15"/>
      <c r="D406" s="15"/>
      <c r="E406" s="15"/>
      <c r="F406" s="15"/>
      <c r="G406" s="15"/>
      <c r="H406" s="15"/>
      <c r="I406" s="15"/>
      <c r="J406" s="15"/>
      <c r="K406" s="15"/>
      <c r="L406" s="15"/>
      <c r="M406" s="15"/>
      <c r="N406" s="15"/>
      <c r="O406" s="15"/>
      <c r="P406" s="15"/>
      <c r="Q406" s="15"/>
      <c r="R406" s="15"/>
    </row>
    <row r="407" spans="1:18" x14ac:dyDescent="0.2">
      <c r="A407" s="15"/>
      <c r="B407" s="38"/>
      <c r="C407" s="15"/>
      <c r="D407" s="15"/>
      <c r="E407" s="15"/>
      <c r="F407" s="15"/>
      <c r="G407" s="15"/>
      <c r="H407" s="15"/>
      <c r="I407" s="15"/>
      <c r="J407" s="15"/>
      <c r="K407" s="15"/>
      <c r="L407" s="15"/>
      <c r="M407" s="15"/>
      <c r="N407" s="15"/>
      <c r="O407" s="15"/>
      <c r="P407" s="15"/>
      <c r="Q407" s="15"/>
      <c r="R407" s="15"/>
    </row>
    <row r="408" spans="1:18" x14ac:dyDescent="0.2">
      <c r="A408" s="15"/>
      <c r="B408" s="38"/>
      <c r="C408" s="15"/>
      <c r="D408" s="15"/>
      <c r="E408" s="15"/>
      <c r="F408" s="15"/>
      <c r="G408" s="15"/>
      <c r="H408" s="15"/>
      <c r="I408" s="15"/>
      <c r="J408" s="15"/>
      <c r="K408" s="15"/>
      <c r="L408" s="15"/>
      <c r="M408" s="15"/>
      <c r="N408" s="15"/>
      <c r="O408" s="15"/>
      <c r="P408" s="15"/>
      <c r="Q408" s="15"/>
      <c r="R408" s="15"/>
    </row>
    <row r="409" spans="1:18" x14ac:dyDescent="0.2">
      <c r="A409" s="15"/>
      <c r="B409" s="38"/>
      <c r="C409" s="15"/>
      <c r="D409" s="15"/>
      <c r="E409" s="15"/>
      <c r="F409" s="15"/>
      <c r="G409" s="15"/>
      <c r="H409" s="15"/>
      <c r="I409" s="15"/>
      <c r="J409" s="15"/>
      <c r="K409" s="15"/>
      <c r="L409" s="15"/>
      <c r="M409" s="15"/>
      <c r="N409" s="15"/>
      <c r="O409" s="15"/>
      <c r="P409" s="15"/>
      <c r="Q409" s="15"/>
      <c r="R409" s="15"/>
    </row>
    <row r="410" spans="1:18" x14ac:dyDescent="0.2">
      <c r="A410" s="15"/>
      <c r="B410" s="38"/>
      <c r="C410" s="15"/>
      <c r="D410" s="15"/>
      <c r="E410" s="15"/>
      <c r="F410" s="15"/>
      <c r="G410" s="15"/>
      <c r="H410" s="15"/>
      <c r="I410" s="15"/>
      <c r="J410" s="15"/>
      <c r="K410" s="15"/>
      <c r="L410" s="15"/>
      <c r="M410" s="15"/>
      <c r="N410" s="15"/>
      <c r="O410" s="15"/>
      <c r="P410" s="15"/>
      <c r="Q410" s="15"/>
      <c r="R410" s="15"/>
    </row>
    <row r="411" spans="1:18" x14ac:dyDescent="0.2">
      <c r="A411" s="15"/>
      <c r="B411" s="38"/>
      <c r="C411" s="15"/>
      <c r="D411" s="15"/>
      <c r="E411" s="15"/>
      <c r="F411" s="15"/>
      <c r="G411" s="15"/>
      <c r="H411" s="15"/>
      <c r="I411" s="15"/>
      <c r="J411" s="15"/>
      <c r="K411" s="15"/>
      <c r="L411" s="15"/>
      <c r="M411" s="15"/>
      <c r="N411" s="15"/>
      <c r="O411" s="15"/>
      <c r="P411" s="15"/>
      <c r="Q411" s="15"/>
      <c r="R411" s="15"/>
    </row>
    <row r="412" spans="1:18" x14ac:dyDescent="0.2">
      <c r="A412" s="15"/>
      <c r="B412" s="38"/>
      <c r="C412" s="15"/>
      <c r="D412" s="15"/>
      <c r="E412" s="15"/>
      <c r="F412" s="15"/>
      <c r="G412" s="15"/>
      <c r="H412" s="15"/>
      <c r="I412" s="15"/>
      <c r="J412" s="15"/>
      <c r="K412" s="15"/>
      <c r="L412" s="15"/>
      <c r="M412" s="15"/>
      <c r="N412" s="15"/>
      <c r="O412" s="15"/>
      <c r="P412" s="15"/>
      <c r="Q412" s="15"/>
      <c r="R412" s="15"/>
    </row>
    <row r="413" spans="1:18" x14ac:dyDescent="0.2">
      <c r="A413" s="15"/>
      <c r="B413" s="38"/>
      <c r="C413" s="15"/>
      <c r="D413" s="15"/>
      <c r="E413" s="15"/>
      <c r="F413" s="15"/>
      <c r="G413" s="15"/>
      <c r="H413" s="15"/>
      <c r="I413" s="15"/>
      <c r="J413" s="15"/>
      <c r="K413" s="15"/>
      <c r="L413" s="15"/>
      <c r="M413" s="15"/>
      <c r="N413" s="15"/>
      <c r="O413" s="15"/>
      <c r="P413" s="15"/>
      <c r="Q413" s="15"/>
      <c r="R413" s="15"/>
    </row>
    <row r="414" spans="1:18" x14ac:dyDescent="0.2">
      <c r="A414" s="15"/>
      <c r="B414" s="38"/>
      <c r="C414" s="15"/>
      <c r="D414" s="15"/>
      <c r="E414" s="15"/>
      <c r="F414" s="15"/>
      <c r="G414" s="15"/>
      <c r="H414" s="15"/>
      <c r="I414" s="15"/>
      <c r="J414" s="15"/>
      <c r="K414" s="15"/>
      <c r="L414" s="15"/>
      <c r="M414" s="15"/>
      <c r="N414" s="15"/>
      <c r="O414" s="15"/>
      <c r="P414" s="15"/>
      <c r="Q414" s="15"/>
      <c r="R414" s="15"/>
    </row>
    <row r="415" spans="1:18" x14ac:dyDescent="0.2">
      <c r="A415" s="15"/>
      <c r="B415" s="38"/>
      <c r="C415" s="15"/>
      <c r="D415" s="15"/>
      <c r="E415" s="15"/>
      <c r="F415" s="15"/>
      <c r="G415" s="15"/>
      <c r="H415" s="15"/>
      <c r="I415" s="15"/>
      <c r="J415" s="15"/>
      <c r="K415" s="15"/>
      <c r="L415" s="15"/>
      <c r="M415" s="15"/>
      <c r="N415" s="15"/>
      <c r="O415" s="15"/>
      <c r="P415" s="15"/>
      <c r="Q415" s="15"/>
      <c r="R415" s="15"/>
    </row>
    <row r="416" spans="1:18" x14ac:dyDescent="0.2">
      <c r="A416" s="15"/>
      <c r="B416" s="38"/>
      <c r="C416" s="15"/>
      <c r="D416" s="15"/>
      <c r="E416" s="15"/>
      <c r="F416" s="15"/>
      <c r="G416" s="15"/>
      <c r="H416" s="15"/>
      <c r="I416" s="15"/>
      <c r="J416" s="15"/>
      <c r="K416" s="15"/>
      <c r="L416" s="15"/>
      <c r="M416" s="15"/>
      <c r="N416" s="15"/>
      <c r="O416" s="15"/>
      <c r="P416" s="15"/>
      <c r="Q416" s="15"/>
      <c r="R416" s="15"/>
    </row>
    <row r="417" spans="1:18" x14ac:dyDescent="0.2">
      <c r="A417" s="15"/>
      <c r="B417" s="38"/>
      <c r="C417" s="15"/>
      <c r="D417" s="15"/>
      <c r="E417" s="15"/>
      <c r="F417" s="15"/>
      <c r="G417" s="15"/>
      <c r="H417" s="15"/>
      <c r="I417" s="15"/>
      <c r="J417" s="15"/>
      <c r="K417" s="15"/>
      <c r="L417" s="15"/>
      <c r="M417" s="15"/>
      <c r="N417" s="15"/>
      <c r="O417" s="15"/>
      <c r="P417" s="15"/>
      <c r="Q417" s="15"/>
      <c r="R417" s="15"/>
    </row>
    <row r="418" spans="1:18" x14ac:dyDescent="0.2">
      <c r="A418" s="15"/>
      <c r="B418" s="38"/>
      <c r="C418" s="15"/>
      <c r="D418" s="15"/>
      <c r="E418" s="15"/>
      <c r="F418" s="15"/>
      <c r="G418" s="15"/>
      <c r="H418" s="15"/>
      <c r="I418" s="15"/>
      <c r="J418" s="15"/>
      <c r="K418" s="15"/>
      <c r="L418" s="15"/>
      <c r="M418" s="15"/>
      <c r="N418" s="15"/>
      <c r="O418" s="15"/>
      <c r="P418" s="15"/>
      <c r="Q418" s="15"/>
      <c r="R418" s="15"/>
    </row>
    <row r="419" spans="1:18" x14ac:dyDescent="0.2">
      <c r="A419" s="15"/>
      <c r="B419" s="38"/>
      <c r="C419" s="15"/>
      <c r="D419" s="15"/>
      <c r="E419" s="15"/>
      <c r="F419" s="15"/>
      <c r="G419" s="15"/>
      <c r="H419" s="15"/>
      <c r="I419" s="15"/>
      <c r="J419" s="15"/>
      <c r="K419" s="15"/>
      <c r="L419" s="15"/>
      <c r="M419" s="15"/>
      <c r="N419" s="15"/>
      <c r="O419" s="15"/>
      <c r="P419" s="15"/>
      <c r="Q419" s="15"/>
      <c r="R419" s="15"/>
    </row>
    <row r="420" spans="1:18" x14ac:dyDescent="0.2">
      <c r="A420" s="15"/>
      <c r="B420" s="38"/>
      <c r="C420" s="15"/>
      <c r="D420" s="15"/>
      <c r="E420" s="15"/>
      <c r="F420" s="15"/>
      <c r="G420" s="15"/>
      <c r="H420" s="15"/>
      <c r="I420" s="15"/>
      <c r="J420" s="15"/>
      <c r="K420" s="15"/>
      <c r="L420" s="15"/>
      <c r="M420" s="15"/>
      <c r="N420" s="15"/>
      <c r="O420" s="15"/>
      <c r="P420" s="15"/>
      <c r="Q420" s="15"/>
      <c r="R420" s="15"/>
    </row>
    <row r="421" spans="1:18" x14ac:dyDescent="0.2">
      <c r="A421" s="15"/>
      <c r="B421" s="38"/>
      <c r="C421" s="15"/>
      <c r="D421" s="15"/>
      <c r="E421" s="15"/>
      <c r="F421" s="15"/>
      <c r="G421" s="15"/>
      <c r="H421" s="15"/>
      <c r="I421" s="15"/>
      <c r="J421" s="15"/>
      <c r="K421" s="15"/>
      <c r="L421" s="15"/>
      <c r="M421" s="15"/>
      <c r="N421" s="15"/>
      <c r="O421" s="15"/>
      <c r="P421" s="15"/>
      <c r="Q421" s="15"/>
      <c r="R421" s="15"/>
    </row>
    <row r="422" spans="1:18" x14ac:dyDescent="0.2">
      <c r="A422" s="15"/>
      <c r="B422" s="38"/>
      <c r="C422" s="15"/>
      <c r="D422" s="15"/>
      <c r="E422" s="15"/>
      <c r="F422" s="15"/>
      <c r="G422" s="15"/>
      <c r="H422" s="15"/>
      <c r="I422" s="15"/>
      <c r="J422" s="15"/>
      <c r="K422" s="15"/>
      <c r="L422" s="15"/>
      <c r="M422" s="15"/>
      <c r="N422" s="15"/>
      <c r="O422" s="15"/>
      <c r="P422" s="15"/>
      <c r="Q422" s="15"/>
      <c r="R422" s="15"/>
    </row>
    <row r="423" spans="1:18" x14ac:dyDescent="0.2">
      <c r="A423" s="15"/>
      <c r="B423" s="38"/>
      <c r="C423" s="15"/>
      <c r="D423" s="15"/>
      <c r="E423" s="15"/>
      <c r="F423" s="15"/>
      <c r="G423" s="15"/>
      <c r="H423" s="15"/>
      <c r="I423" s="15"/>
      <c r="J423" s="15"/>
      <c r="K423" s="15"/>
      <c r="L423" s="15"/>
      <c r="M423" s="15"/>
      <c r="N423" s="15"/>
      <c r="O423" s="15"/>
      <c r="P423" s="15"/>
      <c r="Q423" s="15"/>
      <c r="R423" s="15"/>
    </row>
    <row r="424" spans="1:18" x14ac:dyDescent="0.2">
      <c r="A424" s="15"/>
      <c r="B424" s="38"/>
      <c r="C424" s="15"/>
      <c r="D424" s="15"/>
      <c r="E424" s="15"/>
      <c r="F424" s="15"/>
      <c r="G424" s="15"/>
      <c r="H424" s="15"/>
      <c r="I424" s="15"/>
      <c r="J424" s="15"/>
      <c r="K424" s="15"/>
      <c r="L424" s="15"/>
      <c r="M424" s="15"/>
      <c r="N424" s="15"/>
      <c r="O424" s="15"/>
      <c r="P424" s="15"/>
      <c r="Q424" s="15"/>
      <c r="R424" s="15"/>
    </row>
    <row r="425" spans="1:18" x14ac:dyDescent="0.2">
      <c r="A425" s="15"/>
      <c r="B425" s="38"/>
      <c r="C425" s="15"/>
      <c r="D425" s="15"/>
      <c r="E425" s="15"/>
      <c r="F425" s="15"/>
      <c r="G425" s="15"/>
      <c r="H425" s="15"/>
      <c r="I425" s="15"/>
      <c r="J425" s="15"/>
      <c r="K425" s="15"/>
      <c r="L425" s="15"/>
      <c r="M425" s="15"/>
      <c r="N425" s="15"/>
      <c r="O425" s="15"/>
      <c r="P425" s="15"/>
      <c r="Q425" s="15"/>
      <c r="R425" s="15"/>
    </row>
    <row r="426" spans="1:18" x14ac:dyDescent="0.2">
      <c r="A426" s="15"/>
      <c r="B426" s="38"/>
      <c r="C426" s="15"/>
      <c r="D426" s="15"/>
      <c r="E426" s="15"/>
      <c r="F426" s="15"/>
      <c r="G426" s="15"/>
      <c r="H426" s="15"/>
      <c r="I426" s="15"/>
      <c r="J426" s="15"/>
      <c r="K426" s="15"/>
      <c r="L426" s="15"/>
      <c r="M426" s="15"/>
      <c r="N426" s="15"/>
      <c r="O426" s="15"/>
      <c r="P426" s="15"/>
      <c r="Q426" s="15"/>
      <c r="R426" s="15"/>
    </row>
    <row r="427" spans="1:18" x14ac:dyDescent="0.2">
      <c r="A427" s="15"/>
      <c r="B427" s="38"/>
      <c r="C427" s="15"/>
      <c r="D427" s="15"/>
      <c r="E427" s="15"/>
      <c r="F427" s="15"/>
      <c r="G427" s="15"/>
      <c r="H427" s="15"/>
      <c r="I427" s="15"/>
      <c r="J427" s="15"/>
      <c r="K427" s="15"/>
      <c r="L427" s="15"/>
      <c r="M427" s="15"/>
      <c r="N427" s="15"/>
      <c r="O427" s="15"/>
      <c r="P427" s="15"/>
      <c r="Q427" s="15"/>
      <c r="R427" s="15"/>
    </row>
    <row r="428" spans="1:18" x14ac:dyDescent="0.2">
      <c r="A428" s="15"/>
      <c r="B428" s="38"/>
      <c r="C428" s="15"/>
      <c r="D428" s="15"/>
      <c r="E428" s="15"/>
      <c r="F428" s="15"/>
      <c r="G428" s="15"/>
      <c r="H428" s="15"/>
      <c r="I428" s="15"/>
      <c r="J428" s="15"/>
      <c r="K428" s="15"/>
      <c r="L428" s="15"/>
      <c r="M428" s="15"/>
      <c r="N428" s="15"/>
      <c r="O428" s="15"/>
      <c r="P428" s="15"/>
      <c r="Q428" s="15"/>
      <c r="R428" s="15"/>
    </row>
    <row r="429" spans="1:18" x14ac:dyDescent="0.2">
      <c r="A429" s="15"/>
      <c r="B429" s="38"/>
      <c r="C429" s="15"/>
      <c r="D429" s="15"/>
      <c r="E429" s="15"/>
      <c r="F429" s="15"/>
      <c r="G429" s="15"/>
      <c r="H429" s="15"/>
      <c r="I429" s="15"/>
      <c r="J429" s="15"/>
      <c r="K429" s="15"/>
      <c r="L429" s="15"/>
      <c r="M429" s="15"/>
      <c r="N429" s="15"/>
      <c r="O429" s="15"/>
      <c r="P429" s="15"/>
      <c r="Q429" s="15"/>
      <c r="R429" s="15"/>
    </row>
    <row r="430" spans="1:18" x14ac:dyDescent="0.2">
      <c r="A430" s="15"/>
      <c r="B430" s="38"/>
      <c r="C430" s="15"/>
      <c r="D430" s="15"/>
      <c r="E430" s="15"/>
      <c r="F430" s="15"/>
      <c r="G430" s="15"/>
      <c r="H430" s="15"/>
      <c r="I430" s="15"/>
      <c r="J430" s="15"/>
      <c r="K430" s="15"/>
      <c r="L430" s="15"/>
      <c r="M430" s="15"/>
      <c r="N430" s="15"/>
      <c r="O430" s="15"/>
      <c r="P430" s="15"/>
      <c r="Q430" s="15"/>
      <c r="R430" s="15"/>
    </row>
    <row r="431" spans="1:18" x14ac:dyDescent="0.2">
      <c r="A431" s="15"/>
      <c r="B431" s="38"/>
      <c r="C431" s="15"/>
      <c r="D431" s="15"/>
      <c r="E431" s="15"/>
      <c r="F431" s="15"/>
      <c r="G431" s="15"/>
      <c r="H431" s="15"/>
      <c r="I431" s="15"/>
      <c r="J431" s="15"/>
      <c r="K431" s="15"/>
      <c r="L431" s="15"/>
      <c r="M431" s="15"/>
      <c r="N431" s="15"/>
      <c r="O431" s="15"/>
      <c r="P431" s="15"/>
      <c r="Q431" s="15"/>
      <c r="R431" s="15"/>
    </row>
    <row r="432" spans="1:18" x14ac:dyDescent="0.2">
      <c r="A432" s="15"/>
      <c r="B432" s="38"/>
      <c r="C432" s="15"/>
      <c r="D432" s="15"/>
      <c r="E432" s="15"/>
      <c r="F432" s="15"/>
      <c r="G432" s="15"/>
      <c r="H432" s="15"/>
      <c r="I432" s="15"/>
      <c r="J432" s="15"/>
      <c r="K432" s="15"/>
      <c r="L432" s="15"/>
      <c r="M432" s="15"/>
      <c r="N432" s="15"/>
      <c r="O432" s="15"/>
      <c r="P432" s="15"/>
      <c r="Q432" s="15"/>
      <c r="R432" s="15"/>
    </row>
    <row r="433" spans="1:18" x14ac:dyDescent="0.2">
      <c r="A433" s="15"/>
      <c r="B433" s="38"/>
      <c r="C433" s="15"/>
      <c r="D433" s="15"/>
      <c r="E433" s="15"/>
      <c r="F433" s="15"/>
      <c r="G433" s="15"/>
      <c r="H433" s="15"/>
      <c r="I433" s="15"/>
      <c r="J433" s="15"/>
      <c r="K433" s="15"/>
      <c r="L433" s="15"/>
      <c r="M433" s="15"/>
      <c r="N433" s="15"/>
      <c r="O433" s="15"/>
      <c r="P433" s="15"/>
      <c r="Q433" s="15"/>
      <c r="R433" s="15"/>
    </row>
    <row r="434" spans="1:18" x14ac:dyDescent="0.2">
      <c r="A434" s="15"/>
      <c r="B434" s="38"/>
      <c r="C434" s="15"/>
      <c r="D434" s="15"/>
      <c r="E434" s="15"/>
      <c r="F434" s="15"/>
      <c r="G434" s="15"/>
      <c r="H434" s="15"/>
      <c r="I434" s="15"/>
      <c r="J434" s="15"/>
      <c r="K434" s="15"/>
      <c r="L434" s="15"/>
      <c r="M434" s="15"/>
      <c r="N434" s="15"/>
      <c r="O434" s="15"/>
      <c r="P434" s="15"/>
      <c r="Q434" s="15"/>
      <c r="R434" s="15"/>
    </row>
    <row r="435" spans="1:18" x14ac:dyDescent="0.2">
      <c r="A435" s="15"/>
      <c r="B435" s="38"/>
      <c r="C435" s="15"/>
      <c r="D435" s="15"/>
      <c r="E435" s="15"/>
      <c r="F435" s="15"/>
      <c r="G435" s="15"/>
      <c r="H435" s="15"/>
      <c r="I435" s="15"/>
      <c r="J435" s="15"/>
      <c r="K435" s="15"/>
      <c r="L435" s="15"/>
      <c r="M435" s="15"/>
      <c r="N435" s="15"/>
      <c r="O435" s="15"/>
      <c r="P435" s="15"/>
      <c r="Q435" s="15"/>
      <c r="R435" s="15"/>
    </row>
    <row r="436" spans="1:18" x14ac:dyDescent="0.2">
      <c r="A436" s="15"/>
      <c r="B436" s="38"/>
      <c r="C436" s="15"/>
      <c r="D436" s="15"/>
      <c r="E436" s="15"/>
      <c r="F436" s="15"/>
      <c r="G436" s="15"/>
      <c r="H436" s="15"/>
      <c r="I436" s="15"/>
      <c r="J436" s="15"/>
      <c r="K436" s="15"/>
      <c r="L436" s="15"/>
      <c r="M436" s="15"/>
      <c r="N436" s="15"/>
      <c r="O436" s="15"/>
      <c r="P436" s="15"/>
      <c r="Q436" s="15"/>
      <c r="R436" s="15"/>
    </row>
    <row r="437" spans="1:18" x14ac:dyDescent="0.2">
      <c r="A437" s="15"/>
      <c r="B437" s="38"/>
      <c r="C437" s="15"/>
      <c r="D437" s="15"/>
      <c r="E437" s="15"/>
      <c r="F437" s="15"/>
      <c r="G437" s="15"/>
      <c r="H437" s="15"/>
      <c r="I437" s="15"/>
      <c r="J437" s="15"/>
      <c r="K437" s="15"/>
      <c r="L437" s="15"/>
      <c r="M437" s="15"/>
      <c r="N437" s="15"/>
      <c r="O437" s="15"/>
      <c r="P437" s="15"/>
      <c r="Q437" s="15"/>
      <c r="R437" s="15"/>
    </row>
    <row r="438" spans="1:18" x14ac:dyDescent="0.2">
      <c r="A438" s="15"/>
      <c r="B438" s="38"/>
      <c r="C438" s="15"/>
      <c r="D438" s="15"/>
      <c r="E438" s="15"/>
      <c r="F438" s="15"/>
      <c r="G438" s="15"/>
      <c r="H438" s="15"/>
      <c r="I438" s="15"/>
      <c r="J438" s="15"/>
      <c r="K438" s="15"/>
      <c r="L438" s="15"/>
      <c r="M438" s="15"/>
      <c r="N438" s="15"/>
      <c r="O438" s="15"/>
      <c r="P438" s="15"/>
      <c r="Q438" s="15"/>
      <c r="R438" s="15"/>
    </row>
    <row r="439" spans="1:18" x14ac:dyDescent="0.2">
      <c r="A439" s="15"/>
      <c r="B439" s="38"/>
      <c r="C439" s="15"/>
      <c r="D439" s="15"/>
      <c r="E439" s="15"/>
      <c r="F439" s="15"/>
      <c r="G439" s="15"/>
      <c r="H439" s="15"/>
      <c r="I439" s="15"/>
      <c r="J439" s="15"/>
      <c r="K439" s="15"/>
      <c r="L439" s="15"/>
      <c r="M439" s="15"/>
      <c r="N439" s="15"/>
      <c r="O439" s="15"/>
      <c r="P439" s="15"/>
      <c r="Q439" s="15"/>
      <c r="R439" s="15"/>
    </row>
    <row r="440" spans="1:18" x14ac:dyDescent="0.2">
      <c r="A440" s="15"/>
      <c r="B440" s="38"/>
      <c r="C440" s="15"/>
      <c r="D440" s="15"/>
      <c r="E440" s="15"/>
      <c r="F440" s="15"/>
      <c r="G440" s="15"/>
      <c r="H440" s="15"/>
      <c r="I440" s="15"/>
      <c r="J440" s="15"/>
      <c r="K440" s="15"/>
      <c r="L440" s="15"/>
      <c r="M440" s="15"/>
      <c r="N440" s="15"/>
      <c r="O440" s="15"/>
      <c r="P440" s="15"/>
      <c r="Q440" s="15"/>
      <c r="R440" s="15"/>
    </row>
    <row r="441" spans="1:18" x14ac:dyDescent="0.2">
      <c r="A441" s="15"/>
      <c r="B441" s="38"/>
      <c r="C441" s="15"/>
      <c r="D441" s="15"/>
      <c r="E441" s="15"/>
      <c r="F441" s="15"/>
      <c r="G441" s="15"/>
      <c r="H441" s="15"/>
      <c r="I441" s="15"/>
      <c r="J441" s="15"/>
      <c r="K441" s="15"/>
      <c r="L441" s="15"/>
      <c r="M441" s="15"/>
      <c r="N441" s="15"/>
      <c r="O441" s="15"/>
      <c r="P441" s="15"/>
      <c r="Q441" s="15"/>
      <c r="R441" s="15"/>
    </row>
    <row r="442" spans="1:18" x14ac:dyDescent="0.2">
      <c r="A442" s="15"/>
      <c r="B442" s="38"/>
      <c r="C442" s="15"/>
      <c r="D442" s="15"/>
      <c r="E442" s="15"/>
      <c r="F442" s="15"/>
      <c r="G442" s="15"/>
      <c r="H442" s="15"/>
      <c r="I442" s="15"/>
      <c r="J442" s="15"/>
      <c r="K442" s="15"/>
      <c r="L442" s="15"/>
      <c r="M442" s="15"/>
      <c r="N442" s="15"/>
      <c r="O442" s="15"/>
      <c r="P442" s="15"/>
      <c r="Q442" s="15"/>
      <c r="R442" s="15"/>
    </row>
    <row r="443" spans="1:18" x14ac:dyDescent="0.2">
      <c r="A443" s="15"/>
      <c r="B443" s="38"/>
      <c r="C443" s="15"/>
      <c r="D443" s="15"/>
      <c r="E443" s="15"/>
      <c r="F443" s="15"/>
      <c r="G443" s="15"/>
      <c r="H443" s="15"/>
      <c r="I443" s="15"/>
      <c r="J443" s="15"/>
      <c r="K443" s="15"/>
      <c r="L443" s="15"/>
      <c r="M443" s="15"/>
      <c r="N443" s="15"/>
      <c r="O443" s="15"/>
      <c r="P443" s="15"/>
      <c r="Q443" s="15"/>
      <c r="R443" s="15"/>
    </row>
    <row r="444" spans="1:18" x14ac:dyDescent="0.2">
      <c r="A444" s="15"/>
      <c r="B444" s="38"/>
      <c r="C444" s="15"/>
      <c r="D444" s="15"/>
      <c r="E444" s="15"/>
      <c r="F444" s="15"/>
      <c r="G444" s="15"/>
      <c r="H444" s="15"/>
      <c r="I444" s="15"/>
      <c r="J444" s="15"/>
      <c r="K444" s="15"/>
      <c r="L444" s="15"/>
      <c r="M444" s="15"/>
      <c r="N444" s="15"/>
      <c r="O444" s="15"/>
      <c r="P444" s="15"/>
      <c r="Q444" s="15"/>
      <c r="R444" s="15"/>
    </row>
    <row r="445" spans="1:18" x14ac:dyDescent="0.2">
      <c r="A445" s="15"/>
      <c r="B445" s="38"/>
      <c r="C445" s="15"/>
      <c r="D445" s="15"/>
      <c r="E445" s="15"/>
      <c r="F445" s="15"/>
      <c r="G445" s="15"/>
      <c r="H445" s="15"/>
      <c r="I445" s="15"/>
      <c r="J445" s="15"/>
      <c r="K445" s="15"/>
      <c r="L445" s="15"/>
      <c r="M445" s="15"/>
      <c r="N445" s="15"/>
      <c r="O445" s="15"/>
      <c r="P445" s="15"/>
      <c r="Q445" s="15"/>
      <c r="R445" s="15"/>
    </row>
    <row r="446" spans="1:18" x14ac:dyDescent="0.2">
      <c r="A446" s="15"/>
      <c r="B446" s="38"/>
      <c r="C446" s="15"/>
      <c r="D446" s="15"/>
      <c r="E446" s="15"/>
      <c r="F446" s="15"/>
      <c r="G446" s="15"/>
      <c r="H446" s="15"/>
      <c r="I446" s="15"/>
      <c r="J446" s="15"/>
      <c r="K446" s="15"/>
      <c r="L446" s="15"/>
      <c r="M446" s="15"/>
      <c r="N446" s="15"/>
      <c r="O446" s="15"/>
      <c r="P446" s="15"/>
      <c r="Q446" s="15"/>
      <c r="R446" s="15"/>
    </row>
    <row r="447" spans="1:18" x14ac:dyDescent="0.2">
      <c r="A447" s="15"/>
      <c r="B447" s="38"/>
      <c r="C447" s="15"/>
      <c r="D447" s="15"/>
      <c r="E447" s="15"/>
      <c r="F447" s="15"/>
      <c r="G447" s="15"/>
      <c r="H447" s="15"/>
      <c r="I447" s="15"/>
      <c r="J447" s="15"/>
      <c r="K447" s="15"/>
      <c r="L447" s="15"/>
      <c r="M447" s="15"/>
      <c r="N447" s="15"/>
      <c r="O447" s="15"/>
      <c r="P447" s="15"/>
      <c r="Q447" s="15"/>
      <c r="R447" s="15"/>
    </row>
    <row r="448" spans="1:18" x14ac:dyDescent="0.2">
      <c r="A448" s="15"/>
      <c r="B448" s="38"/>
      <c r="C448" s="15"/>
      <c r="D448" s="15"/>
      <c r="E448" s="15"/>
      <c r="F448" s="15"/>
      <c r="G448" s="15"/>
      <c r="H448" s="15"/>
      <c r="I448" s="15"/>
      <c r="J448" s="15"/>
      <c r="K448" s="15"/>
      <c r="L448" s="15"/>
      <c r="M448" s="15"/>
      <c r="N448" s="15"/>
      <c r="O448" s="15"/>
      <c r="P448" s="15"/>
      <c r="Q448" s="15"/>
      <c r="R448" s="15"/>
    </row>
    <row r="449" spans="1:18" x14ac:dyDescent="0.2">
      <c r="A449" s="15"/>
      <c r="B449" s="38"/>
      <c r="C449" s="15"/>
      <c r="D449" s="15"/>
      <c r="E449" s="15"/>
      <c r="F449" s="15"/>
      <c r="G449" s="15"/>
      <c r="H449" s="15"/>
      <c r="I449" s="15"/>
      <c r="J449" s="15"/>
      <c r="K449" s="15"/>
      <c r="L449" s="15"/>
      <c r="M449" s="15"/>
      <c r="N449" s="15"/>
      <c r="O449" s="15"/>
      <c r="P449" s="15"/>
      <c r="Q449" s="15"/>
      <c r="R449" s="15"/>
    </row>
    <row r="450" spans="1:18" x14ac:dyDescent="0.2">
      <c r="A450" s="15"/>
      <c r="B450" s="38"/>
      <c r="C450" s="15"/>
      <c r="D450" s="15"/>
      <c r="E450" s="15"/>
      <c r="F450" s="15"/>
      <c r="G450" s="15"/>
      <c r="H450" s="15"/>
      <c r="I450" s="15"/>
      <c r="J450" s="15"/>
      <c r="K450" s="15"/>
      <c r="L450" s="15"/>
      <c r="M450" s="15"/>
      <c r="N450" s="15"/>
      <c r="O450" s="15"/>
      <c r="P450" s="15"/>
      <c r="Q450" s="15"/>
      <c r="R450" s="15"/>
    </row>
    <row r="451" spans="1:18" x14ac:dyDescent="0.2">
      <c r="A451" s="15"/>
      <c r="B451" s="38"/>
      <c r="C451" s="15"/>
      <c r="D451" s="15"/>
      <c r="E451" s="15"/>
      <c r="F451" s="15"/>
      <c r="G451" s="15"/>
      <c r="H451" s="15"/>
      <c r="I451" s="15"/>
      <c r="J451" s="15"/>
      <c r="K451" s="15"/>
      <c r="L451" s="15"/>
      <c r="M451" s="15"/>
      <c r="N451" s="15"/>
      <c r="O451" s="15"/>
      <c r="P451" s="15"/>
      <c r="Q451" s="15"/>
      <c r="R451" s="15"/>
    </row>
    <row r="452" spans="1:18" x14ac:dyDescent="0.2">
      <c r="A452" s="15"/>
      <c r="B452" s="38"/>
      <c r="C452" s="15"/>
      <c r="D452" s="15"/>
      <c r="E452" s="15"/>
      <c r="F452" s="15"/>
      <c r="G452" s="15"/>
      <c r="H452" s="15"/>
      <c r="I452" s="15"/>
      <c r="J452" s="15"/>
      <c r="K452" s="15"/>
      <c r="L452" s="15"/>
      <c r="M452" s="15"/>
      <c r="N452" s="15"/>
      <c r="O452" s="15"/>
      <c r="P452" s="15"/>
      <c r="Q452" s="15"/>
      <c r="R452" s="15"/>
    </row>
    <row r="453" spans="1:18" x14ac:dyDescent="0.2">
      <c r="A453" s="15"/>
      <c r="B453" s="38"/>
      <c r="C453" s="15"/>
      <c r="D453" s="15"/>
      <c r="E453" s="15"/>
      <c r="F453" s="15"/>
      <c r="G453" s="15"/>
      <c r="H453" s="15"/>
      <c r="I453" s="15"/>
      <c r="J453" s="15"/>
      <c r="K453" s="15"/>
      <c r="L453" s="15"/>
      <c r="M453" s="15"/>
      <c r="N453" s="15"/>
      <c r="O453" s="15"/>
      <c r="P453" s="15"/>
      <c r="Q453" s="15"/>
      <c r="R453" s="15"/>
    </row>
    <row r="454" spans="1:18" x14ac:dyDescent="0.2">
      <c r="A454" s="15"/>
      <c r="B454" s="38"/>
      <c r="C454" s="15"/>
      <c r="D454" s="15"/>
      <c r="E454" s="15"/>
      <c r="F454" s="15"/>
      <c r="G454" s="15"/>
      <c r="H454" s="15"/>
      <c r="I454" s="15"/>
      <c r="J454" s="15"/>
      <c r="K454" s="15"/>
      <c r="L454" s="15"/>
      <c r="M454" s="15"/>
      <c r="N454" s="15"/>
      <c r="O454" s="15"/>
      <c r="P454" s="15"/>
      <c r="Q454" s="15"/>
      <c r="R454" s="15"/>
    </row>
    <row r="455" spans="1:18" x14ac:dyDescent="0.2">
      <c r="A455" s="15"/>
      <c r="B455" s="38"/>
      <c r="C455" s="15"/>
      <c r="D455" s="15"/>
      <c r="E455" s="15"/>
      <c r="F455" s="15"/>
      <c r="G455" s="15"/>
      <c r="H455" s="15"/>
      <c r="I455" s="15"/>
      <c r="J455" s="15"/>
      <c r="K455" s="15"/>
      <c r="L455" s="15"/>
      <c r="M455" s="15"/>
      <c r="N455" s="15"/>
      <c r="O455" s="15"/>
      <c r="P455" s="15"/>
      <c r="Q455" s="15"/>
      <c r="R455" s="15"/>
    </row>
    <row r="456" spans="1:18" x14ac:dyDescent="0.2">
      <c r="A456" s="15"/>
      <c r="B456" s="38"/>
      <c r="C456" s="15"/>
      <c r="D456" s="15"/>
      <c r="E456" s="15"/>
      <c r="F456" s="15"/>
      <c r="G456" s="15"/>
      <c r="H456" s="15"/>
      <c r="I456" s="15"/>
      <c r="J456" s="15"/>
      <c r="K456" s="15"/>
      <c r="L456" s="15"/>
      <c r="M456" s="15"/>
      <c r="N456" s="15"/>
      <c r="O456" s="15"/>
      <c r="P456" s="15"/>
      <c r="Q456" s="15"/>
      <c r="R456" s="15"/>
    </row>
    <row r="457" spans="1:18" x14ac:dyDescent="0.2">
      <c r="A457" s="15"/>
      <c r="B457" s="38"/>
      <c r="C457" s="15"/>
      <c r="D457" s="15"/>
      <c r="E457" s="15"/>
      <c r="F457" s="15"/>
      <c r="G457" s="15"/>
      <c r="H457" s="15"/>
      <c r="I457" s="15"/>
      <c r="J457" s="15"/>
      <c r="K457" s="15"/>
      <c r="L457" s="15"/>
      <c r="M457" s="15"/>
      <c r="N457" s="15"/>
      <c r="O457" s="15"/>
      <c r="P457" s="15"/>
      <c r="Q457" s="15"/>
      <c r="R457" s="15"/>
    </row>
    <row r="458" spans="1:18" x14ac:dyDescent="0.2">
      <c r="A458" s="15"/>
      <c r="B458" s="38"/>
      <c r="C458" s="15"/>
      <c r="D458" s="15"/>
      <c r="E458" s="15"/>
      <c r="F458" s="15"/>
      <c r="G458" s="15"/>
      <c r="H458" s="15"/>
      <c r="I458" s="15"/>
      <c r="J458" s="15"/>
      <c r="K458" s="15"/>
      <c r="L458" s="15"/>
      <c r="M458" s="15"/>
      <c r="N458" s="15"/>
      <c r="O458" s="15"/>
      <c r="P458" s="15"/>
      <c r="Q458" s="15"/>
      <c r="R458" s="15"/>
    </row>
    <row r="459" spans="1:18" x14ac:dyDescent="0.2">
      <c r="A459" s="15"/>
      <c r="B459" s="38"/>
      <c r="C459" s="15"/>
      <c r="D459" s="15"/>
      <c r="E459" s="15"/>
      <c r="F459" s="15"/>
      <c r="G459" s="15"/>
      <c r="H459" s="15"/>
      <c r="I459" s="15"/>
      <c r="J459" s="15"/>
      <c r="K459" s="15"/>
      <c r="L459" s="15"/>
      <c r="M459" s="15"/>
      <c r="N459" s="15"/>
      <c r="O459" s="15"/>
      <c r="P459" s="15"/>
      <c r="Q459" s="15"/>
      <c r="R459" s="15"/>
    </row>
    <row r="460" spans="1:18" x14ac:dyDescent="0.2">
      <c r="A460" s="15"/>
      <c r="B460" s="38"/>
      <c r="C460" s="15"/>
      <c r="D460" s="15"/>
      <c r="E460" s="15"/>
      <c r="F460" s="15"/>
      <c r="G460" s="15"/>
      <c r="H460" s="15"/>
      <c r="I460" s="15"/>
      <c r="J460" s="15"/>
      <c r="K460" s="15"/>
      <c r="L460" s="15"/>
      <c r="M460" s="15"/>
      <c r="N460" s="15"/>
      <c r="O460" s="15"/>
      <c r="P460" s="15"/>
      <c r="Q460" s="15"/>
      <c r="R460" s="15"/>
    </row>
    <row r="461" spans="1:18" x14ac:dyDescent="0.2">
      <c r="A461" s="15"/>
      <c r="B461" s="38"/>
      <c r="C461" s="15"/>
      <c r="D461" s="15"/>
      <c r="E461" s="15"/>
      <c r="F461" s="15"/>
      <c r="G461" s="15"/>
      <c r="H461" s="15"/>
      <c r="I461" s="15"/>
      <c r="J461" s="15"/>
      <c r="K461" s="15"/>
      <c r="L461" s="15"/>
      <c r="M461" s="15"/>
      <c r="N461" s="15"/>
      <c r="O461" s="15"/>
      <c r="P461" s="15"/>
      <c r="Q461" s="15"/>
      <c r="R461" s="15"/>
    </row>
    <row r="462" spans="1:18" x14ac:dyDescent="0.2">
      <c r="A462" s="15"/>
      <c r="B462" s="38"/>
      <c r="C462" s="15"/>
      <c r="D462" s="15"/>
      <c r="E462" s="15"/>
      <c r="F462" s="15"/>
      <c r="G462" s="15"/>
      <c r="H462" s="15"/>
      <c r="I462" s="15"/>
      <c r="J462" s="15"/>
      <c r="K462" s="15"/>
      <c r="L462" s="15"/>
      <c r="M462" s="15"/>
      <c r="N462" s="15"/>
      <c r="O462" s="15"/>
      <c r="P462" s="15"/>
      <c r="Q462" s="15"/>
      <c r="R462" s="15"/>
    </row>
    <row r="463" spans="1:18" x14ac:dyDescent="0.2">
      <c r="A463" s="15"/>
      <c r="B463" s="38"/>
      <c r="C463" s="15"/>
      <c r="D463" s="15"/>
      <c r="E463" s="15"/>
      <c r="F463" s="15"/>
      <c r="G463" s="15"/>
      <c r="H463" s="15"/>
      <c r="I463" s="15"/>
      <c r="J463" s="15"/>
      <c r="K463" s="15"/>
      <c r="L463" s="15"/>
      <c r="M463" s="15"/>
      <c r="N463" s="15"/>
      <c r="O463" s="15"/>
      <c r="P463" s="15"/>
      <c r="Q463" s="15"/>
      <c r="R463" s="15"/>
    </row>
    <row r="464" spans="1:18" x14ac:dyDescent="0.2">
      <c r="A464" s="15"/>
      <c r="B464" s="38"/>
      <c r="C464" s="15"/>
      <c r="D464" s="15"/>
      <c r="E464" s="15"/>
      <c r="F464" s="15"/>
      <c r="G464" s="15"/>
      <c r="H464" s="15"/>
      <c r="I464" s="15"/>
      <c r="J464" s="15"/>
      <c r="K464" s="15"/>
      <c r="L464" s="15"/>
      <c r="M464" s="15"/>
      <c r="N464" s="15"/>
      <c r="O464" s="15"/>
      <c r="P464" s="15"/>
      <c r="Q464" s="15"/>
      <c r="R464" s="15"/>
    </row>
    <row r="465" spans="1:18" x14ac:dyDescent="0.2">
      <c r="A465" s="15"/>
      <c r="B465" s="38"/>
      <c r="C465" s="15"/>
      <c r="D465" s="15"/>
      <c r="E465" s="15"/>
      <c r="F465" s="15"/>
      <c r="G465" s="15"/>
      <c r="H465" s="15"/>
      <c r="I465" s="15"/>
      <c r="J465" s="15"/>
      <c r="K465" s="15"/>
      <c r="L465" s="15"/>
      <c r="M465" s="15"/>
      <c r="N465" s="15"/>
      <c r="O465" s="15"/>
      <c r="P465" s="15"/>
      <c r="Q465" s="15"/>
      <c r="R465" s="15"/>
    </row>
    <row r="466" spans="1:18" x14ac:dyDescent="0.2">
      <c r="A466" s="15"/>
      <c r="B466" s="38"/>
      <c r="C466" s="15"/>
      <c r="D466" s="15"/>
      <c r="E466" s="15"/>
      <c r="F466" s="15"/>
      <c r="G466" s="15"/>
      <c r="H466" s="15"/>
      <c r="I466" s="15"/>
      <c r="J466" s="15"/>
      <c r="K466" s="15"/>
      <c r="L466" s="15"/>
      <c r="M466" s="15"/>
      <c r="N466" s="15"/>
      <c r="O466" s="15"/>
      <c r="P466" s="15"/>
      <c r="Q466" s="15"/>
      <c r="R466" s="15"/>
    </row>
    <row r="467" spans="1:18" x14ac:dyDescent="0.2">
      <c r="A467" s="15"/>
      <c r="B467" s="38"/>
      <c r="C467" s="15"/>
      <c r="D467" s="15"/>
      <c r="E467" s="15"/>
      <c r="F467" s="15"/>
      <c r="G467" s="15"/>
      <c r="H467" s="15"/>
      <c r="I467" s="15"/>
      <c r="J467" s="15"/>
      <c r="K467" s="15"/>
      <c r="L467" s="15"/>
      <c r="M467" s="15"/>
      <c r="N467" s="15"/>
      <c r="O467" s="15"/>
      <c r="P467" s="15"/>
      <c r="Q467" s="15"/>
      <c r="R467" s="15"/>
    </row>
    <row r="468" spans="1:18" x14ac:dyDescent="0.2">
      <c r="A468" s="15"/>
      <c r="B468" s="38"/>
      <c r="C468" s="15"/>
      <c r="D468" s="15"/>
      <c r="E468" s="15"/>
      <c r="F468" s="15"/>
      <c r="G468" s="15"/>
      <c r="H468" s="15"/>
      <c r="I468" s="15"/>
      <c r="J468" s="15"/>
      <c r="K468" s="15"/>
      <c r="L468" s="15"/>
      <c r="M468" s="15"/>
      <c r="N468" s="15"/>
      <c r="O468" s="15"/>
      <c r="P468" s="15"/>
      <c r="Q468" s="15"/>
      <c r="R468" s="15"/>
    </row>
    <row r="469" spans="1:18" x14ac:dyDescent="0.2">
      <c r="A469" s="15"/>
      <c r="B469" s="38"/>
      <c r="C469" s="15"/>
      <c r="D469" s="15"/>
      <c r="E469" s="15"/>
      <c r="F469" s="15"/>
      <c r="G469" s="15"/>
      <c r="H469" s="15"/>
      <c r="I469" s="15"/>
      <c r="J469" s="15"/>
      <c r="K469" s="15"/>
      <c r="L469" s="15"/>
      <c r="M469" s="15"/>
      <c r="N469" s="15"/>
      <c r="O469" s="15"/>
      <c r="P469" s="15"/>
      <c r="Q469" s="15"/>
      <c r="R469" s="15"/>
    </row>
    <row r="470" spans="1:18" x14ac:dyDescent="0.2">
      <c r="A470" s="15"/>
      <c r="B470" s="38"/>
      <c r="C470" s="15"/>
      <c r="D470" s="15"/>
      <c r="E470" s="15"/>
      <c r="F470" s="15"/>
      <c r="G470" s="15"/>
      <c r="H470" s="15"/>
      <c r="I470" s="15"/>
      <c r="J470" s="15"/>
      <c r="K470" s="15"/>
      <c r="L470" s="15"/>
      <c r="M470" s="15"/>
      <c r="N470" s="15"/>
      <c r="O470" s="15"/>
      <c r="P470" s="15"/>
      <c r="Q470" s="15"/>
      <c r="R470" s="15"/>
    </row>
    <row r="471" spans="1:18" x14ac:dyDescent="0.2">
      <c r="A471" s="15"/>
      <c r="B471" s="38"/>
      <c r="C471" s="15"/>
      <c r="D471" s="15"/>
      <c r="E471" s="15"/>
      <c r="F471" s="15"/>
      <c r="G471" s="15"/>
      <c r="H471" s="15"/>
      <c r="I471" s="15"/>
      <c r="J471" s="15"/>
      <c r="K471" s="15"/>
      <c r="L471" s="15"/>
      <c r="M471" s="15"/>
      <c r="N471" s="15"/>
      <c r="O471" s="15"/>
      <c r="P471" s="15"/>
      <c r="Q471" s="15"/>
      <c r="R471" s="15"/>
    </row>
    <row r="472" spans="1:18" x14ac:dyDescent="0.2">
      <c r="A472" s="15"/>
      <c r="B472" s="38"/>
      <c r="C472" s="15"/>
      <c r="D472" s="15"/>
      <c r="E472" s="15"/>
      <c r="F472" s="15"/>
      <c r="G472" s="15"/>
      <c r="H472" s="15"/>
      <c r="I472" s="15"/>
      <c r="J472" s="15"/>
      <c r="K472" s="15"/>
      <c r="L472" s="15"/>
      <c r="M472" s="15"/>
      <c r="N472" s="15"/>
      <c r="O472" s="15"/>
      <c r="P472" s="15"/>
      <c r="Q472" s="15"/>
      <c r="R472" s="15"/>
    </row>
    <row r="473" spans="1:18" x14ac:dyDescent="0.2">
      <c r="A473" s="15"/>
      <c r="B473" s="38"/>
      <c r="C473" s="15"/>
      <c r="D473" s="15"/>
      <c r="E473" s="15"/>
      <c r="F473" s="15"/>
      <c r="G473" s="15"/>
      <c r="H473" s="15"/>
      <c r="I473" s="15"/>
      <c r="J473" s="15"/>
      <c r="K473" s="15"/>
      <c r="L473" s="15"/>
      <c r="M473" s="15"/>
      <c r="N473" s="15"/>
      <c r="O473" s="15"/>
      <c r="P473" s="15"/>
      <c r="Q473" s="15"/>
      <c r="R473" s="15"/>
    </row>
    <row r="474" spans="1:18" x14ac:dyDescent="0.2">
      <c r="A474" s="15"/>
      <c r="B474" s="38"/>
      <c r="C474" s="15"/>
      <c r="D474" s="15"/>
      <c r="E474" s="15"/>
      <c r="F474" s="15"/>
      <c r="G474" s="15"/>
      <c r="H474" s="15"/>
      <c r="I474" s="15"/>
      <c r="J474" s="15"/>
      <c r="K474" s="15"/>
      <c r="L474" s="15"/>
      <c r="M474" s="15"/>
      <c r="N474" s="15"/>
      <c r="O474" s="15"/>
      <c r="P474" s="15"/>
      <c r="Q474" s="15"/>
      <c r="R474" s="15"/>
    </row>
    <row r="475" spans="1:18" x14ac:dyDescent="0.2">
      <c r="A475" s="15"/>
      <c r="B475" s="38"/>
      <c r="C475" s="15"/>
      <c r="D475" s="15"/>
      <c r="E475" s="15"/>
      <c r="F475" s="15"/>
      <c r="G475" s="15"/>
      <c r="H475" s="15"/>
      <c r="I475" s="15"/>
      <c r="J475" s="15"/>
      <c r="K475" s="15"/>
      <c r="L475" s="15"/>
      <c r="M475" s="15"/>
      <c r="N475" s="15"/>
      <c r="O475" s="15"/>
      <c r="P475" s="15"/>
      <c r="Q475" s="15"/>
      <c r="R475" s="15"/>
    </row>
    <row r="476" spans="1:18" x14ac:dyDescent="0.2">
      <c r="A476" s="15"/>
      <c r="B476" s="38"/>
      <c r="C476" s="15"/>
      <c r="D476" s="15"/>
      <c r="E476" s="15"/>
      <c r="F476" s="15"/>
      <c r="G476" s="15"/>
      <c r="H476" s="15"/>
      <c r="I476" s="15"/>
      <c r="J476" s="15"/>
      <c r="K476" s="15"/>
      <c r="L476" s="15"/>
      <c r="M476" s="15"/>
      <c r="N476" s="15"/>
      <c r="O476" s="15"/>
      <c r="P476" s="15"/>
      <c r="Q476" s="15"/>
      <c r="R476" s="15"/>
    </row>
    <row r="477" spans="1:18" x14ac:dyDescent="0.2">
      <c r="A477" s="15"/>
      <c r="B477" s="38"/>
      <c r="C477" s="15"/>
      <c r="D477" s="15"/>
      <c r="E477" s="15"/>
      <c r="F477" s="15"/>
      <c r="G477" s="15"/>
      <c r="H477" s="15"/>
      <c r="I477" s="15"/>
      <c r="J477" s="15"/>
      <c r="K477" s="15"/>
      <c r="L477" s="15"/>
      <c r="M477" s="15"/>
      <c r="N477" s="15"/>
      <c r="O477" s="15"/>
      <c r="P477" s="15"/>
      <c r="Q477" s="15"/>
      <c r="R477" s="15"/>
    </row>
    <row r="478" spans="1:18" x14ac:dyDescent="0.2">
      <c r="A478" s="15"/>
      <c r="B478" s="38"/>
      <c r="C478" s="15"/>
      <c r="D478" s="15"/>
      <c r="E478" s="15"/>
      <c r="F478" s="15"/>
      <c r="G478" s="15"/>
      <c r="H478" s="15"/>
      <c r="I478" s="15"/>
      <c r="J478" s="15"/>
      <c r="K478" s="15"/>
      <c r="L478" s="15"/>
      <c r="M478" s="15"/>
      <c r="N478" s="15"/>
      <c r="O478" s="15"/>
      <c r="P478" s="15"/>
      <c r="Q478" s="15"/>
      <c r="R478" s="15"/>
    </row>
    <row r="479" spans="1:18" x14ac:dyDescent="0.2">
      <c r="A479" s="15"/>
      <c r="B479" s="38"/>
      <c r="C479" s="15"/>
      <c r="D479" s="15"/>
      <c r="E479" s="15"/>
      <c r="F479" s="15"/>
      <c r="G479" s="15"/>
      <c r="H479" s="15"/>
      <c r="I479" s="15"/>
      <c r="J479" s="15"/>
      <c r="K479" s="15"/>
      <c r="L479" s="15"/>
      <c r="M479" s="15"/>
      <c r="N479" s="15"/>
      <c r="O479" s="15"/>
      <c r="P479" s="15"/>
      <c r="Q479" s="15"/>
      <c r="R479" s="15"/>
    </row>
    <row r="480" spans="1:18" x14ac:dyDescent="0.2">
      <c r="A480" s="15"/>
      <c r="B480" s="38"/>
      <c r="C480" s="15"/>
      <c r="D480" s="15"/>
      <c r="E480" s="15"/>
      <c r="F480" s="15"/>
      <c r="G480" s="15"/>
      <c r="H480" s="15"/>
      <c r="I480" s="15"/>
      <c r="J480" s="15"/>
      <c r="K480" s="15"/>
      <c r="L480" s="15"/>
      <c r="M480" s="15"/>
      <c r="N480" s="15"/>
      <c r="O480" s="15"/>
      <c r="P480" s="15"/>
      <c r="Q480" s="15"/>
      <c r="R480" s="15"/>
    </row>
    <row r="481" spans="1:18" x14ac:dyDescent="0.2">
      <c r="A481" s="15"/>
      <c r="B481" s="38"/>
      <c r="C481" s="15"/>
      <c r="D481" s="15"/>
      <c r="E481" s="15"/>
      <c r="F481" s="15"/>
      <c r="G481" s="15"/>
      <c r="H481" s="15"/>
      <c r="I481" s="15"/>
      <c r="J481" s="15"/>
      <c r="K481" s="15"/>
      <c r="L481" s="15"/>
      <c r="M481" s="15"/>
      <c r="N481" s="15"/>
      <c r="O481" s="15"/>
      <c r="P481" s="15"/>
      <c r="Q481" s="15"/>
      <c r="R481" s="15"/>
    </row>
    <row r="482" spans="1:18" x14ac:dyDescent="0.2">
      <c r="A482" s="15"/>
      <c r="B482" s="38"/>
      <c r="C482" s="15"/>
      <c r="D482" s="15"/>
      <c r="E482" s="15"/>
      <c r="F482" s="15"/>
      <c r="G482" s="15"/>
      <c r="H482" s="15"/>
      <c r="I482" s="15"/>
      <c r="J482" s="15"/>
      <c r="K482" s="15"/>
      <c r="L482" s="15"/>
      <c r="M482" s="15"/>
      <c r="N482" s="15"/>
      <c r="O482" s="15"/>
      <c r="P482" s="15"/>
      <c r="Q482" s="15"/>
      <c r="R482" s="15"/>
    </row>
    <row r="483" spans="1:18" x14ac:dyDescent="0.2">
      <c r="A483" s="15"/>
      <c r="B483" s="38"/>
      <c r="C483" s="15"/>
      <c r="D483" s="15"/>
      <c r="E483" s="15"/>
      <c r="F483" s="15"/>
      <c r="G483" s="15"/>
      <c r="H483" s="15"/>
      <c r="I483" s="15"/>
      <c r="J483" s="15"/>
      <c r="K483" s="15"/>
      <c r="L483" s="15"/>
      <c r="M483" s="15"/>
      <c r="N483" s="15"/>
      <c r="O483" s="15"/>
      <c r="P483" s="15"/>
      <c r="Q483" s="15"/>
      <c r="R483" s="15"/>
    </row>
    <row r="484" spans="1:18" x14ac:dyDescent="0.2">
      <c r="A484" s="15"/>
      <c r="B484" s="38"/>
      <c r="C484" s="15"/>
      <c r="D484" s="15"/>
      <c r="E484" s="15"/>
      <c r="F484" s="15"/>
      <c r="G484" s="15"/>
      <c r="H484" s="15"/>
      <c r="I484" s="15"/>
      <c r="J484" s="15"/>
      <c r="K484" s="15"/>
      <c r="L484" s="15"/>
      <c r="M484" s="15"/>
      <c r="N484" s="15"/>
      <c r="O484" s="15"/>
      <c r="P484" s="15"/>
      <c r="Q484" s="15"/>
      <c r="R484" s="15"/>
    </row>
    <row r="485" spans="1:18" x14ac:dyDescent="0.2">
      <c r="A485" s="15"/>
      <c r="B485" s="38"/>
      <c r="C485" s="15"/>
      <c r="D485" s="15"/>
      <c r="E485" s="15"/>
      <c r="F485" s="15"/>
      <c r="G485" s="15"/>
      <c r="H485" s="15"/>
      <c r="I485" s="15"/>
      <c r="J485" s="15"/>
      <c r="K485" s="15"/>
      <c r="L485" s="15"/>
      <c r="M485" s="15"/>
      <c r="N485" s="15"/>
      <c r="O485" s="15"/>
      <c r="P485" s="15"/>
      <c r="Q485" s="15"/>
      <c r="R485" s="15"/>
    </row>
    <row r="486" spans="1:18" x14ac:dyDescent="0.2">
      <c r="A486" s="15"/>
      <c r="B486" s="38"/>
      <c r="C486" s="15"/>
      <c r="D486" s="15"/>
      <c r="E486" s="15"/>
      <c r="F486" s="15"/>
      <c r="G486" s="15"/>
      <c r="H486" s="15"/>
      <c r="I486" s="15"/>
      <c r="J486" s="15"/>
      <c r="K486" s="15"/>
      <c r="L486" s="15"/>
      <c r="M486" s="15"/>
      <c r="N486" s="15"/>
      <c r="O486" s="15"/>
      <c r="P486" s="15"/>
      <c r="Q486" s="15"/>
      <c r="R486" s="15"/>
    </row>
    <row r="487" spans="1:18" x14ac:dyDescent="0.2">
      <c r="A487" s="15"/>
      <c r="B487" s="38"/>
      <c r="C487" s="15"/>
      <c r="D487" s="15"/>
      <c r="E487" s="15"/>
      <c r="F487" s="15"/>
      <c r="G487" s="15"/>
      <c r="H487" s="15"/>
      <c r="I487" s="15"/>
      <c r="J487" s="15"/>
      <c r="K487" s="15"/>
      <c r="L487" s="15"/>
      <c r="M487" s="15"/>
      <c r="N487" s="15"/>
      <c r="O487" s="15"/>
      <c r="P487" s="15"/>
      <c r="Q487" s="15"/>
      <c r="R487" s="15"/>
    </row>
    <row r="488" spans="1:18" x14ac:dyDescent="0.2">
      <c r="A488" s="15"/>
      <c r="B488" s="38"/>
      <c r="C488" s="15"/>
      <c r="D488" s="15"/>
      <c r="E488" s="15"/>
      <c r="F488" s="15"/>
      <c r="G488" s="15"/>
      <c r="H488" s="15"/>
      <c r="I488" s="15"/>
      <c r="J488" s="15"/>
      <c r="K488" s="15"/>
      <c r="L488" s="15"/>
      <c r="M488" s="15"/>
      <c r="N488" s="15"/>
      <c r="O488" s="15"/>
      <c r="P488" s="15"/>
      <c r="Q488" s="15"/>
      <c r="R488" s="15"/>
    </row>
    <row r="489" spans="1:18" x14ac:dyDescent="0.2">
      <c r="A489" s="15"/>
      <c r="B489" s="38"/>
      <c r="C489" s="15"/>
      <c r="D489" s="15"/>
      <c r="E489" s="15"/>
      <c r="F489" s="15"/>
      <c r="G489" s="15"/>
      <c r="H489" s="15"/>
      <c r="I489" s="15"/>
      <c r="J489" s="15"/>
      <c r="K489" s="15"/>
      <c r="L489" s="15"/>
      <c r="M489" s="15"/>
      <c r="N489" s="15"/>
      <c r="O489" s="15"/>
      <c r="P489" s="15"/>
      <c r="Q489" s="15"/>
      <c r="R489" s="15"/>
    </row>
    <row r="490" spans="1:18" x14ac:dyDescent="0.2">
      <c r="A490" s="15"/>
      <c r="B490" s="38"/>
      <c r="C490" s="15"/>
      <c r="D490" s="15"/>
      <c r="E490" s="15"/>
      <c r="F490" s="15"/>
      <c r="G490" s="15"/>
      <c r="H490" s="15"/>
      <c r="I490" s="15"/>
      <c r="J490" s="15"/>
      <c r="K490" s="15"/>
      <c r="L490" s="15"/>
      <c r="M490" s="15"/>
      <c r="N490" s="15"/>
      <c r="O490" s="15"/>
      <c r="P490" s="15"/>
      <c r="Q490" s="15"/>
      <c r="R490" s="15"/>
    </row>
    <row r="491" spans="1:18" x14ac:dyDescent="0.2">
      <c r="A491" s="15"/>
      <c r="B491" s="38"/>
      <c r="C491" s="15"/>
      <c r="D491" s="15"/>
      <c r="E491" s="15"/>
      <c r="F491" s="15"/>
      <c r="G491" s="15"/>
      <c r="H491" s="15"/>
      <c r="I491" s="15"/>
      <c r="J491" s="15"/>
      <c r="K491" s="15"/>
      <c r="L491" s="15"/>
      <c r="M491" s="15"/>
      <c r="N491" s="15"/>
      <c r="O491" s="15"/>
      <c r="P491" s="15"/>
      <c r="Q491" s="15"/>
      <c r="R491" s="15"/>
    </row>
    <row r="492" spans="1:18" x14ac:dyDescent="0.2">
      <c r="A492" s="15"/>
      <c r="B492" s="38"/>
      <c r="C492" s="15"/>
      <c r="D492" s="15"/>
      <c r="E492" s="15"/>
      <c r="F492" s="15"/>
      <c r="G492" s="15"/>
      <c r="H492" s="15"/>
      <c r="I492" s="15"/>
      <c r="J492" s="15"/>
      <c r="K492" s="15"/>
      <c r="L492" s="15"/>
      <c r="M492" s="15"/>
      <c r="N492" s="15"/>
      <c r="O492" s="15"/>
      <c r="P492" s="15"/>
      <c r="Q492" s="15"/>
      <c r="R492" s="15"/>
    </row>
    <row r="493" spans="1:18" x14ac:dyDescent="0.2">
      <c r="A493" s="15"/>
      <c r="B493" s="38"/>
      <c r="C493" s="15"/>
      <c r="D493" s="15"/>
      <c r="E493" s="15"/>
      <c r="F493" s="15"/>
      <c r="G493" s="15"/>
      <c r="H493" s="15"/>
      <c r="I493" s="15"/>
      <c r="J493" s="15"/>
      <c r="K493" s="15"/>
      <c r="L493" s="15"/>
      <c r="M493" s="15"/>
      <c r="N493" s="15"/>
      <c r="O493" s="15"/>
      <c r="P493" s="15"/>
      <c r="Q493" s="15"/>
      <c r="R493" s="15"/>
    </row>
    <row r="494" spans="1:18" x14ac:dyDescent="0.2">
      <c r="A494" s="15"/>
      <c r="B494" s="38"/>
      <c r="C494" s="15"/>
      <c r="D494" s="15"/>
      <c r="E494" s="15"/>
      <c r="F494" s="15"/>
      <c r="G494" s="15"/>
      <c r="H494" s="15"/>
      <c r="I494" s="15"/>
      <c r="J494" s="15"/>
      <c r="K494" s="15"/>
      <c r="L494" s="15"/>
      <c r="M494" s="15"/>
      <c r="N494" s="15"/>
      <c r="O494" s="15"/>
      <c r="P494" s="15"/>
      <c r="Q494" s="15"/>
      <c r="R494" s="15"/>
    </row>
    <row r="495" spans="1:18" x14ac:dyDescent="0.2">
      <c r="A495" s="15"/>
      <c r="B495" s="38"/>
      <c r="C495" s="15"/>
      <c r="D495" s="15"/>
      <c r="E495" s="15"/>
      <c r="F495" s="15"/>
      <c r="G495" s="15"/>
      <c r="H495" s="15"/>
      <c r="I495" s="15"/>
      <c r="J495" s="15"/>
      <c r="K495" s="15"/>
      <c r="L495" s="15"/>
      <c r="M495" s="15"/>
      <c r="N495" s="15"/>
      <c r="O495" s="15"/>
      <c r="P495" s="15"/>
      <c r="Q495" s="15"/>
      <c r="R495" s="15"/>
    </row>
    <row r="496" spans="1:18" x14ac:dyDescent="0.2">
      <c r="A496" s="15"/>
      <c r="B496" s="38"/>
      <c r="C496" s="15"/>
      <c r="D496" s="15"/>
      <c r="E496" s="15"/>
      <c r="F496" s="15"/>
      <c r="G496" s="15"/>
      <c r="H496" s="15"/>
      <c r="I496" s="15"/>
      <c r="J496" s="15"/>
      <c r="K496" s="15"/>
      <c r="L496" s="15"/>
      <c r="M496" s="15"/>
      <c r="N496" s="15"/>
      <c r="O496" s="15"/>
      <c r="P496" s="15"/>
      <c r="Q496" s="15"/>
      <c r="R496" s="15"/>
    </row>
    <row r="497" spans="1:18" x14ac:dyDescent="0.2">
      <c r="A497" s="15"/>
      <c r="B497" s="38"/>
      <c r="C497" s="15"/>
      <c r="D497" s="15"/>
      <c r="E497" s="15"/>
      <c r="F497" s="15"/>
      <c r="G497" s="15"/>
      <c r="H497" s="15"/>
      <c r="I497" s="15"/>
      <c r="J497" s="15"/>
      <c r="K497" s="15"/>
      <c r="L497" s="15"/>
      <c r="M497" s="15"/>
      <c r="N497" s="15"/>
      <c r="O497" s="15"/>
      <c r="P497" s="15"/>
      <c r="Q497" s="15"/>
      <c r="R497" s="15"/>
    </row>
    <row r="498" spans="1:18" x14ac:dyDescent="0.2">
      <c r="A498" s="15"/>
      <c r="B498" s="38"/>
      <c r="C498" s="15"/>
      <c r="D498" s="15"/>
      <c r="E498" s="15"/>
      <c r="F498" s="15"/>
      <c r="G498" s="15"/>
      <c r="H498" s="15"/>
      <c r="I498" s="15"/>
      <c r="J498" s="15"/>
      <c r="K498" s="15"/>
      <c r="L498" s="15"/>
      <c r="M498" s="15"/>
      <c r="N498" s="15"/>
      <c r="O498" s="15"/>
      <c r="P498" s="15"/>
      <c r="Q498" s="15"/>
      <c r="R498" s="15"/>
    </row>
    <row r="499" spans="1:18" x14ac:dyDescent="0.2">
      <c r="A499" s="15"/>
      <c r="B499" s="38"/>
      <c r="C499" s="15"/>
      <c r="D499" s="15"/>
      <c r="E499" s="15"/>
      <c r="F499" s="15"/>
      <c r="G499" s="15"/>
      <c r="H499" s="15"/>
      <c r="I499" s="15"/>
      <c r="J499" s="15"/>
      <c r="K499" s="15"/>
      <c r="L499" s="15"/>
      <c r="M499" s="15"/>
      <c r="N499" s="15"/>
      <c r="O499" s="15"/>
      <c r="P499" s="15"/>
      <c r="Q499" s="15"/>
      <c r="R499" s="15"/>
    </row>
    <row r="500" spans="1:18" x14ac:dyDescent="0.2">
      <c r="A500" s="15"/>
      <c r="B500" s="38"/>
      <c r="C500" s="15"/>
      <c r="D500" s="15"/>
      <c r="E500" s="15"/>
      <c r="F500" s="15"/>
      <c r="G500" s="15"/>
      <c r="H500" s="15"/>
      <c r="I500" s="15"/>
      <c r="J500" s="15"/>
      <c r="K500" s="15"/>
      <c r="L500" s="15"/>
      <c r="M500" s="15"/>
      <c r="N500" s="15"/>
      <c r="O500" s="15"/>
      <c r="P500" s="15"/>
      <c r="Q500" s="15"/>
      <c r="R500" s="15"/>
    </row>
    <row r="501" spans="1:18" x14ac:dyDescent="0.2">
      <c r="A501" s="15"/>
      <c r="B501" s="38"/>
      <c r="C501" s="15"/>
      <c r="D501" s="15"/>
      <c r="E501" s="15"/>
      <c r="F501" s="15"/>
      <c r="G501" s="15"/>
      <c r="H501" s="15"/>
      <c r="I501" s="15"/>
      <c r="J501" s="15"/>
      <c r="K501" s="15"/>
      <c r="L501" s="15"/>
      <c r="M501" s="15"/>
      <c r="N501" s="15"/>
      <c r="O501" s="15"/>
      <c r="P501" s="15"/>
      <c r="Q501" s="15"/>
      <c r="R501" s="15"/>
    </row>
    <row r="502" spans="1:18" x14ac:dyDescent="0.2">
      <c r="A502" s="15"/>
      <c r="B502" s="38"/>
      <c r="C502" s="15"/>
      <c r="D502" s="15"/>
      <c r="E502" s="15"/>
      <c r="F502" s="15"/>
      <c r="G502" s="15"/>
      <c r="H502" s="15"/>
      <c r="I502" s="15"/>
      <c r="J502" s="15"/>
      <c r="K502" s="15"/>
      <c r="L502" s="15"/>
      <c r="M502" s="15"/>
      <c r="N502" s="15"/>
      <c r="O502" s="15"/>
      <c r="P502" s="15"/>
      <c r="Q502" s="15"/>
      <c r="R502" s="15"/>
    </row>
    <row r="503" spans="1:18" x14ac:dyDescent="0.2">
      <c r="A503" s="15"/>
      <c r="B503" s="38"/>
      <c r="C503" s="15"/>
      <c r="D503" s="15"/>
      <c r="E503" s="15"/>
      <c r="F503" s="15"/>
      <c r="G503" s="15"/>
      <c r="H503" s="15"/>
      <c r="I503" s="15"/>
      <c r="J503" s="15"/>
      <c r="K503" s="15"/>
      <c r="L503" s="15"/>
      <c r="M503" s="15"/>
      <c r="N503" s="15"/>
      <c r="O503" s="15"/>
      <c r="P503" s="15"/>
      <c r="Q503" s="15"/>
      <c r="R503" s="15"/>
    </row>
    <row r="504" spans="1:18" x14ac:dyDescent="0.2">
      <c r="A504" s="15"/>
      <c r="B504" s="38"/>
      <c r="C504" s="15"/>
      <c r="D504" s="15"/>
      <c r="E504" s="15"/>
      <c r="F504" s="15"/>
      <c r="G504" s="15"/>
      <c r="H504" s="15"/>
      <c r="I504" s="15"/>
      <c r="J504" s="15"/>
      <c r="K504" s="15"/>
      <c r="L504" s="15"/>
      <c r="M504" s="15"/>
      <c r="N504" s="15"/>
      <c r="O504" s="15"/>
      <c r="P504" s="15"/>
      <c r="Q504" s="15"/>
      <c r="R504" s="15"/>
    </row>
    <row r="505" spans="1:18" x14ac:dyDescent="0.2">
      <c r="A505" s="15"/>
      <c r="B505" s="38"/>
      <c r="C505" s="15"/>
      <c r="D505" s="15"/>
      <c r="E505" s="15"/>
      <c r="F505" s="15"/>
      <c r="G505" s="15"/>
      <c r="H505" s="15"/>
      <c r="I505" s="15"/>
      <c r="J505" s="15"/>
      <c r="K505" s="15"/>
      <c r="L505" s="15"/>
      <c r="M505" s="15"/>
      <c r="N505" s="15"/>
      <c r="O505" s="15"/>
      <c r="P505" s="15"/>
      <c r="Q505" s="15"/>
      <c r="R505" s="15"/>
    </row>
    <row r="506" spans="1:18" x14ac:dyDescent="0.2">
      <c r="A506" s="15"/>
      <c r="B506" s="38"/>
      <c r="C506" s="15"/>
      <c r="D506" s="15"/>
      <c r="E506" s="15"/>
      <c r="F506" s="15"/>
      <c r="G506" s="15"/>
      <c r="H506" s="15"/>
      <c r="I506" s="15"/>
      <c r="J506" s="15"/>
      <c r="K506" s="15"/>
      <c r="L506" s="15"/>
      <c r="M506" s="15"/>
      <c r="N506" s="15"/>
      <c r="O506" s="15"/>
      <c r="P506" s="15"/>
      <c r="Q506" s="15"/>
      <c r="R506" s="15"/>
    </row>
    <row r="507" spans="1:18" x14ac:dyDescent="0.2">
      <c r="A507" s="15"/>
      <c r="B507" s="38"/>
      <c r="C507" s="15"/>
      <c r="D507" s="15"/>
      <c r="E507" s="15"/>
      <c r="F507" s="15"/>
      <c r="G507" s="15"/>
      <c r="H507" s="15"/>
      <c r="I507" s="15"/>
      <c r="J507" s="15"/>
      <c r="K507" s="15"/>
      <c r="L507" s="15"/>
      <c r="M507" s="15"/>
      <c r="N507" s="15"/>
      <c r="O507" s="15"/>
      <c r="P507" s="15"/>
      <c r="Q507" s="15"/>
      <c r="R507" s="15"/>
    </row>
    <row r="508" spans="1:18" x14ac:dyDescent="0.2">
      <c r="A508" s="15"/>
      <c r="B508" s="38"/>
      <c r="C508" s="15"/>
      <c r="D508" s="15"/>
      <c r="E508" s="15"/>
      <c r="F508" s="15"/>
      <c r="G508" s="15"/>
      <c r="H508" s="15"/>
      <c r="I508" s="15"/>
      <c r="J508" s="15"/>
      <c r="K508" s="15"/>
      <c r="L508" s="15"/>
      <c r="M508" s="15"/>
      <c r="N508" s="15"/>
      <c r="O508" s="15"/>
      <c r="P508" s="15"/>
      <c r="Q508" s="15"/>
      <c r="R508" s="15"/>
    </row>
    <row r="509" spans="1:18" x14ac:dyDescent="0.2">
      <c r="A509" s="15"/>
      <c r="B509" s="38"/>
      <c r="C509" s="15"/>
      <c r="D509" s="15"/>
      <c r="E509" s="15"/>
      <c r="F509" s="15"/>
      <c r="G509" s="15"/>
      <c r="H509" s="15"/>
      <c r="I509" s="15"/>
      <c r="J509" s="15"/>
      <c r="K509" s="15"/>
      <c r="L509" s="15"/>
      <c r="M509" s="15"/>
      <c r="N509" s="15"/>
      <c r="O509" s="15"/>
      <c r="P509" s="15"/>
      <c r="Q509" s="15"/>
      <c r="R509" s="15"/>
    </row>
    <row r="510" spans="1:18" x14ac:dyDescent="0.2">
      <c r="A510" s="15"/>
      <c r="B510" s="38"/>
      <c r="C510" s="15"/>
      <c r="D510" s="15"/>
      <c r="E510" s="15"/>
      <c r="F510" s="15"/>
      <c r="G510" s="15"/>
      <c r="H510" s="15"/>
      <c r="I510" s="15"/>
      <c r="J510" s="15"/>
      <c r="K510" s="15"/>
      <c r="L510" s="15"/>
      <c r="M510" s="15"/>
      <c r="N510" s="15"/>
      <c r="O510" s="15"/>
      <c r="P510" s="15"/>
      <c r="Q510" s="15"/>
      <c r="R510" s="15"/>
    </row>
    <row r="511" spans="1:18" x14ac:dyDescent="0.2">
      <c r="A511" s="15"/>
      <c r="B511" s="38"/>
      <c r="C511" s="15"/>
      <c r="D511" s="15"/>
      <c r="E511" s="15"/>
      <c r="F511" s="15"/>
      <c r="G511" s="15"/>
      <c r="H511" s="15"/>
      <c r="I511" s="15"/>
      <c r="J511" s="15"/>
      <c r="K511" s="15"/>
      <c r="L511" s="15"/>
      <c r="M511" s="15"/>
      <c r="N511" s="15"/>
      <c r="O511" s="15"/>
      <c r="P511" s="15"/>
      <c r="Q511" s="15"/>
      <c r="R511" s="15"/>
    </row>
    <row r="512" spans="1:18" x14ac:dyDescent="0.2">
      <c r="A512" s="15"/>
      <c r="B512" s="38"/>
      <c r="C512" s="15"/>
      <c r="D512" s="15"/>
      <c r="E512" s="15"/>
      <c r="F512" s="15"/>
      <c r="G512" s="15"/>
      <c r="H512" s="15"/>
      <c r="I512" s="15"/>
      <c r="J512" s="15"/>
      <c r="K512" s="15"/>
      <c r="L512" s="15"/>
      <c r="M512" s="15"/>
      <c r="N512" s="15"/>
      <c r="O512" s="15"/>
      <c r="P512" s="15"/>
      <c r="Q512" s="15"/>
      <c r="R512" s="15"/>
    </row>
    <row r="513" spans="1:18" x14ac:dyDescent="0.2">
      <c r="A513" s="15"/>
      <c r="B513" s="38"/>
      <c r="C513" s="15"/>
      <c r="D513" s="15"/>
      <c r="E513" s="15"/>
      <c r="F513" s="15"/>
      <c r="G513" s="15"/>
      <c r="H513" s="15"/>
      <c r="I513" s="15"/>
      <c r="J513" s="15"/>
      <c r="K513" s="15"/>
      <c r="L513" s="15"/>
      <c r="M513" s="15"/>
      <c r="N513" s="15"/>
      <c r="O513" s="15"/>
      <c r="P513" s="15"/>
      <c r="Q513" s="15"/>
      <c r="R513" s="15"/>
    </row>
    <row r="514" spans="1:18" x14ac:dyDescent="0.2">
      <c r="A514" s="15"/>
      <c r="B514" s="38"/>
      <c r="C514" s="15"/>
      <c r="D514" s="15"/>
      <c r="E514" s="15"/>
      <c r="F514" s="15"/>
      <c r="G514" s="15"/>
      <c r="H514" s="15"/>
      <c r="I514" s="15"/>
      <c r="J514" s="15"/>
      <c r="K514" s="15"/>
      <c r="L514" s="15"/>
      <c r="M514" s="15"/>
      <c r="N514" s="15"/>
      <c r="O514" s="15"/>
      <c r="P514" s="15"/>
      <c r="Q514" s="15"/>
      <c r="R514" s="15"/>
    </row>
    <row r="515" spans="1:18" x14ac:dyDescent="0.2">
      <c r="A515" s="15"/>
      <c r="B515" s="38"/>
      <c r="C515" s="15"/>
      <c r="D515" s="15"/>
      <c r="E515" s="15"/>
      <c r="F515" s="15"/>
      <c r="G515" s="15"/>
      <c r="H515" s="15"/>
      <c r="I515" s="15"/>
      <c r="J515" s="15"/>
      <c r="K515" s="15"/>
      <c r="L515" s="15"/>
      <c r="M515" s="15"/>
      <c r="N515" s="15"/>
      <c r="O515" s="15"/>
      <c r="P515" s="15"/>
      <c r="Q515" s="15"/>
      <c r="R515" s="15"/>
    </row>
    <row r="516" spans="1:18" x14ac:dyDescent="0.2">
      <c r="A516" s="15"/>
      <c r="B516" s="38"/>
      <c r="C516" s="15"/>
      <c r="D516" s="15"/>
      <c r="E516" s="15"/>
      <c r="F516" s="15"/>
      <c r="G516" s="15"/>
      <c r="H516" s="15"/>
      <c r="I516" s="15"/>
      <c r="J516" s="15"/>
      <c r="K516" s="15"/>
      <c r="L516" s="15"/>
      <c r="M516" s="15"/>
      <c r="N516" s="15"/>
      <c r="O516" s="15"/>
      <c r="P516" s="15"/>
      <c r="Q516" s="15"/>
      <c r="R516" s="15"/>
    </row>
    <row r="517" spans="1:18" x14ac:dyDescent="0.2">
      <c r="A517" s="15"/>
      <c r="B517" s="38"/>
      <c r="C517" s="15"/>
      <c r="D517" s="15"/>
      <c r="E517" s="15"/>
      <c r="F517" s="15"/>
      <c r="G517" s="15"/>
      <c r="H517" s="15"/>
      <c r="I517" s="15"/>
      <c r="J517" s="15"/>
      <c r="K517" s="15"/>
      <c r="L517" s="15"/>
      <c r="M517" s="15"/>
      <c r="N517" s="15"/>
      <c r="O517" s="15"/>
      <c r="P517" s="15"/>
      <c r="Q517" s="15"/>
      <c r="R517" s="15"/>
    </row>
    <row r="518" spans="1:18" x14ac:dyDescent="0.2">
      <c r="A518" s="15"/>
      <c r="B518" s="38"/>
      <c r="C518" s="15"/>
      <c r="D518" s="15"/>
      <c r="E518" s="15"/>
      <c r="F518" s="15"/>
      <c r="G518" s="15"/>
      <c r="H518" s="15"/>
      <c r="I518" s="15"/>
      <c r="J518" s="15"/>
      <c r="K518" s="15"/>
      <c r="L518" s="15"/>
      <c r="M518" s="15"/>
      <c r="N518" s="15"/>
      <c r="O518" s="15"/>
      <c r="P518" s="15"/>
      <c r="Q518" s="15"/>
      <c r="R518" s="15"/>
    </row>
    <row r="519" spans="1:18" x14ac:dyDescent="0.2">
      <c r="A519" s="15"/>
      <c r="B519" s="38"/>
      <c r="C519" s="15"/>
      <c r="D519" s="15"/>
      <c r="E519" s="15"/>
      <c r="F519" s="15"/>
      <c r="G519" s="15"/>
      <c r="H519" s="15"/>
      <c r="I519" s="15"/>
      <c r="J519" s="15"/>
      <c r="K519" s="15"/>
      <c r="L519" s="15"/>
      <c r="M519" s="15"/>
      <c r="N519" s="15"/>
      <c r="O519" s="15"/>
      <c r="P519" s="15"/>
      <c r="Q519" s="15"/>
      <c r="R519" s="15"/>
    </row>
    <row r="520" spans="1:18" x14ac:dyDescent="0.2">
      <c r="A520" s="15"/>
      <c r="B520" s="38"/>
      <c r="C520" s="15"/>
      <c r="D520" s="15"/>
      <c r="E520" s="15"/>
      <c r="F520" s="15"/>
      <c r="G520" s="15"/>
      <c r="H520" s="15"/>
      <c r="I520" s="15"/>
      <c r="J520" s="15"/>
      <c r="K520" s="15"/>
      <c r="L520" s="15"/>
      <c r="M520" s="15"/>
      <c r="N520" s="15"/>
      <c r="O520" s="15"/>
      <c r="P520" s="15"/>
      <c r="Q520" s="15"/>
      <c r="R520" s="15"/>
    </row>
    <row r="521" spans="1:18" x14ac:dyDescent="0.2">
      <c r="A521" s="15"/>
      <c r="B521" s="38"/>
      <c r="C521" s="15"/>
      <c r="D521" s="15"/>
      <c r="E521" s="15"/>
      <c r="F521" s="15"/>
      <c r="G521" s="15"/>
      <c r="H521" s="15"/>
      <c r="I521" s="15"/>
      <c r="J521" s="15"/>
      <c r="K521" s="15"/>
      <c r="L521" s="15"/>
      <c r="M521" s="15"/>
      <c r="N521" s="15"/>
      <c r="O521" s="15"/>
      <c r="P521" s="15"/>
      <c r="Q521" s="15"/>
      <c r="R521" s="15"/>
    </row>
    <row r="522" spans="1:18" x14ac:dyDescent="0.2">
      <c r="A522" s="15"/>
      <c r="B522" s="38"/>
      <c r="C522" s="15"/>
      <c r="D522" s="15"/>
      <c r="E522" s="15"/>
      <c r="F522" s="15"/>
      <c r="G522" s="15"/>
      <c r="H522" s="15"/>
      <c r="I522" s="15"/>
      <c r="J522" s="15"/>
      <c r="K522" s="15"/>
      <c r="L522" s="15"/>
      <c r="M522" s="15"/>
      <c r="N522" s="15"/>
      <c r="O522" s="15"/>
      <c r="P522" s="15"/>
      <c r="Q522" s="15"/>
      <c r="R522" s="15"/>
    </row>
    <row r="523" spans="1:18" x14ac:dyDescent="0.2">
      <c r="A523" s="15"/>
      <c r="B523" s="38"/>
      <c r="C523" s="15"/>
      <c r="D523" s="15"/>
      <c r="E523" s="15"/>
      <c r="F523" s="15"/>
      <c r="G523" s="15"/>
      <c r="H523" s="15"/>
      <c r="I523" s="15"/>
      <c r="J523" s="15"/>
      <c r="K523" s="15"/>
      <c r="L523" s="15"/>
      <c r="M523" s="15"/>
      <c r="N523" s="15"/>
      <c r="O523" s="15"/>
      <c r="P523" s="15"/>
      <c r="Q523" s="15"/>
      <c r="R523" s="15"/>
    </row>
    <row r="524" spans="1:18" x14ac:dyDescent="0.2">
      <c r="A524" s="15"/>
      <c r="B524" s="38"/>
      <c r="C524" s="15"/>
      <c r="D524" s="15"/>
      <c r="E524" s="15"/>
      <c r="F524" s="15"/>
      <c r="G524" s="15"/>
      <c r="H524" s="15"/>
      <c r="I524" s="15"/>
      <c r="J524" s="15"/>
      <c r="K524" s="15"/>
      <c r="L524" s="15"/>
      <c r="M524" s="15"/>
      <c r="N524" s="15"/>
      <c r="O524" s="15"/>
      <c r="P524" s="15"/>
      <c r="Q524" s="15"/>
      <c r="R524" s="15"/>
    </row>
    <row r="525" spans="1:18" x14ac:dyDescent="0.2">
      <c r="A525" s="15"/>
      <c r="B525" s="38"/>
      <c r="C525" s="15"/>
      <c r="D525" s="15"/>
      <c r="E525" s="15"/>
      <c r="F525" s="15"/>
      <c r="G525" s="15"/>
      <c r="H525" s="15"/>
      <c r="I525" s="15"/>
      <c r="J525" s="15"/>
      <c r="K525" s="15"/>
      <c r="L525" s="15"/>
      <c r="M525" s="15"/>
      <c r="N525" s="15"/>
      <c r="O525" s="15"/>
      <c r="P525" s="15"/>
      <c r="Q525" s="15"/>
      <c r="R525" s="15"/>
    </row>
    <row r="526" spans="1:18" x14ac:dyDescent="0.2">
      <c r="A526" s="15"/>
      <c r="B526" s="38"/>
      <c r="C526" s="15"/>
      <c r="D526" s="15"/>
      <c r="E526" s="15"/>
      <c r="F526" s="15"/>
      <c r="G526" s="15"/>
      <c r="H526" s="15"/>
      <c r="I526" s="15"/>
      <c r="J526" s="15"/>
      <c r="K526" s="15"/>
      <c r="L526" s="15"/>
      <c r="M526" s="15"/>
      <c r="N526" s="15"/>
      <c r="O526" s="15"/>
      <c r="P526" s="15"/>
      <c r="Q526" s="15"/>
      <c r="R526" s="15"/>
    </row>
    <row r="527" spans="1:18" x14ac:dyDescent="0.2">
      <c r="A527" s="15"/>
      <c r="B527" s="38"/>
      <c r="C527" s="15"/>
      <c r="D527" s="15"/>
      <c r="E527" s="15"/>
      <c r="F527" s="15"/>
      <c r="G527" s="15"/>
      <c r="H527" s="15"/>
      <c r="I527" s="15"/>
      <c r="J527" s="15"/>
      <c r="K527" s="15"/>
      <c r="L527" s="15"/>
      <c r="M527" s="15"/>
      <c r="N527" s="15"/>
      <c r="O527" s="15"/>
      <c r="P527" s="15"/>
      <c r="Q527" s="15"/>
      <c r="R527" s="15"/>
    </row>
    <row r="528" spans="1:18" x14ac:dyDescent="0.2">
      <c r="A528" s="15"/>
      <c r="B528" s="38"/>
      <c r="C528" s="15"/>
      <c r="D528" s="15"/>
      <c r="E528" s="15"/>
      <c r="F528" s="15"/>
      <c r="G528" s="15"/>
      <c r="H528" s="15"/>
      <c r="I528" s="15"/>
      <c r="J528" s="15"/>
      <c r="K528" s="15"/>
      <c r="L528" s="15"/>
      <c r="M528" s="15"/>
      <c r="N528" s="15"/>
      <c r="O528" s="15"/>
      <c r="P528" s="15"/>
      <c r="Q528" s="15"/>
      <c r="R528" s="15"/>
    </row>
    <row r="529" spans="1:18" x14ac:dyDescent="0.2">
      <c r="A529" s="15"/>
      <c r="B529" s="38"/>
      <c r="C529" s="15"/>
      <c r="D529" s="15"/>
      <c r="E529" s="15"/>
      <c r="F529" s="15"/>
      <c r="G529" s="15"/>
      <c r="H529" s="15"/>
      <c r="I529" s="15"/>
      <c r="J529" s="15"/>
      <c r="K529" s="15"/>
      <c r="L529" s="15"/>
      <c r="M529" s="15"/>
      <c r="N529" s="15"/>
      <c r="O529" s="15"/>
      <c r="P529" s="15"/>
      <c r="Q529" s="15"/>
      <c r="R529" s="15"/>
    </row>
    <row r="530" spans="1:18" x14ac:dyDescent="0.2">
      <c r="A530" s="15"/>
      <c r="B530" s="38"/>
      <c r="C530" s="15"/>
      <c r="D530" s="15"/>
      <c r="E530" s="15"/>
      <c r="F530" s="15"/>
      <c r="G530" s="15"/>
      <c r="H530" s="15"/>
      <c r="I530" s="15"/>
      <c r="J530" s="15"/>
      <c r="K530" s="15"/>
      <c r="L530" s="15"/>
      <c r="M530" s="15"/>
      <c r="N530" s="15"/>
      <c r="O530" s="15"/>
      <c r="P530" s="15"/>
      <c r="Q530" s="15"/>
      <c r="R530" s="15"/>
    </row>
    <row r="531" spans="1:18" x14ac:dyDescent="0.2">
      <c r="A531" s="15"/>
      <c r="B531" s="38"/>
      <c r="C531" s="15"/>
      <c r="D531" s="15"/>
      <c r="E531" s="15"/>
      <c r="F531" s="15"/>
      <c r="G531" s="15"/>
      <c r="H531" s="15"/>
      <c r="I531" s="15"/>
      <c r="J531" s="15"/>
      <c r="K531" s="15"/>
      <c r="L531" s="15"/>
      <c r="M531" s="15"/>
      <c r="N531" s="15"/>
      <c r="O531" s="15"/>
      <c r="P531" s="15"/>
      <c r="Q531" s="15"/>
      <c r="R531" s="15"/>
    </row>
    <row r="532" spans="1:18" x14ac:dyDescent="0.2">
      <c r="A532" s="15"/>
      <c r="B532" s="38"/>
      <c r="C532" s="15"/>
      <c r="D532" s="15"/>
      <c r="E532" s="15"/>
      <c r="F532" s="15"/>
      <c r="G532" s="15"/>
      <c r="H532" s="15"/>
      <c r="I532" s="15"/>
      <c r="J532" s="15"/>
      <c r="K532" s="15"/>
      <c r="L532" s="15"/>
      <c r="M532" s="15"/>
      <c r="N532" s="15"/>
      <c r="O532" s="15"/>
      <c r="P532" s="15"/>
      <c r="Q532" s="15"/>
      <c r="R532" s="15"/>
    </row>
    <row r="533" spans="1:18" x14ac:dyDescent="0.2">
      <c r="A533" s="15"/>
      <c r="B533" s="38"/>
      <c r="C533" s="15"/>
      <c r="D533" s="15"/>
      <c r="E533" s="15"/>
      <c r="F533" s="15"/>
      <c r="G533" s="15"/>
      <c r="H533" s="15"/>
      <c r="I533" s="15"/>
      <c r="J533" s="15"/>
      <c r="K533" s="15"/>
      <c r="L533" s="15"/>
      <c r="M533" s="15"/>
      <c r="N533" s="15"/>
      <c r="O533" s="15"/>
      <c r="P533" s="15"/>
      <c r="Q533" s="15"/>
      <c r="R533" s="15"/>
    </row>
    <row r="534" spans="1:18" x14ac:dyDescent="0.2">
      <c r="A534" s="15"/>
      <c r="B534" s="38"/>
      <c r="C534" s="15"/>
      <c r="D534" s="15"/>
      <c r="E534" s="15"/>
      <c r="F534" s="15"/>
      <c r="G534" s="15"/>
      <c r="H534" s="15"/>
      <c r="I534" s="15"/>
      <c r="J534" s="15"/>
      <c r="K534" s="15"/>
      <c r="L534" s="15"/>
      <c r="M534" s="15"/>
      <c r="N534" s="15"/>
      <c r="O534" s="15"/>
      <c r="P534" s="15"/>
      <c r="Q534" s="15"/>
      <c r="R534" s="15"/>
    </row>
    <row r="535" spans="1:18" x14ac:dyDescent="0.2">
      <c r="A535" s="15"/>
      <c r="B535" s="38"/>
      <c r="C535" s="15"/>
      <c r="D535" s="15"/>
      <c r="E535" s="15"/>
      <c r="F535" s="15"/>
      <c r="G535" s="15"/>
      <c r="H535" s="15"/>
      <c r="I535" s="15"/>
      <c r="J535" s="15"/>
      <c r="K535" s="15"/>
      <c r="L535" s="15"/>
      <c r="M535" s="15"/>
      <c r="N535" s="15"/>
      <c r="O535" s="15"/>
      <c r="P535" s="15"/>
      <c r="Q535" s="15"/>
      <c r="R535" s="15"/>
    </row>
    <row r="536" spans="1:18" x14ac:dyDescent="0.2">
      <c r="A536" s="15"/>
      <c r="B536" s="38"/>
      <c r="C536" s="15"/>
      <c r="D536" s="15"/>
      <c r="E536" s="15"/>
      <c r="F536" s="15"/>
      <c r="G536" s="15"/>
      <c r="H536" s="15"/>
      <c r="I536" s="15"/>
      <c r="J536" s="15"/>
      <c r="K536" s="15"/>
      <c r="L536" s="15"/>
      <c r="M536" s="15"/>
      <c r="N536" s="15"/>
      <c r="O536" s="15"/>
      <c r="P536" s="15"/>
      <c r="Q536" s="15"/>
      <c r="R536" s="15"/>
    </row>
    <row r="537" spans="1:18" x14ac:dyDescent="0.2">
      <c r="A537" s="15"/>
      <c r="B537" s="38"/>
      <c r="C537" s="15"/>
      <c r="D537" s="15"/>
      <c r="E537" s="15"/>
      <c r="F537" s="15"/>
      <c r="G537" s="15"/>
      <c r="H537" s="15"/>
      <c r="I537" s="15"/>
      <c r="J537" s="15"/>
      <c r="K537" s="15"/>
      <c r="L537" s="15"/>
      <c r="M537" s="15"/>
      <c r="N537" s="15"/>
      <c r="O537" s="15"/>
      <c r="P537" s="15"/>
      <c r="Q537" s="15"/>
      <c r="R537" s="15"/>
    </row>
    <row r="538" spans="1:18" x14ac:dyDescent="0.2">
      <c r="A538" s="15"/>
      <c r="B538" s="38"/>
      <c r="C538" s="15"/>
      <c r="D538" s="15"/>
      <c r="E538" s="15"/>
      <c r="F538" s="15"/>
      <c r="G538" s="15"/>
      <c r="H538" s="15"/>
      <c r="I538" s="15"/>
      <c r="J538" s="15"/>
      <c r="K538" s="15"/>
      <c r="L538" s="15"/>
      <c r="M538" s="15"/>
      <c r="N538" s="15"/>
      <c r="O538" s="15"/>
      <c r="P538" s="15"/>
      <c r="Q538" s="15"/>
      <c r="R538" s="15"/>
    </row>
    <row r="539" spans="1:18" x14ac:dyDescent="0.2">
      <c r="A539" s="15"/>
      <c r="B539" s="38"/>
      <c r="C539" s="15"/>
      <c r="D539" s="15"/>
      <c r="E539" s="15"/>
      <c r="F539" s="15"/>
      <c r="G539" s="15"/>
      <c r="H539" s="15"/>
      <c r="I539" s="15"/>
      <c r="J539" s="15"/>
      <c r="K539" s="15"/>
      <c r="L539" s="15"/>
      <c r="M539" s="15"/>
      <c r="N539" s="15"/>
      <c r="O539" s="15"/>
      <c r="P539" s="15"/>
      <c r="Q539" s="15"/>
      <c r="R539" s="15"/>
    </row>
    <row r="540" spans="1:18" x14ac:dyDescent="0.2">
      <c r="A540" s="15"/>
      <c r="B540" s="38"/>
      <c r="C540" s="15"/>
      <c r="D540" s="15"/>
      <c r="E540" s="15"/>
      <c r="F540" s="15"/>
      <c r="G540" s="15"/>
      <c r="H540" s="15"/>
      <c r="I540" s="15"/>
      <c r="J540" s="15"/>
      <c r="K540" s="15"/>
      <c r="L540" s="15"/>
      <c r="M540" s="15"/>
      <c r="N540" s="15"/>
      <c r="O540" s="15"/>
      <c r="P540" s="15"/>
      <c r="Q540" s="15"/>
      <c r="R540" s="15"/>
    </row>
    <row r="541" spans="1:18" x14ac:dyDescent="0.2">
      <c r="A541" s="15"/>
      <c r="B541" s="38"/>
      <c r="C541" s="15"/>
      <c r="D541" s="15"/>
      <c r="E541" s="15"/>
      <c r="F541" s="15"/>
      <c r="G541" s="15"/>
      <c r="H541" s="15"/>
      <c r="I541" s="15"/>
      <c r="J541" s="15"/>
      <c r="K541" s="15"/>
      <c r="L541" s="15"/>
      <c r="M541" s="15"/>
      <c r="N541" s="15"/>
      <c r="O541" s="15"/>
      <c r="P541" s="15"/>
      <c r="Q541" s="15"/>
      <c r="R541" s="15"/>
    </row>
    <row r="542" spans="1:18" x14ac:dyDescent="0.2">
      <c r="A542" s="15"/>
      <c r="B542" s="38"/>
      <c r="C542" s="15"/>
      <c r="D542" s="15"/>
      <c r="E542" s="15"/>
      <c r="F542" s="15"/>
      <c r="G542" s="15"/>
      <c r="H542" s="15"/>
      <c r="I542" s="15"/>
      <c r="J542" s="15"/>
      <c r="K542" s="15"/>
      <c r="L542" s="15"/>
      <c r="M542" s="15"/>
      <c r="N542" s="15"/>
      <c r="O542" s="15"/>
      <c r="P542" s="15"/>
      <c r="Q542" s="15"/>
      <c r="R542" s="15"/>
    </row>
    <row r="543" spans="1:18" x14ac:dyDescent="0.2">
      <c r="A543" s="15"/>
      <c r="B543" s="38"/>
      <c r="C543" s="15"/>
      <c r="D543" s="15"/>
      <c r="E543" s="15"/>
      <c r="F543" s="15"/>
      <c r="G543" s="15"/>
      <c r="H543" s="15"/>
      <c r="I543" s="15"/>
      <c r="J543" s="15"/>
      <c r="K543" s="15"/>
      <c r="L543" s="15"/>
      <c r="M543" s="15"/>
      <c r="N543" s="15"/>
      <c r="O543" s="15"/>
      <c r="P543" s="15"/>
      <c r="Q543" s="15"/>
      <c r="R543" s="15"/>
    </row>
    <row r="544" spans="1:18" x14ac:dyDescent="0.2">
      <c r="A544" s="15"/>
      <c r="B544" s="38"/>
      <c r="C544" s="15"/>
      <c r="D544" s="15"/>
      <c r="E544" s="15"/>
      <c r="F544" s="15"/>
      <c r="G544" s="15"/>
      <c r="H544" s="15"/>
      <c r="I544" s="15"/>
      <c r="J544" s="15"/>
      <c r="K544" s="15"/>
      <c r="L544" s="15"/>
      <c r="M544" s="15"/>
      <c r="N544" s="15"/>
      <c r="O544" s="15"/>
      <c r="P544" s="15"/>
      <c r="Q544" s="15"/>
      <c r="R544" s="15"/>
    </row>
    <row r="545" spans="1:18" x14ac:dyDescent="0.2">
      <c r="A545" s="15"/>
      <c r="B545" s="38"/>
      <c r="C545" s="15"/>
      <c r="D545" s="15"/>
      <c r="E545" s="15"/>
      <c r="F545" s="15"/>
      <c r="G545" s="15"/>
      <c r="H545" s="15"/>
      <c r="I545" s="15"/>
      <c r="J545" s="15"/>
      <c r="K545" s="15"/>
      <c r="L545" s="15"/>
      <c r="M545" s="15"/>
      <c r="N545" s="15"/>
      <c r="O545" s="15"/>
      <c r="P545" s="15"/>
      <c r="Q545" s="15"/>
      <c r="R545" s="15"/>
    </row>
    <row r="546" spans="1:18" x14ac:dyDescent="0.2">
      <c r="A546" s="15"/>
      <c r="B546" s="38"/>
      <c r="C546" s="15"/>
      <c r="D546" s="15"/>
      <c r="E546" s="15"/>
      <c r="F546" s="15"/>
      <c r="G546" s="15"/>
      <c r="H546" s="15"/>
      <c r="I546" s="15"/>
      <c r="J546" s="15"/>
      <c r="K546" s="15"/>
      <c r="L546" s="15"/>
      <c r="M546" s="15"/>
      <c r="N546" s="15"/>
      <c r="O546" s="15"/>
      <c r="P546" s="15"/>
      <c r="Q546" s="15"/>
      <c r="R546" s="15"/>
    </row>
    <row r="547" spans="1:18" x14ac:dyDescent="0.2">
      <c r="A547" s="15"/>
      <c r="B547" s="38"/>
      <c r="C547" s="15"/>
      <c r="D547" s="15"/>
      <c r="E547" s="15"/>
      <c r="F547" s="15"/>
      <c r="G547" s="15"/>
      <c r="H547" s="15"/>
      <c r="I547" s="15"/>
      <c r="J547" s="15"/>
      <c r="K547" s="15"/>
      <c r="L547" s="15"/>
      <c r="M547" s="15"/>
      <c r="N547" s="15"/>
      <c r="O547" s="15"/>
      <c r="P547" s="15"/>
      <c r="Q547" s="15"/>
      <c r="R547" s="15"/>
    </row>
    <row r="548" spans="1:18" x14ac:dyDescent="0.2">
      <c r="A548" s="15"/>
      <c r="B548" s="38"/>
      <c r="C548" s="15"/>
      <c r="D548" s="15"/>
      <c r="E548" s="15"/>
      <c r="F548" s="15"/>
      <c r="G548" s="15"/>
      <c r="H548" s="15"/>
      <c r="I548" s="15"/>
      <c r="J548" s="15"/>
      <c r="K548" s="15"/>
      <c r="L548" s="15"/>
      <c r="M548" s="15"/>
      <c r="N548" s="15"/>
      <c r="O548" s="15"/>
      <c r="P548" s="15"/>
      <c r="Q548" s="15"/>
      <c r="R548" s="15"/>
    </row>
    <row r="549" spans="1:18" x14ac:dyDescent="0.2">
      <c r="A549" s="15"/>
      <c r="B549" s="38"/>
      <c r="C549" s="15"/>
      <c r="D549" s="15"/>
      <c r="E549" s="15"/>
      <c r="F549" s="15"/>
      <c r="G549" s="15"/>
      <c r="H549" s="15"/>
      <c r="I549" s="15"/>
      <c r="J549" s="15"/>
      <c r="K549" s="15"/>
      <c r="L549" s="15"/>
      <c r="M549" s="15"/>
      <c r="N549" s="15"/>
      <c r="O549" s="15"/>
      <c r="P549" s="15"/>
      <c r="Q549" s="15"/>
      <c r="R549" s="15"/>
    </row>
    <row r="550" spans="1:18" x14ac:dyDescent="0.2">
      <c r="A550" s="15"/>
      <c r="B550" s="38"/>
      <c r="C550" s="15"/>
      <c r="D550" s="15"/>
      <c r="E550" s="15"/>
      <c r="F550" s="15"/>
      <c r="G550" s="15"/>
      <c r="H550" s="15"/>
      <c r="I550" s="15"/>
      <c r="J550" s="15"/>
      <c r="K550" s="15"/>
      <c r="L550" s="15"/>
      <c r="M550" s="15"/>
      <c r="N550" s="15"/>
      <c r="O550" s="15"/>
      <c r="P550" s="15"/>
      <c r="Q550" s="15"/>
      <c r="R550" s="15"/>
    </row>
    <row r="551" spans="1:18" x14ac:dyDescent="0.2">
      <c r="A551" s="15"/>
      <c r="B551" s="38"/>
      <c r="C551" s="15"/>
      <c r="D551" s="15"/>
      <c r="E551" s="15"/>
      <c r="F551" s="15"/>
      <c r="G551" s="15"/>
      <c r="H551" s="15"/>
      <c r="I551" s="15"/>
      <c r="J551" s="15"/>
      <c r="K551" s="15"/>
      <c r="L551" s="15"/>
      <c r="M551" s="15"/>
      <c r="N551" s="15"/>
      <c r="O551" s="15"/>
      <c r="P551" s="15"/>
      <c r="Q551" s="15"/>
      <c r="R551" s="15"/>
    </row>
    <row r="552" spans="1:18" x14ac:dyDescent="0.2">
      <c r="A552" s="15"/>
      <c r="B552" s="38"/>
      <c r="C552" s="15"/>
      <c r="D552" s="15"/>
      <c r="E552" s="15"/>
      <c r="F552" s="15"/>
      <c r="G552" s="15"/>
      <c r="H552" s="15"/>
      <c r="I552" s="15"/>
      <c r="J552" s="15"/>
      <c r="K552" s="15"/>
      <c r="L552" s="15"/>
      <c r="M552" s="15"/>
      <c r="N552" s="15"/>
      <c r="O552" s="15"/>
      <c r="P552" s="15"/>
      <c r="Q552" s="15"/>
      <c r="R552" s="15"/>
    </row>
    <row r="553" spans="1:18" x14ac:dyDescent="0.2">
      <c r="A553" s="15"/>
      <c r="B553" s="38"/>
      <c r="C553" s="15"/>
      <c r="D553" s="15"/>
      <c r="E553" s="15"/>
      <c r="F553" s="15"/>
      <c r="G553" s="15"/>
      <c r="H553" s="15"/>
      <c r="I553" s="15"/>
      <c r="J553" s="15"/>
      <c r="K553" s="15"/>
      <c r="L553" s="15"/>
      <c r="M553" s="15"/>
      <c r="N553" s="15"/>
      <c r="O553" s="15"/>
      <c r="P553" s="15"/>
      <c r="Q553" s="15"/>
      <c r="R553" s="15"/>
    </row>
    <row r="554" spans="1:18" x14ac:dyDescent="0.2">
      <c r="A554" s="15"/>
      <c r="B554" s="38"/>
      <c r="C554" s="15"/>
      <c r="D554" s="15"/>
      <c r="E554" s="15"/>
      <c r="F554" s="15"/>
      <c r="G554" s="15"/>
      <c r="H554" s="15"/>
      <c r="I554" s="15"/>
      <c r="J554" s="15"/>
      <c r="K554" s="15"/>
      <c r="L554" s="15"/>
      <c r="M554" s="15"/>
      <c r="N554" s="15"/>
      <c r="O554" s="15"/>
      <c r="P554" s="15"/>
      <c r="Q554" s="15"/>
      <c r="R554" s="15"/>
    </row>
    <row r="555" spans="1:18" x14ac:dyDescent="0.2">
      <c r="A555" s="15"/>
      <c r="B555" s="38"/>
      <c r="C555" s="15"/>
      <c r="D555" s="15"/>
      <c r="E555" s="15"/>
      <c r="F555" s="15"/>
      <c r="G555" s="15"/>
      <c r="H555" s="15"/>
      <c r="I555" s="15"/>
      <c r="J555" s="15"/>
      <c r="K555" s="15"/>
      <c r="L555" s="15"/>
      <c r="M555" s="15"/>
      <c r="N555" s="15"/>
      <c r="O555" s="15"/>
      <c r="P555" s="15"/>
      <c r="Q555" s="15"/>
      <c r="R555" s="15"/>
    </row>
    <row r="556" spans="1:18" x14ac:dyDescent="0.2">
      <c r="A556" s="15"/>
      <c r="B556" s="38"/>
      <c r="C556" s="15"/>
      <c r="D556" s="15"/>
      <c r="E556" s="15"/>
      <c r="F556" s="15"/>
      <c r="G556" s="15"/>
      <c r="H556" s="15"/>
      <c r="I556" s="15"/>
      <c r="J556" s="15"/>
      <c r="K556" s="15"/>
      <c r="L556" s="15"/>
      <c r="M556" s="15"/>
      <c r="N556" s="15"/>
      <c r="O556" s="15"/>
      <c r="P556" s="15"/>
      <c r="Q556" s="15"/>
      <c r="R556" s="15"/>
    </row>
    <row r="557" spans="1:18" x14ac:dyDescent="0.2">
      <c r="A557" s="15"/>
      <c r="B557" s="38"/>
      <c r="C557" s="15"/>
      <c r="D557" s="15"/>
      <c r="E557" s="15"/>
      <c r="F557" s="15"/>
      <c r="G557" s="15"/>
      <c r="H557" s="15"/>
      <c r="I557" s="15"/>
      <c r="J557" s="15"/>
      <c r="K557" s="15"/>
      <c r="L557" s="15"/>
      <c r="M557" s="15"/>
      <c r="N557" s="15"/>
      <c r="O557" s="15"/>
      <c r="P557" s="15"/>
      <c r="Q557" s="15"/>
      <c r="R557" s="15"/>
    </row>
    <row r="558" spans="1:18" x14ac:dyDescent="0.2">
      <c r="A558" s="15"/>
      <c r="B558" s="38"/>
      <c r="C558" s="15"/>
      <c r="D558" s="15"/>
      <c r="E558" s="15"/>
      <c r="F558" s="15"/>
      <c r="G558" s="15"/>
      <c r="H558" s="15"/>
      <c r="I558" s="15"/>
      <c r="J558" s="15"/>
      <c r="K558" s="15"/>
      <c r="L558" s="15"/>
      <c r="M558" s="15"/>
      <c r="N558" s="15"/>
      <c r="O558" s="15"/>
      <c r="P558" s="15"/>
      <c r="Q558" s="15"/>
      <c r="R558" s="15"/>
    </row>
    <row r="559" spans="1:18" x14ac:dyDescent="0.2">
      <c r="A559" s="15"/>
      <c r="B559" s="38"/>
      <c r="C559" s="15"/>
      <c r="D559" s="15"/>
      <c r="E559" s="15"/>
      <c r="F559" s="15"/>
      <c r="G559" s="15"/>
      <c r="H559" s="15"/>
      <c r="I559" s="15"/>
      <c r="J559" s="15"/>
      <c r="K559" s="15"/>
      <c r="L559" s="15"/>
      <c r="M559" s="15"/>
      <c r="N559" s="15"/>
      <c r="O559" s="15"/>
      <c r="P559" s="15"/>
      <c r="Q559" s="15"/>
      <c r="R559" s="15"/>
    </row>
    <row r="560" spans="1:18" x14ac:dyDescent="0.2">
      <c r="A560" s="15"/>
      <c r="B560" s="38"/>
      <c r="C560" s="15"/>
      <c r="D560" s="15"/>
      <c r="E560" s="15"/>
      <c r="F560" s="15"/>
      <c r="G560" s="15"/>
      <c r="H560" s="15"/>
      <c r="I560" s="15"/>
      <c r="J560" s="15"/>
      <c r="K560" s="15"/>
      <c r="L560" s="15"/>
      <c r="M560" s="15"/>
      <c r="N560" s="15"/>
      <c r="O560" s="15"/>
      <c r="P560" s="15"/>
      <c r="Q560" s="15"/>
      <c r="R560" s="15"/>
    </row>
    <row r="561" spans="1:18" x14ac:dyDescent="0.2">
      <c r="A561" s="15"/>
      <c r="B561" s="38"/>
      <c r="C561" s="15"/>
      <c r="D561" s="15"/>
      <c r="E561" s="15"/>
      <c r="F561" s="15"/>
      <c r="G561" s="15"/>
      <c r="H561" s="15"/>
      <c r="I561" s="15"/>
      <c r="J561" s="15"/>
      <c r="K561" s="15"/>
      <c r="L561" s="15"/>
      <c r="M561" s="15"/>
      <c r="N561" s="15"/>
      <c r="O561" s="15"/>
      <c r="P561" s="15"/>
      <c r="Q561" s="15"/>
      <c r="R561" s="15"/>
    </row>
    <row r="562" spans="1:18" x14ac:dyDescent="0.2">
      <c r="A562" s="15"/>
      <c r="B562" s="38"/>
      <c r="C562" s="15"/>
      <c r="D562" s="15"/>
      <c r="E562" s="15"/>
      <c r="F562" s="15"/>
      <c r="G562" s="15"/>
      <c r="H562" s="15"/>
      <c r="I562" s="15"/>
      <c r="J562" s="15"/>
      <c r="K562" s="15"/>
      <c r="L562" s="15"/>
      <c r="M562" s="15"/>
      <c r="N562" s="15"/>
      <c r="O562" s="15"/>
      <c r="P562" s="15"/>
      <c r="Q562" s="15"/>
      <c r="R562" s="15"/>
    </row>
    <row r="563" spans="1:18" x14ac:dyDescent="0.2">
      <c r="A563" s="15"/>
      <c r="B563" s="38"/>
      <c r="C563" s="15"/>
      <c r="D563" s="15"/>
      <c r="E563" s="15"/>
      <c r="F563" s="15"/>
      <c r="G563" s="15"/>
      <c r="H563" s="15"/>
      <c r="I563" s="15"/>
      <c r="J563" s="15"/>
      <c r="K563" s="15"/>
      <c r="L563" s="15"/>
      <c r="M563" s="15"/>
      <c r="N563" s="15"/>
      <c r="O563" s="15"/>
      <c r="P563" s="15"/>
      <c r="Q563" s="15"/>
      <c r="R563" s="15"/>
    </row>
    <row r="564" spans="1:18" x14ac:dyDescent="0.2">
      <c r="A564" s="15"/>
      <c r="B564" s="38"/>
      <c r="C564" s="15"/>
      <c r="D564" s="15"/>
      <c r="E564" s="15"/>
      <c r="F564" s="15"/>
      <c r="G564" s="15"/>
      <c r="H564" s="15"/>
      <c r="I564" s="15"/>
      <c r="J564" s="15"/>
      <c r="K564" s="15"/>
      <c r="L564" s="15"/>
      <c r="M564" s="15"/>
      <c r="N564" s="15"/>
      <c r="O564" s="15"/>
      <c r="P564" s="15"/>
      <c r="Q564" s="15"/>
      <c r="R564" s="15"/>
    </row>
    <row r="565" spans="1:18" x14ac:dyDescent="0.2">
      <c r="A565" s="15"/>
      <c r="B565" s="38"/>
      <c r="C565" s="15"/>
      <c r="D565" s="15"/>
      <c r="E565" s="15"/>
      <c r="F565" s="15"/>
      <c r="G565" s="15"/>
      <c r="H565" s="15"/>
      <c r="I565" s="15"/>
      <c r="J565" s="15"/>
      <c r="K565" s="15"/>
      <c r="L565" s="15"/>
      <c r="M565" s="15"/>
      <c r="N565" s="15"/>
      <c r="O565" s="15"/>
      <c r="P565" s="15"/>
      <c r="Q565" s="15"/>
      <c r="R565" s="15"/>
    </row>
    <row r="566" spans="1:18" x14ac:dyDescent="0.2">
      <c r="A566" s="15"/>
      <c r="B566" s="38"/>
      <c r="C566" s="15"/>
      <c r="D566" s="15"/>
      <c r="E566" s="15"/>
      <c r="F566" s="15"/>
      <c r="G566" s="15"/>
      <c r="H566" s="15"/>
      <c r="I566" s="15"/>
      <c r="J566" s="15"/>
      <c r="K566" s="15"/>
      <c r="L566" s="15"/>
      <c r="M566" s="15"/>
      <c r="N566" s="15"/>
      <c r="O566" s="15"/>
      <c r="P566" s="15"/>
      <c r="Q566" s="15"/>
      <c r="R566" s="15"/>
    </row>
    <row r="567" spans="1:18" x14ac:dyDescent="0.2">
      <c r="A567" s="15"/>
      <c r="B567" s="38"/>
      <c r="C567" s="15"/>
      <c r="D567" s="15"/>
      <c r="E567" s="15"/>
      <c r="F567" s="15"/>
      <c r="G567" s="15"/>
      <c r="H567" s="15"/>
      <c r="I567" s="15"/>
      <c r="J567" s="15"/>
      <c r="K567" s="15"/>
      <c r="L567" s="15"/>
      <c r="M567" s="15"/>
      <c r="N567" s="15"/>
      <c r="O567" s="15"/>
      <c r="P567" s="15"/>
      <c r="Q567" s="15"/>
      <c r="R567" s="15"/>
    </row>
    <row r="568" spans="1:18" x14ac:dyDescent="0.2">
      <c r="A568" s="15"/>
      <c r="B568" s="38"/>
      <c r="C568" s="15"/>
      <c r="D568" s="15"/>
      <c r="E568" s="15"/>
      <c r="F568" s="15"/>
      <c r="G568" s="15"/>
      <c r="H568" s="15"/>
      <c r="I568" s="15"/>
      <c r="J568" s="15"/>
      <c r="K568" s="15"/>
      <c r="L568" s="15"/>
      <c r="M568" s="15"/>
      <c r="N568" s="15"/>
      <c r="O568" s="15"/>
      <c r="P568" s="15"/>
      <c r="Q568" s="15"/>
      <c r="R568" s="15"/>
    </row>
    <row r="569" spans="1:18" x14ac:dyDescent="0.2">
      <c r="A569" s="15"/>
      <c r="B569" s="38"/>
      <c r="C569" s="15"/>
      <c r="D569" s="15"/>
      <c r="E569" s="15"/>
      <c r="F569" s="15"/>
      <c r="G569" s="15"/>
      <c r="H569" s="15"/>
      <c r="I569" s="15"/>
      <c r="J569" s="15"/>
      <c r="K569" s="15"/>
      <c r="L569" s="15"/>
      <c r="M569" s="15"/>
      <c r="N569" s="15"/>
      <c r="O569" s="15"/>
      <c r="P569" s="15"/>
      <c r="Q569" s="15"/>
      <c r="R569" s="15"/>
    </row>
    <row r="570" spans="1:18" x14ac:dyDescent="0.2">
      <c r="A570" s="15"/>
      <c r="B570" s="38"/>
      <c r="C570" s="15"/>
      <c r="D570" s="15"/>
      <c r="E570" s="15"/>
      <c r="F570" s="15"/>
      <c r="G570" s="15"/>
      <c r="H570" s="15"/>
      <c r="I570" s="15"/>
      <c r="J570" s="15"/>
      <c r="K570" s="15"/>
      <c r="L570" s="15"/>
      <c r="M570" s="15"/>
      <c r="N570" s="15"/>
      <c r="O570" s="15"/>
      <c r="P570" s="15"/>
      <c r="Q570" s="15"/>
      <c r="R570" s="15"/>
    </row>
    <row r="571" spans="1:18" x14ac:dyDescent="0.2">
      <c r="A571" s="15"/>
      <c r="B571" s="38"/>
      <c r="C571" s="15"/>
      <c r="D571" s="15"/>
      <c r="E571" s="15"/>
      <c r="F571" s="15"/>
      <c r="G571" s="15"/>
      <c r="H571" s="15"/>
      <c r="I571" s="15"/>
      <c r="J571" s="15"/>
      <c r="K571" s="15"/>
      <c r="L571" s="15"/>
      <c r="M571" s="15"/>
      <c r="N571" s="15"/>
      <c r="O571" s="15"/>
      <c r="P571" s="15"/>
      <c r="Q571" s="15"/>
      <c r="R571" s="15"/>
    </row>
    <row r="572" spans="1:18" x14ac:dyDescent="0.2">
      <c r="A572" s="15"/>
      <c r="B572" s="38"/>
      <c r="C572" s="15"/>
      <c r="D572" s="15"/>
      <c r="E572" s="15"/>
      <c r="F572" s="15"/>
      <c r="G572" s="15"/>
      <c r="H572" s="15"/>
      <c r="I572" s="15"/>
      <c r="J572" s="15"/>
      <c r="K572" s="15"/>
      <c r="L572" s="15"/>
      <c r="M572" s="15"/>
      <c r="N572" s="15"/>
      <c r="O572" s="15"/>
      <c r="P572" s="15"/>
      <c r="Q572" s="15"/>
      <c r="R572" s="15"/>
    </row>
    <row r="573" spans="1:18" x14ac:dyDescent="0.2">
      <c r="A573" s="15"/>
      <c r="B573" s="38"/>
      <c r="C573" s="15"/>
      <c r="D573" s="15"/>
      <c r="E573" s="15"/>
      <c r="F573" s="15"/>
      <c r="G573" s="15"/>
      <c r="H573" s="15"/>
      <c r="I573" s="15"/>
      <c r="J573" s="15"/>
      <c r="K573" s="15"/>
      <c r="L573" s="15"/>
      <c r="M573" s="15"/>
      <c r="N573" s="15"/>
      <c r="O573" s="15"/>
      <c r="P573" s="15"/>
      <c r="Q573" s="15"/>
      <c r="R573" s="15"/>
    </row>
    <row r="574" spans="1:18" x14ac:dyDescent="0.2">
      <c r="A574" s="15"/>
      <c r="B574" s="38"/>
      <c r="C574" s="15"/>
      <c r="D574" s="15"/>
      <c r="E574" s="15"/>
      <c r="F574" s="15"/>
      <c r="G574" s="15"/>
      <c r="H574" s="15"/>
      <c r="I574" s="15"/>
      <c r="J574" s="15"/>
      <c r="K574" s="15"/>
      <c r="L574" s="15"/>
      <c r="M574" s="15"/>
      <c r="N574" s="15"/>
      <c r="O574" s="15"/>
      <c r="P574" s="15"/>
      <c r="Q574" s="15"/>
      <c r="R574" s="15"/>
    </row>
    <row r="575" spans="1:18" x14ac:dyDescent="0.2">
      <c r="A575" s="15"/>
      <c r="B575" s="38"/>
      <c r="C575" s="15"/>
      <c r="D575" s="15"/>
      <c r="E575" s="15"/>
      <c r="F575" s="15"/>
      <c r="G575" s="15"/>
      <c r="H575" s="15"/>
      <c r="I575" s="15"/>
      <c r="J575" s="15"/>
      <c r="K575" s="15"/>
      <c r="L575" s="15"/>
      <c r="M575" s="15"/>
      <c r="N575" s="15"/>
      <c r="O575" s="15"/>
      <c r="P575" s="15"/>
      <c r="Q575" s="15"/>
      <c r="R575" s="15"/>
    </row>
    <row r="576" spans="1:18" x14ac:dyDescent="0.2">
      <c r="A576" s="15"/>
      <c r="B576" s="38"/>
      <c r="C576" s="15"/>
      <c r="D576" s="15"/>
      <c r="E576" s="15"/>
      <c r="F576" s="15"/>
      <c r="G576" s="15"/>
      <c r="H576" s="15"/>
      <c r="I576" s="15"/>
      <c r="J576" s="15"/>
      <c r="K576" s="15"/>
      <c r="L576" s="15"/>
      <c r="M576" s="15"/>
      <c r="N576" s="15"/>
      <c r="O576" s="15"/>
      <c r="P576" s="15"/>
      <c r="Q576" s="15"/>
      <c r="R576" s="15"/>
    </row>
    <row r="577" spans="1:18" x14ac:dyDescent="0.2">
      <c r="A577" s="15"/>
      <c r="B577" s="38"/>
      <c r="C577" s="15"/>
      <c r="D577" s="15"/>
      <c r="E577" s="15"/>
      <c r="F577" s="15"/>
      <c r="G577" s="15"/>
      <c r="H577" s="15"/>
      <c r="I577" s="15"/>
      <c r="J577" s="15"/>
      <c r="K577" s="15"/>
      <c r="L577" s="15"/>
      <c r="M577" s="15"/>
      <c r="N577" s="15"/>
      <c r="O577" s="15"/>
      <c r="P577" s="15"/>
      <c r="Q577" s="15"/>
      <c r="R577" s="15"/>
    </row>
    <row r="578" spans="1:18" x14ac:dyDescent="0.2">
      <c r="A578" s="15"/>
      <c r="B578" s="38"/>
      <c r="C578" s="15"/>
      <c r="D578" s="15"/>
      <c r="E578" s="15"/>
      <c r="F578" s="15"/>
      <c r="G578" s="15"/>
      <c r="H578" s="15"/>
      <c r="I578" s="15"/>
      <c r="J578" s="15"/>
      <c r="K578" s="15"/>
      <c r="L578" s="15"/>
      <c r="M578" s="15"/>
      <c r="N578" s="15"/>
      <c r="O578" s="15"/>
      <c r="P578" s="15"/>
      <c r="Q578" s="15"/>
      <c r="R578" s="15"/>
    </row>
    <row r="579" spans="1:18" x14ac:dyDescent="0.2">
      <c r="A579" s="15"/>
      <c r="B579" s="38"/>
      <c r="C579" s="15"/>
      <c r="D579" s="15"/>
      <c r="E579" s="15"/>
      <c r="F579" s="15"/>
      <c r="G579" s="15"/>
      <c r="H579" s="15"/>
      <c r="I579" s="15"/>
      <c r="J579" s="15"/>
      <c r="K579" s="15"/>
      <c r="L579" s="15"/>
      <c r="M579" s="15"/>
      <c r="N579" s="15"/>
      <c r="O579" s="15"/>
      <c r="P579" s="15"/>
      <c r="Q579" s="15"/>
      <c r="R579" s="15"/>
    </row>
    <row r="580" spans="1:18" x14ac:dyDescent="0.2">
      <c r="A580" s="15"/>
      <c r="B580" s="38"/>
      <c r="C580" s="15"/>
      <c r="D580" s="15"/>
      <c r="E580" s="15"/>
      <c r="F580" s="15"/>
      <c r="G580" s="15"/>
      <c r="H580" s="15"/>
      <c r="I580" s="15"/>
      <c r="J580" s="15"/>
      <c r="K580" s="15"/>
      <c r="L580" s="15"/>
      <c r="M580" s="15"/>
      <c r="N580" s="15"/>
      <c r="O580" s="15"/>
      <c r="P580" s="15"/>
      <c r="Q580" s="15"/>
      <c r="R580" s="15"/>
    </row>
    <row r="581" spans="1:18" x14ac:dyDescent="0.2">
      <c r="A581" s="15"/>
      <c r="B581" s="38"/>
      <c r="C581" s="15"/>
      <c r="D581" s="15"/>
      <c r="E581" s="15"/>
      <c r="F581" s="15"/>
      <c r="G581" s="15"/>
      <c r="H581" s="15"/>
      <c r="I581" s="15"/>
      <c r="J581" s="15"/>
      <c r="K581" s="15"/>
      <c r="L581" s="15"/>
      <c r="M581" s="15"/>
      <c r="N581" s="15"/>
      <c r="O581" s="15"/>
      <c r="P581" s="15"/>
      <c r="Q581" s="15"/>
      <c r="R581" s="15"/>
    </row>
    <row r="582" spans="1:18" x14ac:dyDescent="0.2">
      <c r="A582" s="15"/>
      <c r="B582" s="38"/>
      <c r="C582" s="15"/>
      <c r="D582" s="15"/>
      <c r="E582" s="15"/>
      <c r="F582" s="15"/>
      <c r="G582" s="15"/>
      <c r="H582" s="15"/>
      <c r="I582" s="15"/>
      <c r="J582" s="15"/>
      <c r="K582" s="15"/>
      <c r="L582" s="15"/>
      <c r="M582" s="15"/>
      <c r="N582" s="15"/>
      <c r="O582" s="15"/>
      <c r="P582" s="15"/>
      <c r="Q582" s="15"/>
      <c r="R582" s="15"/>
    </row>
    <row r="583" spans="1:18" x14ac:dyDescent="0.2">
      <c r="A583" s="15"/>
      <c r="B583" s="38"/>
      <c r="C583" s="15"/>
      <c r="D583" s="15"/>
      <c r="E583" s="15"/>
      <c r="F583" s="15"/>
      <c r="G583" s="15"/>
      <c r="H583" s="15"/>
      <c r="I583" s="15"/>
      <c r="J583" s="15"/>
      <c r="K583" s="15"/>
      <c r="L583" s="15"/>
      <c r="M583" s="15"/>
      <c r="N583" s="15"/>
      <c r="O583" s="15"/>
      <c r="P583" s="15"/>
      <c r="Q583" s="15"/>
      <c r="R583" s="15"/>
    </row>
    <row r="584" spans="1:18" x14ac:dyDescent="0.2">
      <c r="A584" s="15"/>
      <c r="B584" s="38"/>
      <c r="C584" s="15"/>
      <c r="D584" s="15"/>
      <c r="E584" s="15"/>
      <c r="F584" s="15"/>
      <c r="G584" s="15"/>
      <c r="H584" s="15"/>
      <c r="I584" s="15"/>
      <c r="J584" s="15"/>
      <c r="K584" s="15"/>
      <c r="L584" s="15"/>
      <c r="M584" s="15"/>
      <c r="N584" s="15"/>
      <c r="O584" s="15"/>
      <c r="P584" s="15"/>
      <c r="Q584" s="15"/>
      <c r="R584" s="15"/>
    </row>
    <row r="585" spans="1:18" x14ac:dyDescent="0.2">
      <c r="A585" s="15"/>
      <c r="B585" s="38"/>
      <c r="C585" s="15"/>
      <c r="D585" s="15"/>
      <c r="E585" s="15"/>
      <c r="F585" s="15"/>
      <c r="G585" s="15"/>
      <c r="H585" s="15"/>
      <c r="I585" s="15"/>
      <c r="J585" s="15"/>
      <c r="K585" s="15"/>
      <c r="L585" s="15"/>
      <c r="M585" s="15"/>
      <c r="N585" s="15"/>
      <c r="O585" s="15"/>
      <c r="P585" s="15"/>
      <c r="Q585" s="15"/>
      <c r="R585" s="15"/>
    </row>
    <row r="586" spans="1:18" x14ac:dyDescent="0.2">
      <c r="A586" s="15"/>
      <c r="B586" s="38"/>
      <c r="C586" s="15"/>
      <c r="D586" s="15"/>
      <c r="E586" s="15"/>
      <c r="F586" s="15"/>
      <c r="G586" s="15"/>
      <c r="H586" s="15"/>
      <c r="I586" s="15"/>
      <c r="J586" s="15"/>
      <c r="K586" s="15"/>
      <c r="L586" s="15"/>
      <c r="M586" s="15"/>
      <c r="N586" s="15"/>
      <c r="O586" s="15"/>
      <c r="P586" s="15"/>
      <c r="Q586" s="15"/>
      <c r="R586" s="15"/>
    </row>
    <row r="587" spans="1:18" x14ac:dyDescent="0.2">
      <c r="A587" s="15"/>
      <c r="B587" s="38"/>
      <c r="C587" s="15"/>
      <c r="D587" s="15"/>
      <c r="E587" s="15"/>
      <c r="F587" s="15"/>
      <c r="G587" s="15"/>
      <c r="H587" s="15"/>
      <c r="I587" s="15"/>
      <c r="J587" s="15"/>
      <c r="K587" s="15"/>
      <c r="L587" s="15"/>
      <c r="M587" s="15"/>
      <c r="N587" s="15"/>
      <c r="O587" s="15"/>
      <c r="P587" s="15"/>
      <c r="Q587" s="15"/>
      <c r="R587" s="15"/>
    </row>
    <row r="588" spans="1:18" x14ac:dyDescent="0.2">
      <c r="A588" s="15"/>
      <c r="B588" s="38"/>
      <c r="C588" s="15"/>
      <c r="D588" s="15"/>
      <c r="E588" s="15"/>
      <c r="F588" s="15"/>
      <c r="G588" s="15"/>
      <c r="H588" s="15"/>
      <c r="I588" s="15"/>
      <c r="J588" s="15"/>
      <c r="K588" s="15"/>
      <c r="L588" s="15"/>
      <c r="M588" s="15"/>
      <c r="N588" s="15"/>
      <c r="O588" s="15"/>
      <c r="P588" s="15"/>
      <c r="Q588" s="15"/>
      <c r="R588" s="15"/>
    </row>
    <row r="589" spans="1:18" x14ac:dyDescent="0.2">
      <c r="A589" s="15"/>
      <c r="B589" s="38"/>
      <c r="C589" s="15"/>
      <c r="D589" s="15"/>
      <c r="E589" s="15"/>
      <c r="F589" s="15"/>
      <c r="G589" s="15"/>
      <c r="H589" s="15"/>
      <c r="I589" s="15"/>
      <c r="J589" s="15"/>
      <c r="K589" s="15"/>
      <c r="L589" s="15"/>
      <c r="M589" s="15"/>
      <c r="N589" s="15"/>
      <c r="O589" s="15"/>
      <c r="P589" s="15"/>
      <c r="Q589" s="15"/>
      <c r="R589" s="15"/>
    </row>
    <row r="590" spans="1:18" x14ac:dyDescent="0.2">
      <c r="A590" s="15"/>
      <c r="B590" s="38"/>
      <c r="C590" s="15"/>
      <c r="D590" s="15"/>
      <c r="E590" s="15"/>
      <c r="F590" s="15"/>
      <c r="G590" s="15"/>
      <c r="H590" s="15"/>
      <c r="I590" s="15"/>
      <c r="J590" s="15"/>
      <c r="K590" s="15"/>
      <c r="L590" s="15"/>
      <c r="M590" s="15"/>
      <c r="N590" s="15"/>
      <c r="O590" s="15"/>
      <c r="P590" s="15"/>
      <c r="Q590" s="15"/>
      <c r="R590" s="15"/>
    </row>
    <row r="591" spans="1:18" x14ac:dyDescent="0.2">
      <c r="A591" s="15"/>
      <c r="B591" s="38"/>
      <c r="C591" s="15"/>
      <c r="D591" s="15"/>
      <c r="E591" s="15"/>
      <c r="F591" s="15"/>
      <c r="G591" s="15"/>
      <c r="H591" s="15"/>
      <c r="I591" s="15"/>
      <c r="J591" s="15"/>
      <c r="K591" s="15"/>
      <c r="L591" s="15"/>
      <c r="M591" s="15"/>
      <c r="N591" s="15"/>
      <c r="O591" s="15"/>
      <c r="P591" s="15"/>
      <c r="Q591" s="15"/>
      <c r="R591" s="15"/>
    </row>
    <row r="592" spans="1:18" x14ac:dyDescent="0.2">
      <c r="A592" s="15"/>
      <c r="B592" s="38"/>
      <c r="C592" s="15"/>
      <c r="D592" s="15"/>
      <c r="E592" s="15"/>
      <c r="F592" s="15"/>
      <c r="G592" s="15"/>
      <c r="H592" s="15"/>
      <c r="I592" s="15"/>
      <c r="J592" s="15"/>
      <c r="K592" s="15"/>
      <c r="L592" s="15"/>
      <c r="M592" s="15"/>
      <c r="N592" s="15"/>
      <c r="O592" s="15"/>
      <c r="P592" s="15"/>
      <c r="Q592" s="15"/>
      <c r="R592" s="15"/>
    </row>
    <row r="593" spans="1:18" x14ac:dyDescent="0.2">
      <c r="A593" s="15"/>
      <c r="B593" s="38"/>
      <c r="C593" s="15"/>
      <c r="D593" s="15"/>
      <c r="E593" s="15"/>
      <c r="F593" s="15"/>
      <c r="G593" s="15"/>
      <c r="H593" s="15"/>
      <c r="I593" s="15"/>
      <c r="J593" s="15"/>
      <c r="K593" s="15"/>
      <c r="L593" s="15"/>
      <c r="M593" s="15"/>
      <c r="N593" s="15"/>
      <c r="O593" s="15"/>
      <c r="P593" s="15"/>
      <c r="Q593" s="15"/>
      <c r="R593" s="15"/>
    </row>
    <row r="594" spans="1:18" x14ac:dyDescent="0.2">
      <c r="A594" s="15"/>
      <c r="B594" s="38"/>
      <c r="C594" s="15"/>
      <c r="D594" s="15"/>
      <c r="E594" s="15"/>
      <c r="F594" s="15"/>
      <c r="G594" s="15"/>
      <c r="H594" s="15"/>
      <c r="I594" s="15"/>
      <c r="J594" s="15"/>
      <c r="K594" s="15"/>
      <c r="L594" s="15"/>
      <c r="M594" s="15"/>
      <c r="N594" s="15"/>
      <c r="O594" s="15"/>
      <c r="P594" s="15"/>
      <c r="Q594" s="15"/>
      <c r="R594" s="15"/>
    </row>
    <row r="595" spans="1:18" x14ac:dyDescent="0.2">
      <c r="A595" s="15"/>
      <c r="B595" s="38"/>
      <c r="C595" s="15"/>
      <c r="D595" s="15"/>
      <c r="E595" s="15"/>
      <c r="F595" s="15"/>
      <c r="G595" s="15"/>
      <c r="H595" s="15"/>
      <c r="I595" s="15"/>
      <c r="J595" s="15"/>
      <c r="K595" s="15"/>
      <c r="L595" s="15"/>
      <c r="M595" s="15"/>
      <c r="N595" s="15"/>
      <c r="O595" s="15"/>
      <c r="P595" s="15"/>
      <c r="Q595" s="15"/>
      <c r="R595" s="15"/>
    </row>
    <row r="596" spans="1:18" x14ac:dyDescent="0.2">
      <c r="A596" s="15"/>
      <c r="B596" s="38"/>
      <c r="C596" s="15"/>
      <c r="D596" s="15"/>
      <c r="E596" s="15"/>
      <c r="F596" s="15"/>
      <c r="G596" s="15"/>
      <c r="H596" s="15"/>
      <c r="I596" s="15"/>
      <c r="J596" s="15"/>
      <c r="K596" s="15"/>
      <c r="L596" s="15"/>
      <c r="M596" s="15"/>
      <c r="N596" s="15"/>
      <c r="O596" s="15"/>
      <c r="P596" s="15"/>
      <c r="Q596" s="15"/>
      <c r="R596" s="15"/>
    </row>
    <row r="597" spans="1:18" x14ac:dyDescent="0.2">
      <c r="A597" s="15"/>
      <c r="B597" s="38"/>
      <c r="C597" s="15"/>
      <c r="D597" s="15"/>
      <c r="E597" s="15"/>
      <c r="F597" s="15"/>
      <c r="G597" s="15"/>
      <c r="H597" s="15"/>
      <c r="I597" s="15"/>
      <c r="J597" s="15"/>
      <c r="K597" s="15"/>
      <c r="L597" s="15"/>
      <c r="M597" s="15"/>
      <c r="N597" s="15"/>
      <c r="O597" s="15"/>
      <c r="P597" s="15"/>
      <c r="Q597" s="15"/>
      <c r="R597" s="15"/>
    </row>
    <row r="598" spans="1:18" x14ac:dyDescent="0.2">
      <c r="A598" s="15"/>
      <c r="B598" s="38"/>
      <c r="C598" s="15"/>
      <c r="D598" s="15"/>
      <c r="E598" s="15"/>
      <c r="F598" s="15"/>
      <c r="G598" s="15"/>
      <c r="H598" s="15"/>
      <c r="I598" s="15"/>
      <c r="J598" s="15"/>
      <c r="K598" s="15"/>
      <c r="L598" s="15"/>
      <c r="M598" s="15"/>
      <c r="N598" s="15"/>
      <c r="O598" s="15"/>
      <c r="P598" s="15"/>
      <c r="Q598" s="15"/>
      <c r="R598" s="15"/>
    </row>
    <row r="599" spans="1:18" x14ac:dyDescent="0.2">
      <c r="A599" s="15"/>
      <c r="B599" s="38"/>
      <c r="C599" s="15"/>
      <c r="D599" s="15"/>
      <c r="E599" s="15"/>
      <c r="F599" s="15"/>
      <c r="G599" s="15"/>
      <c r="H599" s="15"/>
      <c r="I599" s="15"/>
      <c r="J599" s="15"/>
      <c r="K599" s="15"/>
      <c r="L599" s="15"/>
      <c r="M599" s="15"/>
      <c r="N599" s="15"/>
      <c r="O599" s="15"/>
      <c r="P599" s="15"/>
      <c r="Q599" s="15"/>
      <c r="R599" s="15"/>
    </row>
    <row r="600" spans="1:18" x14ac:dyDescent="0.2">
      <c r="A600" s="15"/>
      <c r="B600" s="38"/>
      <c r="C600" s="15"/>
      <c r="D600" s="15"/>
      <c r="E600" s="15"/>
      <c r="F600" s="15"/>
      <c r="G600" s="15"/>
      <c r="H600" s="15"/>
      <c r="I600" s="15"/>
      <c r="J600" s="15"/>
      <c r="K600" s="15"/>
      <c r="L600" s="15"/>
      <c r="M600" s="15"/>
      <c r="N600" s="15"/>
      <c r="O600" s="15"/>
      <c r="P600" s="15"/>
      <c r="Q600" s="15"/>
      <c r="R600" s="15"/>
    </row>
    <row r="601" spans="1:18" x14ac:dyDescent="0.2">
      <c r="A601" s="15"/>
      <c r="B601" s="38"/>
      <c r="C601" s="15"/>
      <c r="D601" s="15"/>
      <c r="E601" s="15"/>
      <c r="F601" s="15"/>
      <c r="G601" s="15"/>
      <c r="H601" s="15"/>
      <c r="I601" s="15"/>
      <c r="J601" s="15"/>
      <c r="K601" s="15"/>
      <c r="L601" s="15"/>
      <c r="M601" s="15"/>
      <c r="N601" s="15"/>
      <c r="O601" s="15"/>
      <c r="P601" s="15"/>
      <c r="Q601" s="15"/>
      <c r="R601" s="15"/>
    </row>
    <row r="602" spans="1:18" x14ac:dyDescent="0.2">
      <c r="A602" s="15"/>
      <c r="B602" s="38"/>
      <c r="C602" s="15"/>
      <c r="D602" s="15"/>
      <c r="E602" s="15"/>
      <c r="F602" s="15"/>
      <c r="G602" s="15"/>
      <c r="H602" s="15"/>
      <c r="I602" s="15"/>
      <c r="J602" s="15"/>
      <c r="K602" s="15"/>
      <c r="L602" s="15"/>
      <c r="M602" s="15"/>
      <c r="N602" s="15"/>
      <c r="O602" s="15"/>
      <c r="P602" s="15"/>
      <c r="Q602" s="15"/>
      <c r="R602" s="15"/>
    </row>
    <row r="603" spans="1:18" x14ac:dyDescent="0.2">
      <c r="A603" s="15"/>
      <c r="B603" s="38"/>
      <c r="C603" s="15"/>
      <c r="D603" s="15"/>
      <c r="E603" s="15"/>
      <c r="F603" s="15"/>
      <c r="G603" s="15"/>
      <c r="H603" s="15"/>
      <c r="I603" s="15"/>
      <c r="J603" s="15"/>
      <c r="K603" s="15"/>
      <c r="L603" s="15"/>
      <c r="M603" s="15"/>
      <c r="N603" s="15"/>
      <c r="O603" s="15"/>
      <c r="P603" s="15"/>
      <c r="Q603" s="15"/>
      <c r="R603" s="15"/>
    </row>
    <row r="604" spans="1:18" x14ac:dyDescent="0.2">
      <c r="A604" s="15"/>
      <c r="B604" s="38"/>
      <c r="C604" s="15"/>
      <c r="D604" s="15"/>
      <c r="E604" s="15"/>
      <c r="F604" s="15"/>
      <c r="G604" s="15"/>
      <c r="H604" s="15"/>
      <c r="I604" s="15"/>
      <c r="J604" s="15"/>
      <c r="K604" s="15"/>
      <c r="L604" s="15"/>
      <c r="M604" s="15"/>
      <c r="N604" s="15"/>
      <c r="O604" s="15"/>
      <c r="P604" s="15"/>
      <c r="Q604" s="15"/>
      <c r="R604" s="15"/>
    </row>
    <row r="605" spans="1:18" x14ac:dyDescent="0.2">
      <c r="A605" s="15"/>
      <c r="B605" s="38"/>
      <c r="C605" s="15"/>
      <c r="D605" s="15"/>
      <c r="E605" s="15"/>
      <c r="F605" s="15"/>
      <c r="G605" s="15"/>
      <c r="H605" s="15"/>
      <c r="I605" s="15"/>
      <c r="J605" s="15"/>
      <c r="K605" s="15"/>
      <c r="L605" s="15"/>
      <c r="M605" s="15"/>
      <c r="N605" s="15"/>
      <c r="O605" s="15"/>
      <c r="P605" s="15"/>
      <c r="Q605" s="15"/>
      <c r="R605" s="15"/>
    </row>
    <row r="606" spans="1:18" x14ac:dyDescent="0.2">
      <c r="A606" s="15"/>
      <c r="B606" s="38"/>
      <c r="C606" s="15"/>
      <c r="D606" s="15"/>
      <c r="E606" s="15"/>
      <c r="F606" s="15"/>
      <c r="G606" s="15"/>
      <c r="H606" s="15"/>
      <c r="I606" s="15"/>
      <c r="J606" s="15"/>
      <c r="K606" s="15"/>
      <c r="L606" s="15"/>
      <c r="M606" s="15"/>
      <c r="N606" s="15"/>
      <c r="O606" s="15"/>
      <c r="P606" s="15"/>
      <c r="Q606" s="15"/>
      <c r="R606" s="15"/>
    </row>
    <row r="607" spans="1:18" x14ac:dyDescent="0.2">
      <c r="A607" s="15"/>
      <c r="B607" s="38"/>
      <c r="C607" s="15"/>
      <c r="D607" s="15"/>
      <c r="E607" s="15"/>
      <c r="F607" s="15"/>
      <c r="G607" s="15"/>
      <c r="H607" s="15"/>
      <c r="I607" s="15"/>
      <c r="J607" s="15"/>
      <c r="K607" s="15"/>
      <c r="L607" s="15"/>
      <c r="M607" s="15"/>
      <c r="N607" s="15"/>
      <c r="O607" s="15"/>
      <c r="P607" s="15"/>
      <c r="Q607" s="15"/>
      <c r="R607" s="15"/>
    </row>
    <row r="608" spans="1:18" x14ac:dyDescent="0.2">
      <c r="A608" s="15"/>
      <c r="B608" s="38"/>
      <c r="C608" s="15"/>
      <c r="D608" s="15"/>
      <c r="E608" s="15"/>
      <c r="F608" s="15"/>
      <c r="G608" s="15"/>
      <c r="H608" s="15"/>
      <c r="I608" s="15"/>
      <c r="J608" s="15"/>
      <c r="K608" s="15"/>
      <c r="L608" s="15"/>
      <c r="M608" s="15"/>
      <c r="N608" s="15"/>
      <c r="O608" s="15"/>
      <c r="P608" s="15"/>
      <c r="Q608" s="15"/>
      <c r="R608" s="15"/>
    </row>
    <row r="609" spans="1:18" x14ac:dyDescent="0.2">
      <c r="A609" s="15"/>
      <c r="B609" s="38"/>
      <c r="C609" s="15"/>
      <c r="D609" s="15"/>
      <c r="E609" s="15"/>
      <c r="F609" s="15"/>
      <c r="G609" s="15"/>
      <c r="H609" s="15"/>
      <c r="I609" s="15"/>
      <c r="J609" s="15"/>
      <c r="K609" s="15"/>
      <c r="L609" s="15"/>
      <c r="M609" s="15"/>
      <c r="N609" s="15"/>
      <c r="O609" s="15"/>
      <c r="P609" s="15"/>
      <c r="Q609" s="15"/>
      <c r="R609" s="15"/>
    </row>
    <row r="610" spans="1:18" x14ac:dyDescent="0.2">
      <c r="A610" s="15"/>
      <c r="B610" s="38"/>
      <c r="C610" s="15"/>
      <c r="D610" s="15"/>
      <c r="E610" s="15"/>
      <c r="F610" s="15"/>
      <c r="G610" s="15"/>
      <c r="H610" s="15"/>
      <c r="I610" s="15"/>
      <c r="J610" s="15"/>
      <c r="K610" s="15"/>
      <c r="L610" s="15"/>
      <c r="M610" s="15"/>
      <c r="N610" s="15"/>
      <c r="O610" s="15"/>
      <c r="P610" s="15"/>
      <c r="Q610" s="15"/>
      <c r="R610" s="15"/>
    </row>
    <row r="611" spans="1:18" x14ac:dyDescent="0.2">
      <c r="A611" s="15"/>
      <c r="B611" s="38"/>
      <c r="C611" s="15"/>
      <c r="D611" s="15"/>
      <c r="E611" s="15"/>
      <c r="F611" s="15"/>
      <c r="G611" s="15"/>
      <c r="H611" s="15"/>
      <c r="I611" s="15"/>
      <c r="J611" s="15"/>
      <c r="K611" s="15"/>
      <c r="L611" s="15"/>
      <c r="M611" s="15"/>
      <c r="N611" s="15"/>
      <c r="O611" s="15"/>
      <c r="P611" s="15"/>
      <c r="Q611" s="15"/>
      <c r="R611" s="15"/>
    </row>
    <row r="612" spans="1:18" x14ac:dyDescent="0.2">
      <c r="A612" s="15"/>
      <c r="B612" s="38"/>
      <c r="C612" s="15"/>
      <c r="D612" s="15"/>
      <c r="E612" s="15"/>
      <c r="F612" s="15"/>
      <c r="G612" s="15"/>
      <c r="H612" s="15"/>
      <c r="I612" s="15"/>
      <c r="J612" s="15"/>
      <c r="K612" s="15"/>
      <c r="L612" s="15"/>
      <c r="M612" s="15"/>
      <c r="N612" s="15"/>
      <c r="O612" s="15"/>
      <c r="P612" s="15"/>
      <c r="Q612" s="15"/>
      <c r="R612" s="15"/>
    </row>
    <row r="613" spans="1:18" x14ac:dyDescent="0.2">
      <c r="A613" s="15"/>
      <c r="B613" s="38"/>
      <c r="C613" s="15"/>
      <c r="D613" s="15"/>
      <c r="E613" s="15"/>
      <c r="F613" s="15"/>
      <c r="G613" s="15"/>
      <c r="H613" s="15"/>
      <c r="I613" s="15"/>
      <c r="J613" s="15"/>
      <c r="K613" s="15"/>
      <c r="L613" s="15"/>
      <c r="M613" s="15"/>
      <c r="N613" s="15"/>
      <c r="O613" s="15"/>
      <c r="P613" s="15"/>
      <c r="Q613" s="15"/>
      <c r="R613" s="15"/>
    </row>
    <row r="614" spans="1:18" x14ac:dyDescent="0.2">
      <c r="A614" s="15"/>
      <c r="B614" s="38"/>
      <c r="C614" s="15"/>
      <c r="D614" s="15"/>
      <c r="E614" s="15"/>
      <c r="F614" s="15"/>
      <c r="G614" s="15"/>
      <c r="H614" s="15"/>
      <c r="I614" s="15"/>
      <c r="J614" s="15"/>
      <c r="K614" s="15"/>
      <c r="L614" s="15"/>
      <c r="M614" s="15"/>
      <c r="N614" s="15"/>
      <c r="O614" s="15"/>
      <c r="P614" s="15"/>
      <c r="Q614" s="15"/>
      <c r="R614" s="15"/>
    </row>
    <row r="615" spans="1:18" x14ac:dyDescent="0.2">
      <c r="A615" s="15"/>
      <c r="B615" s="38"/>
      <c r="C615" s="15"/>
      <c r="D615" s="15"/>
      <c r="E615" s="15"/>
      <c r="F615" s="15"/>
      <c r="G615" s="15"/>
      <c r="H615" s="15"/>
      <c r="I615" s="15"/>
      <c r="J615" s="15"/>
      <c r="K615" s="15"/>
      <c r="L615" s="15"/>
      <c r="M615" s="15"/>
      <c r="N615" s="15"/>
      <c r="O615" s="15"/>
      <c r="P615" s="15"/>
      <c r="Q615" s="15"/>
      <c r="R615" s="15"/>
    </row>
    <row r="616" spans="1:18" x14ac:dyDescent="0.2">
      <c r="A616" s="15"/>
      <c r="B616" s="38"/>
      <c r="C616" s="15"/>
      <c r="D616" s="15"/>
      <c r="E616" s="15"/>
      <c r="F616" s="15"/>
      <c r="G616" s="15"/>
      <c r="H616" s="15"/>
      <c r="I616" s="15"/>
      <c r="J616" s="15"/>
      <c r="K616" s="15"/>
      <c r="L616" s="15"/>
      <c r="M616" s="15"/>
      <c r="N616" s="15"/>
      <c r="O616" s="15"/>
      <c r="P616" s="15"/>
      <c r="Q616" s="15"/>
      <c r="R616" s="15"/>
    </row>
    <row r="617" spans="1:18" x14ac:dyDescent="0.2">
      <c r="A617" s="15"/>
      <c r="B617" s="38"/>
      <c r="C617" s="15"/>
      <c r="D617" s="15"/>
      <c r="E617" s="15"/>
      <c r="F617" s="15"/>
      <c r="G617" s="15"/>
      <c r="H617" s="15"/>
      <c r="I617" s="15"/>
      <c r="J617" s="15"/>
      <c r="K617" s="15"/>
      <c r="L617" s="15"/>
      <c r="M617" s="15"/>
      <c r="N617" s="15"/>
      <c r="O617" s="15"/>
      <c r="P617" s="15"/>
      <c r="Q617" s="15"/>
      <c r="R617" s="15"/>
    </row>
    <row r="618" spans="1:18" x14ac:dyDescent="0.2">
      <c r="A618" s="15"/>
      <c r="B618" s="38"/>
      <c r="C618" s="15"/>
      <c r="D618" s="15"/>
      <c r="E618" s="15"/>
      <c r="F618" s="15"/>
      <c r="G618" s="15"/>
      <c r="H618" s="15"/>
      <c r="I618" s="15"/>
      <c r="J618" s="15"/>
      <c r="K618" s="15"/>
      <c r="L618" s="15"/>
      <c r="M618" s="15"/>
      <c r="N618" s="15"/>
      <c r="O618" s="15"/>
      <c r="P618" s="15"/>
      <c r="Q618" s="15"/>
      <c r="R618" s="15"/>
    </row>
    <row r="619" spans="1:18" x14ac:dyDescent="0.2">
      <c r="A619" s="15"/>
      <c r="B619" s="38"/>
      <c r="C619" s="15"/>
      <c r="D619" s="15"/>
      <c r="E619" s="15"/>
      <c r="F619" s="15"/>
      <c r="G619" s="15"/>
      <c r="H619" s="15"/>
      <c r="I619" s="15"/>
      <c r="J619" s="15"/>
      <c r="K619" s="15"/>
      <c r="L619" s="15"/>
      <c r="M619" s="15"/>
      <c r="N619" s="15"/>
      <c r="O619" s="15"/>
      <c r="P619" s="15"/>
      <c r="Q619" s="15"/>
      <c r="R619" s="15"/>
    </row>
    <row r="620" spans="1:18" x14ac:dyDescent="0.2">
      <c r="A620" s="15"/>
      <c r="B620" s="38"/>
      <c r="C620" s="15"/>
      <c r="D620" s="15"/>
      <c r="E620" s="15"/>
      <c r="F620" s="15"/>
      <c r="G620" s="15"/>
      <c r="H620" s="15"/>
      <c r="I620" s="15"/>
      <c r="J620" s="15"/>
      <c r="K620" s="15"/>
      <c r="L620" s="15"/>
      <c r="M620" s="15"/>
      <c r="N620" s="15"/>
      <c r="O620" s="15"/>
      <c r="P620" s="15"/>
      <c r="Q620" s="15"/>
      <c r="R620" s="15"/>
    </row>
    <row r="621" spans="1:18" x14ac:dyDescent="0.2">
      <c r="A621" s="15"/>
      <c r="B621" s="38"/>
      <c r="C621" s="15"/>
      <c r="D621" s="15"/>
      <c r="E621" s="15"/>
      <c r="F621" s="15"/>
      <c r="G621" s="15"/>
      <c r="H621" s="15"/>
      <c r="I621" s="15"/>
      <c r="J621" s="15"/>
      <c r="K621" s="15"/>
      <c r="L621" s="15"/>
      <c r="M621" s="15"/>
      <c r="N621" s="15"/>
      <c r="O621" s="15"/>
      <c r="P621" s="15"/>
      <c r="Q621" s="15"/>
      <c r="R621" s="15"/>
    </row>
    <row r="622" spans="1:18" x14ac:dyDescent="0.2">
      <c r="A622" s="15"/>
      <c r="B622" s="38"/>
      <c r="C622" s="15"/>
      <c r="D622" s="15"/>
      <c r="E622" s="15"/>
      <c r="F622" s="15"/>
      <c r="G622" s="15"/>
      <c r="H622" s="15"/>
      <c r="I622" s="15"/>
      <c r="J622" s="15"/>
      <c r="K622" s="15"/>
      <c r="L622" s="15"/>
      <c r="M622" s="15"/>
      <c r="N622" s="15"/>
      <c r="O622" s="15"/>
      <c r="P622" s="15"/>
      <c r="Q622" s="15"/>
      <c r="R622" s="15"/>
    </row>
    <row r="623" spans="1:18" x14ac:dyDescent="0.2">
      <c r="A623" s="15"/>
      <c r="B623" s="38"/>
      <c r="C623" s="15"/>
      <c r="D623" s="15"/>
      <c r="E623" s="15"/>
      <c r="F623" s="15"/>
      <c r="G623" s="15"/>
      <c r="H623" s="15"/>
      <c r="I623" s="15"/>
      <c r="J623" s="15"/>
      <c r="K623" s="15"/>
      <c r="L623" s="15"/>
      <c r="M623" s="15"/>
      <c r="N623" s="15"/>
      <c r="O623" s="15"/>
      <c r="P623" s="15"/>
      <c r="Q623" s="15"/>
      <c r="R623" s="15"/>
    </row>
    <row r="624" spans="1:18" x14ac:dyDescent="0.2">
      <c r="A624" s="15"/>
      <c r="B624" s="38"/>
      <c r="C624" s="15"/>
      <c r="D624" s="15"/>
      <c r="E624" s="15"/>
      <c r="F624" s="15"/>
      <c r="G624" s="15"/>
      <c r="H624" s="15"/>
      <c r="I624" s="15"/>
      <c r="J624" s="15"/>
      <c r="K624" s="15"/>
      <c r="L624" s="15"/>
      <c r="M624" s="15"/>
      <c r="N624" s="15"/>
      <c r="O624" s="15"/>
      <c r="P624" s="15"/>
      <c r="Q624" s="15"/>
      <c r="R624" s="15"/>
    </row>
    <row r="625" spans="1:18" x14ac:dyDescent="0.2">
      <c r="A625" s="15"/>
      <c r="B625" s="38"/>
      <c r="C625" s="15"/>
      <c r="D625" s="15"/>
      <c r="E625" s="15"/>
      <c r="F625" s="15"/>
      <c r="G625" s="15"/>
      <c r="H625" s="15"/>
      <c r="I625" s="15"/>
      <c r="J625" s="15"/>
      <c r="K625" s="15"/>
      <c r="L625" s="15"/>
      <c r="M625" s="15"/>
      <c r="N625" s="15"/>
      <c r="O625" s="15"/>
      <c r="P625" s="15"/>
      <c r="Q625" s="15"/>
      <c r="R625" s="15"/>
    </row>
    <row r="626" spans="1:18" x14ac:dyDescent="0.2">
      <c r="A626" s="15"/>
      <c r="B626" s="38"/>
      <c r="C626" s="15"/>
      <c r="D626" s="15"/>
      <c r="E626" s="15"/>
      <c r="F626" s="15"/>
      <c r="G626" s="15"/>
      <c r="H626" s="15"/>
      <c r="I626" s="15"/>
      <c r="J626" s="15"/>
      <c r="K626" s="15"/>
      <c r="L626" s="15"/>
      <c r="M626" s="15"/>
      <c r="N626" s="15"/>
      <c r="O626" s="15"/>
      <c r="P626" s="15"/>
      <c r="Q626" s="15"/>
      <c r="R626" s="15"/>
    </row>
    <row r="627" spans="1:18" x14ac:dyDescent="0.2">
      <c r="A627" s="15"/>
      <c r="B627" s="38"/>
      <c r="C627" s="15"/>
      <c r="D627" s="15"/>
      <c r="E627" s="15"/>
      <c r="F627" s="15"/>
      <c r="G627" s="15"/>
      <c r="H627" s="15"/>
      <c r="I627" s="15"/>
      <c r="J627" s="15"/>
      <c r="K627" s="15"/>
      <c r="L627" s="15"/>
      <c r="M627" s="15"/>
      <c r="N627" s="15"/>
      <c r="O627" s="15"/>
      <c r="P627" s="15"/>
      <c r="Q627" s="15"/>
      <c r="R627" s="15"/>
    </row>
    <row r="628" spans="1:18" x14ac:dyDescent="0.2">
      <c r="A628" s="15"/>
      <c r="B628" s="38"/>
      <c r="C628" s="15"/>
      <c r="D628" s="15"/>
      <c r="E628" s="15"/>
      <c r="F628" s="15"/>
      <c r="G628" s="15"/>
      <c r="H628" s="15"/>
      <c r="I628" s="15"/>
      <c r="J628" s="15"/>
      <c r="K628" s="15"/>
      <c r="L628" s="15"/>
      <c r="M628" s="15"/>
      <c r="N628" s="15"/>
      <c r="O628" s="15"/>
      <c r="P628" s="15"/>
      <c r="Q628" s="15"/>
      <c r="R628" s="15"/>
    </row>
    <row r="629" spans="1:18" x14ac:dyDescent="0.2">
      <c r="A629" s="15"/>
      <c r="B629" s="38"/>
      <c r="C629" s="15"/>
      <c r="D629" s="15"/>
      <c r="E629" s="15"/>
      <c r="F629" s="15"/>
      <c r="G629" s="15"/>
      <c r="H629" s="15"/>
      <c r="I629" s="15"/>
      <c r="J629" s="15"/>
      <c r="K629" s="15"/>
      <c r="L629" s="15"/>
      <c r="M629" s="15"/>
      <c r="N629" s="15"/>
      <c r="O629" s="15"/>
      <c r="P629" s="15"/>
      <c r="Q629" s="15"/>
      <c r="R629" s="15"/>
    </row>
    <row r="630" spans="1:18" x14ac:dyDescent="0.2">
      <c r="A630" s="15"/>
      <c r="B630" s="38"/>
      <c r="C630" s="15"/>
      <c r="D630" s="15"/>
      <c r="E630" s="15"/>
      <c r="F630" s="15"/>
      <c r="G630" s="15"/>
      <c r="H630" s="15"/>
      <c r="I630" s="15"/>
      <c r="J630" s="15"/>
      <c r="K630" s="15"/>
      <c r="L630" s="15"/>
      <c r="M630" s="15"/>
      <c r="N630" s="15"/>
      <c r="O630" s="15"/>
      <c r="P630" s="15"/>
      <c r="Q630" s="15"/>
      <c r="R630" s="15"/>
    </row>
    <row r="631" spans="1:18" x14ac:dyDescent="0.2">
      <c r="A631" s="15"/>
      <c r="B631" s="38"/>
      <c r="C631" s="15"/>
      <c r="D631" s="15"/>
      <c r="E631" s="15"/>
      <c r="F631" s="15"/>
      <c r="G631" s="15"/>
      <c r="H631" s="15"/>
      <c r="I631" s="15"/>
      <c r="J631" s="15"/>
      <c r="K631" s="15"/>
      <c r="L631" s="15"/>
      <c r="M631" s="15"/>
      <c r="N631" s="15"/>
      <c r="O631" s="15"/>
      <c r="P631" s="15"/>
      <c r="Q631" s="15"/>
      <c r="R631" s="15"/>
    </row>
    <row r="632" spans="1:18" x14ac:dyDescent="0.2">
      <c r="A632" s="15"/>
      <c r="B632" s="38"/>
      <c r="C632" s="15"/>
      <c r="D632" s="15"/>
      <c r="E632" s="15"/>
      <c r="F632" s="15"/>
      <c r="G632" s="15"/>
      <c r="H632" s="15"/>
      <c r="I632" s="15"/>
      <c r="J632" s="15"/>
      <c r="K632" s="15"/>
      <c r="L632" s="15"/>
      <c r="M632" s="15"/>
      <c r="N632" s="15"/>
      <c r="O632" s="15"/>
      <c r="P632" s="15"/>
      <c r="Q632" s="15"/>
      <c r="R632" s="15"/>
    </row>
    <row r="633" spans="1:18" x14ac:dyDescent="0.2">
      <c r="A633" s="15"/>
      <c r="B633" s="38"/>
      <c r="C633" s="15"/>
      <c r="D633" s="15"/>
      <c r="E633" s="15"/>
      <c r="F633" s="15"/>
      <c r="G633" s="15"/>
      <c r="H633" s="15"/>
      <c r="I633" s="15"/>
      <c r="J633" s="15"/>
      <c r="K633" s="15"/>
      <c r="L633" s="15"/>
      <c r="M633" s="15"/>
      <c r="N633" s="15"/>
      <c r="O633" s="15"/>
      <c r="P633" s="15"/>
      <c r="Q633" s="15"/>
      <c r="R633" s="15"/>
    </row>
    <row r="634" spans="1:18" x14ac:dyDescent="0.2">
      <c r="A634" s="15"/>
      <c r="B634" s="38"/>
      <c r="C634" s="15"/>
      <c r="D634" s="15"/>
      <c r="E634" s="15"/>
      <c r="F634" s="15"/>
      <c r="G634" s="15"/>
      <c r="H634" s="15"/>
      <c r="I634" s="15"/>
      <c r="J634" s="15"/>
      <c r="K634" s="15"/>
      <c r="L634" s="15"/>
      <c r="M634" s="15"/>
      <c r="N634" s="15"/>
      <c r="O634" s="15"/>
      <c r="P634" s="15"/>
      <c r="Q634" s="15"/>
      <c r="R634" s="15"/>
    </row>
    <row r="635" spans="1:18" x14ac:dyDescent="0.2">
      <c r="A635" s="15"/>
      <c r="B635" s="38"/>
      <c r="C635" s="15"/>
      <c r="D635" s="15"/>
      <c r="E635" s="15"/>
      <c r="F635" s="15"/>
      <c r="G635" s="15"/>
      <c r="H635" s="15"/>
      <c r="I635" s="15"/>
      <c r="J635" s="15"/>
      <c r="K635" s="15"/>
      <c r="L635" s="15"/>
      <c r="M635" s="15"/>
      <c r="N635" s="15"/>
      <c r="O635" s="15"/>
      <c r="P635" s="15"/>
      <c r="Q635" s="15"/>
      <c r="R635" s="15"/>
    </row>
    <row r="636" spans="1:18" x14ac:dyDescent="0.2">
      <c r="A636" s="15"/>
      <c r="B636" s="38"/>
      <c r="C636" s="15"/>
      <c r="D636" s="15"/>
      <c r="E636" s="15"/>
      <c r="F636" s="15"/>
      <c r="G636" s="15"/>
      <c r="H636" s="15"/>
      <c r="I636" s="15"/>
      <c r="J636" s="15"/>
      <c r="K636" s="15"/>
      <c r="L636" s="15"/>
      <c r="M636" s="15"/>
      <c r="N636" s="15"/>
      <c r="O636" s="15"/>
      <c r="P636" s="15"/>
      <c r="Q636" s="15"/>
      <c r="R636" s="15"/>
    </row>
    <row r="637" spans="1:18" x14ac:dyDescent="0.2">
      <c r="A637" s="15"/>
      <c r="B637" s="38"/>
      <c r="C637" s="15"/>
      <c r="D637" s="15"/>
      <c r="E637" s="15"/>
      <c r="F637" s="15"/>
      <c r="G637" s="15"/>
      <c r="H637" s="15"/>
      <c r="I637" s="15"/>
      <c r="J637" s="15"/>
      <c r="K637" s="15"/>
      <c r="L637" s="15"/>
      <c r="M637" s="15"/>
      <c r="N637" s="15"/>
      <c r="O637" s="15"/>
      <c r="P637" s="15"/>
      <c r="Q637" s="15"/>
      <c r="R637" s="15"/>
    </row>
    <row r="638" spans="1:18" x14ac:dyDescent="0.2">
      <c r="A638" s="15"/>
      <c r="B638" s="38"/>
      <c r="C638" s="15"/>
      <c r="D638" s="15"/>
      <c r="E638" s="15"/>
      <c r="F638" s="15"/>
      <c r="G638" s="15"/>
      <c r="H638" s="15"/>
      <c r="I638" s="15"/>
      <c r="J638" s="15"/>
      <c r="K638" s="15"/>
      <c r="L638" s="15"/>
      <c r="M638" s="15"/>
      <c r="N638" s="15"/>
      <c r="O638" s="15"/>
      <c r="P638" s="15"/>
      <c r="Q638" s="15"/>
      <c r="R638" s="15"/>
    </row>
    <row r="639" spans="1:18" x14ac:dyDescent="0.2">
      <c r="A639" s="15"/>
      <c r="B639" s="38"/>
      <c r="C639" s="15"/>
      <c r="D639" s="15"/>
      <c r="E639" s="15"/>
      <c r="F639" s="15"/>
      <c r="G639" s="15"/>
      <c r="H639" s="15"/>
      <c r="I639" s="15"/>
      <c r="J639" s="15"/>
      <c r="K639" s="15"/>
      <c r="L639" s="15"/>
      <c r="M639" s="15"/>
      <c r="N639" s="15"/>
      <c r="O639" s="15"/>
      <c r="P639" s="15"/>
      <c r="Q639" s="15"/>
      <c r="R639" s="15"/>
    </row>
    <row r="640" spans="1:18" x14ac:dyDescent="0.2">
      <c r="A640" s="15"/>
      <c r="B640" s="38"/>
      <c r="C640" s="15"/>
      <c r="D640" s="15"/>
      <c r="E640" s="15"/>
      <c r="F640" s="15"/>
      <c r="G640" s="15"/>
      <c r="H640" s="15"/>
      <c r="I640" s="15"/>
      <c r="J640" s="15"/>
      <c r="K640" s="15"/>
      <c r="L640" s="15"/>
      <c r="M640" s="15"/>
      <c r="N640" s="15"/>
      <c r="O640" s="15"/>
      <c r="P640" s="15"/>
      <c r="Q640" s="15"/>
      <c r="R640" s="15"/>
    </row>
    <row r="641" spans="1:18" x14ac:dyDescent="0.2">
      <c r="A641" s="15"/>
      <c r="B641" s="38"/>
      <c r="C641" s="15"/>
      <c r="D641" s="15"/>
      <c r="E641" s="15"/>
      <c r="F641" s="15"/>
      <c r="G641" s="15"/>
      <c r="H641" s="15"/>
      <c r="I641" s="15"/>
      <c r="J641" s="15"/>
      <c r="K641" s="15"/>
      <c r="L641" s="15"/>
      <c r="M641" s="15"/>
      <c r="N641" s="15"/>
      <c r="O641" s="15"/>
      <c r="P641" s="15"/>
      <c r="Q641" s="15"/>
      <c r="R641" s="15"/>
    </row>
    <row r="642" spans="1:18" x14ac:dyDescent="0.2">
      <c r="A642" s="15"/>
      <c r="B642" s="38"/>
      <c r="C642" s="15"/>
      <c r="D642" s="15"/>
      <c r="E642" s="15"/>
      <c r="F642" s="15"/>
      <c r="G642" s="15"/>
      <c r="H642" s="15"/>
      <c r="I642" s="15"/>
      <c r="J642" s="15"/>
      <c r="K642" s="15"/>
      <c r="L642" s="15"/>
      <c r="M642" s="15"/>
      <c r="N642" s="15"/>
      <c r="O642" s="15"/>
      <c r="P642" s="15"/>
      <c r="Q642" s="15"/>
      <c r="R642" s="15"/>
    </row>
    <row r="643" spans="1:18" x14ac:dyDescent="0.2">
      <c r="A643" s="15"/>
      <c r="B643" s="38"/>
      <c r="C643" s="15"/>
      <c r="D643" s="15"/>
      <c r="E643" s="15"/>
      <c r="F643" s="15"/>
      <c r="G643" s="15"/>
      <c r="H643" s="15"/>
      <c r="I643" s="15"/>
      <c r="J643" s="15"/>
      <c r="K643" s="15"/>
      <c r="L643" s="15"/>
      <c r="M643" s="15"/>
      <c r="N643" s="15"/>
      <c r="O643" s="15"/>
      <c r="P643" s="15"/>
      <c r="Q643" s="15"/>
      <c r="R643" s="15"/>
    </row>
    <row r="644" spans="1:18" x14ac:dyDescent="0.2">
      <c r="A644" s="15"/>
      <c r="B644" s="38"/>
      <c r="C644" s="15"/>
      <c r="D644" s="15"/>
      <c r="E644" s="15"/>
      <c r="F644" s="15"/>
      <c r="G644" s="15"/>
      <c r="H644" s="15"/>
      <c r="I644" s="15"/>
      <c r="J644" s="15"/>
      <c r="K644" s="15"/>
      <c r="L644" s="15"/>
      <c r="M644" s="15"/>
      <c r="N644" s="15"/>
      <c r="O644" s="15"/>
      <c r="P644" s="15"/>
      <c r="Q644" s="15"/>
      <c r="R644" s="15"/>
    </row>
    <row r="645" spans="1:18" x14ac:dyDescent="0.2">
      <c r="A645" s="15"/>
      <c r="B645" s="38"/>
      <c r="C645" s="15"/>
      <c r="D645" s="15"/>
      <c r="E645" s="15"/>
      <c r="F645" s="15"/>
      <c r="G645" s="15"/>
      <c r="H645" s="15"/>
      <c r="I645" s="15"/>
      <c r="J645" s="15"/>
      <c r="K645" s="15"/>
      <c r="L645" s="15"/>
      <c r="M645" s="15"/>
      <c r="N645" s="15"/>
      <c r="O645" s="15"/>
      <c r="P645" s="15"/>
      <c r="Q645" s="15"/>
      <c r="R645" s="15"/>
    </row>
    <row r="646" spans="1:18" x14ac:dyDescent="0.2">
      <c r="A646" s="15"/>
      <c r="B646" s="38"/>
      <c r="C646" s="15"/>
      <c r="D646" s="15"/>
      <c r="E646" s="15"/>
      <c r="F646" s="15"/>
      <c r="G646" s="15"/>
      <c r="H646" s="15"/>
      <c r="I646" s="15"/>
      <c r="J646" s="15"/>
      <c r="K646" s="15"/>
      <c r="L646" s="15"/>
      <c r="M646" s="15"/>
      <c r="N646" s="15"/>
      <c r="O646" s="15"/>
      <c r="P646" s="15"/>
      <c r="Q646" s="15"/>
      <c r="R646" s="15"/>
    </row>
    <row r="647" spans="1:18" x14ac:dyDescent="0.2">
      <c r="A647" s="15"/>
      <c r="B647" s="38"/>
      <c r="C647" s="15"/>
      <c r="D647" s="15"/>
      <c r="E647" s="15"/>
      <c r="F647" s="15"/>
      <c r="G647" s="15"/>
      <c r="H647" s="15"/>
      <c r="I647" s="15"/>
      <c r="J647" s="15"/>
      <c r="K647" s="15"/>
      <c r="L647" s="15"/>
      <c r="M647" s="15"/>
      <c r="N647" s="15"/>
      <c r="O647" s="15"/>
      <c r="P647" s="15"/>
      <c r="Q647" s="15"/>
      <c r="R647" s="15"/>
    </row>
    <row r="648" spans="1:18" x14ac:dyDescent="0.2">
      <c r="A648" s="15"/>
      <c r="B648" s="38"/>
      <c r="C648" s="15"/>
      <c r="D648" s="15"/>
      <c r="E648" s="15"/>
      <c r="F648" s="15"/>
      <c r="G648" s="15"/>
      <c r="H648" s="15"/>
      <c r="I648" s="15"/>
      <c r="J648" s="15"/>
      <c r="K648" s="15"/>
      <c r="L648" s="15"/>
      <c r="M648" s="15"/>
      <c r="N648" s="15"/>
      <c r="O648" s="15"/>
      <c r="P648" s="15"/>
      <c r="Q648" s="15"/>
      <c r="R648" s="15"/>
    </row>
    <row r="649" spans="1:18" x14ac:dyDescent="0.2">
      <c r="A649" s="15"/>
      <c r="B649" s="38"/>
      <c r="C649" s="15"/>
      <c r="D649" s="15"/>
      <c r="E649" s="15"/>
      <c r="F649" s="15"/>
      <c r="G649" s="15"/>
      <c r="H649" s="15"/>
      <c r="I649" s="15"/>
      <c r="J649" s="15"/>
      <c r="K649" s="15"/>
      <c r="L649" s="15"/>
      <c r="M649" s="15"/>
      <c r="N649" s="15"/>
      <c r="O649" s="15"/>
      <c r="P649" s="15"/>
      <c r="Q649" s="15"/>
      <c r="R649" s="15"/>
    </row>
    <row r="650" spans="1:18" x14ac:dyDescent="0.2">
      <c r="A650" s="15"/>
      <c r="B650" s="38"/>
      <c r="C650" s="15"/>
      <c r="D650" s="15"/>
      <c r="E650" s="15"/>
      <c r="F650" s="15"/>
      <c r="G650" s="15"/>
      <c r="H650" s="15"/>
      <c r="I650" s="15"/>
      <c r="J650" s="15"/>
      <c r="K650" s="15"/>
      <c r="L650" s="15"/>
      <c r="M650" s="15"/>
      <c r="N650" s="15"/>
      <c r="O650" s="15"/>
      <c r="P650" s="15"/>
      <c r="Q650" s="15"/>
      <c r="R650" s="15"/>
    </row>
    <row r="651" spans="1:18" x14ac:dyDescent="0.2">
      <c r="A651" s="15"/>
      <c r="B651" s="38"/>
      <c r="C651" s="15"/>
      <c r="D651" s="15"/>
      <c r="E651" s="15"/>
      <c r="F651" s="15"/>
      <c r="G651" s="15"/>
      <c r="H651" s="15"/>
      <c r="I651" s="15"/>
      <c r="J651" s="15"/>
      <c r="K651" s="15"/>
      <c r="L651" s="15"/>
      <c r="M651" s="15"/>
      <c r="N651" s="15"/>
      <c r="O651" s="15"/>
      <c r="P651" s="15"/>
      <c r="Q651" s="15"/>
      <c r="R651" s="15"/>
    </row>
    <row r="652" spans="1:18" x14ac:dyDescent="0.2">
      <c r="A652" s="15"/>
      <c r="B652" s="38"/>
      <c r="C652" s="15"/>
      <c r="D652" s="15"/>
      <c r="E652" s="15"/>
      <c r="F652" s="15"/>
      <c r="G652" s="15"/>
      <c r="H652" s="15"/>
      <c r="I652" s="15"/>
      <c r="J652" s="15"/>
      <c r="K652" s="15"/>
      <c r="L652" s="15"/>
      <c r="M652" s="15"/>
      <c r="N652" s="15"/>
      <c r="O652" s="15"/>
      <c r="P652" s="15"/>
      <c r="Q652" s="15"/>
      <c r="R652" s="15"/>
    </row>
    <row r="653" spans="1:18" x14ac:dyDescent="0.2">
      <c r="A653" s="15"/>
      <c r="B653" s="38"/>
      <c r="C653" s="15"/>
      <c r="D653" s="15"/>
      <c r="E653" s="15"/>
      <c r="F653" s="15"/>
      <c r="G653" s="15"/>
      <c r="H653" s="15"/>
      <c r="I653" s="15"/>
      <c r="J653" s="15"/>
      <c r="K653" s="15"/>
      <c r="L653" s="15"/>
      <c r="M653" s="15"/>
      <c r="N653" s="15"/>
      <c r="O653" s="15"/>
      <c r="P653" s="15"/>
      <c r="Q653" s="15"/>
      <c r="R653" s="15"/>
    </row>
    <row r="654" spans="1:18" x14ac:dyDescent="0.2">
      <c r="A654" s="15"/>
      <c r="B654" s="38"/>
      <c r="C654" s="15"/>
      <c r="D654" s="15"/>
      <c r="E654" s="15"/>
      <c r="F654" s="15"/>
      <c r="G654" s="15"/>
      <c r="H654" s="15"/>
      <c r="I654" s="15"/>
      <c r="J654" s="15"/>
      <c r="K654" s="15"/>
      <c r="L654" s="15"/>
      <c r="M654" s="15"/>
      <c r="N654" s="15"/>
      <c r="O654" s="15"/>
      <c r="P654" s="15"/>
      <c r="Q654" s="15"/>
      <c r="R654" s="15"/>
    </row>
    <row r="655" spans="1:18" x14ac:dyDescent="0.2">
      <c r="A655" s="15"/>
      <c r="B655" s="38"/>
      <c r="C655" s="15"/>
      <c r="D655" s="15"/>
      <c r="E655" s="15"/>
      <c r="F655" s="15"/>
      <c r="G655" s="15"/>
      <c r="H655" s="15"/>
      <c r="I655" s="15"/>
      <c r="J655" s="15"/>
      <c r="K655" s="15"/>
      <c r="L655" s="15"/>
      <c r="M655" s="15"/>
      <c r="N655" s="15"/>
      <c r="O655" s="15"/>
      <c r="P655" s="15"/>
      <c r="Q655" s="15"/>
      <c r="R655" s="15"/>
    </row>
    <row r="656" spans="1:18" x14ac:dyDescent="0.2">
      <c r="A656" s="15"/>
      <c r="B656" s="38"/>
      <c r="C656" s="15"/>
      <c r="D656" s="15"/>
      <c r="E656" s="15"/>
      <c r="F656" s="15"/>
      <c r="G656" s="15"/>
      <c r="H656" s="15"/>
      <c r="I656" s="15"/>
      <c r="J656" s="15"/>
      <c r="K656" s="15"/>
      <c r="L656" s="15"/>
      <c r="M656" s="15"/>
      <c r="N656" s="15"/>
      <c r="O656" s="15"/>
      <c r="P656" s="15"/>
      <c r="Q656" s="15"/>
      <c r="R656" s="15"/>
    </row>
    <row r="657" spans="1:18" x14ac:dyDescent="0.2">
      <c r="A657" s="15"/>
      <c r="B657" s="38"/>
      <c r="C657" s="15"/>
      <c r="D657" s="15"/>
      <c r="E657" s="15"/>
      <c r="F657" s="15"/>
      <c r="G657" s="15"/>
      <c r="H657" s="15"/>
      <c r="I657" s="15"/>
      <c r="J657" s="15"/>
      <c r="K657" s="15"/>
      <c r="L657" s="15"/>
      <c r="M657" s="15"/>
      <c r="N657" s="15"/>
      <c r="O657" s="15"/>
      <c r="P657" s="15"/>
      <c r="Q657" s="15"/>
      <c r="R657" s="15"/>
    </row>
    <row r="658" spans="1:18" x14ac:dyDescent="0.2">
      <c r="A658" s="15"/>
      <c r="B658" s="38"/>
      <c r="C658" s="15"/>
      <c r="D658" s="15"/>
      <c r="E658" s="15"/>
      <c r="F658" s="15"/>
      <c r="G658" s="15"/>
      <c r="H658" s="15"/>
      <c r="I658" s="15"/>
      <c r="J658" s="15"/>
      <c r="K658" s="15"/>
      <c r="L658" s="15"/>
      <c r="M658" s="15"/>
      <c r="N658" s="15"/>
      <c r="O658" s="15"/>
      <c r="P658" s="15"/>
      <c r="Q658" s="15"/>
      <c r="R658" s="15"/>
    </row>
    <row r="659" spans="1:18" x14ac:dyDescent="0.2">
      <c r="A659" s="15"/>
      <c r="B659" s="38"/>
      <c r="C659" s="15"/>
      <c r="D659" s="15"/>
      <c r="E659" s="15"/>
      <c r="F659" s="15"/>
      <c r="G659" s="15"/>
      <c r="H659" s="15"/>
      <c r="I659" s="15"/>
      <c r="J659" s="15"/>
      <c r="K659" s="15"/>
      <c r="L659" s="15"/>
      <c r="M659" s="15"/>
      <c r="N659" s="15"/>
      <c r="O659" s="15"/>
      <c r="P659" s="15"/>
      <c r="Q659" s="15"/>
      <c r="R659" s="15"/>
    </row>
    <row r="660" spans="1:18" x14ac:dyDescent="0.2">
      <c r="A660" s="15"/>
      <c r="B660" s="38"/>
      <c r="C660" s="15"/>
      <c r="D660" s="15"/>
      <c r="E660" s="15"/>
      <c r="F660" s="15"/>
      <c r="G660" s="15"/>
      <c r="H660" s="15"/>
      <c r="I660" s="15"/>
      <c r="J660" s="15"/>
      <c r="K660" s="15"/>
      <c r="L660" s="15"/>
      <c r="M660" s="15"/>
      <c r="N660" s="15"/>
      <c r="O660" s="15"/>
      <c r="P660" s="15"/>
      <c r="Q660" s="15"/>
      <c r="R660" s="15"/>
    </row>
    <row r="661" spans="1:18" x14ac:dyDescent="0.2">
      <c r="A661" s="15"/>
      <c r="B661" s="38"/>
      <c r="C661" s="15"/>
      <c r="D661" s="15"/>
      <c r="E661" s="15"/>
      <c r="F661" s="15"/>
      <c r="G661" s="15"/>
      <c r="H661" s="15"/>
      <c r="I661" s="15"/>
      <c r="J661" s="15"/>
      <c r="K661" s="15"/>
      <c r="L661" s="15"/>
      <c r="M661" s="15"/>
      <c r="N661" s="15"/>
      <c r="O661" s="15"/>
      <c r="P661" s="15"/>
      <c r="Q661" s="15"/>
      <c r="R661" s="15"/>
    </row>
    <row r="662" spans="1:18" x14ac:dyDescent="0.2">
      <c r="A662" s="15"/>
      <c r="B662" s="38"/>
      <c r="C662" s="15"/>
      <c r="D662" s="15"/>
      <c r="E662" s="15"/>
      <c r="F662" s="15"/>
      <c r="G662" s="15"/>
      <c r="H662" s="15"/>
      <c r="I662" s="15"/>
      <c r="J662" s="15"/>
      <c r="K662" s="15"/>
      <c r="L662" s="15"/>
      <c r="M662" s="15"/>
      <c r="N662" s="15"/>
      <c r="O662" s="15"/>
      <c r="P662" s="15"/>
      <c r="Q662" s="15"/>
      <c r="R662" s="15"/>
    </row>
    <row r="663" spans="1:18" x14ac:dyDescent="0.2">
      <c r="A663" s="15"/>
      <c r="B663" s="38"/>
      <c r="C663" s="15"/>
      <c r="D663" s="15"/>
      <c r="E663" s="15"/>
      <c r="F663" s="15"/>
      <c r="G663" s="15"/>
      <c r="H663" s="15"/>
      <c r="I663" s="15"/>
      <c r="J663" s="15"/>
      <c r="K663" s="15"/>
      <c r="L663" s="15"/>
      <c r="M663" s="15"/>
      <c r="N663" s="15"/>
      <c r="O663" s="15"/>
      <c r="P663" s="15"/>
      <c r="Q663" s="15"/>
      <c r="R663" s="15"/>
    </row>
    <row r="664" spans="1:18" x14ac:dyDescent="0.2">
      <c r="A664" s="15"/>
      <c r="B664" s="38"/>
      <c r="C664" s="15"/>
      <c r="D664" s="15"/>
      <c r="E664" s="15"/>
      <c r="F664" s="15"/>
      <c r="G664" s="15"/>
      <c r="H664" s="15"/>
      <c r="I664" s="15"/>
      <c r="J664" s="15"/>
      <c r="K664" s="15"/>
      <c r="L664" s="15"/>
      <c r="M664" s="15"/>
      <c r="N664" s="15"/>
      <c r="O664" s="15"/>
      <c r="P664" s="15"/>
      <c r="Q664" s="15"/>
      <c r="R664" s="15"/>
    </row>
    <row r="665" spans="1:18" x14ac:dyDescent="0.2">
      <c r="A665" s="15"/>
      <c r="B665" s="38"/>
      <c r="C665" s="15"/>
      <c r="D665" s="15"/>
      <c r="E665" s="15"/>
      <c r="F665" s="15"/>
      <c r="G665" s="15"/>
      <c r="H665" s="15"/>
      <c r="I665" s="15"/>
      <c r="J665" s="15"/>
      <c r="K665" s="15"/>
      <c r="L665" s="15"/>
      <c r="M665" s="15"/>
      <c r="N665" s="15"/>
      <c r="O665" s="15"/>
      <c r="P665" s="15"/>
      <c r="Q665" s="15"/>
      <c r="R665" s="15"/>
    </row>
    <row r="666" spans="1:18" x14ac:dyDescent="0.2">
      <c r="A666" s="15"/>
      <c r="B666" s="38"/>
      <c r="C666" s="15"/>
      <c r="D666" s="15"/>
      <c r="E666" s="15"/>
      <c r="F666" s="15"/>
      <c r="G666" s="15"/>
      <c r="H666" s="15"/>
      <c r="I666" s="15"/>
      <c r="J666" s="15"/>
      <c r="K666" s="15"/>
      <c r="L666" s="15"/>
      <c r="M666" s="15"/>
      <c r="N666" s="15"/>
      <c r="O666" s="15"/>
      <c r="P666" s="15"/>
      <c r="Q666" s="15"/>
      <c r="R666" s="15"/>
    </row>
    <row r="667" spans="1:18" x14ac:dyDescent="0.2">
      <c r="A667" s="15"/>
      <c r="B667" s="38"/>
      <c r="C667" s="15"/>
      <c r="D667" s="15"/>
      <c r="E667" s="15"/>
      <c r="F667" s="15"/>
      <c r="G667" s="15"/>
      <c r="H667" s="15"/>
      <c r="I667" s="15"/>
      <c r="J667" s="15"/>
      <c r="K667" s="15"/>
      <c r="L667" s="15"/>
      <c r="M667" s="15"/>
      <c r="N667" s="15"/>
      <c r="O667" s="15"/>
      <c r="P667" s="15"/>
      <c r="Q667" s="15"/>
      <c r="R667" s="15"/>
    </row>
    <row r="668" spans="1:18" x14ac:dyDescent="0.2">
      <c r="A668" s="15"/>
      <c r="B668" s="38"/>
      <c r="C668" s="15"/>
      <c r="D668" s="15"/>
      <c r="E668" s="15"/>
      <c r="F668" s="15"/>
      <c r="G668" s="15"/>
      <c r="H668" s="15"/>
      <c r="I668" s="15"/>
      <c r="J668" s="15"/>
      <c r="K668" s="15"/>
      <c r="L668" s="15"/>
      <c r="M668" s="15"/>
      <c r="N668" s="15"/>
      <c r="O668" s="15"/>
      <c r="P668" s="15"/>
      <c r="Q668" s="15"/>
      <c r="R668" s="15"/>
    </row>
    <row r="669" spans="1:18" x14ac:dyDescent="0.2">
      <c r="A669" s="15"/>
      <c r="B669" s="38"/>
      <c r="C669" s="15"/>
      <c r="D669" s="15"/>
      <c r="E669" s="15"/>
      <c r="F669" s="15"/>
      <c r="G669" s="15"/>
      <c r="H669" s="15"/>
      <c r="I669" s="15"/>
      <c r="J669" s="15"/>
      <c r="K669" s="15"/>
      <c r="L669" s="15"/>
      <c r="M669" s="15"/>
      <c r="N669" s="15"/>
      <c r="O669" s="15"/>
      <c r="P669" s="15"/>
      <c r="Q669" s="15"/>
      <c r="R669" s="15"/>
    </row>
    <row r="670" spans="1:18" x14ac:dyDescent="0.2">
      <c r="A670" s="15"/>
      <c r="B670" s="38"/>
      <c r="C670" s="15"/>
      <c r="D670" s="15"/>
      <c r="E670" s="15"/>
      <c r="F670" s="15"/>
      <c r="G670" s="15"/>
      <c r="H670" s="15"/>
      <c r="I670" s="15"/>
      <c r="J670" s="15"/>
      <c r="K670" s="15"/>
      <c r="L670" s="15"/>
      <c r="M670" s="15"/>
      <c r="N670" s="15"/>
      <c r="O670" s="15"/>
      <c r="P670" s="15"/>
      <c r="Q670" s="15"/>
      <c r="R670" s="15"/>
    </row>
    <row r="671" spans="1:18" x14ac:dyDescent="0.2">
      <c r="A671" s="15"/>
      <c r="B671" s="38"/>
      <c r="C671" s="15"/>
      <c r="D671" s="15"/>
      <c r="E671" s="15"/>
      <c r="F671" s="15"/>
      <c r="G671" s="15"/>
      <c r="H671" s="15"/>
      <c r="I671" s="15"/>
      <c r="J671" s="15"/>
      <c r="K671" s="15"/>
      <c r="L671" s="15"/>
      <c r="M671" s="15"/>
      <c r="N671" s="15"/>
      <c r="O671" s="15"/>
      <c r="P671" s="15"/>
      <c r="Q671" s="15"/>
      <c r="R671" s="15"/>
    </row>
    <row r="672" spans="1:18" x14ac:dyDescent="0.2">
      <c r="A672" s="15"/>
      <c r="B672" s="38"/>
      <c r="C672" s="15"/>
      <c r="D672" s="15"/>
      <c r="E672" s="15"/>
      <c r="F672" s="15"/>
      <c r="G672" s="15"/>
      <c r="H672" s="15"/>
      <c r="I672" s="15"/>
      <c r="J672" s="15"/>
      <c r="K672" s="15"/>
      <c r="L672" s="15"/>
      <c r="M672" s="15"/>
      <c r="N672" s="15"/>
      <c r="O672" s="15"/>
      <c r="P672" s="15"/>
      <c r="Q672" s="15"/>
      <c r="R672" s="15"/>
    </row>
    <row r="673" spans="1:18" x14ac:dyDescent="0.2">
      <c r="A673" s="15"/>
      <c r="B673" s="38"/>
      <c r="C673" s="15"/>
      <c r="D673" s="15"/>
      <c r="E673" s="15"/>
      <c r="F673" s="15"/>
      <c r="G673" s="15"/>
      <c r="H673" s="15"/>
      <c r="I673" s="15"/>
      <c r="J673" s="15"/>
      <c r="K673" s="15"/>
      <c r="L673" s="15"/>
      <c r="M673" s="15"/>
      <c r="N673" s="15"/>
      <c r="O673" s="15"/>
      <c r="P673" s="15"/>
      <c r="Q673" s="15"/>
      <c r="R673" s="15"/>
    </row>
    <row r="674" spans="1:18" x14ac:dyDescent="0.2">
      <c r="A674" s="15"/>
      <c r="B674" s="38"/>
      <c r="C674" s="15"/>
      <c r="D674" s="15"/>
      <c r="E674" s="15"/>
      <c r="F674" s="15"/>
      <c r="G674" s="15"/>
      <c r="H674" s="15"/>
      <c r="I674" s="15"/>
      <c r="J674" s="15"/>
      <c r="K674" s="15"/>
      <c r="L674" s="15"/>
      <c r="M674" s="15"/>
      <c r="N674" s="15"/>
      <c r="O674" s="15"/>
      <c r="P674" s="15"/>
      <c r="Q674" s="15"/>
      <c r="R674" s="15"/>
    </row>
    <row r="675" spans="1:18" x14ac:dyDescent="0.2">
      <c r="A675" s="15"/>
      <c r="B675" s="38"/>
      <c r="C675" s="15"/>
      <c r="D675" s="15"/>
      <c r="E675" s="15"/>
      <c r="F675" s="15"/>
      <c r="G675" s="15"/>
      <c r="H675" s="15"/>
      <c r="I675" s="15"/>
      <c r="J675" s="15"/>
      <c r="K675" s="15"/>
      <c r="L675" s="15"/>
      <c r="M675" s="15"/>
      <c r="N675" s="15"/>
      <c r="O675" s="15"/>
      <c r="P675" s="15"/>
      <c r="Q675" s="15"/>
      <c r="R675" s="15"/>
    </row>
    <row r="676" spans="1:18" x14ac:dyDescent="0.2">
      <c r="A676" s="15"/>
      <c r="B676" s="38"/>
      <c r="C676" s="15"/>
      <c r="D676" s="15"/>
      <c r="E676" s="15"/>
      <c r="F676" s="15"/>
      <c r="G676" s="15"/>
      <c r="H676" s="15"/>
      <c r="I676" s="15"/>
      <c r="J676" s="15"/>
      <c r="K676" s="15"/>
      <c r="L676" s="15"/>
      <c r="M676" s="15"/>
      <c r="N676" s="15"/>
      <c r="O676" s="15"/>
      <c r="P676" s="15"/>
      <c r="Q676" s="15"/>
      <c r="R676" s="15"/>
    </row>
    <row r="677" spans="1:18" x14ac:dyDescent="0.2">
      <c r="A677" s="15"/>
      <c r="B677" s="38"/>
      <c r="C677" s="15"/>
      <c r="D677" s="15"/>
      <c r="E677" s="15"/>
      <c r="F677" s="15"/>
      <c r="G677" s="15"/>
      <c r="H677" s="15"/>
      <c r="I677" s="15"/>
      <c r="J677" s="15"/>
      <c r="K677" s="15"/>
      <c r="L677" s="15"/>
      <c r="M677" s="15"/>
      <c r="N677" s="15"/>
      <c r="O677" s="15"/>
      <c r="P677" s="15"/>
      <c r="Q677" s="15"/>
      <c r="R677" s="15"/>
    </row>
    <row r="678" spans="1:18" x14ac:dyDescent="0.2">
      <c r="A678" s="15"/>
      <c r="B678" s="38"/>
      <c r="C678" s="15"/>
      <c r="D678" s="15"/>
      <c r="E678" s="15"/>
      <c r="F678" s="15"/>
      <c r="G678" s="15"/>
      <c r="H678" s="15"/>
      <c r="I678" s="15"/>
      <c r="J678" s="15"/>
      <c r="K678" s="15"/>
      <c r="L678" s="15"/>
      <c r="M678" s="15"/>
      <c r="N678" s="15"/>
      <c r="O678" s="15"/>
      <c r="P678" s="15"/>
      <c r="Q678" s="15"/>
      <c r="R678" s="15"/>
    </row>
    <row r="679" spans="1:18" x14ac:dyDescent="0.2">
      <c r="A679" s="15"/>
      <c r="B679" s="38"/>
      <c r="C679" s="15"/>
      <c r="D679" s="15"/>
      <c r="E679" s="15"/>
      <c r="F679" s="15"/>
      <c r="G679" s="15"/>
      <c r="H679" s="15"/>
      <c r="I679" s="15"/>
      <c r="J679" s="15"/>
      <c r="K679" s="15"/>
      <c r="L679" s="15"/>
      <c r="M679" s="15"/>
      <c r="N679" s="15"/>
      <c r="O679" s="15"/>
      <c r="P679" s="15"/>
      <c r="Q679" s="15"/>
      <c r="R679" s="15"/>
    </row>
    <row r="680" spans="1:18" x14ac:dyDescent="0.2">
      <c r="A680" s="15"/>
      <c r="B680" s="38"/>
      <c r="C680" s="15"/>
      <c r="D680" s="15"/>
      <c r="E680" s="15"/>
      <c r="F680" s="15"/>
      <c r="G680" s="15"/>
      <c r="H680" s="15"/>
      <c r="I680" s="15"/>
      <c r="J680" s="15"/>
      <c r="K680" s="15"/>
      <c r="L680" s="15"/>
      <c r="M680" s="15"/>
      <c r="N680" s="15"/>
      <c r="O680" s="15"/>
      <c r="P680" s="15"/>
      <c r="Q680" s="15"/>
      <c r="R680" s="15"/>
    </row>
    <row r="681" spans="1:18" x14ac:dyDescent="0.2">
      <c r="A681" s="15"/>
      <c r="B681" s="38"/>
      <c r="C681" s="15"/>
      <c r="D681" s="15"/>
      <c r="E681" s="15"/>
      <c r="F681" s="15"/>
      <c r="G681" s="15"/>
      <c r="H681" s="15"/>
      <c r="I681" s="15"/>
      <c r="J681" s="15"/>
      <c r="K681" s="15"/>
      <c r="L681" s="15"/>
      <c r="M681" s="15"/>
      <c r="N681" s="15"/>
      <c r="O681" s="15"/>
      <c r="P681" s="15"/>
      <c r="Q681" s="15"/>
      <c r="R681" s="15"/>
    </row>
    <row r="682" spans="1:18" x14ac:dyDescent="0.2">
      <c r="A682" s="15"/>
      <c r="B682" s="38"/>
      <c r="C682" s="15"/>
      <c r="D682" s="15"/>
      <c r="E682" s="15"/>
      <c r="F682" s="15"/>
      <c r="G682" s="15"/>
      <c r="H682" s="15"/>
      <c r="I682" s="15"/>
      <c r="J682" s="15"/>
      <c r="K682" s="15"/>
      <c r="L682" s="15"/>
      <c r="M682" s="15"/>
      <c r="N682" s="15"/>
      <c r="O682" s="15"/>
      <c r="P682" s="15"/>
      <c r="Q682" s="15"/>
      <c r="R682" s="15"/>
    </row>
    <row r="683" spans="1:18" x14ac:dyDescent="0.2">
      <c r="A683" s="15"/>
      <c r="B683" s="38"/>
      <c r="C683" s="15"/>
      <c r="D683" s="15"/>
      <c r="E683" s="15"/>
      <c r="F683" s="15"/>
      <c r="G683" s="15"/>
      <c r="H683" s="15"/>
      <c r="I683" s="15"/>
      <c r="J683" s="15"/>
      <c r="K683" s="15"/>
      <c r="L683" s="15"/>
      <c r="M683" s="15"/>
      <c r="N683" s="15"/>
      <c r="O683" s="15"/>
      <c r="P683" s="15"/>
      <c r="Q683" s="15"/>
      <c r="R683" s="15"/>
    </row>
    <row r="684" spans="1:18" x14ac:dyDescent="0.2">
      <c r="A684" s="15"/>
      <c r="B684" s="38"/>
      <c r="C684" s="15"/>
      <c r="D684" s="15"/>
      <c r="E684" s="15"/>
      <c r="F684" s="15"/>
      <c r="G684" s="15"/>
      <c r="H684" s="15"/>
      <c r="I684" s="15"/>
      <c r="J684" s="15"/>
      <c r="K684" s="15"/>
      <c r="L684" s="15"/>
      <c r="M684" s="15"/>
      <c r="N684" s="15"/>
      <c r="O684" s="15"/>
      <c r="P684" s="15"/>
      <c r="Q684" s="15"/>
      <c r="R684" s="15"/>
    </row>
    <row r="685" spans="1:18" x14ac:dyDescent="0.2">
      <c r="A685" s="15"/>
      <c r="B685" s="38"/>
      <c r="C685" s="15"/>
      <c r="D685" s="15"/>
      <c r="E685" s="15"/>
      <c r="F685" s="15"/>
      <c r="G685" s="15"/>
      <c r="H685" s="15"/>
      <c r="I685" s="15"/>
      <c r="J685" s="15"/>
      <c r="K685" s="15"/>
      <c r="L685" s="15"/>
      <c r="M685" s="15"/>
      <c r="N685" s="15"/>
      <c r="O685" s="15"/>
      <c r="P685" s="15"/>
      <c r="Q685" s="15"/>
      <c r="R685" s="15"/>
    </row>
    <row r="686" spans="1:18" x14ac:dyDescent="0.2">
      <c r="A686" s="15"/>
      <c r="B686" s="38"/>
      <c r="C686" s="15"/>
      <c r="D686" s="15"/>
      <c r="E686" s="15"/>
      <c r="F686" s="15"/>
      <c r="G686" s="15"/>
      <c r="H686" s="15"/>
      <c r="I686" s="15"/>
      <c r="J686" s="15"/>
      <c r="K686" s="15"/>
      <c r="L686" s="15"/>
      <c r="M686" s="15"/>
      <c r="N686" s="15"/>
      <c r="O686" s="15"/>
      <c r="P686" s="15"/>
      <c r="Q686" s="15"/>
      <c r="R686" s="15"/>
    </row>
    <row r="687" spans="1:18" x14ac:dyDescent="0.2">
      <c r="A687" s="15"/>
      <c r="B687" s="38"/>
      <c r="C687" s="15"/>
      <c r="D687" s="15"/>
      <c r="E687" s="15"/>
      <c r="F687" s="15"/>
      <c r="G687" s="15"/>
      <c r="H687" s="15"/>
      <c r="I687" s="15"/>
      <c r="J687" s="15"/>
      <c r="K687" s="15"/>
      <c r="L687" s="15"/>
      <c r="M687" s="15"/>
      <c r="N687" s="15"/>
      <c r="O687" s="15"/>
      <c r="P687" s="15"/>
      <c r="Q687" s="15"/>
      <c r="R687" s="15"/>
    </row>
    <row r="688" spans="1:18" x14ac:dyDescent="0.2">
      <c r="A688" s="15"/>
      <c r="B688" s="38"/>
      <c r="C688" s="15"/>
      <c r="D688" s="15"/>
      <c r="E688" s="15"/>
      <c r="F688" s="15"/>
      <c r="G688" s="15"/>
      <c r="H688" s="15"/>
      <c r="I688" s="15"/>
      <c r="J688" s="15"/>
      <c r="K688" s="15"/>
      <c r="L688" s="15"/>
      <c r="M688" s="15"/>
      <c r="N688" s="15"/>
      <c r="O688" s="15"/>
      <c r="P688" s="15"/>
      <c r="Q688" s="15"/>
      <c r="R688" s="15"/>
    </row>
    <row r="689" spans="1:18" x14ac:dyDescent="0.2">
      <c r="A689" s="15"/>
      <c r="B689" s="38"/>
      <c r="C689" s="15"/>
      <c r="D689" s="15"/>
      <c r="E689" s="15"/>
      <c r="F689" s="15"/>
      <c r="G689" s="15"/>
      <c r="H689" s="15"/>
      <c r="I689" s="15"/>
      <c r="J689" s="15"/>
      <c r="K689" s="15"/>
      <c r="L689" s="15"/>
      <c r="M689" s="15"/>
      <c r="N689" s="15"/>
      <c r="O689" s="15"/>
      <c r="P689" s="15"/>
      <c r="Q689" s="15"/>
      <c r="R689" s="15"/>
    </row>
    <row r="690" spans="1:18" x14ac:dyDescent="0.2">
      <c r="A690" s="15"/>
      <c r="B690" s="38"/>
      <c r="C690" s="15"/>
      <c r="D690" s="15"/>
      <c r="E690" s="15"/>
      <c r="F690" s="15"/>
      <c r="G690" s="15"/>
      <c r="H690" s="15"/>
      <c r="I690" s="15"/>
      <c r="J690" s="15"/>
      <c r="K690" s="15"/>
      <c r="L690" s="15"/>
      <c r="M690" s="15"/>
      <c r="N690" s="15"/>
      <c r="O690" s="15"/>
      <c r="P690" s="15"/>
      <c r="Q690" s="15"/>
      <c r="R690" s="15"/>
    </row>
    <row r="691" spans="1:18" x14ac:dyDescent="0.2">
      <c r="A691" s="15"/>
      <c r="B691" s="38"/>
      <c r="C691" s="15"/>
      <c r="D691" s="15"/>
      <c r="E691" s="15"/>
      <c r="F691" s="15"/>
      <c r="G691" s="15"/>
      <c r="H691" s="15"/>
      <c r="I691" s="15"/>
      <c r="J691" s="15"/>
      <c r="K691" s="15"/>
      <c r="L691" s="15"/>
      <c r="M691" s="15"/>
      <c r="N691" s="15"/>
      <c r="O691" s="15"/>
      <c r="P691" s="15"/>
      <c r="Q691" s="15"/>
      <c r="R691" s="15"/>
    </row>
    <row r="692" spans="1:18" x14ac:dyDescent="0.2">
      <c r="A692" s="15"/>
      <c r="B692" s="38"/>
      <c r="C692" s="15"/>
      <c r="D692" s="15"/>
      <c r="E692" s="15"/>
      <c r="F692" s="15"/>
      <c r="G692" s="15"/>
      <c r="H692" s="15"/>
      <c r="I692" s="15"/>
      <c r="J692" s="15"/>
      <c r="K692" s="15"/>
      <c r="L692" s="15"/>
      <c r="M692" s="15"/>
      <c r="N692" s="15"/>
      <c r="O692" s="15"/>
      <c r="P692" s="15"/>
      <c r="Q692" s="15"/>
      <c r="R692" s="15"/>
    </row>
    <row r="693" spans="1:18" x14ac:dyDescent="0.2">
      <c r="A693" s="15"/>
      <c r="B693" s="38"/>
      <c r="C693" s="15"/>
      <c r="D693" s="15"/>
      <c r="E693" s="15"/>
      <c r="F693" s="15"/>
      <c r="G693" s="15"/>
      <c r="H693" s="15"/>
      <c r="I693" s="15"/>
      <c r="J693" s="15"/>
      <c r="K693" s="15"/>
      <c r="L693" s="15"/>
      <c r="M693" s="15"/>
      <c r="N693" s="15"/>
      <c r="O693" s="15"/>
      <c r="P693" s="15"/>
      <c r="Q693" s="15"/>
      <c r="R693" s="15"/>
    </row>
    <row r="694" spans="1:18" x14ac:dyDescent="0.2">
      <c r="A694" s="15"/>
      <c r="B694" s="38"/>
      <c r="C694" s="15"/>
      <c r="D694" s="15"/>
      <c r="E694" s="15"/>
      <c r="F694" s="15"/>
      <c r="G694" s="15"/>
      <c r="H694" s="15"/>
      <c r="I694" s="15"/>
      <c r="J694" s="15"/>
      <c r="K694" s="15"/>
      <c r="L694" s="15"/>
      <c r="M694" s="15"/>
      <c r="N694" s="15"/>
      <c r="O694" s="15"/>
      <c r="P694" s="15"/>
      <c r="Q694" s="15"/>
      <c r="R694" s="15"/>
    </row>
    <row r="695" spans="1:18" x14ac:dyDescent="0.2">
      <c r="A695" s="15"/>
      <c r="B695" s="38"/>
      <c r="C695" s="15"/>
      <c r="D695" s="15"/>
      <c r="E695" s="15"/>
      <c r="F695" s="15"/>
      <c r="G695" s="15"/>
      <c r="H695" s="15"/>
      <c r="I695" s="15"/>
      <c r="J695" s="15"/>
      <c r="K695" s="15"/>
      <c r="L695" s="15"/>
      <c r="M695" s="15"/>
      <c r="N695" s="15"/>
      <c r="O695" s="15"/>
      <c r="P695" s="15"/>
      <c r="Q695" s="15"/>
      <c r="R695" s="15"/>
    </row>
    <row r="696" spans="1:18" x14ac:dyDescent="0.2">
      <c r="A696" s="15"/>
      <c r="B696" s="38"/>
      <c r="C696" s="15"/>
      <c r="D696" s="15"/>
      <c r="E696" s="15"/>
      <c r="F696" s="15"/>
      <c r="G696" s="15"/>
      <c r="H696" s="15"/>
      <c r="I696" s="15"/>
      <c r="J696" s="15"/>
      <c r="K696" s="15"/>
      <c r="L696" s="15"/>
      <c r="M696" s="15"/>
      <c r="N696" s="15"/>
      <c r="O696" s="15"/>
      <c r="P696" s="15"/>
      <c r="Q696" s="15"/>
      <c r="R696" s="15"/>
    </row>
    <row r="697" spans="1:18" x14ac:dyDescent="0.2">
      <c r="A697" s="15"/>
      <c r="B697" s="38"/>
      <c r="C697" s="15"/>
      <c r="D697" s="15"/>
      <c r="E697" s="15"/>
      <c r="F697" s="15"/>
      <c r="G697" s="15"/>
      <c r="H697" s="15"/>
      <c r="I697" s="15"/>
      <c r="J697" s="15"/>
      <c r="K697" s="15"/>
      <c r="L697" s="15"/>
      <c r="M697" s="15"/>
      <c r="N697" s="15"/>
      <c r="O697" s="15"/>
      <c r="P697" s="15"/>
      <c r="Q697" s="15"/>
      <c r="R697" s="15"/>
    </row>
    <row r="698" spans="1:18" x14ac:dyDescent="0.2">
      <c r="A698" s="15"/>
      <c r="B698" s="38"/>
      <c r="C698" s="15"/>
      <c r="D698" s="15"/>
      <c r="E698" s="15"/>
      <c r="F698" s="15"/>
      <c r="G698" s="15"/>
      <c r="H698" s="15"/>
      <c r="I698" s="15"/>
      <c r="J698" s="15"/>
      <c r="K698" s="15"/>
      <c r="L698" s="15"/>
      <c r="M698" s="15"/>
      <c r="N698" s="15"/>
      <c r="O698" s="15"/>
      <c r="P698" s="15"/>
      <c r="Q698" s="15"/>
      <c r="R698" s="15"/>
    </row>
    <row r="699" spans="1:18" x14ac:dyDescent="0.2">
      <c r="A699" s="15"/>
      <c r="B699" s="38"/>
      <c r="C699" s="15"/>
      <c r="D699" s="15"/>
      <c r="E699" s="15"/>
      <c r="F699" s="15"/>
      <c r="G699" s="15"/>
      <c r="H699" s="15"/>
      <c r="I699" s="15"/>
      <c r="J699" s="15"/>
      <c r="K699" s="15"/>
      <c r="L699" s="15"/>
      <c r="M699" s="15"/>
      <c r="N699" s="15"/>
      <c r="O699" s="15"/>
      <c r="P699" s="15"/>
      <c r="Q699" s="15"/>
      <c r="R699" s="15"/>
    </row>
    <row r="700" spans="1:18" x14ac:dyDescent="0.2">
      <c r="A700" s="15"/>
      <c r="B700" s="38"/>
      <c r="C700" s="15"/>
      <c r="D700" s="15"/>
      <c r="E700" s="15"/>
      <c r="F700" s="15"/>
      <c r="G700" s="15"/>
      <c r="H700" s="15"/>
      <c r="I700" s="15"/>
      <c r="J700" s="15"/>
      <c r="K700" s="15"/>
      <c r="L700" s="15"/>
      <c r="M700" s="15"/>
      <c r="N700" s="15"/>
      <c r="O700" s="15"/>
      <c r="P700" s="15"/>
      <c r="Q700" s="15"/>
      <c r="R700" s="15"/>
    </row>
    <row r="701" spans="1:18" x14ac:dyDescent="0.2">
      <c r="A701" s="15"/>
      <c r="B701" s="38"/>
      <c r="C701" s="15"/>
      <c r="D701" s="15"/>
      <c r="E701" s="15"/>
      <c r="F701" s="15"/>
      <c r="G701" s="15"/>
      <c r="H701" s="15"/>
      <c r="I701" s="15"/>
      <c r="J701" s="15"/>
      <c r="K701" s="15"/>
      <c r="L701" s="15"/>
      <c r="M701" s="15"/>
      <c r="N701" s="15"/>
      <c r="O701" s="15"/>
      <c r="P701" s="15"/>
      <c r="Q701" s="15"/>
      <c r="R701" s="15"/>
    </row>
    <row r="702" spans="1:18" x14ac:dyDescent="0.2">
      <c r="A702" s="15"/>
      <c r="B702" s="38"/>
      <c r="C702" s="15"/>
      <c r="D702" s="15"/>
      <c r="E702" s="15"/>
      <c r="F702" s="15"/>
      <c r="G702" s="15"/>
      <c r="H702" s="15"/>
      <c r="I702" s="15"/>
      <c r="J702" s="15"/>
      <c r="K702" s="15"/>
      <c r="L702" s="15"/>
      <c r="M702" s="15"/>
      <c r="N702" s="15"/>
      <c r="O702" s="15"/>
      <c r="P702" s="15"/>
      <c r="Q702" s="15"/>
      <c r="R702" s="15"/>
    </row>
    <row r="703" spans="1:18" x14ac:dyDescent="0.2">
      <c r="A703" s="15"/>
      <c r="B703" s="38"/>
      <c r="C703" s="15"/>
      <c r="D703" s="15"/>
      <c r="E703" s="15"/>
      <c r="F703" s="15"/>
      <c r="G703" s="15"/>
      <c r="H703" s="15"/>
      <c r="I703" s="15"/>
      <c r="J703" s="15"/>
      <c r="K703" s="15"/>
      <c r="L703" s="15"/>
      <c r="M703" s="15"/>
      <c r="N703" s="15"/>
      <c r="O703" s="15"/>
      <c r="P703" s="15"/>
      <c r="Q703" s="15"/>
      <c r="R703" s="15"/>
    </row>
    <row r="704" spans="1:18" x14ac:dyDescent="0.2">
      <c r="A704" s="15"/>
      <c r="B704" s="38"/>
      <c r="C704" s="15"/>
      <c r="D704" s="15"/>
      <c r="E704" s="15"/>
      <c r="F704" s="15"/>
      <c r="G704" s="15"/>
      <c r="H704" s="15"/>
      <c r="I704" s="15"/>
      <c r="J704" s="15"/>
      <c r="K704" s="15"/>
      <c r="L704" s="15"/>
      <c r="M704" s="15"/>
      <c r="N704" s="15"/>
      <c r="O704" s="15"/>
      <c r="P704" s="15"/>
      <c r="Q704" s="15"/>
      <c r="R704" s="15"/>
    </row>
    <row r="705" spans="1:18" x14ac:dyDescent="0.2">
      <c r="A705" s="15"/>
      <c r="B705" s="38"/>
      <c r="C705" s="15"/>
      <c r="D705" s="15"/>
      <c r="E705" s="15"/>
      <c r="F705" s="15"/>
      <c r="G705" s="15"/>
      <c r="H705" s="15"/>
      <c r="I705" s="15"/>
      <c r="J705" s="15"/>
      <c r="K705" s="15"/>
      <c r="L705" s="15"/>
      <c r="M705" s="15"/>
      <c r="N705" s="15"/>
      <c r="O705" s="15"/>
      <c r="P705" s="15"/>
      <c r="Q705" s="15"/>
      <c r="R705" s="15"/>
    </row>
    <row r="706" spans="1:18" x14ac:dyDescent="0.2">
      <c r="A706" s="15"/>
      <c r="B706" s="38"/>
      <c r="C706" s="15"/>
      <c r="D706" s="15"/>
      <c r="E706" s="15"/>
      <c r="F706" s="15"/>
      <c r="G706" s="15"/>
      <c r="H706" s="15"/>
      <c r="I706" s="15"/>
      <c r="J706" s="15"/>
      <c r="K706" s="15"/>
      <c r="L706" s="15"/>
      <c r="M706" s="15"/>
      <c r="N706" s="15"/>
      <c r="O706" s="15"/>
      <c r="P706" s="15"/>
      <c r="Q706" s="15"/>
      <c r="R706" s="15"/>
    </row>
    <row r="707" spans="1:18" x14ac:dyDescent="0.2">
      <c r="A707" s="15"/>
      <c r="B707" s="38"/>
      <c r="C707" s="15"/>
      <c r="D707" s="15"/>
      <c r="E707" s="15"/>
      <c r="F707" s="15"/>
      <c r="G707" s="15"/>
      <c r="H707" s="15"/>
      <c r="I707" s="15"/>
      <c r="J707" s="15"/>
      <c r="K707" s="15"/>
      <c r="L707" s="15"/>
      <c r="M707" s="15"/>
      <c r="N707" s="15"/>
      <c r="O707" s="15"/>
      <c r="P707" s="15"/>
      <c r="Q707" s="15"/>
      <c r="R707" s="15"/>
    </row>
    <row r="708" spans="1:18" x14ac:dyDescent="0.2">
      <c r="A708" s="15"/>
      <c r="B708" s="38"/>
      <c r="C708" s="15"/>
      <c r="D708" s="15"/>
      <c r="E708" s="15"/>
      <c r="F708" s="15"/>
      <c r="G708" s="15"/>
      <c r="H708" s="15"/>
      <c r="I708" s="15"/>
      <c r="J708" s="15"/>
      <c r="K708" s="15"/>
      <c r="L708" s="15"/>
      <c r="M708" s="15"/>
      <c r="N708" s="15"/>
      <c r="O708" s="15"/>
      <c r="P708" s="15"/>
      <c r="Q708" s="15"/>
      <c r="R708" s="15"/>
    </row>
    <row r="709" spans="1:18" x14ac:dyDescent="0.2">
      <c r="A709" s="15"/>
      <c r="B709" s="38"/>
      <c r="C709" s="15"/>
      <c r="D709" s="15"/>
      <c r="E709" s="15"/>
      <c r="F709" s="15"/>
      <c r="G709" s="15"/>
      <c r="H709" s="15"/>
      <c r="I709" s="15"/>
      <c r="J709" s="15"/>
      <c r="K709" s="15"/>
      <c r="L709" s="15"/>
      <c r="M709" s="15"/>
      <c r="N709" s="15"/>
      <c r="O709" s="15"/>
      <c r="P709" s="15"/>
      <c r="Q709" s="15"/>
      <c r="R709" s="15"/>
    </row>
    <row r="710" spans="1:18" x14ac:dyDescent="0.2">
      <c r="A710" s="15"/>
      <c r="B710" s="38"/>
      <c r="C710" s="15"/>
      <c r="D710" s="15"/>
      <c r="E710" s="15"/>
      <c r="F710" s="15"/>
      <c r="G710" s="15"/>
      <c r="H710" s="15"/>
      <c r="I710" s="15"/>
      <c r="J710" s="15"/>
      <c r="K710" s="15"/>
      <c r="L710" s="15"/>
      <c r="M710" s="15"/>
      <c r="N710" s="15"/>
      <c r="O710" s="15"/>
      <c r="P710" s="15"/>
      <c r="Q710" s="15"/>
      <c r="R710" s="15"/>
    </row>
    <row r="711" spans="1:18" x14ac:dyDescent="0.2">
      <c r="A711" s="15"/>
      <c r="B711" s="38"/>
      <c r="C711" s="15"/>
      <c r="D711" s="15"/>
      <c r="E711" s="15"/>
      <c r="F711" s="15"/>
      <c r="G711" s="15"/>
      <c r="H711" s="15"/>
      <c r="I711" s="15"/>
      <c r="J711" s="15"/>
      <c r="K711" s="15"/>
      <c r="L711" s="15"/>
      <c r="M711" s="15"/>
      <c r="N711" s="15"/>
      <c r="O711" s="15"/>
      <c r="P711" s="15"/>
      <c r="Q711" s="15"/>
      <c r="R711" s="15"/>
    </row>
    <row r="712" spans="1:18" x14ac:dyDescent="0.2">
      <c r="A712" s="15"/>
      <c r="B712" s="38"/>
      <c r="C712" s="15"/>
      <c r="D712" s="15"/>
      <c r="E712" s="15"/>
      <c r="F712" s="15"/>
      <c r="G712" s="15"/>
      <c r="H712" s="15"/>
      <c r="I712" s="15"/>
      <c r="J712" s="15"/>
      <c r="K712" s="15"/>
      <c r="L712" s="15"/>
      <c r="M712" s="15"/>
      <c r="N712" s="15"/>
      <c r="O712" s="15"/>
      <c r="P712" s="15"/>
      <c r="Q712" s="15"/>
      <c r="R712" s="15"/>
    </row>
    <row r="713" spans="1:18" x14ac:dyDescent="0.2">
      <c r="A713" s="15"/>
      <c r="B713" s="38"/>
      <c r="C713" s="15"/>
      <c r="D713" s="15"/>
      <c r="E713" s="15"/>
      <c r="F713" s="15"/>
      <c r="G713" s="15"/>
      <c r="H713" s="15"/>
      <c r="I713" s="15"/>
      <c r="J713" s="15"/>
      <c r="K713" s="15"/>
      <c r="L713" s="15"/>
      <c r="M713" s="15"/>
      <c r="N713" s="15"/>
      <c r="O713" s="15"/>
      <c r="P713" s="15"/>
      <c r="Q713" s="15"/>
      <c r="R713" s="15"/>
    </row>
    <row r="714" spans="1:18" x14ac:dyDescent="0.2">
      <c r="A714" s="15"/>
      <c r="B714" s="38"/>
      <c r="C714" s="15"/>
      <c r="D714" s="15"/>
      <c r="E714" s="15"/>
      <c r="F714" s="15"/>
      <c r="G714" s="15"/>
      <c r="H714" s="15"/>
      <c r="I714" s="15"/>
      <c r="J714" s="15"/>
      <c r="K714" s="15"/>
      <c r="L714" s="15"/>
      <c r="M714" s="15"/>
      <c r="N714" s="15"/>
      <c r="O714" s="15"/>
      <c r="P714" s="15"/>
      <c r="Q714" s="15"/>
      <c r="R714" s="15"/>
    </row>
    <row r="715" spans="1:18" x14ac:dyDescent="0.2">
      <c r="A715" s="15"/>
      <c r="B715" s="38"/>
      <c r="C715" s="15"/>
      <c r="D715" s="15"/>
      <c r="E715" s="15"/>
      <c r="F715" s="15"/>
      <c r="G715" s="15"/>
      <c r="H715" s="15"/>
      <c r="I715" s="15"/>
      <c r="J715" s="15"/>
      <c r="K715" s="15"/>
      <c r="L715" s="15"/>
      <c r="M715" s="15"/>
      <c r="N715" s="15"/>
      <c r="O715" s="15"/>
      <c r="P715" s="15"/>
      <c r="Q715" s="15"/>
      <c r="R715" s="15"/>
    </row>
    <row r="716" spans="1:18" x14ac:dyDescent="0.2">
      <c r="A716" s="15"/>
      <c r="B716" s="38"/>
      <c r="C716" s="15"/>
      <c r="D716" s="15"/>
      <c r="E716" s="15"/>
      <c r="F716" s="15"/>
      <c r="G716" s="15"/>
      <c r="H716" s="15"/>
      <c r="I716" s="15"/>
      <c r="J716" s="15"/>
      <c r="K716" s="15"/>
      <c r="L716" s="15"/>
      <c r="M716" s="15"/>
      <c r="N716" s="15"/>
      <c r="O716" s="15"/>
      <c r="P716" s="15"/>
      <c r="Q716" s="15"/>
      <c r="R716" s="15"/>
    </row>
    <row r="717" spans="1:18" x14ac:dyDescent="0.2">
      <c r="A717" s="15"/>
      <c r="B717" s="38"/>
      <c r="C717" s="15"/>
      <c r="D717" s="15"/>
      <c r="E717" s="15"/>
      <c r="F717" s="15"/>
      <c r="G717" s="15"/>
      <c r="H717" s="15"/>
      <c r="I717" s="15"/>
      <c r="J717" s="15"/>
      <c r="K717" s="15"/>
      <c r="L717" s="15"/>
      <c r="M717" s="15"/>
      <c r="N717" s="15"/>
      <c r="O717" s="15"/>
      <c r="P717" s="15"/>
      <c r="Q717" s="15"/>
      <c r="R717" s="15"/>
    </row>
    <row r="718" spans="1:18" x14ac:dyDescent="0.2">
      <c r="A718" s="15"/>
      <c r="B718" s="38"/>
      <c r="C718" s="15"/>
      <c r="D718" s="15"/>
      <c r="E718" s="15"/>
      <c r="F718" s="15"/>
      <c r="G718" s="15"/>
      <c r="H718" s="15"/>
      <c r="I718" s="15"/>
      <c r="J718" s="15"/>
      <c r="K718" s="15"/>
      <c r="L718" s="15"/>
      <c r="M718" s="15"/>
      <c r="N718" s="15"/>
      <c r="O718" s="15"/>
      <c r="P718" s="15"/>
      <c r="Q718" s="15"/>
      <c r="R718" s="15"/>
    </row>
    <row r="719" spans="1:18" x14ac:dyDescent="0.2">
      <c r="A719" s="15"/>
      <c r="B719" s="38"/>
      <c r="C719" s="15"/>
      <c r="D719" s="15"/>
      <c r="E719" s="15"/>
      <c r="F719" s="15"/>
      <c r="G719" s="15"/>
      <c r="H719" s="15"/>
      <c r="I719" s="15"/>
      <c r="J719" s="15"/>
      <c r="K719" s="15"/>
      <c r="L719" s="15"/>
      <c r="M719" s="15"/>
      <c r="N719" s="15"/>
      <c r="O719" s="15"/>
      <c r="P719" s="15"/>
      <c r="Q719" s="15"/>
      <c r="R719" s="15"/>
    </row>
    <row r="720" spans="1:18" x14ac:dyDescent="0.2">
      <c r="A720" s="15"/>
      <c r="B720" s="38"/>
      <c r="C720" s="15"/>
      <c r="D720" s="15"/>
      <c r="E720" s="15"/>
      <c r="F720" s="15"/>
      <c r="G720" s="15"/>
      <c r="H720" s="15"/>
      <c r="I720" s="15"/>
      <c r="J720" s="15"/>
      <c r="K720" s="15"/>
      <c r="L720" s="15"/>
      <c r="M720" s="15"/>
      <c r="N720" s="15"/>
      <c r="O720" s="15"/>
      <c r="P720" s="15"/>
      <c r="Q720" s="15"/>
      <c r="R720" s="15"/>
    </row>
    <row r="721" spans="1:18" x14ac:dyDescent="0.2">
      <c r="A721" s="15"/>
      <c r="B721" s="38"/>
      <c r="C721" s="15"/>
      <c r="D721" s="15"/>
      <c r="E721" s="15"/>
      <c r="F721" s="15"/>
      <c r="G721" s="15"/>
      <c r="H721" s="15"/>
      <c r="I721" s="15"/>
      <c r="J721" s="15"/>
      <c r="K721" s="15"/>
      <c r="L721" s="15"/>
      <c r="M721" s="15"/>
      <c r="N721" s="15"/>
      <c r="O721" s="15"/>
      <c r="P721" s="15"/>
      <c r="Q721" s="15"/>
      <c r="R721" s="15"/>
    </row>
    <row r="722" spans="1:18" x14ac:dyDescent="0.2">
      <c r="A722" s="15"/>
      <c r="B722" s="38"/>
      <c r="C722" s="15"/>
      <c r="D722" s="15"/>
      <c r="E722" s="15"/>
      <c r="F722" s="15"/>
      <c r="G722" s="15"/>
      <c r="H722" s="15"/>
      <c r="I722" s="15"/>
      <c r="J722" s="15"/>
      <c r="K722" s="15"/>
      <c r="L722" s="15"/>
      <c r="M722" s="15"/>
      <c r="N722" s="15"/>
      <c r="O722" s="15"/>
      <c r="P722" s="15"/>
      <c r="Q722" s="15"/>
      <c r="R722" s="15"/>
    </row>
    <row r="723" spans="1:18" x14ac:dyDescent="0.2">
      <c r="A723" s="15"/>
      <c r="B723" s="38"/>
      <c r="C723" s="15"/>
      <c r="D723" s="15"/>
      <c r="E723" s="15"/>
      <c r="F723" s="15"/>
      <c r="G723" s="15"/>
      <c r="H723" s="15"/>
      <c r="I723" s="15"/>
      <c r="J723" s="15"/>
      <c r="K723" s="15"/>
      <c r="L723" s="15"/>
      <c r="M723" s="15"/>
      <c r="N723" s="15"/>
      <c r="O723" s="15"/>
      <c r="P723" s="15"/>
      <c r="Q723" s="15"/>
      <c r="R723" s="15"/>
    </row>
    <row r="724" spans="1:18" x14ac:dyDescent="0.2">
      <c r="A724" s="15"/>
      <c r="B724" s="38"/>
      <c r="C724" s="15"/>
      <c r="D724" s="15"/>
      <c r="E724" s="15"/>
      <c r="F724" s="15"/>
      <c r="G724" s="15"/>
      <c r="H724" s="15"/>
      <c r="I724" s="15"/>
      <c r="J724" s="15"/>
      <c r="K724" s="15"/>
      <c r="L724" s="15"/>
      <c r="M724" s="15"/>
      <c r="N724" s="15"/>
      <c r="O724" s="15"/>
      <c r="P724" s="15"/>
      <c r="Q724" s="15"/>
      <c r="R724" s="15"/>
    </row>
    <row r="725" spans="1:18" x14ac:dyDescent="0.2">
      <c r="A725" s="15"/>
      <c r="B725" s="38"/>
      <c r="C725" s="15"/>
      <c r="D725" s="15"/>
      <c r="E725" s="15"/>
      <c r="F725" s="15"/>
      <c r="G725" s="15"/>
      <c r="H725" s="15"/>
      <c r="I725" s="15"/>
      <c r="J725" s="15"/>
      <c r="K725" s="15"/>
      <c r="L725" s="15"/>
      <c r="M725" s="15"/>
      <c r="N725" s="15"/>
      <c r="O725" s="15"/>
      <c r="P725" s="15"/>
      <c r="Q725" s="15"/>
      <c r="R725" s="15"/>
    </row>
    <row r="726" spans="1:18" x14ac:dyDescent="0.2">
      <c r="A726" s="15"/>
      <c r="B726" s="38"/>
      <c r="C726" s="15"/>
      <c r="D726" s="15"/>
      <c r="E726" s="15"/>
      <c r="F726" s="15"/>
      <c r="G726" s="15"/>
      <c r="H726" s="15"/>
      <c r="I726" s="15"/>
      <c r="J726" s="15"/>
      <c r="K726" s="15"/>
      <c r="L726" s="15"/>
      <c r="M726" s="15"/>
      <c r="N726" s="15"/>
      <c r="O726" s="15"/>
      <c r="P726" s="15"/>
      <c r="Q726" s="15"/>
      <c r="R726" s="15"/>
    </row>
    <row r="727" spans="1:18" x14ac:dyDescent="0.2">
      <c r="A727" s="15"/>
      <c r="B727" s="38"/>
      <c r="C727" s="15"/>
      <c r="D727" s="15"/>
      <c r="E727" s="15"/>
      <c r="F727" s="15"/>
      <c r="G727" s="15"/>
      <c r="H727" s="15"/>
      <c r="I727" s="15"/>
      <c r="J727" s="15"/>
      <c r="K727" s="15"/>
      <c r="L727" s="15"/>
      <c r="M727" s="15"/>
      <c r="N727" s="15"/>
      <c r="O727" s="15"/>
      <c r="P727" s="15"/>
      <c r="Q727" s="15"/>
      <c r="R727" s="15"/>
    </row>
    <row r="728" spans="1:18" x14ac:dyDescent="0.2">
      <c r="A728" s="15"/>
      <c r="B728" s="38"/>
      <c r="C728" s="15"/>
      <c r="D728" s="15"/>
      <c r="E728" s="15"/>
      <c r="F728" s="15"/>
      <c r="G728" s="15"/>
      <c r="H728" s="15"/>
      <c r="I728" s="15"/>
      <c r="J728" s="15"/>
      <c r="K728" s="15"/>
      <c r="L728" s="15"/>
      <c r="M728" s="15"/>
      <c r="N728" s="15"/>
      <c r="O728" s="15"/>
      <c r="P728" s="15"/>
      <c r="Q728" s="15"/>
      <c r="R728" s="15"/>
    </row>
    <row r="729" spans="1:18" x14ac:dyDescent="0.2">
      <c r="A729" s="15"/>
      <c r="B729" s="38"/>
      <c r="C729" s="15"/>
      <c r="D729" s="15"/>
      <c r="E729" s="15"/>
      <c r="F729" s="15"/>
      <c r="G729" s="15"/>
      <c r="H729" s="15"/>
      <c r="I729" s="15"/>
      <c r="J729" s="15"/>
      <c r="K729" s="15"/>
      <c r="L729" s="15"/>
      <c r="M729" s="15"/>
      <c r="N729" s="15"/>
      <c r="O729" s="15"/>
      <c r="P729" s="15"/>
      <c r="Q729" s="15"/>
      <c r="R729" s="15"/>
    </row>
    <row r="730" spans="1:18" x14ac:dyDescent="0.2">
      <c r="A730" s="15"/>
      <c r="B730" s="38"/>
      <c r="C730" s="15"/>
      <c r="D730" s="15"/>
      <c r="E730" s="15"/>
      <c r="F730" s="15"/>
      <c r="G730" s="15"/>
      <c r="H730" s="15"/>
      <c r="I730" s="15"/>
      <c r="J730" s="15"/>
      <c r="K730" s="15"/>
      <c r="L730" s="15"/>
      <c r="M730" s="15"/>
      <c r="N730" s="15"/>
      <c r="O730" s="15"/>
      <c r="P730" s="15"/>
      <c r="Q730" s="15"/>
      <c r="R730" s="15"/>
    </row>
    <row r="731" spans="1:18" x14ac:dyDescent="0.2">
      <c r="A731" s="15"/>
      <c r="B731" s="38"/>
      <c r="C731" s="15"/>
      <c r="D731" s="15"/>
      <c r="E731" s="15"/>
      <c r="F731" s="15"/>
      <c r="G731" s="15"/>
      <c r="H731" s="15"/>
      <c r="I731" s="15"/>
      <c r="J731" s="15"/>
      <c r="K731" s="15"/>
      <c r="L731" s="15"/>
      <c r="M731" s="15"/>
      <c r="N731" s="15"/>
      <c r="O731" s="15"/>
      <c r="P731" s="15"/>
      <c r="Q731" s="15"/>
      <c r="R731" s="15"/>
    </row>
    <row r="732" spans="1:18" x14ac:dyDescent="0.2">
      <c r="A732" s="15"/>
      <c r="B732" s="38"/>
      <c r="C732" s="15"/>
      <c r="D732" s="15"/>
      <c r="E732" s="15"/>
      <c r="F732" s="15"/>
      <c r="G732" s="15"/>
      <c r="H732" s="15"/>
      <c r="I732" s="15"/>
      <c r="J732" s="15"/>
      <c r="K732" s="15"/>
      <c r="L732" s="15"/>
      <c r="M732" s="15"/>
      <c r="N732" s="15"/>
      <c r="O732" s="15"/>
      <c r="P732" s="15"/>
      <c r="Q732" s="15"/>
      <c r="R732" s="15"/>
    </row>
    <row r="733" spans="1:18" x14ac:dyDescent="0.2">
      <c r="A733" s="15"/>
      <c r="B733" s="38"/>
      <c r="C733" s="15"/>
      <c r="D733" s="15"/>
      <c r="E733" s="15"/>
      <c r="F733" s="15"/>
      <c r="G733" s="15"/>
      <c r="H733" s="15"/>
      <c r="I733" s="15"/>
      <c r="J733" s="15"/>
      <c r="K733" s="15"/>
      <c r="L733" s="15"/>
      <c r="M733" s="15"/>
      <c r="N733" s="15"/>
      <c r="O733" s="15"/>
      <c r="P733" s="15"/>
      <c r="Q733" s="15"/>
      <c r="R733" s="15"/>
    </row>
    <row r="734" spans="1:18" x14ac:dyDescent="0.2">
      <c r="A734" s="15"/>
      <c r="B734" s="38"/>
      <c r="C734" s="15"/>
      <c r="D734" s="15"/>
      <c r="E734" s="15"/>
      <c r="F734" s="15"/>
      <c r="G734" s="15"/>
      <c r="H734" s="15"/>
      <c r="I734" s="15"/>
      <c r="J734" s="15"/>
      <c r="K734" s="15"/>
      <c r="L734" s="15"/>
      <c r="M734" s="15"/>
      <c r="N734" s="15"/>
      <c r="O734" s="15"/>
      <c r="P734" s="15"/>
      <c r="Q734" s="15"/>
      <c r="R734" s="15"/>
    </row>
    <row r="735" spans="1:18" x14ac:dyDescent="0.2">
      <c r="A735" s="15"/>
      <c r="B735" s="38"/>
      <c r="C735" s="15"/>
      <c r="D735" s="15"/>
      <c r="E735" s="15"/>
      <c r="F735" s="15"/>
      <c r="G735" s="15"/>
      <c r="H735" s="15"/>
      <c r="I735" s="15"/>
      <c r="J735" s="15"/>
      <c r="K735" s="15"/>
      <c r="L735" s="15"/>
      <c r="M735" s="15"/>
      <c r="N735" s="15"/>
      <c r="O735" s="15"/>
      <c r="P735" s="15"/>
      <c r="Q735" s="15"/>
      <c r="R735" s="15"/>
    </row>
    <row r="736" spans="1:18" x14ac:dyDescent="0.2">
      <c r="A736" s="15"/>
      <c r="B736" s="38"/>
      <c r="C736" s="15"/>
      <c r="D736" s="15"/>
      <c r="E736" s="15"/>
      <c r="F736" s="15"/>
      <c r="G736" s="15"/>
      <c r="H736" s="15"/>
      <c r="I736" s="15"/>
      <c r="J736" s="15"/>
      <c r="K736" s="15"/>
      <c r="L736" s="15"/>
      <c r="M736" s="15"/>
      <c r="N736" s="15"/>
      <c r="O736" s="15"/>
      <c r="P736" s="15"/>
      <c r="Q736" s="15"/>
      <c r="R736" s="15"/>
    </row>
    <row r="737" spans="1:18" x14ac:dyDescent="0.2">
      <c r="A737" s="15"/>
      <c r="B737" s="38"/>
      <c r="C737" s="15"/>
      <c r="D737" s="15"/>
      <c r="E737" s="15"/>
      <c r="F737" s="15"/>
      <c r="G737" s="15"/>
      <c r="H737" s="15"/>
      <c r="I737" s="15"/>
      <c r="J737" s="15"/>
      <c r="K737" s="15"/>
      <c r="L737" s="15"/>
      <c r="M737" s="15"/>
      <c r="N737" s="15"/>
      <c r="O737" s="15"/>
      <c r="P737" s="15"/>
      <c r="Q737" s="15"/>
      <c r="R737" s="15"/>
    </row>
    <row r="738" spans="1:18" x14ac:dyDescent="0.2">
      <c r="A738" s="15"/>
      <c r="B738" s="38"/>
      <c r="C738" s="15"/>
      <c r="D738" s="15"/>
      <c r="E738" s="15"/>
      <c r="F738" s="15"/>
      <c r="G738" s="15"/>
      <c r="H738" s="15"/>
      <c r="I738" s="15"/>
      <c r="J738" s="15"/>
      <c r="K738" s="15"/>
      <c r="L738" s="15"/>
      <c r="M738" s="15"/>
      <c r="N738" s="15"/>
      <c r="O738" s="15"/>
      <c r="P738" s="15"/>
      <c r="Q738" s="15"/>
      <c r="R738" s="15"/>
    </row>
    <row r="739" spans="1:18" x14ac:dyDescent="0.2">
      <c r="A739" s="15"/>
      <c r="B739" s="38"/>
      <c r="C739" s="15"/>
      <c r="D739" s="15"/>
      <c r="E739" s="15"/>
      <c r="F739" s="15"/>
      <c r="G739" s="15"/>
      <c r="H739" s="15"/>
      <c r="I739" s="15"/>
      <c r="J739" s="15"/>
      <c r="K739" s="15"/>
      <c r="L739" s="15"/>
      <c r="M739" s="15"/>
      <c r="N739" s="15"/>
      <c r="O739" s="15"/>
      <c r="P739" s="15"/>
      <c r="Q739" s="15"/>
      <c r="R739" s="15"/>
    </row>
    <row r="740" spans="1:18" x14ac:dyDescent="0.2">
      <c r="A740" s="15"/>
      <c r="B740" s="38"/>
      <c r="C740" s="15"/>
      <c r="D740" s="15"/>
      <c r="E740" s="15"/>
      <c r="F740" s="15"/>
      <c r="G740" s="15"/>
      <c r="H740" s="15"/>
      <c r="I740" s="15"/>
      <c r="J740" s="15"/>
      <c r="K740" s="15"/>
      <c r="L740" s="15"/>
      <c r="M740" s="15"/>
      <c r="N740" s="15"/>
      <c r="O740" s="15"/>
      <c r="P740" s="15"/>
      <c r="Q740" s="15"/>
      <c r="R740" s="15"/>
    </row>
    <row r="741" spans="1:18" x14ac:dyDescent="0.2">
      <c r="A741" s="15"/>
      <c r="B741" s="38"/>
      <c r="C741" s="15"/>
      <c r="D741" s="15"/>
      <c r="E741" s="15"/>
      <c r="F741" s="15"/>
      <c r="G741" s="15"/>
      <c r="H741" s="15"/>
      <c r="I741" s="15"/>
      <c r="J741" s="15"/>
      <c r="K741" s="15"/>
      <c r="L741" s="15"/>
      <c r="M741" s="15"/>
      <c r="N741" s="15"/>
      <c r="O741" s="15"/>
      <c r="P741" s="15"/>
      <c r="Q741" s="15"/>
      <c r="R741" s="15"/>
    </row>
    <row r="742" spans="1:18" x14ac:dyDescent="0.2">
      <c r="A742" s="15"/>
      <c r="B742" s="38"/>
      <c r="C742" s="15"/>
      <c r="D742" s="15"/>
      <c r="E742" s="15"/>
      <c r="F742" s="15"/>
      <c r="G742" s="15"/>
      <c r="H742" s="15"/>
      <c r="I742" s="15"/>
      <c r="J742" s="15"/>
      <c r="K742" s="15"/>
      <c r="L742" s="15"/>
      <c r="M742" s="15"/>
      <c r="N742" s="15"/>
      <c r="O742" s="15"/>
      <c r="P742" s="15"/>
      <c r="Q742" s="15"/>
      <c r="R742" s="15"/>
    </row>
    <row r="743" spans="1:18" x14ac:dyDescent="0.2">
      <c r="A743" s="15"/>
      <c r="B743" s="38"/>
      <c r="C743" s="15"/>
      <c r="D743" s="15"/>
      <c r="E743" s="15"/>
      <c r="F743" s="15"/>
      <c r="G743" s="15"/>
      <c r="H743" s="15"/>
      <c r="I743" s="15"/>
      <c r="J743" s="15"/>
      <c r="K743" s="15"/>
      <c r="L743" s="15"/>
      <c r="M743" s="15"/>
      <c r="N743" s="15"/>
      <c r="O743" s="15"/>
      <c r="P743" s="15"/>
      <c r="Q743" s="15"/>
      <c r="R743" s="15"/>
    </row>
    <row r="744" spans="1:18" x14ac:dyDescent="0.2">
      <c r="A744" s="15"/>
      <c r="B744" s="38"/>
      <c r="C744" s="15"/>
      <c r="D744" s="15"/>
      <c r="E744" s="15"/>
      <c r="F744" s="15"/>
      <c r="G744" s="15"/>
      <c r="H744" s="15"/>
      <c r="I744" s="15"/>
      <c r="J744" s="15"/>
      <c r="K744" s="15"/>
      <c r="L744" s="15"/>
      <c r="M744" s="15"/>
      <c r="N744" s="15"/>
      <c r="O744" s="15"/>
      <c r="P744" s="15"/>
      <c r="Q744" s="15"/>
      <c r="R744" s="15"/>
    </row>
    <row r="745" spans="1:18" x14ac:dyDescent="0.2">
      <c r="A745" s="15"/>
      <c r="B745" s="38"/>
      <c r="C745" s="15"/>
      <c r="D745" s="15"/>
      <c r="E745" s="15"/>
      <c r="F745" s="15"/>
      <c r="G745" s="15"/>
      <c r="H745" s="15"/>
      <c r="I745" s="15"/>
      <c r="J745" s="15"/>
      <c r="K745" s="15"/>
      <c r="L745" s="15"/>
      <c r="M745" s="15"/>
      <c r="N745" s="15"/>
      <c r="O745" s="15"/>
      <c r="P745" s="15"/>
      <c r="Q745" s="15"/>
      <c r="R745" s="15"/>
    </row>
    <row r="746" spans="1:18" x14ac:dyDescent="0.2">
      <c r="A746" s="15"/>
      <c r="B746" s="38"/>
      <c r="C746" s="15"/>
      <c r="D746" s="15"/>
      <c r="E746" s="15"/>
      <c r="F746" s="15"/>
      <c r="G746" s="15"/>
      <c r="H746" s="15"/>
      <c r="I746" s="15"/>
      <c r="J746" s="15"/>
      <c r="K746" s="15"/>
      <c r="L746" s="15"/>
      <c r="M746" s="15"/>
      <c r="N746" s="15"/>
      <c r="O746" s="15"/>
      <c r="P746" s="15"/>
      <c r="Q746" s="15"/>
      <c r="R746" s="15"/>
    </row>
    <row r="747" spans="1:18" x14ac:dyDescent="0.2">
      <c r="A747" s="15"/>
      <c r="B747" s="38"/>
      <c r="C747" s="15"/>
      <c r="D747" s="15"/>
      <c r="E747" s="15"/>
      <c r="F747" s="15"/>
      <c r="G747" s="15"/>
      <c r="H747" s="15"/>
      <c r="I747" s="15"/>
      <c r="J747" s="15"/>
      <c r="K747" s="15"/>
      <c r="L747" s="15"/>
      <c r="M747" s="15"/>
      <c r="N747" s="15"/>
      <c r="O747" s="15"/>
      <c r="P747" s="15"/>
      <c r="Q747" s="15"/>
      <c r="R747" s="15"/>
    </row>
    <row r="748" spans="1:18" x14ac:dyDescent="0.2">
      <c r="A748" s="15"/>
      <c r="B748" s="38"/>
      <c r="C748" s="15"/>
      <c r="D748" s="15"/>
      <c r="E748" s="15"/>
      <c r="F748" s="15"/>
      <c r="G748" s="15"/>
      <c r="H748" s="15"/>
      <c r="I748" s="15"/>
      <c r="J748" s="15"/>
      <c r="K748" s="15"/>
      <c r="L748" s="15"/>
      <c r="M748" s="15"/>
      <c r="N748" s="15"/>
      <c r="O748" s="15"/>
      <c r="P748" s="15"/>
      <c r="Q748" s="15"/>
      <c r="R748" s="15"/>
    </row>
    <row r="749" spans="1:18" x14ac:dyDescent="0.2">
      <c r="A749" s="15"/>
      <c r="B749" s="38"/>
      <c r="C749" s="15"/>
      <c r="D749" s="15"/>
      <c r="E749" s="15"/>
      <c r="F749" s="15"/>
      <c r="G749" s="15"/>
      <c r="H749" s="15"/>
      <c r="I749" s="15"/>
      <c r="J749" s="15"/>
      <c r="K749" s="15"/>
      <c r="L749" s="15"/>
      <c r="M749" s="15"/>
      <c r="N749" s="15"/>
      <c r="O749" s="15"/>
      <c r="P749" s="15"/>
      <c r="Q749" s="15"/>
      <c r="R749" s="15"/>
    </row>
    <row r="750" spans="1:18" x14ac:dyDescent="0.2">
      <c r="A750" s="15"/>
      <c r="B750" s="38"/>
      <c r="C750" s="15"/>
      <c r="D750" s="15"/>
      <c r="E750" s="15"/>
      <c r="F750" s="15"/>
      <c r="G750" s="15"/>
      <c r="H750" s="15"/>
      <c r="I750" s="15"/>
      <c r="J750" s="15"/>
      <c r="K750" s="15"/>
      <c r="L750" s="15"/>
      <c r="M750" s="15"/>
      <c r="N750" s="15"/>
      <c r="O750" s="15"/>
      <c r="P750" s="15"/>
      <c r="Q750" s="15"/>
      <c r="R750" s="15"/>
    </row>
    <row r="751" spans="1:18" x14ac:dyDescent="0.2">
      <c r="A751" s="15"/>
      <c r="B751" s="38"/>
      <c r="C751" s="15"/>
      <c r="D751" s="15"/>
      <c r="E751" s="15"/>
      <c r="F751" s="15"/>
      <c r="G751" s="15"/>
      <c r="H751" s="15"/>
      <c r="I751" s="15"/>
      <c r="J751" s="15"/>
      <c r="K751" s="15"/>
      <c r="L751" s="15"/>
      <c r="M751" s="15"/>
      <c r="N751" s="15"/>
      <c r="O751" s="15"/>
      <c r="P751" s="15"/>
      <c r="Q751" s="15"/>
      <c r="R751" s="15"/>
    </row>
    <row r="752" spans="1:18" x14ac:dyDescent="0.2">
      <c r="A752" s="15"/>
      <c r="B752" s="38"/>
      <c r="C752" s="15"/>
      <c r="D752" s="15"/>
      <c r="E752" s="15"/>
      <c r="F752" s="15"/>
      <c r="G752" s="15"/>
      <c r="H752" s="15"/>
      <c r="I752" s="15"/>
      <c r="J752" s="15"/>
      <c r="K752" s="15"/>
      <c r="L752" s="15"/>
      <c r="M752" s="15"/>
      <c r="N752" s="15"/>
      <c r="O752" s="15"/>
      <c r="P752" s="15"/>
      <c r="Q752" s="15"/>
      <c r="R752" s="15"/>
    </row>
    <row r="753" spans="1:18" x14ac:dyDescent="0.2">
      <c r="A753" s="15"/>
      <c r="B753" s="38"/>
      <c r="C753" s="15"/>
      <c r="D753" s="15"/>
      <c r="E753" s="15"/>
      <c r="F753" s="15"/>
      <c r="G753" s="15"/>
      <c r="H753" s="15"/>
      <c r="I753" s="15"/>
      <c r="J753" s="15"/>
      <c r="K753" s="15"/>
      <c r="L753" s="15"/>
      <c r="M753" s="15"/>
      <c r="N753" s="15"/>
      <c r="O753" s="15"/>
      <c r="P753" s="15"/>
      <c r="Q753" s="15"/>
      <c r="R753" s="15"/>
    </row>
    <row r="754" spans="1:18" x14ac:dyDescent="0.2">
      <c r="A754" s="15"/>
      <c r="B754" s="38"/>
      <c r="C754" s="15"/>
      <c r="D754" s="15"/>
      <c r="E754" s="15"/>
      <c r="F754" s="15"/>
      <c r="G754" s="15"/>
      <c r="H754" s="15"/>
      <c r="I754" s="15"/>
      <c r="J754" s="15"/>
      <c r="K754" s="15"/>
      <c r="L754" s="15"/>
      <c r="M754" s="15"/>
      <c r="N754" s="15"/>
      <c r="O754" s="15"/>
      <c r="P754" s="15"/>
      <c r="Q754" s="15"/>
      <c r="R754" s="15"/>
    </row>
    <row r="755" spans="1:18" x14ac:dyDescent="0.2">
      <c r="A755" s="15"/>
      <c r="B755" s="38"/>
      <c r="C755" s="15"/>
      <c r="D755" s="15"/>
      <c r="E755" s="15"/>
      <c r="F755" s="15"/>
      <c r="G755" s="15"/>
      <c r="H755" s="15"/>
      <c r="I755" s="15"/>
      <c r="J755" s="15"/>
      <c r="K755" s="15"/>
      <c r="L755" s="15"/>
      <c r="M755" s="15"/>
      <c r="N755" s="15"/>
      <c r="O755" s="15"/>
      <c r="P755" s="15"/>
      <c r="Q755" s="15"/>
      <c r="R755" s="15"/>
    </row>
    <row r="756" spans="1:18" x14ac:dyDescent="0.2">
      <c r="A756" s="15"/>
      <c r="B756" s="38"/>
      <c r="C756" s="15"/>
      <c r="D756" s="15"/>
      <c r="E756" s="15"/>
      <c r="F756" s="15"/>
      <c r="G756" s="15"/>
      <c r="H756" s="15"/>
      <c r="I756" s="15"/>
      <c r="J756" s="15"/>
      <c r="K756" s="15"/>
      <c r="L756" s="15"/>
      <c r="M756" s="15"/>
      <c r="N756" s="15"/>
      <c r="O756" s="15"/>
      <c r="P756" s="15"/>
      <c r="Q756" s="15"/>
      <c r="R756" s="15"/>
    </row>
    <row r="757" spans="1:18" x14ac:dyDescent="0.2">
      <c r="A757" s="15"/>
      <c r="B757" s="38"/>
      <c r="C757" s="15"/>
      <c r="D757" s="15"/>
      <c r="E757" s="15"/>
      <c r="F757" s="15"/>
      <c r="G757" s="15"/>
      <c r="H757" s="15"/>
      <c r="I757" s="15"/>
      <c r="J757" s="15"/>
      <c r="K757" s="15"/>
      <c r="L757" s="15"/>
      <c r="M757" s="15"/>
      <c r="N757" s="15"/>
      <c r="O757" s="15"/>
      <c r="P757" s="15"/>
      <c r="Q757" s="15"/>
      <c r="R757" s="15"/>
    </row>
    <row r="758" spans="1:18" x14ac:dyDescent="0.2">
      <c r="A758" s="15"/>
      <c r="B758" s="38"/>
      <c r="C758" s="15"/>
      <c r="D758" s="15"/>
      <c r="E758" s="15"/>
      <c r="F758" s="15"/>
      <c r="G758" s="15"/>
      <c r="H758" s="15"/>
      <c r="I758" s="15"/>
      <c r="J758" s="15"/>
      <c r="K758" s="15"/>
      <c r="L758" s="15"/>
      <c r="M758" s="15"/>
      <c r="N758" s="15"/>
      <c r="O758" s="15"/>
      <c r="P758" s="15"/>
      <c r="Q758" s="15"/>
      <c r="R758" s="15"/>
    </row>
    <row r="759" spans="1:18" x14ac:dyDescent="0.2">
      <c r="A759" s="15"/>
      <c r="B759" s="38"/>
      <c r="C759" s="15"/>
      <c r="D759" s="15"/>
      <c r="E759" s="15"/>
      <c r="F759" s="15"/>
      <c r="G759" s="15"/>
      <c r="H759" s="15"/>
      <c r="I759" s="15"/>
      <c r="J759" s="15"/>
      <c r="K759" s="15"/>
      <c r="L759" s="15"/>
      <c r="M759" s="15"/>
      <c r="N759" s="15"/>
      <c r="O759" s="15"/>
      <c r="P759" s="15"/>
      <c r="Q759" s="15"/>
      <c r="R759" s="15"/>
    </row>
    <row r="760" spans="1:18" x14ac:dyDescent="0.2">
      <c r="A760" s="15"/>
      <c r="B760" s="38"/>
      <c r="C760" s="15"/>
      <c r="D760" s="15"/>
      <c r="E760" s="15"/>
      <c r="F760" s="15"/>
      <c r="G760" s="15"/>
      <c r="H760" s="15"/>
      <c r="I760" s="15"/>
      <c r="J760" s="15"/>
      <c r="K760" s="15"/>
      <c r="L760" s="15"/>
      <c r="M760" s="15"/>
      <c r="N760" s="15"/>
      <c r="O760" s="15"/>
      <c r="P760" s="15"/>
      <c r="Q760" s="15"/>
      <c r="R760" s="15"/>
    </row>
    <row r="761" spans="1:18" x14ac:dyDescent="0.2">
      <c r="A761" s="15"/>
      <c r="B761" s="38"/>
      <c r="C761" s="15"/>
      <c r="D761" s="15"/>
      <c r="E761" s="15"/>
      <c r="F761" s="15"/>
      <c r="G761" s="15"/>
      <c r="H761" s="15"/>
      <c r="I761" s="15"/>
      <c r="J761" s="15"/>
      <c r="K761" s="15"/>
      <c r="L761" s="15"/>
      <c r="M761" s="15"/>
      <c r="N761" s="15"/>
      <c r="O761" s="15"/>
      <c r="P761" s="15"/>
      <c r="Q761" s="15"/>
      <c r="R761" s="15"/>
    </row>
    <row r="762" spans="1:18" x14ac:dyDescent="0.2">
      <c r="A762" s="15"/>
      <c r="B762" s="38"/>
      <c r="C762" s="15"/>
      <c r="D762" s="15"/>
      <c r="E762" s="15"/>
      <c r="F762" s="15"/>
      <c r="G762" s="15"/>
      <c r="H762" s="15"/>
      <c r="I762" s="15"/>
      <c r="J762" s="15"/>
      <c r="K762" s="15"/>
      <c r="L762" s="15"/>
      <c r="M762" s="15"/>
      <c r="N762" s="15"/>
      <c r="O762" s="15"/>
      <c r="P762" s="15"/>
      <c r="Q762" s="15"/>
      <c r="R762" s="15"/>
    </row>
    <row r="763" spans="1:18" x14ac:dyDescent="0.2">
      <c r="A763" s="15"/>
      <c r="B763" s="38"/>
      <c r="C763" s="15"/>
      <c r="D763" s="15"/>
      <c r="E763" s="15"/>
      <c r="F763" s="15"/>
      <c r="G763" s="15"/>
      <c r="H763" s="15"/>
      <c r="I763" s="15"/>
      <c r="J763" s="15"/>
      <c r="K763" s="15"/>
      <c r="L763" s="15"/>
      <c r="M763" s="15"/>
      <c r="N763" s="15"/>
      <c r="O763" s="15"/>
      <c r="P763" s="15"/>
      <c r="Q763" s="15"/>
      <c r="R763" s="15"/>
    </row>
    <row r="764" spans="1:18" x14ac:dyDescent="0.2">
      <c r="A764" s="15"/>
      <c r="B764" s="38"/>
      <c r="C764" s="15"/>
      <c r="D764" s="15"/>
      <c r="E764" s="15"/>
      <c r="F764" s="15"/>
      <c r="G764" s="15"/>
      <c r="H764" s="15"/>
      <c r="I764" s="15"/>
      <c r="J764" s="15"/>
      <c r="K764" s="15"/>
      <c r="L764" s="15"/>
      <c r="M764" s="15"/>
      <c r="N764" s="15"/>
      <c r="O764" s="15"/>
      <c r="P764" s="15"/>
      <c r="Q764" s="15"/>
      <c r="R764" s="15"/>
    </row>
    <row r="765" spans="1:18" x14ac:dyDescent="0.2">
      <c r="A765" s="15"/>
      <c r="B765" s="38"/>
      <c r="C765" s="15"/>
      <c r="D765" s="15"/>
      <c r="E765" s="15"/>
      <c r="F765" s="15"/>
      <c r="G765" s="15"/>
      <c r="H765" s="15"/>
      <c r="I765" s="15"/>
      <c r="J765" s="15"/>
      <c r="K765" s="15"/>
      <c r="L765" s="15"/>
      <c r="M765" s="15"/>
      <c r="N765" s="15"/>
      <c r="O765" s="15"/>
      <c r="P765" s="15"/>
      <c r="Q765" s="15"/>
      <c r="R765" s="15"/>
    </row>
    <row r="766" spans="1:18" x14ac:dyDescent="0.2">
      <c r="A766" s="15"/>
      <c r="B766" s="38"/>
      <c r="C766" s="15"/>
      <c r="D766" s="15"/>
      <c r="E766" s="15"/>
      <c r="F766" s="15"/>
      <c r="G766" s="15"/>
      <c r="H766" s="15"/>
      <c r="I766" s="15"/>
      <c r="J766" s="15"/>
      <c r="K766" s="15"/>
      <c r="L766" s="15"/>
      <c r="M766" s="15"/>
      <c r="N766" s="15"/>
      <c r="O766" s="15"/>
      <c r="P766" s="15"/>
      <c r="Q766" s="15"/>
      <c r="R766" s="15"/>
    </row>
    <row r="767" spans="1:18" x14ac:dyDescent="0.2">
      <c r="A767" s="15"/>
      <c r="B767" s="38"/>
      <c r="C767" s="15"/>
      <c r="D767" s="15"/>
      <c r="E767" s="15"/>
      <c r="F767" s="15"/>
      <c r="G767" s="15"/>
      <c r="H767" s="15"/>
      <c r="I767" s="15"/>
      <c r="J767" s="15"/>
      <c r="K767" s="15"/>
      <c r="L767" s="15"/>
      <c r="M767" s="15"/>
      <c r="N767" s="15"/>
      <c r="O767" s="15"/>
      <c r="P767" s="15"/>
      <c r="Q767" s="15"/>
      <c r="R767" s="15"/>
    </row>
    <row r="768" spans="1:18" x14ac:dyDescent="0.2">
      <c r="A768" s="15"/>
      <c r="B768" s="38"/>
      <c r="C768" s="15"/>
      <c r="D768" s="15"/>
      <c r="E768" s="15"/>
      <c r="F768" s="15"/>
      <c r="G768" s="15"/>
      <c r="H768" s="15"/>
      <c r="I768" s="15"/>
      <c r="J768" s="15"/>
      <c r="K768" s="15"/>
      <c r="L768" s="15"/>
      <c r="M768" s="15"/>
      <c r="N768" s="15"/>
      <c r="O768" s="15"/>
      <c r="P768" s="15"/>
      <c r="Q768" s="15"/>
      <c r="R768" s="15"/>
    </row>
    <row r="769" spans="1:18" x14ac:dyDescent="0.2">
      <c r="A769" s="15"/>
      <c r="B769" s="38"/>
      <c r="C769" s="15"/>
      <c r="D769" s="15"/>
      <c r="E769" s="15"/>
      <c r="F769" s="15"/>
      <c r="G769" s="15"/>
      <c r="H769" s="15"/>
      <c r="I769" s="15"/>
      <c r="J769" s="15"/>
      <c r="K769" s="15"/>
      <c r="L769" s="15"/>
      <c r="M769" s="15"/>
      <c r="N769" s="15"/>
      <c r="O769" s="15"/>
      <c r="P769" s="15"/>
      <c r="Q769" s="15"/>
      <c r="R769" s="15"/>
    </row>
    <row r="770" spans="1:18" x14ac:dyDescent="0.2">
      <c r="A770" s="15"/>
      <c r="B770" s="38"/>
      <c r="C770" s="15"/>
      <c r="D770" s="15"/>
      <c r="E770" s="15"/>
      <c r="F770" s="15"/>
      <c r="G770" s="15"/>
      <c r="H770" s="15"/>
      <c r="I770" s="15"/>
      <c r="J770" s="15"/>
      <c r="K770" s="15"/>
      <c r="L770" s="15"/>
      <c r="M770" s="15"/>
      <c r="N770" s="15"/>
      <c r="O770" s="15"/>
      <c r="P770" s="15"/>
      <c r="Q770" s="15"/>
      <c r="R770" s="15"/>
    </row>
    <row r="771" spans="1:18" x14ac:dyDescent="0.2">
      <c r="A771" s="15"/>
      <c r="B771" s="38"/>
      <c r="C771" s="15"/>
      <c r="D771" s="15"/>
      <c r="E771" s="15"/>
      <c r="F771" s="15"/>
      <c r="G771" s="15"/>
      <c r="H771" s="15"/>
      <c r="I771" s="15"/>
      <c r="J771" s="15"/>
      <c r="K771" s="15"/>
      <c r="L771" s="15"/>
      <c r="M771" s="15"/>
      <c r="N771" s="15"/>
      <c r="O771" s="15"/>
      <c r="P771" s="15"/>
      <c r="Q771" s="15"/>
      <c r="R771" s="15"/>
    </row>
    <row r="772" spans="1:18" x14ac:dyDescent="0.2">
      <c r="A772" s="15"/>
      <c r="B772" s="38"/>
      <c r="C772" s="15"/>
      <c r="D772" s="15"/>
      <c r="E772" s="15"/>
      <c r="F772" s="15"/>
      <c r="G772" s="15"/>
      <c r="H772" s="15"/>
      <c r="I772" s="15"/>
      <c r="J772" s="15"/>
      <c r="K772" s="15"/>
      <c r="L772" s="15"/>
      <c r="M772" s="15"/>
      <c r="N772" s="15"/>
      <c r="O772" s="15"/>
      <c r="P772" s="15"/>
      <c r="Q772" s="15"/>
      <c r="R772" s="15"/>
    </row>
    <row r="773" spans="1:18" x14ac:dyDescent="0.2">
      <c r="A773" s="15"/>
      <c r="B773" s="38"/>
      <c r="C773" s="15"/>
      <c r="D773" s="15"/>
      <c r="E773" s="15"/>
      <c r="F773" s="15"/>
      <c r="G773" s="15"/>
      <c r="H773" s="15"/>
      <c r="I773" s="15"/>
      <c r="J773" s="15"/>
      <c r="K773" s="15"/>
      <c r="L773" s="15"/>
      <c r="M773" s="15"/>
      <c r="N773" s="15"/>
      <c r="O773" s="15"/>
      <c r="P773" s="15"/>
      <c r="Q773" s="15"/>
      <c r="R773" s="15"/>
    </row>
    <row r="774" spans="1:18" x14ac:dyDescent="0.2">
      <c r="A774" s="15"/>
      <c r="B774" s="38"/>
      <c r="C774" s="15"/>
      <c r="D774" s="15"/>
      <c r="E774" s="15"/>
      <c r="F774" s="15"/>
      <c r="G774" s="15"/>
      <c r="H774" s="15"/>
      <c r="I774" s="15"/>
      <c r="J774" s="15"/>
      <c r="K774" s="15"/>
      <c r="L774" s="15"/>
      <c r="M774" s="15"/>
      <c r="N774" s="15"/>
      <c r="O774" s="15"/>
      <c r="P774" s="15"/>
      <c r="Q774" s="15"/>
      <c r="R774" s="15"/>
    </row>
    <row r="775" spans="1:18" x14ac:dyDescent="0.2">
      <c r="A775" s="15"/>
      <c r="B775" s="38"/>
      <c r="C775" s="15"/>
      <c r="D775" s="15"/>
      <c r="E775" s="15"/>
      <c r="F775" s="15"/>
      <c r="G775" s="15"/>
      <c r="H775" s="15"/>
      <c r="I775" s="15"/>
      <c r="J775" s="15"/>
      <c r="K775" s="15"/>
      <c r="L775" s="15"/>
      <c r="M775" s="15"/>
      <c r="N775" s="15"/>
      <c r="O775" s="15"/>
      <c r="P775" s="15"/>
      <c r="Q775" s="15"/>
      <c r="R775" s="15"/>
    </row>
    <row r="776" spans="1:18" x14ac:dyDescent="0.2">
      <c r="A776" s="15"/>
      <c r="B776" s="38"/>
      <c r="C776" s="15"/>
      <c r="D776" s="15"/>
      <c r="E776" s="15"/>
      <c r="F776" s="15"/>
      <c r="G776" s="15"/>
      <c r="H776" s="15"/>
      <c r="I776" s="15"/>
      <c r="J776" s="15"/>
      <c r="K776" s="15"/>
      <c r="L776" s="15"/>
      <c r="M776" s="15"/>
      <c r="N776" s="15"/>
      <c r="O776" s="15"/>
      <c r="P776" s="15"/>
      <c r="Q776" s="15"/>
      <c r="R776" s="15"/>
    </row>
    <row r="777" spans="1:18" x14ac:dyDescent="0.2">
      <c r="A777" s="15"/>
      <c r="B777" s="38"/>
      <c r="C777" s="15"/>
      <c r="D777" s="15"/>
      <c r="E777" s="15"/>
      <c r="F777" s="15"/>
      <c r="G777" s="15"/>
      <c r="H777" s="15"/>
      <c r="I777" s="15"/>
      <c r="J777" s="15"/>
      <c r="K777" s="15"/>
      <c r="L777" s="15"/>
      <c r="M777" s="15"/>
      <c r="N777" s="15"/>
      <c r="O777" s="15"/>
      <c r="P777" s="15"/>
      <c r="Q777" s="15"/>
      <c r="R777" s="15"/>
    </row>
    <row r="778" spans="1:18" x14ac:dyDescent="0.2">
      <c r="A778" s="15"/>
      <c r="B778" s="38"/>
      <c r="C778" s="15"/>
      <c r="D778" s="15"/>
      <c r="E778" s="15"/>
      <c r="F778" s="15"/>
      <c r="G778" s="15"/>
      <c r="H778" s="15"/>
      <c r="I778" s="15"/>
      <c r="J778" s="15"/>
      <c r="K778" s="15"/>
      <c r="L778" s="15"/>
      <c r="M778" s="15"/>
      <c r="N778" s="15"/>
      <c r="O778" s="15"/>
      <c r="P778" s="15"/>
      <c r="Q778" s="15"/>
      <c r="R778" s="15"/>
    </row>
    <row r="779" spans="1:18" x14ac:dyDescent="0.2">
      <c r="A779" s="15"/>
      <c r="B779" s="38"/>
      <c r="C779" s="15"/>
      <c r="D779" s="15"/>
      <c r="E779" s="15"/>
      <c r="F779" s="15"/>
      <c r="G779" s="15"/>
      <c r="H779" s="15"/>
      <c r="I779" s="15"/>
      <c r="J779" s="15"/>
      <c r="K779" s="15"/>
      <c r="L779" s="15"/>
      <c r="M779" s="15"/>
      <c r="N779" s="15"/>
      <c r="O779" s="15"/>
      <c r="P779" s="15"/>
      <c r="Q779" s="15"/>
      <c r="R779" s="15"/>
    </row>
    <row r="780" spans="1:18" x14ac:dyDescent="0.2">
      <c r="A780" s="15"/>
      <c r="B780" s="38"/>
      <c r="C780" s="15"/>
      <c r="D780" s="15"/>
      <c r="E780" s="15"/>
      <c r="F780" s="15"/>
      <c r="G780" s="15"/>
      <c r="H780" s="15"/>
      <c r="I780" s="15"/>
      <c r="J780" s="15"/>
      <c r="K780" s="15"/>
      <c r="L780" s="15"/>
      <c r="M780" s="15"/>
      <c r="N780" s="15"/>
      <c r="O780" s="15"/>
      <c r="P780" s="15"/>
      <c r="Q780" s="15"/>
      <c r="R780" s="15"/>
    </row>
    <row r="781" spans="1:18" x14ac:dyDescent="0.2">
      <c r="A781" s="15"/>
      <c r="B781" s="38"/>
      <c r="C781" s="15"/>
      <c r="D781" s="15"/>
      <c r="E781" s="15"/>
      <c r="F781" s="15"/>
      <c r="G781" s="15"/>
      <c r="H781" s="15"/>
      <c r="I781" s="15"/>
      <c r="J781" s="15"/>
      <c r="K781" s="15"/>
      <c r="L781" s="15"/>
      <c r="M781" s="15"/>
      <c r="N781" s="15"/>
      <c r="O781" s="15"/>
      <c r="P781" s="15"/>
      <c r="Q781" s="15"/>
      <c r="R781" s="15"/>
    </row>
    <row r="782" spans="1:18" x14ac:dyDescent="0.2">
      <c r="A782" s="15"/>
      <c r="B782" s="38"/>
      <c r="C782" s="15"/>
      <c r="D782" s="15"/>
      <c r="E782" s="15"/>
      <c r="F782" s="15"/>
      <c r="G782" s="15"/>
      <c r="H782" s="15"/>
      <c r="I782" s="15"/>
      <c r="J782" s="15"/>
      <c r="K782" s="15"/>
      <c r="L782" s="15"/>
      <c r="M782" s="15"/>
      <c r="N782" s="15"/>
      <c r="O782" s="15"/>
      <c r="P782" s="15"/>
      <c r="Q782" s="15"/>
      <c r="R782" s="15"/>
    </row>
    <row r="783" spans="1:18" x14ac:dyDescent="0.2">
      <c r="A783" s="15"/>
      <c r="B783" s="38"/>
      <c r="C783" s="15"/>
      <c r="D783" s="15"/>
      <c r="E783" s="15"/>
      <c r="F783" s="15"/>
      <c r="G783" s="15"/>
      <c r="H783" s="15"/>
      <c r="I783" s="15"/>
      <c r="J783" s="15"/>
      <c r="K783" s="15"/>
      <c r="L783" s="15"/>
      <c r="M783" s="15"/>
      <c r="N783" s="15"/>
      <c r="O783" s="15"/>
      <c r="P783" s="15"/>
      <c r="Q783" s="15"/>
      <c r="R783" s="15"/>
    </row>
    <row r="784" spans="1:18" x14ac:dyDescent="0.2">
      <c r="A784" s="15"/>
      <c r="B784" s="38"/>
      <c r="C784" s="15"/>
      <c r="D784" s="15"/>
      <c r="E784" s="15"/>
      <c r="F784" s="15"/>
      <c r="G784" s="15"/>
      <c r="H784" s="15"/>
      <c r="I784" s="15"/>
      <c r="J784" s="15"/>
      <c r="K784" s="15"/>
      <c r="L784" s="15"/>
      <c r="M784" s="15"/>
      <c r="N784" s="15"/>
      <c r="O784" s="15"/>
      <c r="P784" s="15"/>
      <c r="Q784" s="15"/>
      <c r="R784" s="15"/>
    </row>
    <row r="785" spans="1:18" x14ac:dyDescent="0.2">
      <c r="A785" s="15"/>
      <c r="B785" s="38"/>
      <c r="C785" s="15"/>
      <c r="D785" s="15"/>
      <c r="E785" s="15"/>
      <c r="F785" s="15"/>
      <c r="G785" s="15"/>
      <c r="H785" s="15"/>
      <c r="I785" s="15"/>
      <c r="J785" s="15"/>
      <c r="K785" s="15"/>
      <c r="L785" s="15"/>
      <c r="M785" s="15"/>
      <c r="N785" s="15"/>
      <c r="O785" s="15"/>
      <c r="P785" s="15"/>
      <c r="Q785" s="15"/>
      <c r="R785" s="15"/>
    </row>
    <row r="786" spans="1:18" x14ac:dyDescent="0.2">
      <c r="A786" s="15"/>
      <c r="B786" s="38"/>
      <c r="C786" s="15"/>
      <c r="D786" s="15"/>
      <c r="E786" s="15"/>
      <c r="F786" s="15"/>
      <c r="G786" s="15"/>
      <c r="H786" s="15"/>
      <c r="I786" s="15"/>
      <c r="J786" s="15"/>
      <c r="K786" s="15"/>
      <c r="L786" s="15"/>
      <c r="M786" s="15"/>
      <c r="N786" s="15"/>
      <c r="O786" s="15"/>
      <c r="P786" s="15"/>
      <c r="Q786" s="15"/>
      <c r="R786" s="15"/>
    </row>
    <row r="787" spans="1:18" x14ac:dyDescent="0.2">
      <c r="A787" s="15"/>
      <c r="B787" s="38"/>
      <c r="C787" s="15"/>
      <c r="D787" s="15"/>
      <c r="E787" s="15"/>
      <c r="F787" s="15"/>
      <c r="G787" s="15"/>
      <c r="H787" s="15"/>
      <c r="I787" s="15"/>
      <c r="J787" s="15"/>
      <c r="K787" s="15"/>
      <c r="L787" s="15"/>
      <c r="M787" s="15"/>
      <c r="N787" s="15"/>
      <c r="O787" s="15"/>
      <c r="P787" s="15"/>
      <c r="Q787" s="15"/>
      <c r="R787" s="15"/>
    </row>
    <row r="788" spans="1:18" x14ac:dyDescent="0.2">
      <c r="A788" s="15"/>
      <c r="B788" s="38"/>
      <c r="C788" s="15"/>
      <c r="D788" s="15"/>
      <c r="E788" s="15"/>
      <c r="F788" s="15"/>
      <c r="G788" s="15"/>
      <c r="H788" s="15"/>
      <c r="I788" s="15"/>
      <c r="J788" s="15"/>
      <c r="K788" s="15"/>
      <c r="L788" s="15"/>
      <c r="M788" s="15"/>
      <c r="N788" s="15"/>
      <c r="O788" s="15"/>
      <c r="P788" s="15"/>
      <c r="Q788" s="15"/>
      <c r="R788" s="15"/>
    </row>
    <row r="789" spans="1:18" x14ac:dyDescent="0.2">
      <c r="A789" s="15"/>
      <c r="B789" s="38"/>
      <c r="C789" s="15"/>
      <c r="D789" s="15"/>
      <c r="E789" s="15"/>
      <c r="F789" s="15"/>
      <c r="G789" s="15"/>
      <c r="H789" s="15"/>
      <c r="I789" s="15"/>
      <c r="J789" s="15"/>
      <c r="K789" s="15"/>
      <c r="L789" s="15"/>
      <c r="M789" s="15"/>
      <c r="N789" s="15"/>
      <c r="O789" s="15"/>
      <c r="P789" s="15"/>
      <c r="Q789" s="15"/>
      <c r="R789" s="15"/>
    </row>
    <row r="790" spans="1:18" x14ac:dyDescent="0.2">
      <c r="A790" s="15"/>
      <c r="B790" s="38"/>
      <c r="C790" s="15"/>
      <c r="D790" s="15"/>
      <c r="E790" s="15"/>
      <c r="F790" s="15"/>
      <c r="G790" s="15"/>
      <c r="H790" s="15"/>
      <c r="I790" s="15"/>
      <c r="J790" s="15"/>
      <c r="K790" s="15"/>
      <c r="L790" s="15"/>
      <c r="M790" s="15"/>
      <c r="N790" s="15"/>
      <c r="O790" s="15"/>
      <c r="P790" s="15"/>
      <c r="Q790" s="15"/>
      <c r="R790" s="15"/>
    </row>
    <row r="791" spans="1:18" x14ac:dyDescent="0.2">
      <c r="A791" s="15"/>
      <c r="B791" s="38"/>
      <c r="C791" s="15"/>
      <c r="D791" s="15"/>
      <c r="E791" s="15"/>
      <c r="F791" s="15"/>
      <c r="G791" s="15"/>
      <c r="H791" s="15"/>
      <c r="I791" s="15"/>
      <c r="J791" s="15"/>
      <c r="K791" s="15"/>
      <c r="L791" s="15"/>
      <c r="M791" s="15"/>
      <c r="N791" s="15"/>
      <c r="O791" s="15"/>
      <c r="P791" s="15"/>
      <c r="Q791" s="15"/>
      <c r="R791" s="15"/>
    </row>
    <row r="792" spans="1:18" x14ac:dyDescent="0.2">
      <c r="A792" s="15"/>
      <c r="B792" s="38"/>
      <c r="C792" s="15"/>
      <c r="D792" s="15"/>
      <c r="E792" s="15"/>
      <c r="F792" s="15"/>
      <c r="G792" s="15"/>
      <c r="H792" s="15"/>
      <c r="I792" s="15"/>
      <c r="J792" s="15"/>
      <c r="K792" s="15"/>
      <c r="L792" s="15"/>
      <c r="M792" s="15"/>
      <c r="N792" s="15"/>
      <c r="O792" s="15"/>
      <c r="P792" s="15"/>
      <c r="Q792" s="15"/>
      <c r="R792" s="15"/>
    </row>
    <row r="793" spans="1:18" x14ac:dyDescent="0.2">
      <c r="A793" s="15"/>
      <c r="B793" s="38"/>
      <c r="C793" s="15"/>
      <c r="D793" s="15"/>
      <c r="E793" s="15"/>
      <c r="F793" s="15"/>
      <c r="G793" s="15"/>
      <c r="H793" s="15"/>
      <c r="I793" s="15"/>
      <c r="J793" s="15"/>
      <c r="K793" s="15"/>
      <c r="L793" s="15"/>
      <c r="M793" s="15"/>
      <c r="N793" s="15"/>
      <c r="O793" s="15"/>
      <c r="P793" s="15"/>
      <c r="Q793" s="15"/>
      <c r="R793" s="15"/>
    </row>
    <row r="794" spans="1:18" x14ac:dyDescent="0.2">
      <c r="A794" s="15"/>
      <c r="B794" s="38"/>
      <c r="C794" s="15"/>
      <c r="D794" s="15"/>
      <c r="E794" s="15"/>
      <c r="F794" s="15"/>
      <c r="G794" s="15"/>
      <c r="H794" s="15"/>
      <c r="I794" s="15"/>
      <c r="J794" s="15"/>
      <c r="K794" s="15"/>
      <c r="L794" s="15"/>
      <c r="M794" s="15"/>
      <c r="N794" s="15"/>
      <c r="O794" s="15"/>
      <c r="P794" s="15"/>
      <c r="Q794" s="15"/>
      <c r="R794" s="15"/>
    </row>
    <row r="795" spans="1:18" x14ac:dyDescent="0.2">
      <c r="A795" s="15"/>
      <c r="B795" s="38"/>
      <c r="C795" s="15"/>
      <c r="D795" s="15"/>
      <c r="E795" s="15"/>
      <c r="F795" s="15"/>
      <c r="G795" s="15"/>
      <c r="H795" s="15"/>
      <c r="I795" s="15"/>
      <c r="J795" s="15"/>
      <c r="K795" s="15"/>
      <c r="L795" s="15"/>
      <c r="M795" s="15"/>
      <c r="N795" s="15"/>
      <c r="O795" s="15"/>
      <c r="P795" s="15"/>
      <c r="Q795" s="15"/>
      <c r="R795" s="15"/>
    </row>
    <row r="796" spans="1:18" x14ac:dyDescent="0.2">
      <c r="A796" s="15"/>
      <c r="B796" s="38"/>
      <c r="C796" s="15"/>
      <c r="D796" s="15"/>
      <c r="E796" s="15"/>
      <c r="F796" s="15"/>
      <c r="G796" s="15"/>
      <c r="H796" s="15"/>
      <c r="I796" s="15"/>
      <c r="J796" s="15"/>
      <c r="K796" s="15"/>
      <c r="L796" s="15"/>
      <c r="M796" s="15"/>
      <c r="N796" s="15"/>
      <c r="O796" s="15"/>
      <c r="P796" s="15"/>
      <c r="Q796" s="15"/>
      <c r="R796" s="15"/>
    </row>
    <row r="797" spans="1:18" x14ac:dyDescent="0.2">
      <c r="A797" s="15"/>
      <c r="B797" s="38"/>
      <c r="C797" s="15"/>
      <c r="D797" s="15"/>
      <c r="E797" s="15"/>
      <c r="F797" s="15"/>
      <c r="G797" s="15"/>
      <c r="H797" s="15"/>
      <c r="I797" s="15"/>
      <c r="J797" s="15"/>
      <c r="K797" s="15"/>
      <c r="L797" s="15"/>
      <c r="M797" s="15"/>
      <c r="N797" s="15"/>
      <c r="O797" s="15"/>
      <c r="P797" s="15"/>
      <c r="Q797" s="15"/>
      <c r="R797" s="15"/>
    </row>
    <row r="798" spans="1:18" x14ac:dyDescent="0.2">
      <c r="A798" s="15"/>
      <c r="B798" s="38"/>
      <c r="C798" s="15"/>
      <c r="D798" s="15"/>
      <c r="E798" s="15"/>
      <c r="F798" s="15"/>
      <c r="G798" s="15"/>
      <c r="H798" s="15"/>
      <c r="I798" s="15"/>
      <c r="J798" s="15"/>
      <c r="K798" s="15"/>
      <c r="L798" s="15"/>
      <c r="M798" s="15"/>
      <c r="N798" s="15"/>
      <c r="O798" s="15"/>
      <c r="P798" s="15"/>
      <c r="Q798" s="15"/>
      <c r="R798" s="15"/>
    </row>
    <row r="799" spans="1:18" x14ac:dyDescent="0.2">
      <c r="A799" s="15"/>
      <c r="B799" s="38"/>
      <c r="C799" s="15"/>
      <c r="D799" s="15"/>
      <c r="E799" s="15"/>
      <c r="F799" s="15"/>
      <c r="G799" s="15"/>
      <c r="H799" s="15"/>
      <c r="I799" s="15"/>
      <c r="J799" s="15"/>
      <c r="K799" s="15"/>
      <c r="L799" s="15"/>
      <c r="M799" s="15"/>
      <c r="N799" s="15"/>
      <c r="O799" s="15"/>
      <c r="P799" s="15"/>
      <c r="Q799" s="15"/>
      <c r="R799" s="15"/>
    </row>
    <row r="800" spans="1:18" x14ac:dyDescent="0.2">
      <c r="A800" s="15"/>
      <c r="B800" s="38"/>
      <c r="C800" s="15"/>
      <c r="D800" s="15"/>
      <c r="E800" s="15"/>
      <c r="F800" s="15"/>
      <c r="G800" s="15"/>
      <c r="H800" s="15"/>
      <c r="I800" s="15"/>
      <c r="J800" s="15"/>
      <c r="K800" s="15"/>
      <c r="L800" s="15"/>
      <c r="M800" s="15"/>
      <c r="N800" s="15"/>
      <c r="O800" s="15"/>
      <c r="P800" s="15"/>
      <c r="Q800" s="15"/>
      <c r="R800" s="15"/>
    </row>
    <row r="801" spans="1:18" x14ac:dyDescent="0.2">
      <c r="A801" s="15"/>
      <c r="B801" s="38"/>
      <c r="C801" s="15"/>
      <c r="D801" s="15"/>
      <c r="E801" s="15"/>
      <c r="F801" s="15"/>
      <c r="G801" s="15"/>
      <c r="H801" s="15"/>
      <c r="I801" s="15"/>
      <c r="J801" s="15"/>
      <c r="K801" s="15"/>
      <c r="L801" s="15"/>
      <c r="M801" s="15"/>
      <c r="N801" s="15"/>
      <c r="O801" s="15"/>
      <c r="P801" s="15"/>
      <c r="Q801" s="15"/>
      <c r="R801" s="15"/>
    </row>
    <row r="802" spans="1:18" x14ac:dyDescent="0.2">
      <c r="A802" s="15"/>
      <c r="B802" s="38"/>
      <c r="C802" s="15"/>
      <c r="D802" s="15"/>
      <c r="E802" s="15"/>
      <c r="F802" s="15"/>
      <c r="G802" s="15"/>
      <c r="H802" s="15"/>
      <c r="I802" s="15"/>
      <c r="J802" s="15"/>
      <c r="K802" s="15"/>
      <c r="L802" s="15"/>
      <c r="M802" s="15"/>
      <c r="N802" s="15"/>
      <c r="O802" s="15"/>
      <c r="P802" s="15"/>
      <c r="Q802" s="15"/>
      <c r="R802" s="15"/>
    </row>
    <row r="803" spans="1:18" x14ac:dyDescent="0.2">
      <c r="A803" s="15"/>
      <c r="B803" s="38"/>
      <c r="C803" s="15"/>
      <c r="D803" s="15"/>
      <c r="E803" s="15"/>
      <c r="F803" s="15"/>
      <c r="G803" s="15"/>
      <c r="H803" s="15"/>
      <c r="I803" s="15"/>
      <c r="J803" s="15"/>
      <c r="K803" s="15"/>
      <c r="L803" s="15"/>
      <c r="M803" s="15"/>
      <c r="N803" s="15"/>
      <c r="O803" s="15"/>
      <c r="P803" s="15"/>
      <c r="Q803" s="15"/>
      <c r="R803" s="15"/>
    </row>
    <row r="804" spans="1:18" x14ac:dyDescent="0.2">
      <c r="A804" s="15"/>
      <c r="B804" s="38"/>
      <c r="C804" s="15"/>
      <c r="D804" s="15"/>
      <c r="E804" s="15"/>
      <c r="F804" s="15"/>
      <c r="G804" s="15"/>
      <c r="H804" s="15"/>
      <c r="I804" s="15"/>
      <c r="J804" s="15"/>
      <c r="K804" s="15"/>
      <c r="L804" s="15"/>
      <c r="M804" s="15"/>
      <c r="N804" s="15"/>
      <c r="O804" s="15"/>
      <c r="P804" s="15"/>
      <c r="Q804" s="15"/>
      <c r="R804" s="15"/>
    </row>
    <row r="805" spans="1:18" x14ac:dyDescent="0.2">
      <c r="A805" s="15"/>
      <c r="B805" s="38"/>
      <c r="C805" s="15"/>
      <c r="D805" s="15"/>
      <c r="E805" s="15"/>
      <c r="F805" s="15"/>
      <c r="G805" s="15"/>
      <c r="H805" s="15"/>
      <c r="I805" s="15"/>
      <c r="J805" s="15"/>
      <c r="K805" s="15"/>
      <c r="L805" s="15"/>
      <c r="M805" s="15"/>
      <c r="N805" s="15"/>
      <c r="O805" s="15"/>
      <c r="P805" s="15"/>
      <c r="Q805" s="15"/>
      <c r="R805" s="15"/>
    </row>
    <row r="806" spans="1:18" x14ac:dyDescent="0.2">
      <c r="A806" s="15"/>
      <c r="B806" s="38"/>
      <c r="C806" s="15"/>
      <c r="D806" s="15"/>
      <c r="E806" s="15"/>
      <c r="F806" s="15"/>
      <c r="G806" s="15"/>
      <c r="H806" s="15"/>
      <c r="I806" s="15"/>
      <c r="J806" s="15"/>
      <c r="K806" s="15"/>
      <c r="L806" s="15"/>
      <c r="M806" s="15"/>
      <c r="N806" s="15"/>
      <c r="O806" s="15"/>
      <c r="P806" s="15"/>
      <c r="Q806" s="15"/>
      <c r="R806" s="15"/>
    </row>
    <row r="807" spans="1:18" x14ac:dyDescent="0.2">
      <c r="A807" s="15"/>
      <c r="B807" s="38"/>
      <c r="C807" s="15"/>
      <c r="D807" s="15"/>
      <c r="E807" s="15"/>
      <c r="F807" s="15"/>
      <c r="G807" s="15"/>
      <c r="H807" s="15"/>
      <c r="I807" s="15"/>
      <c r="J807" s="15"/>
      <c r="K807" s="15"/>
      <c r="L807" s="15"/>
      <c r="M807" s="15"/>
      <c r="N807" s="15"/>
      <c r="O807" s="15"/>
      <c r="P807" s="15"/>
      <c r="Q807" s="15"/>
      <c r="R807" s="15"/>
    </row>
    <row r="808" spans="1:18" x14ac:dyDescent="0.2">
      <c r="A808" s="15"/>
      <c r="B808" s="38"/>
      <c r="C808" s="15"/>
      <c r="D808" s="15"/>
      <c r="E808" s="15"/>
      <c r="F808" s="15"/>
      <c r="G808" s="15"/>
      <c r="H808" s="15"/>
      <c r="I808" s="15"/>
      <c r="J808" s="15"/>
      <c r="K808" s="15"/>
      <c r="L808" s="15"/>
      <c r="M808" s="15"/>
      <c r="N808" s="15"/>
      <c r="O808" s="15"/>
      <c r="P808" s="15"/>
      <c r="Q808" s="15"/>
      <c r="R808" s="15"/>
    </row>
    <row r="809" spans="1:18" x14ac:dyDescent="0.2">
      <c r="A809" s="15"/>
      <c r="B809" s="38"/>
      <c r="C809" s="15"/>
      <c r="D809" s="15"/>
      <c r="E809" s="15"/>
      <c r="F809" s="15"/>
      <c r="G809" s="15"/>
      <c r="H809" s="15"/>
      <c r="I809" s="15"/>
      <c r="J809" s="15"/>
      <c r="K809" s="15"/>
      <c r="L809" s="15"/>
      <c r="M809" s="15"/>
      <c r="N809" s="15"/>
      <c r="O809" s="15"/>
      <c r="P809" s="15"/>
      <c r="Q809" s="15"/>
      <c r="R809" s="15"/>
    </row>
    <row r="810" spans="1:18" x14ac:dyDescent="0.2">
      <c r="A810" s="15"/>
      <c r="B810" s="38"/>
      <c r="C810" s="15"/>
      <c r="D810" s="15"/>
      <c r="E810" s="15"/>
      <c r="F810" s="15"/>
      <c r="G810" s="15"/>
      <c r="H810" s="15"/>
      <c r="I810" s="15"/>
      <c r="J810" s="15"/>
      <c r="K810" s="15"/>
      <c r="L810" s="15"/>
      <c r="M810" s="15"/>
      <c r="N810" s="15"/>
      <c r="O810" s="15"/>
      <c r="P810" s="15"/>
      <c r="Q810" s="15"/>
      <c r="R810" s="15"/>
    </row>
    <row r="811" spans="1:18" x14ac:dyDescent="0.2">
      <c r="A811" s="15"/>
      <c r="B811" s="38"/>
      <c r="C811" s="15"/>
      <c r="D811" s="15"/>
      <c r="E811" s="15"/>
      <c r="F811" s="15"/>
      <c r="G811" s="15"/>
      <c r="H811" s="15"/>
      <c r="I811" s="15"/>
      <c r="J811" s="15"/>
      <c r="K811" s="15"/>
      <c r="L811" s="15"/>
      <c r="M811" s="15"/>
      <c r="N811" s="15"/>
      <c r="O811" s="15"/>
      <c r="P811" s="15"/>
      <c r="Q811" s="15"/>
      <c r="R811" s="15"/>
    </row>
    <row r="812" spans="1:18" x14ac:dyDescent="0.2">
      <c r="A812" s="15"/>
      <c r="B812" s="38"/>
      <c r="C812" s="15"/>
      <c r="D812" s="15"/>
      <c r="E812" s="15"/>
      <c r="F812" s="15"/>
      <c r="G812" s="15"/>
      <c r="H812" s="15"/>
      <c r="I812" s="15"/>
      <c r="J812" s="15"/>
      <c r="K812" s="15"/>
      <c r="L812" s="15"/>
      <c r="M812" s="15"/>
      <c r="N812" s="15"/>
      <c r="O812" s="15"/>
      <c r="P812" s="15"/>
      <c r="Q812" s="15"/>
      <c r="R812" s="15"/>
    </row>
    <row r="813" spans="1:18" x14ac:dyDescent="0.2">
      <c r="A813" s="15"/>
      <c r="B813" s="38"/>
      <c r="C813" s="15"/>
      <c r="D813" s="15"/>
      <c r="E813" s="15"/>
      <c r="F813" s="15"/>
      <c r="G813" s="15"/>
      <c r="H813" s="15"/>
      <c r="I813" s="15"/>
      <c r="J813" s="15"/>
      <c r="K813" s="15"/>
      <c r="L813" s="15"/>
      <c r="M813" s="15"/>
      <c r="N813" s="15"/>
      <c r="O813" s="15"/>
      <c r="P813" s="15"/>
      <c r="Q813" s="15"/>
      <c r="R813" s="15"/>
    </row>
    <row r="814" spans="1:18" x14ac:dyDescent="0.2">
      <c r="A814" s="15"/>
      <c r="B814" s="38"/>
      <c r="C814" s="15"/>
      <c r="D814" s="15"/>
      <c r="E814" s="15"/>
      <c r="F814" s="15"/>
      <c r="G814" s="15"/>
      <c r="H814" s="15"/>
      <c r="I814" s="15"/>
      <c r="J814" s="15"/>
      <c r="K814" s="15"/>
      <c r="L814" s="15"/>
      <c r="M814" s="15"/>
      <c r="N814" s="15"/>
      <c r="O814" s="15"/>
      <c r="P814" s="15"/>
      <c r="Q814" s="15"/>
      <c r="R814" s="15"/>
    </row>
    <row r="815" spans="1:18" x14ac:dyDescent="0.2">
      <c r="A815" s="15"/>
      <c r="B815" s="38"/>
      <c r="C815" s="15"/>
      <c r="D815" s="15"/>
      <c r="E815" s="15"/>
      <c r="F815" s="15"/>
      <c r="G815" s="15"/>
      <c r="H815" s="15"/>
      <c r="I815" s="15"/>
      <c r="J815" s="15"/>
      <c r="K815" s="15"/>
      <c r="L815" s="15"/>
      <c r="M815" s="15"/>
      <c r="N815" s="15"/>
      <c r="O815" s="15"/>
      <c r="P815" s="15"/>
      <c r="Q815" s="15"/>
      <c r="R815" s="15"/>
    </row>
    <row r="816" spans="1:18" x14ac:dyDescent="0.2">
      <c r="A816" s="15"/>
      <c r="B816" s="38"/>
      <c r="C816" s="15"/>
      <c r="D816" s="15"/>
      <c r="E816" s="15"/>
      <c r="F816" s="15"/>
      <c r="G816" s="15"/>
      <c r="H816" s="15"/>
      <c r="I816" s="15"/>
      <c r="J816" s="15"/>
      <c r="K816" s="15"/>
      <c r="L816" s="15"/>
      <c r="M816" s="15"/>
      <c r="N816" s="15"/>
      <c r="O816" s="15"/>
      <c r="P816" s="15"/>
      <c r="Q816" s="15"/>
      <c r="R816" s="15"/>
    </row>
    <row r="817" spans="1:18" x14ac:dyDescent="0.2">
      <c r="A817" s="15"/>
      <c r="B817" s="38"/>
      <c r="C817" s="15"/>
      <c r="D817" s="15"/>
      <c r="E817" s="15"/>
      <c r="F817" s="15"/>
      <c r="G817" s="15"/>
      <c r="H817" s="15"/>
      <c r="I817" s="15"/>
      <c r="J817" s="15"/>
      <c r="K817" s="15"/>
      <c r="L817" s="15"/>
      <c r="M817" s="15"/>
      <c r="N817" s="15"/>
      <c r="O817" s="15"/>
      <c r="P817" s="15"/>
      <c r="Q817" s="15"/>
      <c r="R817" s="15"/>
    </row>
    <row r="818" spans="1:18" x14ac:dyDescent="0.2">
      <c r="A818" s="15"/>
      <c r="B818" s="38"/>
      <c r="C818" s="15"/>
      <c r="D818" s="15"/>
      <c r="E818" s="15"/>
      <c r="F818" s="15"/>
      <c r="G818" s="15"/>
      <c r="H818" s="15"/>
      <c r="I818" s="15"/>
      <c r="J818" s="15"/>
      <c r="K818" s="15"/>
      <c r="L818" s="15"/>
      <c r="M818" s="15"/>
      <c r="N818" s="15"/>
      <c r="O818" s="15"/>
      <c r="P818" s="15"/>
      <c r="Q818" s="15"/>
      <c r="R818" s="15"/>
    </row>
    <row r="819" spans="1:18" x14ac:dyDescent="0.2">
      <c r="A819" s="15"/>
      <c r="B819" s="38"/>
      <c r="C819" s="15"/>
      <c r="D819" s="15"/>
      <c r="E819" s="15"/>
      <c r="F819" s="15"/>
      <c r="G819" s="15"/>
      <c r="H819" s="15"/>
      <c r="I819" s="15"/>
      <c r="J819" s="15"/>
      <c r="K819" s="15"/>
      <c r="L819" s="15"/>
      <c r="M819" s="15"/>
      <c r="N819" s="15"/>
      <c r="O819" s="15"/>
      <c r="P819" s="15"/>
      <c r="Q819" s="15"/>
      <c r="R819" s="15"/>
    </row>
    <row r="820" spans="1:18" x14ac:dyDescent="0.2">
      <c r="A820" s="15"/>
      <c r="B820" s="38"/>
      <c r="C820" s="15"/>
      <c r="D820" s="15"/>
      <c r="E820" s="15"/>
      <c r="F820" s="15"/>
      <c r="G820" s="15"/>
      <c r="H820" s="15"/>
      <c r="I820" s="15"/>
      <c r="J820" s="15"/>
      <c r="K820" s="15"/>
      <c r="L820" s="15"/>
      <c r="M820" s="15"/>
      <c r="N820" s="15"/>
      <c r="O820" s="15"/>
      <c r="P820" s="15"/>
      <c r="Q820" s="15"/>
      <c r="R820" s="15"/>
    </row>
    <row r="821" spans="1:18" x14ac:dyDescent="0.2">
      <c r="A821" s="15"/>
      <c r="B821" s="38"/>
      <c r="C821" s="15"/>
      <c r="D821" s="15"/>
      <c r="E821" s="15"/>
      <c r="F821" s="15"/>
      <c r="G821" s="15"/>
      <c r="H821" s="15"/>
      <c r="I821" s="15"/>
      <c r="J821" s="15"/>
      <c r="K821" s="15"/>
      <c r="L821" s="15"/>
      <c r="M821" s="15"/>
      <c r="N821" s="15"/>
      <c r="O821" s="15"/>
      <c r="P821" s="15"/>
      <c r="Q821" s="15"/>
      <c r="R821" s="15"/>
    </row>
    <row r="822" spans="1:18" x14ac:dyDescent="0.2">
      <c r="A822" s="15"/>
      <c r="B822" s="38"/>
      <c r="C822" s="15"/>
      <c r="D822" s="15"/>
      <c r="E822" s="15"/>
      <c r="F822" s="15"/>
      <c r="G822" s="15"/>
      <c r="H822" s="15"/>
      <c r="I822" s="15"/>
      <c r="J822" s="15"/>
      <c r="K822" s="15"/>
      <c r="L822" s="15"/>
      <c r="M822" s="15"/>
      <c r="N822" s="15"/>
      <c r="O822" s="15"/>
      <c r="P822" s="15"/>
      <c r="Q822" s="15"/>
      <c r="R822" s="15"/>
    </row>
    <row r="823" spans="1:18" x14ac:dyDescent="0.2">
      <c r="A823" s="15"/>
      <c r="B823" s="38"/>
      <c r="C823" s="15"/>
      <c r="D823" s="15"/>
      <c r="E823" s="15"/>
      <c r="F823" s="15"/>
      <c r="G823" s="15"/>
      <c r="H823" s="15"/>
      <c r="I823" s="15"/>
      <c r="J823" s="15"/>
      <c r="K823" s="15"/>
      <c r="L823" s="15"/>
      <c r="M823" s="15"/>
      <c r="N823" s="15"/>
      <c r="O823" s="15"/>
      <c r="P823" s="15"/>
      <c r="Q823" s="15"/>
      <c r="R823" s="15"/>
    </row>
    <row r="824" spans="1:18" x14ac:dyDescent="0.2">
      <c r="A824" s="15"/>
      <c r="B824" s="38"/>
      <c r="C824" s="15"/>
      <c r="D824" s="15"/>
      <c r="E824" s="15"/>
      <c r="F824" s="15"/>
      <c r="G824" s="15"/>
      <c r="H824" s="15"/>
      <c r="I824" s="15"/>
      <c r="J824" s="15"/>
      <c r="K824" s="15"/>
      <c r="L824" s="15"/>
      <c r="M824" s="15"/>
      <c r="N824" s="15"/>
      <c r="O824" s="15"/>
      <c r="P824" s="15"/>
      <c r="Q824" s="15"/>
      <c r="R824" s="15"/>
    </row>
    <row r="825" spans="1:18" x14ac:dyDescent="0.2">
      <c r="A825" s="15"/>
      <c r="B825" s="38"/>
      <c r="C825" s="15"/>
      <c r="D825" s="15"/>
      <c r="E825" s="15"/>
      <c r="F825" s="15"/>
      <c r="G825" s="15"/>
      <c r="H825" s="15"/>
      <c r="I825" s="15"/>
      <c r="J825" s="15"/>
      <c r="K825" s="15"/>
      <c r="L825" s="15"/>
      <c r="M825" s="15"/>
      <c r="N825" s="15"/>
      <c r="O825" s="15"/>
      <c r="P825" s="15"/>
      <c r="Q825" s="15"/>
      <c r="R825" s="15"/>
    </row>
    <row r="826" spans="1:18" x14ac:dyDescent="0.2">
      <c r="A826" s="15"/>
      <c r="B826" s="38"/>
      <c r="C826" s="15"/>
      <c r="D826" s="15"/>
      <c r="E826" s="15"/>
      <c r="F826" s="15"/>
      <c r="G826" s="15"/>
      <c r="H826" s="15"/>
      <c r="I826" s="15"/>
      <c r="J826" s="15"/>
      <c r="K826" s="15"/>
      <c r="L826" s="15"/>
      <c r="M826" s="15"/>
      <c r="N826" s="15"/>
      <c r="O826" s="15"/>
      <c r="P826" s="15"/>
      <c r="Q826" s="15"/>
      <c r="R826" s="15"/>
    </row>
    <row r="827" spans="1:18" x14ac:dyDescent="0.2">
      <c r="A827" s="15"/>
      <c r="B827" s="38"/>
      <c r="C827" s="15"/>
      <c r="D827" s="15"/>
      <c r="E827" s="15"/>
      <c r="F827" s="15"/>
      <c r="G827" s="15"/>
      <c r="H827" s="15"/>
      <c r="I827" s="15"/>
      <c r="J827" s="15"/>
      <c r="K827" s="15"/>
      <c r="L827" s="15"/>
      <c r="M827" s="15"/>
      <c r="N827" s="15"/>
      <c r="O827" s="15"/>
      <c r="P827" s="15"/>
      <c r="Q827" s="15"/>
      <c r="R827" s="15"/>
    </row>
    <row r="828" spans="1:18" x14ac:dyDescent="0.2">
      <c r="A828" s="15"/>
      <c r="B828" s="38"/>
      <c r="C828" s="15"/>
      <c r="D828" s="15"/>
      <c r="E828" s="15"/>
      <c r="F828" s="15"/>
      <c r="G828" s="15"/>
      <c r="H828" s="15"/>
      <c r="I828" s="15"/>
      <c r="J828" s="15"/>
      <c r="K828" s="15"/>
      <c r="L828" s="15"/>
      <c r="M828" s="15"/>
      <c r="N828" s="15"/>
      <c r="O828" s="15"/>
      <c r="P828" s="15"/>
      <c r="Q828" s="15"/>
      <c r="R828" s="15"/>
    </row>
    <row r="829" spans="1:18" x14ac:dyDescent="0.2">
      <c r="A829" s="15"/>
      <c r="B829" s="38"/>
      <c r="C829" s="15"/>
      <c r="D829" s="15"/>
      <c r="E829" s="15"/>
      <c r="F829" s="15"/>
      <c r="G829" s="15"/>
      <c r="H829" s="15"/>
      <c r="I829" s="15"/>
      <c r="J829" s="15"/>
      <c r="K829" s="15"/>
      <c r="L829" s="15"/>
      <c r="M829" s="15"/>
      <c r="N829" s="15"/>
      <c r="O829" s="15"/>
      <c r="P829" s="15"/>
      <c r="Q829" s="15"/>
      <c r="R829" s="15"/>
    </row>
    <row r="830" spans="1:18" x14ac:dyDescent="0.2">
      <c r="A830" s="15"/>
      <c r="B830" s="38"/>
      <c r="C830" s="15"/>
      <c r="D830" s="15"/>
      <c r="E830" s="15"/>
      <c r="F830" s="15"/>
      <c r="G830" s="15"/>
      <c r="H830" s="15"/>
      <c r="I830" s="15"/>
      <c r="J830" s="15"/>
      <c r="K830" s="15"/>
      <c r="L830" s="15"/>
      <c r="M830" s="15"/>
      <c r="N830" s="15"/>
      <c r="O830" s="15"/>
      <c r="P830" s="15"/>
      <c r="Q830" s="15"/>
      <c r="R830" s="15"/>
    </row>
    <row r="831" spans="1:18" x14ac:dyDescent="0.2">
      <c r="A831" s="15"/>
      <c r="B831" s="38"/>
      <c r="C831" s="15"/>
      <c r="D831" s="15"/>
      <c r="E831" s="15"/>
      <c r="F831" s="15"/>
      <c r="G831" s="15"/>
      <c r="H831" s="15"/>
      <c r="I831" s="15"/>
      <c r="J831" s="15"/>
      <c r="K831" s="15"/>
      <c r="L831" s="15"/>
      <c r="M831" s="15"/>
      <c r="N831" s="15"/>
      <c r="O831" s="15"/>
      <c r="P831" s="15"/>
      <c r="Q831" s="15"/>
      <c r="R831" s="15"/>
    </row>
    <row r="832" spans="1:18" x14ac:dyDescent="0.2">
      <c r="A832" s="15"/>
      <c r="B832" s="38"/>
      <c r="C832" s="15"/>
      <c r="D832" s="15"/>
      <c r="E832" s="15"/>
      <c r="F832" s="15"/>
      <c r="G832" s="15"/>
      <c r="H832" s="15"/>
      <c r="I832" s="15"/>
      <c r="J832" s="15"/>
      <c r="K832" s="15"/>
      <c r="L832" s="15"/>
      <c r="M832" s="15"/>
      <c r="N832" s="15"/>
      <c r="O832" s="15"/>
      <c r="P832" s="15"/>
      <c r="Q832" s="15"/>
      <c r="R832" s="15"/>
    </row>
    <row r="833" spans="1:18" x14ac:dyDescent="0.2">
      <c r="A833" s="15"/>
      <c r="B833" s="38"/>
      <c r="C833" s="15"/>
      <c r="D833" s="15"/>
      <c r="E833" s="15"/>
      <c r="F833" s="15"/>
      <c r="G833" s="15"/>
      <c r="H833" s="15"/>
      <c r="I833" s="15"/>
      <c r="J833" s="15"/>
      <c r="K833" s="15"/>
      <c r="L833" s="15"/>
      <c r="M833" s="15"/>
      <c r="N833" s="15"/>
      <c r="O833" s="15"/>
      <c r="P833" s="15"/>
      <c r="Q833" s="15"/>
      <c r="R833" s="15"/>
    </row>
    <row r="834" spans="1:18" x14ac:dyDescent="0.2">
      <c r="A834" s="15"/>
      <c r="B834" s="38"/>
      <c r="C834" s="15"/>
      <c r="D834" s="15"/>
      <c r="E834" s="15"/>
      <c r="F834" s="15"/>
      <c r="G834" s="15"/>
      <c r="H834" s="15"/>
      <c r="I834" s="15"/>
      <c r="J834" s="15"/>
      <c r="K834" s="15"/>
      <c r="L834" s="15"/>
      <c r="M834" s="15"/>
      <c r="N834" s="15"/>
      <c r="O834" s="15"/>
      <c r="P834" s="15"/>
      <c r="Q834" s="15"/>
      <c r="R834" s="15"/>
    </row>
    <row r="835" spans="1:18" x14ac:dyDescent="0.2">
      <c r="A835" s="15"/>
      <c r="B835" s="38"/>
      <c r="C835" s="15"/>
      <c r="D835" s="15"/>
      <c r="E835" s="15"/>
      <c r="F835" s="15"/>
      <c r="G835" s="15"/>
      <c r="H835" s="15"/>
      <c r="I835" s="15"/>
      <c r="J835" s="15"/>
      <c r="K835" s="15"/>
      <c r="L835" s="15"/>
      <c r="M835" s="15"/>
      <c r="N835" s="15"/>
      <c r="O835" s="15"/>
      <c r="P835" s="15"/>
      <c r="Q835" s="15"/>
      <c r="R835" s="15"/>
    </row>
    <row r="836" spans="1:18" x14ac:dyDescent="0.2">
      <c r="A836" s="15"/>
      <c r="B836" s="38"/>
      <c r="C836" s="15"/>
      <c r="D836" s="15"/>
      <c r="E836" s="15"/>
      <c r="F836" s="15"/>
      <c r="G836" s="15"/>
      <c r="H836" s="15"/>
      <c r="I836" s="15"/>
      <c r="J836" s="15"/>
      <c r="K836" s="15"/>
      <c r="L836" s="15"/>
      <c r="M836" s="15"/>
      <c r="N836" s="15"/>
      <c r="O836" s="15"/>
      <c r="P836" s="15"/>
      <c r="Q836" s="15"/>
      <c r="R836" s="15"/>
    </row>
    <row r="837" spans="1:18" x14ac:dyDescent="0.2">
      <c r="A837" s="15"/>
      <c r="B837" s="38"/>
      <c r="C837" s="15"/>
      <c r="D837" s="15"/>
      <c r="E837" s="15"/>
      <c r="F837" s="15"/>
      <c r="G837" s="15"/>
      <c r="H837" s="15"/>
      <c r="I837" s="15"/>
      <c r="J837" s="15"/>
      <c r="K837" s="15"/>
      <c r="L837" s="15"/>
      <c r="M837" s="15"/>
      <c r="N837" s="15"/>
      <c r="O837" s="15"/>
      <c r="P837" s="15"/>
      <c r="Q837" s="15"/>
      <c r="R837" s="15"/>
    </row>
    <row r="838" spans="1:18" x14ac:dyDescent="0.2">
      <c r="A838" s="15"/>
      <c r="B838" s="38"/>
      <c r="C838" s="15"/>
      <c r="D838" s="15"/>
      <c r="E838" s="15"/>
      <c r="F838" s="15"/>
      <c r="G838" s="15"/>
      <c r="H838" s="15"/>
      <c r="I838" s="15"/>
      <c r="J838" s="15"/>
      <c r="K838" s="15"/>
      <c r="L838" s="15"/>
      <c r="M838" s="15"/>
      <c r="N838" s="15"/>
      <c r="O838" s="15"/>
      <c r="P838" s="15"/>
      <c r="Q838" s="15"/>
      <c r="R838" s="15"/>
    </row>
    <row r="839" spans="1:18" x14ac:dyDescent="0.2">
      <c r="A839" s="15"/>
      <c r="B839" s="38"/>
      <c r="C839" s="15"/>
      <c r="D839" s="15"/>
      <c r="E839" s="15"/>
      <c r="F839" s="15"/>
      <c r="G839" s="15"/>
      <c r="H839" s="15"/>
      <c r="I839" s="15"/>
      <c r="J839" s="15"/>
      <c r="K839" s="15"/>
      <c r="L839" s="15"/>
      <c r="M839" s="15"/>
      <c r="N839" s="15"/>
      <c r="O839" s="15"/>
      <c r="P839" s="15"/>
      <c r="Q839" s="15"/>
      <c r="R839" s="15"/>
    </row>
    <row r="840" spans="1:18" x14ac:dyDescent="0.2">
      <c r="A840" s="15"/>
      <c r="B840" s="38"/>
      <c r="C840" s="15"/>
      <c r="D840" s="15"/>
      <c r="E840" s="15"/>
      <c r="F840" s="15"/>
      <c r="G840" s="15"/>
      <c r="H840" s="15"/>
      <c r="I840" s="15"/>
      <c r="J840" s="15"/>
      <c r="K840" s="15"/>
      <c r="L840" s="15"/>
      <c r="M840" s="15"/>
      <c r="N840" s="15"/>
      <c r="O840" s="15"/>
      <c r="P840" s="15"/>
      <c r="Q840" s="15"/>
      <c r="R840" s="15"/>
    </row>
    <row r="841" spans="1:18" x14ac:dyDescent="0.2">
      <c r="A841" s="15"/>
      <c r="B841" s="38"/>
      <c r="C841" s="15"/>
      <c r="D841" s="15"/>
      <c r="E841" s="15"/>
      <c r="F841" s="15"/>
      <c r="G841" s="15"/>
      <c r="H841" s="15"/>
      <c r="I841" s="15"/>
      <c r="J841" s="15"/>
      <c r="K841" s="15"/>
      <c r="L841" s="15"/>
      <c r="M841" s="15"/>
      <c r="N841" s="15"/>
      <c r="O841" s="15"/>
      <c r="P841" s="15"/>
      <c r="Q841" s="15"/>
      <c r="R841" s="15"/>
    </row>
    <row r="842" spans="1:18" x14ac:dyDescent="0.2">
      <c r="A842" s="15"/>
      <c r="B842" s="38"/>
      <c r="C842" s="15"/>
      <c r="D842" s="15"/>
      <c r="E842" s="15"/>
      <c r="F842" s="15"/>
      <c r="G842" s="15"/>
      <c r="H842" s="15"/>
      <c r="I842" s="15"/>
      <c r="J842" s="15"/>
      <c r="K842" s="15"/>
      <c r="L842" s="15"/>
      <c r="M842" s="15"/>
      <c r="N842" s="15"/>
      <c r="O842" s="15"/>
      <c r="P842" s="15"/>
      <c r="Q842" s="15"/>
      <c r="R842" s="15"/>
    </row>
    <row r="843" spans="1:18" x14ac:dyDescent="0.2">
      <c r="A843" s="15"/>
      <c r="B843" s="38"/>
      <c r="C843" s="15"/>
      <c r="D843" s="15"/>
      <c r="E843" s="15"/>
      <c r="F843" s="15"/>
      <c r="G843" s="15"/>
      <c r="H843" s="15"/>
      <c r="I843" s="15"/>
      <c r="J843" s="15"/>
      <c r="K843" s="15"/>
      <c r="L843" s="15"/>
      <c r="M843" s="15"/>
      <c r="N843" s="15"/>
      <c r="O843" s="15"/>
      <c r="P843" s="15"/>
      <c r="Q843" s="15"/>
      <c r="R843" s="15"/>
    </row>
    <row r="844" spans="1:18" x14ac:dyDescent="0.2">
      <c r="A844" s="15"/>
      <c r="B844" s="38"/>
      <c r="C844" s="15"/>
      <c r="D844" s="15"/>
      <c r="E844" s="15"/>
      <c r="F844" s="15"/>
      <c r="G844" s="15"/>
      <c r="H844" s="15"/>
      <c r="I844" s="15"/>
      <c r="J844" s="15"/>
      <c r="K844" s="15"/>
      <c r="L844" s="15"/>
      <c r="M844" s="15"/>
      <c r="N844" s="15"/>
      <c r="O844" s="15"/>
      <c r="P844" s="15"/>
      <c r="Q844" s="15"/>
      <c r="R844" s="15"/>
    </row>
    <row r="845" spans="1:18" x14ac:dyDescent="0.2">
      <c r="A845" s="15"/>
      <c r="B845" s="38"/>
      <c r="C845" s="15"/>
      <c r="D845" s="15"/>
      <c r="E845" s="15"/>
      <c r="F845" s="15"/>
      <c r="G845" s="15"/>
      <c r="H845" s="15"/>
      <c r="I845" s="15"/>
      <c r="J845" s="15"/>
      <c r="K845" s="15"/>
      <c r="L845" s="15"/>
      <c r="M845" s="15"/>
      <c r="N845" s="15"/>
      <c r="O845" s="15"/>
      <c r="P845" s="15"/>
      <c r="Q845" s="15"/>
      <c r="R845" s="15"/>
    </row>
    <row r="846" spans="1:18" x14ac:dyDescent="0.2">
      <c r="A846" s="15"/>
      <c r="B846" s="38"/>
      <c r="C846" s="15"/>
      <c r="D846" s="15"/>
      <c r="E846" s="15"/>
      <c r="F846" s="15"/>
      <c r="G846" s="15"/>
      <c r="H846" s="15"/>
      <c r="I846" s="15"/>
      <c r="J846" s="15"/>
      <c r="K846" s="15"/>
      <c r="L846" s="15"/>
      <c r="M846" s="15"/>
      <c r="N846" s="15"/>
      <c r="O846" s="15"/>
      <c r="P846" s="15"/>
      <c r="Q846" s="15"/>
      <c r="R846" s="15"/>
    </row>
    <row r="847" spans="1:18" x14ac:dyDescent="0.2">
      <c r="A847" s="15"/>
      <c r="B847" s="38"/>
      <c r="C847" s="15"/>
      <c r="D847" s="15"/>
      <c r="E847" s="15"/>
      <c r="F847" s="15"/>
      <c r="G847" s="15"/>
      <c r="H847" s="15"/>
      <c r="I847" s="15"/>
      <c r="J847" s="15"/>
      <c r="K847" s="15"/>
      <c r="L847" s="15"/>
      <c r="M847" s="15"/>
      <c r="N847" s="15"/>
      <c r="O847" s="15"/>
      <c r="P847" s="15"/>
      <c r="Q847" s="15"/>
      <c r="R847" s="15"/>
    </row>
    <row r="848" spans="1:18" x14ac:dyDescent="0.2">
      <c r="A848" s="15"/>
      <c r="B848" s="38"/>
      <c r="C848" s="15"/>
      <c r="D848" s="15"/>
      <c r="E848" s="15"/>
      <c r="F848" s="15"/>
      <c r="G848" s="15"/>
      <c r="H848" s="15"/>
      <c r="I848" s="15"/>
      <c r="J848" s="15"/>
      <c r="K848" s="15"/>
      <c r="L848" s="15"/>
      <c r="M848" s="15"/>
      <c r="N848" s="15"/>
      <c r="O848" s="15"/>
      <c r="P848" s="15"/>
      <c r="Q848" s="15"/>
      <c r="R848" s="15"/>
    </row>
    <row r="849" spans="1:18" x14ac:dyDescent="0.2">
      <c r="A849" s="15"/>
      <c r="B849" s="38"/>
      <c r="C849" s="15"/>
      <c r="D849" s="15"/>
      <c r="E849" s="15"/>
      <c r="F849" s="15"/>
      <c r="G849" s="15"/>
      <c r="H849" s="15"/>
      <c r="I849" s="15"/>
      <c r="J849" s="15"/>
      <c r="K849" s="15"/>
      <c r="L849" s="15"/>
      <c r="M849" s="15"/>
      <c r="N849" s="15"/>
      <c r="O849" s="15"/>
      <c r="P849" s="15"/>
      <c r="Q849" s="15"/>
      <c r="R849" s="15"/>
    </row>
    <row r="850" spans="1:18" x14ac:dyDescent="0.2">
      <c r="A850" s="15"/>
      <c r="B850" s="38"/>
      <c r="C850" s="15"/>
      <c r="D850" s="15"/>
      <c r="E850" s="15"/>
      <c r="F850" s="15"/>
      <c r="G850" s="15"/>
      <c r="H850" s="15"/>
      <c r="I850" s="15"/>
      <c r="J850" s="15"/>
      <c r="K850" s="15"/>
      <c r="L850" s="15"/>
      <c r="M850" s="15"/>
      <c r="N850" s="15"/>
      <c r="O850" s="15"/>
      <c r="P850" s="15"/>
      <c r="Q850" s="15"/>
      <c r="R850" s="15"/>
    </row>
    <row r="851" spans="1:18" x14ac:dyDescent="0.2">
      <c r="A851" s="15"/>
      <c r="B851" s="38"/>
      <c r="C851" s="15"/>
      <c r="D851" s="15"/>
      <c r="E851" s="15"/>
      <c r="F851" s="15"/>
      <c r="G851" s="15"/>
      <c r="H851" s="15"/>
      <c r="I851" s="15"/>
      <c r="J851" s="15"/>
      <c r="K851" s="15"/>
      <c r="L851" s="15"/>
      <c r="M851" s="15"/>
      <c r="N851" s="15"/>
      <c r="O851" s="15"/>
      <c r="P851" s="15"/>
      <c r="Q851" s="15"/>
      <c r="R851" s="15"/>
    </row>
    <row r="852" spans="1:18" x14ac:dyDescent="0.2">
      <c r="A852" s="15"/>
      <c r="B852" s="38"/>
      <c r="C852" s="15"/>
      <c r="D852" s="15"/>
      <c r="E852" s="15"/>
      <c r="F852" s="15"/>
      <c r="G852" s="15"/>
      <c r="H852" s="15"/>
      <c r="I852" s="15"/>
      <c r="J852" s="15"/>
      <c r="K852" s="15"/>
      <c r="L852" s="15"/>
      <c r="M852" s="15"/>
      <c r="N852" s="15"/>
      <c r="O852" s="15"/>
      <c r="P852" s="15"/>
      <c r="Q852" s="15"/>
      <c r="R852" s="15"/>
    </row>
    <row r="853" spans="1:18" x14ac:dyDescent="0.2">
      <c r="A853" s="15"/>
      <c r="B853" s="38"/>
      <c r="C853" s="15"/>
      <c r="D853" s="15"/>
      <c r="E853" s="15"/>
      <c r="F853" s="15"/>
      <c r="G853" s="15"/>
      <c r="H853" s="15"/>
      <c r="I853" s="15"/>
      <c r="J853" s="15"/>
      <c r="K853" s="15"/>
      <c r="L853" s="15"/>
      <c r="M853" s="15"/>
      <c r="N853" s="15"/>
      <c r="O853" s="15"/>
      <c r="P853" s="15"/>
      <c r="Q853" s="15"/>
      <c r="R853" s="15"/>
    </row>
    <row r="854" spans="1:18" x14ac:dyDescent="0.2">
      <c r="A854" s="15"/>
      <c r="B854" s="38"/>
      <c r="C854" s="15"/>
      <c r="D854" s="15"/>
      <c r="E854" s="15"/>
      <c r="F854" s="15"/>
      <c r="G854" s="15"/>
      <c r="H854" s="15"/>
      <c r="I854" s="15"/>
      <c r="J854" s="15"/>
      <c r="K854" s="15"/>
      <c r="L854" s="15"/>
      <c r="M854" s="15"/>
      <c r="N854" s="15"/>
      <c r="O854" s="15"/>
      <c r="P854" s="15"/>
      <c r="Q854" s="15"/>
      <c r="R854" s="15"/>
    </row>
    <row r="855" spans="1:18" x14ac:dyDescent="0.2">
      <c r="A855" s="15"/>
      <c r="B855" s="38"/>
      <c r="C855" s="15"/>
      <c r="D855" s="15"/>
      <c r="E855" s="15"/>
      <c r="F855" s="15"/>
      <c r="G855" s="15"/>
      <c r="H855" s="15"/>
      <c r="I855" s="15"/>
      <c r="J855" s="15"/>
      <c r="K855" s="15"/>
      <c r="L855" s="15"/>
      <c r="M855" s="15"/>
      <c r="N855" s="15"/>
      <c r="O855" s="15"/>
      <c r="P855" s="15"/>
      <c r="Q855" s="15"/>
      <c r="R855" s="15"/>
    </row>
    <row r="856" spans="1:18" x14ac:dyDescent="0.2">
      <c r="A856" s="15"/>
      <c r="B856" s="38"/>
      <c r="C856" s="15"/>
      <c r="D856" s="15"/>
      <c r="E856" s="15"/>
      <c r="F856" s="15"/>
      <c r="G856" s="15"/>
      <c r="H856" s="15"/>
      <c r="I856" s="15"/>
      <c r="J856" s="15"/>
      <c r="K856" s="15"/>
      <c r="L856" s="15"/>
      <c r="M856" s="15"/>
      <c r="N856" s="15"/>
      <c r="O856" s="15"/>
      <c r="P856" s="15"/>
      <c r="Q856" s="15"/>
      <c r="R856" s="15"/>
    </row>
    <row r="857" spans="1:18" x14ac:dyDescent="0.2">
      <c r="A857" s="15"/>
      <c r="B857" s="38"/>
      <c r="C857" s="15"/>
      <c r="D857" s="15"/>
      <c r="E857" s="15"/>
      <c r="F857" s="15"/>
      <c r="G857" s="15"/>
      <c r="H857" s="15"/>
      <c r="I857" s="15"/>
      <c r="J857" s="15"/>
      <c r="K857" s="15"/>
      <c r="L857" s="15"/>
      <c r="M857" s="15"/>
      <c r="N857" s="15"/>
      <c r="O857" s="15"/>
      <c r="P857" s="15"/>
      <c r="Q857" s="15"/>
      <c r="R857" s="15"/>
    </row>
    <row r="858" spans="1:18" x14ac:dyDescent="0.2">
      <c r="A858" s="15"/>
      <c r="B858" s="38"/>
      <c r="C858" s="15"/>
      <c r="D858" s="15"/>
      <c r="E858" s="15"/>
      <c r="F858" s="15"/>
      <c r="G858" s="15"/>
      <c r="H858" s="15"/>
      <c r="I858" s="15"/>
      <c r="J858" s="15"/>
      <c r="K858" s="15"/>
      <c r="L858" s="15"/>
      <c r="M858" s="15"/>
      <c r="N858" s="15"/>
      <c r="O858" s="15"/>
      <c r="P858" s="15"/>
      <c r="Q858" s="15"/>
      <c r="R858" s="15"/>
    </row>
    <row r="859" spans="1:18" x14ac:dyDescent="0.2">
      <c r="A859" s="15"/>
      <c r="B859" s="38"/>
      <c r="C859" s="15"/>
      <c r="D859" s="15"/>
      <c r="E859" s="15"/>
      <c r="F859" s="15"/>
      <c r="G859" s="15"/>
      <c r="H859" s="15"/>
      <c r="I859" s="15"/>
      <c r="J859" s="15"/>
      <c r="K859" s="15"/>
      <c r="L859" s="15"/>
      <c r="M859" s="15"/>
      <c r="N859" s="15"/>
      <c r="O859" s="15"/>
      <c r="P859" s="15"/>
      <c r="Q859" s="15"/>
      <c r="R859" s="15"/>
    </row>
    <row r="860" spans="1:18" x14ac:dyDescent="0.2">
      <c r="A860" s="15"/>
      <c r="B860" s="38"/>
      <c r="C860" s="15"/>
      <c r="D860" s="15"/>
      <c r="E860" s="15"/>
      <c r="F860" s="15"/>
      <c r="G860" s="15"/>
      <c r="H860" s="15"/>
      <c r="I860" s="15"/>
      <c r="J860" s="15"/>
      <c r="K860" s="15"/>
      <c r="L860" s="15"/>
      <c r="M860" s="15"/>
      <c r="N860" s="15"/>
      <c r="O860" s="15"/>
      <c r="P860" s="15"/>
      <c r="Q860" s="15"/>
      <c r="R860" s="15"/>
    </row>
    <row r="861" spans="1:18" x14ac:dyDescent="0.2">
      <c r="A861" s="15"/>
      <c r="B861" s="38"/>
      <c r="C861" s="15"/>
      <c r="D861" s="15"/>
      <c r="E861" s="15"/>
      <c r="F861" s="15"/>
      <c r="G861" s="15"/>
      <c r="H861" s="15"/>
      <c r="I861" s="15"/>
      <c r="J861" s="15"/>
      <c r="K861" s="15"/>
      <c r="L861" s="15"/>
      <c r="M861" s="15"/>
      <c r="N861" s="15"/>
      <c r="O861" s="15"/>
      <c r="P861" s="15"/>
      <c r="Q861" s="15"/>
      <c r="R861" s="15"/>
    </row>
    <row r="862" spans="1:18" x14ac:dyDescent="0.2">
      <c r="A862" s="15"/>
      <c r="B862" s="38"/>
      <c r="C862" s="15"/>
      <c r="D862" s="15"/>
      <c r="E862" s="15"/>
      <c r="F862" s="15"/>
      <c r="G862" s="15"/>
      <c r="H862" s="15"/>
      <c r="I862" s="15"/>
      <c r="J862" s="15"/>
      <c r="K862" s="15"/>
      <c r="L862" s="15"/>
      <c r="M862" s="15"/>
      <c r="N862" s="15"/>
      <c r="O862" s="15"/>
      <c r="P862" s="15"/>
      <c r="Q862" s="15"/>
      <c r="R862" s="15"/>
    </row>
    <row r="863" spans="1:18" x14ac:dyDescent="0.2">
      <c r="A863" s="15"/>
      <c r="B863" s="38"/>
      <c r="C863" s="15"/>
      <c r="D863" s="15"/>
      <c r="E863" s="15"/>
      <c r="F863" s="15"/>
      <c r="G863" s="15"/>
      <c r="H863" s="15"/>
      <c r="I863" s="15"/>
      <c r="J863" s="15"/>
      <c r="K863" s="15"/>
      <c r="L863" s="15"/>
      <c r="M863" s="15"/>
      <c r="N863" s="15"/>
      <c r="O863" s="15"/>
      <c r="P863" s="15"/>
      <c r="Q863" s="15"/>
      <c r="R863" s="15"/>
    </row>
    <row r="864" spans="1:18" x14ac:dyDescent="0.2">
      <c r="A864" s="15"/>
      <c r="B864" s="38"/>
      <c r="C864" s="15"/>
      <c r="D864" s="15"/>
      <c r="E864" s="15"/>
      <c r="F864" s="15"/>
      <c r="G864" s="15"/>
      <c r="H864" s="15"/>
      <c r="I864" s="15"/>
      <c r="J864" s="15"/>
      <c r="K864" s="15"/>
      <c r="L864" s="15"/>
      <c r="M864" s="15"/>
      <c r="N864" s="15"/>
      <c r="O864" s="15"/>
      <c r="P864" s="15"/>
      <c r="Q864" s="15"/>
      <c r="R864" s="15"/>
    </row>
    <row r="865" spans="1:18" x14ac:dyDescent="0.2">
      <c r="A865" s="15"/>
      <c r="B865" s="38"/>
      <c r="C865" s="15"/>
      <c r="D865" s="15"/>
      <c r="E865" s="15"/>
      <c r="F865" s="15"/>
      <c r="G865" s="15"/>
      <c r="H865" s="15"/>
      <c r="I865" s="15"/>
      <c r="J865" s="15"/>
      <c r="K865" s="15"/>
      <c r="L865" s="15"/>
      <c r="M865" s="15"/>
      <c r="N865" s="15"/>
      <c r="O865" s="15"/>
      <c r="P865" s="15"/>
      <c r="Q865" s="15"/>
      <c r="R865" s="15"/>
    </row>
    <row r="866" spans="1:18" x14ac:dyDescent="0.2">
      <c r="A866" s="15"/>
      <c r="B866" s="38"/>
      <c r="C866" s="15"/>
      <c r="D866" s="15"/>
      <c r="E866" s="15"/>
      <c r="F866" s="15"/>
      <c r="G866" s="15"/>
      <c r="H866" s="15"/>
      <c r="I866" s="15"/>
      <c r="J866" s="15"/>
      <c r="K866" s="15"/>
      <c r="L866" s="15"/>
      <c r="M866" s="15"/>
      <c r="N866" s="15"/>
      <c r="O866" s="15"/>
      <c r="P866" s="15"/>
      <c r="Q866" s="15"/>
      <c r="R866" s="15"/>
    </row>
    <row r="867" spans="1:18" x14ac:dyDescent="0.2">
      <c r="A867" s="15"/>
      <c r="B867" s="38"/>
      <c r="C867" s="15"/>
      <c r="D867" s="15"/>
      <c r="E867" s="15"/>
      <c r="F867" s="15"/>
      <c r="G867" s="15"/>
      <c r="H867" s="15"/>
      <c r="I867" s="15"/>
      <c r="J867" s="15"/>
      <c r="K867" s="15"/>
      <c r="L867" s="15"/>
      <c r="M867" s="15"/>
      <c r="N867" s="15"/>
      <c r="O867" s="15"/>
      <c r="P867" s="15"/>
      <c r="Q867" s="15"/>
      <c r="R867" s="15"/>
    </row>
    <row r="868" spans="1:18" x14ac:dyDescent="0.2">
      <c r="A868" s="15"/>
      <c r="B868" s="38"/>
      <c r="C868" s="15"/>
      <c r="D868" s="15"/>
      <c r="E868" s="15"/>
      <c r="F868" s="15"/>
      <c r="G868" s="15"/>
      <c r="H868" s="15"/>
      <c r="I868" s="15"/>
      <c r="J868" s="15"/>
      <c r="K868" s="15"/>
      <c r="L868" s="15"/>
      <c r="M868" s="15"/>
      <c r="N868" s="15"/>
      <c r="O868" s="15"/>
      <c r="P868" s="15"/>
      <c r="Q868" s="15"/>
      <c r="R868" s="15"/>
    </row>
    <row r="869" spans="1:18" x14ac:dyDescent="0.2">
      <c r="A869" s="15"/>
      <c r="B869" s="38"/>
      <c r="C869" s="15"/>
      <c r="D869" s="15"/>
      <c r="E869" s="15"/>
      <c r="F869" s="15"/>
      <c r="G869" s="15"/>
      <c r="H869" s="15"/>
      <c r="I869" s="15"/>
      <c r="J869" s="15"/>
      <c r="K869" s="15"/>
      <c r="L869" s="15"/>
      <c r="M869" s="15"/>
      <c r="N869" s="15"/>
      <c r="O869" s="15"/>
      <c r="P869" s="15"/>
      <c r="Q869" s="15"/>
      <c r="R869" s="15"/>
    </row>
    <row r="870" spans="1:18" x14ac:dyDescent="0.2">
      <c r="A870" s="15"/>
      <c r="B870" s="38"/>
      <c r="C870" s="15"/>
      <c r="D870" s="15"/>
      <c r="E870" s="15"/>
      <c r="F870" s="15"/>
      <c r="G870" s="15"/>
      <c r="H870" s="15"/>
      <c r="I870" s="15"/>
      <c r="J870" s="15"/>
      <c r="K870" s="15"/>
      <c r="L870" s="15"/>
      <c r="M870" s="15"/>
      <c r="N870" s="15"/>
      <c r="O870" s="15"/>
      <c r="P870" s="15"/>
      <c r="Q870" s="15"/>
      <c r="R870" s="15"/>
    </row>
    <row r="871" spans="1:18" x14ac:dyDescent="0.2">
      <c r="A871" s="15"/>
      <c r="B871" s="38"/>
      <c r="C871" s="15"/>
      <c r="D871" s="15"/>
      <c r="E871" s="15"/>
      <c r="F871" s="15"/>
      <c r="G871" s="15"/>
      <c r="H871" s="15"/>
      <c r="I871" s="15"/>
      <c r="J871" s="15"/>
      <c r="K871" s="15"/>
      <c r="L871" s="15"/>
      <c r="M871" s="15"/>
      <c r="N871" s="15"/>
      <c r="O871" s="15"/>
      <c r="P871" s="15"/>
      <c r="Q871" s="15"/>
      <c r="R871" s="15"/>
    </row>
    <row r="872" spans="1:18" x14ac:dyDescent="0.2">
      <c r="A872" s="15"/>
      <c r="B872" s="38"/>
      <c r="C872" s="15"/>
      <c r="D872" s="15"/>
      <c r="E872" s="15"/>
      <c r="F872" s="15"/>
      <c r="G872" s="15"/>
      <c r="H872" s="15"/>
      <c r="I872" s="15"/>
      <c r="J872" s="15"/>
      <c r="K872" s="15"/>
      <c r="L872" s="15"/>
      <c r="M872" s="15"/>
      <c r="N872" s="15"/>
      <c r="O872" s="15"/>
      <c r="P872" s="15"/>
      <c r="Q872" s="15"/>
      <c r="R872" s="15"/>
    </row>
    <row r="873" spans="1:18" x14ac:dyDescent="0.2">
      <c r="A873" s="15"/>
      <c r="B873" s="38"/>
      <c r="C873" s="15"/>
      <c r="D873" s="15"/>
      <c r="E873" s="15"/>
      <c r="F873" s="15"/>
      <c r="G873" s="15"/>
      <c r="H873" s="15"/>
      <c r="I873" s="15"/>
      <c r="J873" s="15"/>
      <c r="K873" s="15"/>
      <c r="L873" s="15"/>
      <c r="M873" s="15"/>
      <c r="N873" s="15"/>
      <c r="O873" s="15"/>
      <c r="P873" s="15"/>
      <c r="Q873" s="15"/>
      <c r="R873" s="15"/>
    </row>
    <row r="874" spans="1:18" x14ac:dyDescent="0.2">
      <c r="A874" s="15"/>
      <c r="B874" s="38"/>
      <c r="C874" s="15"/>
      <c r="D874" s="15"/>
      <c r="E874" s="15"/>
      <c r="F874" s="15"/>
      <c r="G874" s="15"/>
      <c r="H874" s="15"/>
      <c r="I874" s="15"/>
      <c r="J874" s="15"/>
      <c r="K874" s="15"/>
      <c r="L874" s="15"/>
      <c r="M874" s="15"/>
      <c r="N874" s="15"/>
      <c r="O874" s="15"/>
      <c r="P874" s="15"/>
      <c r="Q874" s="15"/>
      <c r="R874" s="15"/>
    </row>
    <row r="875" spans="1:18" x14ac:dyDescent="0.2">
      <c r="A875" s="15"/>
      <c r="B875" s="38"/>
      <c r="C875" s="15"/>
      <c r="D875" s="15"/>
      <c r="E875" s="15"/>
      <c r="F875" s="15"/>
      <c r="G875" s="15"/>
      <c r="H875" s="15"/>
      <c r="I875" s="15"/>
      <c r="J875" s="15"/>
      <c r="K875" s="15"/>
      <c r="L875" s="15"/>
      <c r="M875" s="15"/>
      <c r="N875" s="15"/>
      <c r="O875" s="15"/>
      <c r="P875" s="15"/>
      <c r="Q875" s="15"/>
      <c r="R875" s="15"/>
    </row>
    <row r="876" spans="1:18" x14ac:dyDescent="0.2">
      <c r="A876" s="15"/>
      <c r="B876" s="38"/>
      <c r="C876" s="15"/>
      <c r="D876" s="15"/>
      <c r="E876" s="15"/>
      <c r="F876" s="15"/>
      <c r="G876" s="15"/>
      <c r="H876" s="15"/>
      <c r="I876" s="15"/>
      <c r="J876" s="15"/>
      <c r="K876" s="15"/>
      <c r="L876" s="15"/>
      <c r="M876" s="15"/>
      <c r="N876" s="15"/>
      <c r="O876" s="15"/>
      <c r="P876" s="15"/>
      <c r="Q876" s="15"/>
      <c r="R876" s="15"/>
    </row>
    <row r="877" spans="1:18" x14ac:dyDescent="0.2">
      <c r="A877" s="15"/>
      <c r="B877" s="38"/>
      <c r="C877" s="15"/>
      <c r="D877" s="15"/>
      <c r="E877" s="15"/>
      <c r="F877" s="15"/>
      <c r="G877" s="15"/>
      <c r="H877" s="15"/>
      <c r="I877" s="15"/>
      <c r="J877" s="15"/>
      <c r="K877" s="15"/>
      <c r="L877" s="15"/>
      <c r="M877" s="15"/>
      <c r="N877" s="15"/>
      <c r="O877" s="15"/>
      <c r="P877" s="15"/>
      <c r="Q877" s="15"/>
      <c r="R877" s="15"/>
    </row>
    <row r="878" spans="1:18" x14ac:dyDescent="0.2">
      <c r="A878" s="15"/>
      <c r="B878" s="38"/>
      <c r="C878" s="15"/>
      <c r="D878" s="15"/>
      <c r="E878" s="15"/>
      <c r="F878" s="15"/>
      <c r="G878" s="15"/>
      <c r="H878" s="15"/>
      <c r="I878" s="15"/>
      <c r="J878" s="15"/>
      <c r="K878" s="15"/>
      <c r="L878" s="15"/>
      <c r="M878" s="15"/>
      <c r="N878" s="15"/>
      <c r="O878" s="15"/>
      <c r="P878" s="15"/>
      <c r="Q878" s="15"/>
      <c r="R878" s="15"/>
    </row>
    <row r="879" spans="1:18" x14ac:dyDescent="0.2">
      <c r="A879" s="15"/>
      <c r="B879" s="38"/>
      <c r="C879" s="15"/>
      <c r="D879" s="15"/>
      <c r="E879" s="15"/>
      <c r="F879" s="15"/>
      <c r="G879" s="15"/>
      <c r="H879" s="15"/>
      <c r="I879" s="15"/>
      <c r="J879" s="15"/>
      <c r="K879" s="15"/>
      <c r="L879" s="15"/>
      <c r="M879" s="15"/>
      <c r="N879" s="15"/>
      <c r="O879" s="15"/>
      <c r="P879" s="15"/>
      <c r="Q879" s="15"/>
      <c r="R879" s="15"/>
    </row>
    <row r="880" spans="1:18" x14ac:dyDescent="0.2">
      <c r="A880" s="15"/>
      <c r="B880" s="38"/>
      <c r="C880" s="15"/>
      <c r="D880" s="15"/>
      <c r="E880" s="15"/>
      <c r="F880" s="15"/>
      <c r="G880" s="15"/>
      <c r="H880" s="15"/>
      <c r="I880" s="15"/>
      <c r="J880" s="15"/>
      <c r="K880" s="15"/>
      <c r="L880" s="15"/>
      <c r="M880" s="15"/>
      <c r="N880" s="15"/>
      <c r="O880" s="15"/>
      <c r="P880" s="15"/>
      <c r="Q880" s="15"/>
      <c r="R880" s="15"/>
    </row>
    <row r="881" spans="1:18" x14ac:dyDescent="0.2">
      <c r="A881" s="15"/>
      <c r="B881" s="38"/>
      <c r="C881" s="15"/>
      <c r="D881" s="15"/>
      <c r="E881" s="15"/>
      <c r="F881" s="15"/>
      <c r="G881" s="15"/>
      <c r="H881" s="15"/>
      <c r="I881" s="15"/>
      <c r="J881" s="15"/>
      <c r="K881" s="15"/>
      <c r="L881" s="15"/>
      <c r="M881" s="15"/>
      <c r="N881" s="15"/>
      <c r="O881" s="15"/>
      <c r="P881" s="15"/>
      <c r="Q881" s="15"/>
      <c r="R881" s="15"/>
    </row>
    <row r="882" spans="1:18" x14ac:dyDescent="0.2">
      <c r="A882" s="15"/>
      <c r="B882" s="38"/>
      <c r="C882" s="15"/>
      <c r="D882" s="15"/>
      <c r="E882" s="15"/>
      <c r="F882" s="15"/>
      <c r="G882" s="15"/>
      <c r="H882" s="15"/>
      <c r="I882" s="15"/>
      <c r="J882" s="15"/>
      <c r="K882" s="15"/>
      <c r="L882" s="15"/>
      <c r="M882" s="15"/>
      <c r="N882" s="15"/>
      <c r="O882" s="15"/>
      <c r="P882" s="15"/>
      <c r="Q882" s="15"/>
      <c r="R882" s="15"/>
    </row>
    <row r="883" spans="1:18" x14ac:dyDescent="0.2">
      <c r="A883" s="15"/>
      <c r="B883" s="38"/>
      <c r="C883" s="15"/>
      <c r="D883" s="15"/>
      <c r="E883" s="15"/>
      <c r="F883" s="15"/>
      <c r="G883" s="15"/>
      <c r="H883" s="15"/>
      <c r="I883" s="15"/>
      <c r="J883" s="15"/>
      <c r="K883" s="15"/>
      <c r="L883" s="15"/>
      <c r="M883" s="15"/>
      <c r="N883" s="15"/>
      <c r="O883" s="15"/>
      <c r="P883" s="15"/>
      <c r="Q883" s="15"/>
      <c r="R883" s="15"/>
    </row>
    <row r="884" spans="1:18" x14ac:dyDescent="0.2">
      <c r="A884" s="15"/>
      <c r="B884" s="38"/>
      <c r="C884" s="15"/>
      <c r="D884" s="15"/>
      <c r="E884" s="15"/>
      <c r="F884" s="15"/>
      <c r="G884" s="15"/>
      <c r="H884" s="15"/>
      <c r="I884" s="15"/>
      <c r="J884" s="15"/>
      <c r="K884" s="15"/>
      <c r="L884" s="15"/>
      <c r="M884" s="15"/>
      <c r="N884" s="15"/>
      <c r="O884" s="15"/>
      <c r="P884" s="15"/>
      <c r="Q884" s="15"/>
      <c r="R884" s="15"/>
    </row>
    <row r="885" spans="1:18" x14ac:dyDescent="0.2">
      <c r="A885" s="15"/>
      <c r="B885" s="38"/>
      <c r="C885" s="15"/>
      <c r="D885" s="15"/>
      <c r="E885" s="15"/>
      <c r="F885" s="15"/>
      <c r="G885" s="15"/>
      <c r="H885" s="15"/>
      <c r="I885" s="15"/>
      <c r="J885" s="15"/>
      <c r="K885" s="15"/>
      <c r="L885" s="15"/>
      <c r="M885" s="15"/>
      <c r="N885" s="15"/>
      <c r="O885" s="15"/>
      <c r="P885" s="15"/>
      <c r="Q885" s="15"/>
      <c r="R885" s="15"/>
    </row>
    <row r="886" spans="1:18" x14ac:dyDescent="0.2">
      <c r="A886" s="15"/>
      <c r="B886" s="38"/>
      <c r="C886" s="15"/>
      <c r="D886" s="15"/>
      <c r="E886" s="15"/>
      <c r="F886" s="15"/>
      <c r="G886" s="15"/>
      <c r="H886" s="15"/>
      <c r="I886" s="15"/>
      <c r="J886" s="15"/>
      <c r="K886" s="15"/>
      <c r="L886" s="15"/>
      <c r="M886" s="15"/>
      <c r="N886" s="15"/>
      <c r="O886" s="15"/>
      <c r="P886" s="15"/>
      <c r="Q886" s="15"/>
      <c r="R886" s="15"/>
    </row>
    <row r="887" spans="1:18" x14ac:dyDescent="0.2">
      <c r="A887" s="15"/>
      <c r="B887" s="38"/>
      <c r="C887" s="15"/>
      <c r="D887" s="15"/>
      <c r="E887" s="15"/>
      <c r="F887" s="15"/>
      <c r="G887" s="15"/>
      <c r="H887" s="15"/>
      <c r="I887" s="15"/>
      <c r="J887" s="15"/>
      <c r="K887" s="15"/>
      <c r="L887" s="15"/>
      <c r="M887" s="15"/>
      <c r="N887" s="15"/>
      <c r="O887" s="15"/>
      <c r="P887" s="15"/>
      <c r="Q887" s="15"/>
      <c r="R887" s="15"/>
    </row>
    <row r="888" spans="1:18" x14ac:dyDescent="0.2">
      <c r="A888" s="15"/>
      <c r="B888" s="38"/>
      <c r="C888" s="15"/>
      <c r="D888" s="15"/>
      <c r="E888" s="15"/>
      <c r="F888" s="15"/>
      <c r="G888" s="15"/>
      <c r="H888" s="15"/>
      <c r="I888" s="15"/>
      <c r="J888" s="15"/>
      <c r="K888" s="15"/>
      <c r="L888" s="15"/>
      <c r="M888" s="15"/>
      <c r="N888" s="15"/>
      <c r="O888" s="15"/>
      <c r="P888" s="15"/>
      <c r="Q888" s="15"/>
      <c r="R888" s="15"/>
    </row>
    <row r="889" spans="1:18" x14ac:dyDescent="0.2">
      <c r="A889" s="15"/>
      <c r="B889" s="38"/>
      <c r="C889" s="15"/>
      <c r="D889" s="15"/>
      <c r="E889" s="15"/>
      <c r="F889" s="15"/>
      <c r="G889" s="15"/>
      <c r="H889" s="15"/>
      <c r="I889" s="15"/>
      <c r="J889" s="15"/>
      <c r="K889" s="15"/>
      <c r="L889" s="15"/>
      <c r="M889" s="15"/>
      <c r="N889" s="15"/>
      <c r="O889" s="15"/>
      <c r="P889" s="15"/>
      <c r="Q889" s="15"/>
      <c r="R889" s="15"/>
    </row>
    <row r="890" spans="1:18" x14ac:dyDescent="0.2">
      <c r="A890" s="15"/>
      <c r="B890" s="38"/>
      <c r="C890" s="15"/>
      <c r="D890" s="15"/>
      <c r="E890" s="15"/>
      <c r="F890" s="15"/>
      <c r="G890" s="15"/>
      <c r="H890" s="15"/>
      <c r="I890" s="15"/>
      <c r="J890" s="15"/>
      <c r="K890" s="15"/>
      <c r="L890" s="15"/>
      <c r="M890" s="15"/>
      <c r="N890" s="15"/>
      <c r="O890" s="15"/>
      <c r="P890" s="15"/>
      <c r="Q890" s="15"/>
      <c r="R890" s="15"/>
    </row>
    <row r="891" spans="1:18" x14ac:dyDescent="0.2">
      <c r="A891" s="15"/>
      <c r="B891" s="38"/>
      <c r="C891" s="15"/>
      <c r="D891" s="15"/>
      <c r="E891" s="15"/>
      <c r="F891" s="15"/>
      <c r="G891" s="15"/>
      <c r="H891" s="15"/>
      <c r="I891" s="15"/>
      <c r="J891" s="15"/>
      <c r="K891" s="15"/>
      <c r="L891" s="15"/>
      <c r="M891" s="15"/>
      <c r="N891" s="15"/>
      <c r="O891" s="15"/>
      <c r="P891" s="15"/>
      <c r="Q891" s="15"/>
      <c r="R891" s="15"/>
    </row>
    <row r="892" spans="1:18" x14ac:dyDescent="0.2">
      <c r="A892" s="15"/>
      <c r="B892" s="38"/>
      <c r="C892" s="15"/>
      <c r="D892" s="15"/>
      <c r="E892" s="15"/>
      <c r="F892" s="15"/>
      <c r="G892" s="15"/>
      <c r="H892" s="15"/>
      <c r="I892" s="15"/>
      <c r="J892" s="15"/>
      <c r="K892" s="15"/>
      <c r="L892" s="15"/>
      <c r="M892" s="15"/>
      <c r="N892" s="15"/>
      <c r="O892" s="15"/>
      <c r="P892" s="15"/>
      <c r="Q892" s="15"/>
      <c r="R892" s="15"/>
    </row>
    <row r="893" spans="1:18" x14ac:dyDescent="0.2">
      <c r="A893" s="15"/>
      <c r="B893" s="38"/>
      <c r="C893" s="15"/>
      <c r="D893" s="15"/>
      <c r="E893" s="15"/>
      <c r="F893" s="15"/>
      <c r="G893" s="15"/>
      <c r="H893" s="15"/>
      <c r="I893" s="15"/>
      <c r="J893" s="15"/>
      <c r="K893" s="15"/>
      <c r="L893" s="15"/>
      <c r="M893" s="15"/>
      <c r="N893" s="15"/>
      <c r="O893" s="15"/>
      <c r="P893" s="15"/>
      <c r="Q893" s="15"/>
      <c r="R893" s="15"/>
    </row>
    <row r="894" spans="1:18" x14ac:dyDescent="0.2">
      <c r="A894" s="15"/>
      <c r="B894" s="38"/>
      <c r="C894" s="15"/>
      <c r="D894" s="15"/>
      <c r="E894" s="15"/>
      <c r="F894" s="15"/>
      <c r="G894" s="15"/>
      <c r="H894" s="15"/>
      <c r="I894" s="15"/>
      <c r="J894" s="15"/>
      <c r="K894" s="15"/>
      <c r="L894" s="15"/>
      <c r="M894" s="15"/>
      <c r="N894" s="15"/>
      <c r="O894" s="15"/>
      <c r="P894" s="15"/>
      <c r="Q894" s="15"/>
      <c r="R894" s="15"/>
    </row>
    <row r="895" spans="1:18" x14ac:dyDescent="0.2">
      <c r="A895" s="15"/>
      <c r="B895" s="38"/>
      <c r="C895" s="15"/>
      <c r="D895" s="15"/>
      <c r="E895" s="15"/>
      <c r="F895" s="15"/>
      <c r="G895" s="15"/>
      <c r="H895" s="15"/>
      <c r="I895" s="15"/>
      <c r="J895" s="15"/>
      <c r="K895" s="15"/>
      <c r="L895" s="15"/>
      <c r="M895" s="15"/>
      <c r="N895" s="15"/>
      <c r="O895" s="15"/>
      <c r="P895" s="15"/>
      <c r="Q895" s="15"/>
      <c r="R895" s="15"/>
    </row>
    <row r="896" spans="1:18" x14ac:dyDescent="0.2">
      <c r="A896" s="15"/>
      <c r="B896" s="38"/>
      <c r="C896" s="15"/>
      <c r="D896" s="15"/>
      <c r="E896" s="15"/>
      <c r="F896" s="15"/>
      <c r="G896" s="15"/>
      <c r="H896" s="15"/>
      <c r="I896" s="15"/>
      <c r="J896" s="15"/>
      <c r="K896" s="15"/>
      <c r="L896" s="15"/>
      <c r="M896" s="15"/>
      <c r="N896" s="15"/>
      <c r="O896" s="15"/>
      <c r="P896" s="15"/>
      <c r="Q896" s="15"/>
      <c r="R896" s="15"/>
    </row>
    <row r="897" spans="1:18" x14ac:dyDescent="0.2">
      <c r="A897" s="15"/>
      <c r="B897" s="38"/>
      <c r="C897" s="15"/>
      <c r="D897" s="15"/>
      <c r="E897" s="15"/>
      <c r="F897" s="15"/>
      <c r="G897" s="15"/>
      <c r="H897" s="15"/>
      <c r="I897" s="15"/>
      <c r="J897" s="15"/>
      <c r="K897" s="15"/>
      <c r="L897" s="15"/>
      <c r="M897" s="15"/>
      <c r="N897" s="15"/>
      <c r="O897" s="15"/>
      <c r="P897" s="15"/>
      <c r="Q897" s="15"/>
      <c r="R897" s="15"/>
    </row>
    <row r="898" spans="1:18" x14ac:dyDescent="0.2">
      <c r="A898" s="15"/>
      <c r="B898" s="38"/>
      <c r="C898" s="15"/>
      <c r="D898" s="15"/>
      <c r="E898" s="15"/>
      <c r="F898" s="15"/>
      <c r="G898" s="15"/>
      <c r="H898" s="15"/>
      <c r="I898" s="15"/>
      <c r="J898" s="15"/>
      <c r="K898" s="15"/>
      <c r="L898" s="15"/>
      <c r="M898" s="15"/>
      <c r="N898" s="15"/>
      <c r="O898" s="15"/>
      <c r="P898" s="15"/>
      <c r="Q898" s="15"/>
      <c r="R898" s="15"/>
    </row>
    <row r="899" spans="1:18" x14ac:dyDescent="0.2">
      <c r="A899" s="15"/>
      <c r="B899" s="38"/>
      <c r="C899" s="15"/>
      <c r="D899" s="15"/>
      <c r="E899" s="15"/>
      <c r="F899" s="15"/>
      <c r="G899" s="15"/>
      <c r="H899" s="15"/>
      <c r="I899" s="15"/>
      <c r="J899" s="15"/>
      <c r="K899" s="15"/>
      <c r="L899" s="15"/>
      <c r="M899" s="15"/>
      <c r="N899" s="15"/>
      <c r="O899" s="15"/>
      <c r="P899" s="15"/>
      <c r="Q899" s="15"/>
      <c r="R899" s="15"/>
    </row>
    <row r="900" spans="1:18" x14ac:dyDescent="0.2">
      <c r="A900" s="15"/>
      <c r="B900" s="38"/>
      <c r="C900" s="15"/>
      <c r="D900" s="15"/>
      <c r="E900" s="15"/>
      <c r="F900" s="15"/>
      <c r="G900" s="15"/>
      <c r="H900" s="15"/>
      <c r="I900" s="15"/>
      <c r="J900" s="15"/>
      <c r="K900" s="15"/>
      <c r="L900" s="15"/>
      <c r="M900" s="15"/>
      <c r="N900" s="15"/>
      <c r="O900" s="15"/>
      <c r="P900" s="15"/>
      <c r="Q900" s="15"/>
      <c r="R900" s="15"/>
    </row>
    <row r="901" spans="1:18" x14ac:dyDescent="0.2">
      <c r="A901" s="15"/>
      <c r="B901" s="38"/>
      <c r="C901" s="15"/>
      <c r="D901" s="15"/>
      <c r="E901" s="15"/>
      <c r="F901" s="15"/>
      <c r="G901" s="15"/>
      <c r="H901" s="15"/>
      <c r="I901" s="15"/>
      <c r="J901" s="15"/>
      <c r="K901" s="15"/>
      <c r="L901" s="15"/>
      <c r="M901" s="15"/>
      <c r="N901" s="15"/>
      <c r="O901" s="15"/>
      <c r="P901" s="15"/>
      <c r="Q901" s="15"/>
      <c r="R901" s="15"/>
    </row>
    <row r="902" spans="1:18" x14ac:dyDescent="0.2">
      <c r="A902" s="15"/>
      <c r="B902" s="38"/>
      <c r="C902" s="15"/>
      <c r="D902" s="15"/>
      <c r="E902" s="15"/>
      <c r="F902" s="15"/>
      <c r="G902" s="15"/>
      <c r="H902" s="15"/>
      <c r="I902" s="15"/>
      <c r="J902" s="15"/>
      <c r="K902" s="15"/>
      <c r="L902" s="15"/>
      <c r="M902" s="15"/>
      <c r="N902" s="15"/>
      <c r="O902" s="15"/>
      <c r="P902" s="15"/>
      <c r="Q902" s="15"/>
      <c r="R902" s="15"/>
    </row>
    <row r="903" spans="1:18" x14ac:dyDescent="0.2">
      <c r="A903" s="15"/>
      <c r="B903" s="38"/>
      <c r="C903" s="15"/>
      <c r="D903" s="15"/>
      <c r="E903" s="15"/>
      <c r="F903" s="15"/>
      <c r="G903" s="15"/>
      <c r="H903" s="15"/>
      <c r="I903" s="15"/>
      <c r="J903" s="15"/>
      <c r="K903" s="15"/>
      <c r="L903" s="15"/>
      <c r="M903" s="15"/>
      <c r="N903" s="15"/>
      <c r="O903" s="15"/>
      <c r="P903" s="15"/>
      <c r="Q903" s="15"/>
      <c r="R903" s="15"/>
    </row>
    <row r="904" spans="1:18" x14ac:dyDescent="0.2">
      <c r="A904" s="15"/>
      <c r="B904" s="38"/>
      <c r="C904" s="15"/>
      <c r="D904" s="15"/>
      <c r="E904" s="15"/>
      <c r="F904" s="15"/>
      <c r="G904" s="15"/>
      <c r="H904" s="15"/>
      <c r="I904" s="15"/>
      <c r="J904" s="15"/>
      <c r="K904" s="15"/>
      <c r="L904" s="15"/>
      <c r="M904" s="15"/>
      <c r="N904" s="15"/>
      <c r="O904" s="15"/>
      <c r="P904" s="15"/>
      <c r="Q904" s="15"/>
      <c r="R904" s="15"/>
    </row>
    <row r="905" spans="1:18" x14ac:dyDescent="0.2">
      <c r="A905" s="15"/>
      <c r="B905" s="38"/>
      <c r="C905" s="15"/>
      <c r="D905" s="15"/>
      <c r="E905" s="15"/>
      <c r="F905" s="15"/>
      <c r="G905" s="15"/>
      <c r="H905" s="15"/>
      <c r="I905" s="15"/>
      <c r="J905" s="15"/>
      <c r="K905" s="15"/>
      <c r="L905" s="15"/>
      <c r="M905" s="15"/>
      <c r="N905" s="15"/>
      <c r="O905" s="15"/>
      <c r="P905" s="15"/>
      <c r="Q905" s="15"/>
      <c r="R905" s="15"/>
    </row>
    <row r="906" spans="1:18" x14ac:dyDescent="0.2">
      <c r="A906" s="15"/>
      <c r="B906" s="38"/>
      <c r="C906" s="15"/>
      <c r="D906" s="15"/>
      <c r="E906" s="15"/>
      <c r="F906" s="15"/>
      <c r="G906" s="15"/>
      <c r="H906" s="15"/>
      <c r="I906" s="15"/>
      <c r="J906" s="15"/>
      <c r="K906" s="15"/>
      <c r="L906" s="15"/>
      <c r="M906" s="15"/>
      <c r="N906" s="15"/>
      <c r="O906" s="15"/>
      <c r="P906" s="15"/>
      <c r="Q906" s="15"/>
      <c r="R906" s="15"/>
    </row>
    <row r="907" spans="1:18" x14ac:dyDescent="0.2">
      <c r="A907" s="15"/>
      <c r="B907" s="38"/>
      <c r="C907" s="15"/>
      <c r="D907" s="15"/>
      <c r="E907" s="15"/>
      <c r="F907" s="15"/>
      <c r="G907" s="15"/>
      <c r="H907" s="15"/>
      <c r="I907" s="15"/>
      <c r="J907" s="15"/>
      <c r="K907" s="15"/>
      <c r="L907" s="15"/>
      <c r="M907" s="15"/>
      <c r="N907" s="15"/>
      <c r="O907" s="15"/>
      <c r="P907" s="15"/>
      <c r="Q907" s="15"/>
      <c r="R907" s="15"/>
    </row>
    <row r="908" spans="1:18" x14ac:dyDescent="0.2">
      <c r="A908" s="15"/>
      <c r="B908" s="38"/>
      <c r="C908" s="15"/>
      <c r="D908" s="15"/>
      <c r="E908" s="15"/>
      <c r="F908" s="15"/>
      <c r="G908" s="15"/>
      <c r="H908" s="15"/>
      <c r="I908" s="15"/>
      <c r="J908" s="15"/>
      <c r="K908" s="15"/>
      <c r="L908" s="15"/>
      <c r="M908" s="15"/>
      <c r="N908" s="15"/>
      <c r="O908" s="15"/>
      <c r="P908" s="15"/>
      <c r="Q908" s="15"/>
      <c r="R908" s="15"/>
    </row>
    <row r="909" spans="1:18" x14ac:dyDescent="0.2">
      <c r="A909" s="15"/>
      <c r="B909" s="38"/>
      <c r="C909" s="15"/>
      <c r="D909" s="15"/>
      <c r="E909" s="15"/>
      <c r="F909" s="15"/>
      <c r="G909" s="15"/>
      <c r="H909" s="15"/>
      <c r="I909" s="15"/>
      <c r="J909" s="15"/>
      <c r="K909" s="15"/>
      <c r="L909" s="15"/>
      <c r="M909" s="15"/>
      <c r="N909" s="15"/>
      <c r="O909" s="15"/>
      <c r="P909" s="15"/>
      <c r="Q909" s="15"/>
      <c r="R909" s="15"/>
    </row>
    <row r="910" spans="1:18" x14ac:dyDescent="0.2">
      <c r="A910" s="15"/>
      <c r="B910" s="38"/>
      <c r="C910" s="15"/>
      <c r="D910" s="15"/>
      <c r="E910" s="15"/>
      <c r="F910" s="15"/>
      <c r="G910" s="15"/>
      <c r="H910" s="15"/>
      <c r="I910" s="15"/>
      <c r="J910" s="15"/>
      <c r="K910" s="15"/>
      <c r="L910" s="15"/>
      <c r="M910" s="15"/>
      <c r="N910" s="15"/>
      <c r="O910" s="15"/>
      <c r="P910" s="15"/>
      <c r="Q910" s="15"/>
      <c r="R910" s="15"/>
    </row>
    <row r="911" spans="1:18" x14ac:dyDescent="0.2">
      <c r="A911" s="15"/>
      <c r="B911" s="38"/>
      <c r="C911" s="15"/>
      <c r="D911" s="15"/>
      <c r="E911" s="15"/>
      <c r="F911" s="15"/>
      <c r="G911" s="15"/>
      <c r="H911" s="15"/>
      <c r="I911" s="15"/>
      <c r="J911" s="15"/>
      <c r="K911" s="15"/>
      <c r="L911" s="15"/>
      <c r="M911" s="15"/>
      <c r="N911" s="15"/>
      <c r="O911" s="15"/>
      <c r="P911" s="15"/>
      <c r="Q911" s="15"/>
      <c r="R911" s="15"/>
    </row>
    <row r="912" spans="1:18" x14ac:dyDescent="0.2">
      <c r="A912" s="15"/>
      <c r="B912" s="38"/>
      <c r="C912" s="15"/>
      <c r="D912" s="15"/>
      <c r="E912" s="15"/>
      <c r="F912" s="15"/>
      <c r="G912" s="15"/>
      <c r="H912" s="15"/>
      <c r="I912" s="15"/>
      <c r="J912" s="15"/>
      <c r="K912" s="15"/>
      <c r="L912" s="15"/>
      <c r="M912" s="15"/>
      <c r="N912" s="15"/>
      <c r="O912" s="15"/>
      <c r="P912" s="15"/>
      <c r="Q912" s="15"/>
      <c r="R912" s="15"/>
    </row>
    <row r="913" spans="1:18" x14ac:dyDescent="0.2">
      <c r="A913" s="15"/>
      <c r="B913" s="38"/>
      <c r="C913" s="15"/>
      <c r="D913" s="15"/>
      <c r="E913" s="15"/>
      <c r="F913" s="15"/>
      <c r="G913" s="15"/>
      <c r="H913" s="15"/>
      <c r="I913" s="15"/>
      <c r="J913" s="15"/>
      <c r="K913" s="15"/>
      <c r="L913" s="15"/>
      <c r="M913" s="15"/>
      <c r="N913" s="15"/>
      <c r="O913" s="15"/>
      <c r="P913" s="15"/>
      <c r="Q913" s="15"/>
      <c r="R913" s="15"/>
    </row>
    <row r="914" spans="1:18" x14ac:dyDescent="0.2">
      <c r="A914" s="15"/>
      <c r="B914" s="38"/>
      <c r="C914" s="15"/>
      <c r="D914" s="15"/>
      <c r="E914" s="15"/>
      <c r="F914" s="15"/>
      <c r="G914" s="15"/>
      <c r="H914" s="15"/>
      <c r="I914" s="15"/>
      <c r="J914" s="15"/>
      <c r="K914" s="15"/>
      <c r="L914" s="15"/>
      <c r="M914" s="15"/>
      <c r="N914" s="15"/>
      <c r="O914" s="15"/>
      <c r="P914" s="15"/>
      <c r="Q914" s="15"/>
      <c r="R914" s="15"/>
    </row>
    <row r="915" spans="1:18" x14ac:dyDescent="0.2">
      <c r="A915" s="15"/>
      <c r="B915" s="38"/>
      <c r="C915" s="15"/>
      <c r="D915" s="15"/>
      <c r="E915" s="15"/>
      <c r="F915" s="15"/>
      <c r="G915" s="15"/>
      <c r="H915" s="15"/>
      <c r="I915" s="15"/>
      <c r="J915" s="15"/>
      <c r="K915" s="15"/>
      <c r="L915" s="15"/>
      <c r="M915" s="15"/>
      <c r="N915" s="15"/>
      <c r="O915" s="15"/>
      <c r="P915" s="15"/>
      <c r="Q915" s="15"/>
      <c r="R915" s="15"/>
    </row>
    <row r="916" spans="1:18" x14ac:dyDescent="0.2">
      <c r="A916" s="15"/>
      <c r="B916" s="38"/>
      <c r="C916" s="15"/>
      <c r="D916" s="15"/>
      <c r="E916" s="15"/>
      <c r="F916" s="15"/>
      <c r="G916" s="15"/>
      <c r="H916" s="15"/>
      <c r="I916" s="15"/>
      <c r="J916" s="15"/>
      <c r="K916" s="15"/>
      <c r="L916" s="15"/>
      <c r="M916" s="15"/>
      <c r="N916" s="15"/>
      <c r="O916" s="15"/>
      <c r="P916" s="15"/>
      <c r="Q916" s="15"/>
      <c r="R916" s="15"/>
    </row>
    <row r="917" spans="1:18" x14ac:dyDescent="0.2">
      <c r="A917" s="15"/>
      <c r="B917" s="38"/>
      <c r="C917" s="15"/>
      <c r="D917" s="15"/>
      <c r="E917" s="15"/>
      <c r="F917" s="15"/>
      <c r="G917" s="15"/>
      <c r="H917" s="15"/>
      <c r="I917" s="15"/>
      <c r="J917" s="15"/>
      <c r="K917" s="15"/>
      <c r="L917" s="15"/>
      <c r="M917" s="15"/>
      <c r="N917" s="15"/>
      <c r="O917" s="15"/>
      <c r="P917" s="15"/>
      <c r="Q917" s="15"/>
      <c r="R917" s="15"/>
    </row>
    <row r="918" spans="1:18" x14ac:dyDescent="0.2">
      <c r="A918" s="15"/>
      <c r="B918" s="38"/>
      <c r="C918" s="15"/>
      <c r="D918" s="15"/>
      <c r="E918" s="15"/>
      <c r="F918" s="15"/>
      <c r="G918" s="15"/>
      <c r="H918" s="15"/>
      <c r="I918" s="15"/>
      <c r="J918" s="15"/>
      <c r="K918" s="15"/>
      <c r="L918" s="15"/>
      <c r="M918" s="15"/>
      <c r="N918" s="15"/>
      <c r="O918" s="15"/>
      <c r="P918" s="15"/>
      <c r="Q918" s="15"/>
      <c r="R918" s="15"/>
    </row>
    <row r="919" spans="1:18" x14ac:dyDescent="0.2">
      <c r="A919" s="15"/>
      <c r="B919" s="38"/>
      <c r="C919" s="15"/>
      <c r="D919" s="15"/>
      <c r="E919" s="15"/>
      <c r="F919" s="15"/>
      <c r="G919" s="15"/>
      <c r="H919" s="15"/>
      <c r="I919" s="15"/>
      <c r="J919" s="15"/>
      <c r="K919" s="15"/>
      <c r="L919" s="15"/>
      <c r="M919" s="15"/>
      <c r="N919" s="15"/>
      <c r="O919" s="15"/>
      <c r="P919" s="15"/>
      <c r="Q919" s="15"/>
      <c r="R919" s="15"/>
    </row>
    <row r="920" spans="1:18" x14ac:dyDescent="0.2">
      <c r="A920" s="15"/>
      <c r="B920" s="38"/>
      <c r="C920" s="15"/>
      <c r="D920" s="15"/>
      <c r="E920" s="15"/>
      <c r="F920" s="15"/>
      <c r="G920" s="15"/>
      <c r="H920" s="15"/>
      <c r="I920" s="15"/>
      <c r="J920" s="15"/>
      <c r="K920" s="15"/>
      <c r="L920" s="15"/>
      <c r="M920" s="15"/>
      <c r="N920" s="15"/>
      <c r="O920" s="15"/>
      <c r="P920" s="15"/>
      <c r="Q920" s="15"/>
      <c r="R920" s="15"/>
    </row>
    <row r="921" spans="1:18" x14ac:dyDescent="0.2">
      <c r="A921" s="15"/>
      <c r="B921" s="38"/>
      <c r="C921" s="15"/>
      <c r="D921" s="15"/>
      <c r="E921" s="15"/>
      <c r="F921" s="15"/>
      <c r="G921" s="15"/>
      <c r="H921" s="15"/>
      <c r="I921" s="15"/>
      <c r="J921" s="15"/>
      <c r="K921" s="15"/>
      <c r="L921" s="15"/>
      <c r="M921" s="15"/>
      <c r="N921" s="15"/>
      <c r="O921" s="15"/>
      <c r="P921" s="15"/>
      <c r="Q921" s="15"/>
      <c r="R921" s="15"/>
    </row>
    <row r="922" spans="1:18" x14ac:dyDescent="0.2">
      <c r="A922" s="15"/>
      <c r="B922" s="38"/>
      <c r="C922" s="15"/>
      <c r="D922" s="15"/>
      <c r="E922" s="15"/>
      <c r="F922" s="15"/>
      <c r="G922" s="15"/>
      <c r="H922" s="15"/>
      <c r="I922" s="15"/>
      <c r="J922" s="15"/>
      <c r="K922" s="15"/>
      <c r="L922" s="15"/>
      <c r="M922" s="15"/>
      <c r="N922" s="15"/>
      <c r="O922" s="15"/>
      <c r="P922" s="15"/>
      <c r="Q922" s="15"/>
      <c r="R922" s="15"/>
    </row>
    <row r="923" spans="1:18" x14ac:dyDescent="0.2">
      <c r="A923" s="15"/>
      <c r="B923" s="38"/>
      <c r="C923" s="15"/>
      <c r="D923" s="15"/>
      <c r="E923" s="15"/>
      <c r="F923" s="15"/>
      <c r="G923" s="15"/>
      <c r="H923" s="15"/>
      <c r="I923" s="15"/>
      <c r="J923" s="15"/>
      <c r="K923" s="15"/>
      <c r="L923" s="15"/>
      <c r="M923" s="15"/>
      <c r="N923" s="15"/>
      <c r="O923" s="15"/>
      <c r="P923" s="15"/>
      <c r="Q923" s="15"/>
      <c r="R923" s="15"/>
    </row>
    <row r="924" spans="1:18" x14ac:dyDescent="0.2">
      <c r="A924" s="15"/>
      <c r="B924" s="38"/>
      <c r="C924" s="15"/>
      <c r="D924" s="15"/>
      <c r="E924" s="15"/>
      <c r="F924" s="15"/>
      <c r="G924" s="15"/>
      <c r="H924" s="15"/>
      <c r="I924" s="15"/>
      <c r="J924" s="15"/>
      <c r="K924" s="15"/>
      <c r="L924" s="15"/>
      <c r="M924" s="15"/>
      <c r="N924" s="15"/>
      <c r="O924" s="15"/>
      <c r="P924" s="15"/>
      <c r="Q924" s="15"/>
      <c r="R924" s="15"/>
    </row>
    <row r="925" spans="1:18" x14ac:dyDescent="0.2">
      <c r="A925" s="15"/>
      <c r="B925" s="38"/>
      <c r="C925" s="15"/>
      <c r="D925" s="15"/>
      <c r="E925" s="15"/>
      <c r="F925" s="15"/>
      <c r="G925" s="15"/>
      <c r="H925" s="15"/>
      <c r="I925" s="15"/>
      <c r="J925" s="15"/>
      <c r="K925" s="15"/>
      <c r="L925" s="15"/>
      <c r="M925" s="15"/>
      <c r="N925" s="15"/>
      <c r="O925" s="15"/>
      <c r="P925" s="15"/>
      <c r="Q925" s="15"/>
      <c r="R925" s="15"/>
    </row>
    <row r="926" spans="1:18" x14ac:dyDescent="0.2">
      <c r="A926" s="15"/>
      <c r="B926" s="38"/>
      <c r="C926" s="15"/>
      <c r="D926" s="15"/>
      <c r="E926" s="15"/>
      <c r="F926" s="15"/>
      <c r="G926" s="15"/>
      <c r="H926" s="15"/>
      <c r="I926" s="15"/>
      <c r="J926" s="15"/>
      <c r="K926" s="15"/>
      <c r="L926" s="15"/>
      <c r="M926" s="15"/>
      <c r="N926" s="15"/>
      <c r="O926" s="15"/>
      <c r="P926" s="15"/>
      <c r="Q926" s="15"/>
      <c r="R926" s="15"/>
    </row>
    <row r="927" spans="1:18" x14ac:dyDescent="0.2">
      <c r="A927" s="15"/>
      <c r="B927" s="38"/>
      <c r="C927" s="15"/>
      <c r="D927" s="15"/>
      <c r="E927" s="15"/>
      <c r="F927" s="15"/>
      <c r="G927" s="15"/>
      <c r="H927" s="15"/>
      <c r="I927" s="15"/>
      <c r="J927" s="15"/>
      <c r="K927" s="15"/>
      <c r="L927" s="15"/>
      <c r="M927" s="15"/>
      <c r="N927" s="15"/>
      <c r="O927" s="15"/>
      <c r="P927" s="15"/>
      <c r="Q927" s="15"/>
      <c r="R927" s="15"/>
    </row>
    <row r="928" spans="1:18" x14ac:dyDescent="0.2">
      <c r="A928" s="15"/>
      <c r="B928" s="38"/>
      <c r="C928" s="15"/>
      <c r="D928" s="15"/>
      <c r="E928" s="15"/>
      <c r="F928" s="15"/>
      <c r="G928" s="15"/>
      <c r="H928" s="15"/>
      <c r="I928" s="15"/>
      <c r="J928" s="15"/>
      <c r="K928" s="15"/>
      <c r="L928" s="15"/>
      <c r="M928" s="15"/>
      <c r="N928" s="15"/>
      <c r="O928" s="15"/>
      <c r="P928" s="15"/>
      <c r="Q928" s="15"/>
      <c r="R928" s="15"/>
    </row>
    <row r="929" spans="1:18" x14ac:dyDescent="0.2">
      <c r="A929" s="15"/>
      <c r="B929" s="38"/>
      <c r="C929" s="15"/>
      <c r="D929" s="15"/>
      <c r="E929" s="15"/>
      <c r="F929" s="15"/>
      <c r="G929" s="15"/>
      <c r="H929" s="15"/>
      <c r="I929" s="15"/>
      <c r="J929" s="15"/>
      <c r="K929" s="15"/>
      <c r="L929" s="15"/>
      <c r="M929" s="15"/>
      <c r="N929" s="15"/>
      <c r="O929" s="15"/>
      <c r="P929" s="15"/>
      <c r="Q929" s="15"/>
      <c r="R929" s="15"/>
    </row>
    <row r="930" spans="1:18" x14ac:dyDescent="0.2">
      <c r="A930" s="15"/>
      <c r="B930" s="38"/>
      <c r="C930" s="15"/>
      <c r="D930" s="15"/>
      <c r="E930" s="15"/>
      <c r="F930" s="15"/>
      <c r="G930" s="15"/>
      <c r="H930" s="15"/>
      <c r="I930" s="15"/>
      <c r="J930" s="15"/>
      <c r="K930" s="15"/>
      <c r="L930" s="15"/>
      <c r="M930" s="15"/>
      <c r="N930" s="15"/>
      <c r="O930" s="15"/>
      <c r="P930" s="15"/>
      <c r="Q930" s="15"/>
      <c r="R930" s="15"/>
    </row>
    <row r="931" spans="1:18" x14ac:dyDescent="0.2">
      <c r="A931" s="15"/>
      <c r="B931" s="38"/>
      <c r="C931" s="15"/>
      <c r="D931" s="15"/>
      <c r="E931" s="15"/>
      <c r="F931" s="15"/>
      <c r="G931" s="15"/>
      <c r="H931" s="15"/>
      <c r="I931" s="15"/>
      <c r="J931" s="15"/>
      <c r="K931" s="15"/>
      <c r="L931" s="15"/>
      <c r="M931" s="15"/>
      <c r="N931" s="15"/>
      <c r="O931" s="15"/>
      <c r="P931" s="15"/>
      <c r="Q931" s="15"/>
      <c r="R931" s="15"/>
    </row>
    <row r="932" spans="1:18" x14ac:dyDescent="0.2">
      <c r="A932" s="15"/>
      <c r="B932" s="38"/>
      <c r="C932" s="15"/>
      <c r="D932" s="15"/>
      <c r="E932" s="15"/>
      <c r="F932" s="15"/>
      <c r="G932" s="15"/>
      <c r="H932" s="15"/>
      <c r="I932" s="15"/>
      <c r="J932" s="15"/>
      <c r="K932" s="15"/>
      <c r="L932" s="15"/>
      <c r="M932" s="15"/>
      <c r="N932" s="15"/>
      <c r="O932" s="15"/>
      <c r="P932" s="15"/>
      <c r="Q932" s="15"/>
      <c r="R932" s="15"/>
    </row>
    <row r="933" spans="1:18" x14ac:dyDescent="0.2">
      <c r="A933" s="15"/>
      <c r="B933" s="38"/>
      <c r="C933" s="15"/>
      <c r="D933" s="15"/>
      <c r="E933" s="15"/>
      <c r="F933" s="15"/>
      <c r="G933" s="15"/>
      <c r="H933" s="15"/>
      <c r="I933" s="15"/>
      <c r="J933" s="15"/>
      <c r="K933" s="15"/>
      <c r="L933" s="15"/>
      <c r="M933" s="15"/>
      <c r="N933" s="15"/>
      <c r="O933" s="15"/>
      <c r="P933" s="15"/>
      <c r="Q933" s="15"/>
      <c r="R933" s="15"/>
    </row>
    <row r="934" spans="1:18" x14ac:dyDescent="0.2">
      <c r="A934" s="15"/>
      <c r="B934" s="38"/>
      <c r="C934" s="15"/>
      <c r="D934" s="15"/>
      <c r="E934" s="15"/>
      <c r="F934" s="15"/>
      <c r="G934" s="15"/>
      <c r="H934" s="15"/>
      <c r="I934" s="15"/>
      <c r="J934" s="15"/>
      <c r="K934" s="15"/>
      <c r="L934" s="15"/>
      <c r="M934" s="15"/>
      <c r="N934" s="15"/>
      <c r="O934" s="15"/>
      <c r="P934" s="15"/>
      <c r="Q934" s="15"/>
      <c r="R934" s="15"/>
    </row>
    <row r="935" spans="1:18" x14ac:dyDescent="0.2">
      <c r="A935" s="15"/>
      <c r="B935" s="38"/>
      <c r="C935" s="15"/>
      <c r="D935" s="15"/>
      <c r="E935" s="15"/>
      <c r="F935" s="15"/>
      <c r="G935" s="15"/>
      <c r="H935" s="15"/>
      <c r="I935" s="15"/>
      <c r="J935" s="15"/>
      <c r="K935" s="15"/>
      <c r="L935" s="15"/>
      <c r="M935" s="15"/>
      <c r="N935" s="15"/>
      <c r="O935" s="15"/>
      <c r="P935" s="15"/>
      <c r="Q935" s="15"/>
      <c r="R935" s="15"/>
    </row>
    <row r="936" spans="1:18" x14ac:dyDescent="0.2">
      <c r="A936" s="15"/>
      <c r="B936" s="38"/>
      <c r="C936" s="15"/>
      <c r="D936" s="15"/>
      <c r="E936" s="15"/>
      <c r="F936" s="15"/>
      <c r="G936" s="15"/>
      <c r="H936" s="15"/>
      <c r="I936" s="15"/>
      <c r="J936" s="15"/>
      <c r="K936" s="15"/>
      <c r="L936" s="15"/>
      <c r="M936" s="15"/>
      <c r="N936" s="15"/>
      <c r="O936" s="15"/>
      <c r="P936" s="15"/>
      <c r="Q936" s="15"/>
      <c r="R936" s="15"/>
    </row>
    <row r="937" spans="1:18" x14ac:dyDescent="0.2">
      <c r="A937" s="15"/>
      <c r="B937" s="38"/>
      <c r="C937" s="15"/>
      <c r="D937" s="15"/>
      <c r="E937" s="15"/>
      <c r="F937" s="15"/>
      <c r="G937" s="15"/>
      <c r="H937" s="15"/>
      <c r="I937" s="15"/>
      <c r="J937" s="15"/>
      <c r="K937" s="15"/>
      <c r="L937" s="15"/>
      <c r="M937" s="15"/>
      <c r="N937" s="15"/>
      <c r="O937" s="15"/>
      <c r="P937" s="15"/>
      <c r="Q937" s="15"/>
      <c r="R937" s="15"/>
    </row>
    <row r="938" spans="1:18" x14ac:dyDescent="0.2">
      <c r="A938" s="15"/>
      <c r="B938" s="38"/>
      <c r="C938" s="15"/>
      <c r="D938" s="15"/>
      <c r="E938" s="15"/>
      <c r="F938" s="15"/>
      <c r="G938" s="15"/>
      <c r="H938" s="15"/>
      <c r="I938" s="15"/>
      <c r="J938" s="15"/>
      <c r="K938" s="15"/>
      <c r="L938" s="15"/>
      <c r="M938" s="15"/>
      <c r="N938" s="15"/>
      <c r="O938" s="15"/>
      <c r="P938" s="15"/>
      <c r="Q938" s="15"/>
      <c r="R938" s="15"/>
    </row>
    <row r="939" spans="1:18" x14ac:dyDescent="0.2">
      <c r="A939" s="15"/>
      <c r="B939" s="38"/>
      <c r="C939" s="15"/>
      <c r="D939" s="15"/>
      <c r="E939" s="15"/>
      <c r="F939" s="15"/>
      <c r="G939" s="15"/>
      <c r="H939" s="15"/>
      <c r="I939" s="15"/>
      <c r="J939" s="15"/>
      <c r="K939" s="15"/>
      <c r="L939" s="15"/>
      <c r="M939" s="15"/>
      <c r="N939" s="15"/>
      <c r="O939" s="15"/>
      <c r="P939" s="15"/>
      <c r="Q939" s="15"/>
      <c r="R939" s="15"/>
    </row>
    <row r="940" spans="1:18" x14ac:dyDescent="0.2">
      <c r="A940" s="15"/>
      <c r="B940" s="38"/>
      <c r="C940" s="15"/>
      <c r="D940" s="15"/>
      <c r="E940" s="15"/>
      <c r="F940" s="15"/>
      <c r="G940" s="15"/>
      <c r="H940" s="15"/>
      <c r="I940" s="15"/>
      <c r="J940" s="15"/>
      <c r="K940" s="15"/>
      <c r="L940" s="15"/>
      <c r="M940" s="15"/>
      <c r="N940" s="15"/>
      <c r="O940" s="15"/>
      <c r="P940" s="15"/>
      <c r="Q940" s="15"/>
      <c r="R940" s="15"/>
    </row>
    <row r="941" spans="1:18" x14ac:dyDescent="0.2">
      <c r="A941" s="15"/>
      <c r="B941" s="38"/>
      <c r="C941" s="15"/>
      <c r="D941" s="15"/>
      <c r="E941" s="15"/>
      <c r="F941" s="15"/>
      <c r="G941" s="15"/>
      <c r="H941" s="15"/>
      <c r="I941" s="15"/>
      <c r="J941" s="15"/>
      <c r="K941" s="15"/>
      <c r="L941" s="15"/>
      <c r="M941" s="15"/>
      <c r="N941" s="15"/>
      <c r="O941" s="15"/>
      <c r="P941" s="15"/>
      <c r="Q941" s="15"/>
      <c r="R941" s="15"/>
    </row>
    <row r="942" spans="1:18" x14ac:dyDescent="0.2">
      <c r="A942" s="15"/>
      <c r="B942" s="38"/>
      <c r="C942" s="15"/>
      <c r="D942" s="15"/>
      <c r="E942" s="15"/>
      <c r="F942" s="15"/>
      <c r="G942" s="15"/>
      <c r="H942" s="15"/>
      <c r="I942" s="15"/>
      <c r="J942" s="15"/>
      <c r="K942" s="15"/>
      <c r="L942" s="15"/>
      <c r="M942" s="15"/>
      <c r="N942" s="15"/>
      <c r="O942" s="15"/>
      <c r="P942" s="15"/>
      <c r="Q942" s="15"/>
      <c r="R942" s="15"/>
    </row>
    <row r="943" spans="1:18" x14ac:dyDescent="0.2">
      <c r="A943" s="15"/>
      <c r="B943" s="38"/>
      <c r="C943" s="15"/>
      <c r="D943" s="15"/>
      <c r="E943" s="15"/>
      <c r="F943" s="15"/>
      <c r="G943" s="15"/>
      <c r="H943" s="15"/>
      <c r="I943" s="15"/>
      <c r="J943" s="15"/>
      <c r="K943" s="15"/>
      <c r="L943" s="15"/>
      <c r="M943" s="15"/>
      <c r="N943" s="15"/>
      <c r="O943" s="15"/>
      <c r="P943" s="15"/>
      <c r="Q943" s="15"/>
      <c r="R943" s="15"/>
    </row>
    <row r="944" spans="1:18" x14ac:dyDescent="0.2">
      <c r="A944" s="15"/>
      <c r="B944" s="38"/>
      <c r="C944" s="15"/>
      <c r="D944" s="15"/>
      <c r="E944" s="15"/>
      <c r="F944" s="15"/>
      <c r="G944" s="15"/>
      <c r="H944" s="15"/>
      <c r="I944" s="15"/>
      <c r="J944" s="15"/>
      <c r="K944" s="15"/>
      <c r="L944" s="15"/>
      <c r="M944" s="15"/>
      <c r="N944" s="15"/>
      <c r="O944" s="15"/>
      <c r="P944" s="15"/>
      <c r="Q944" s="15"/>
      <c r="R944" s="15"/>
    </row>
    <row r="945" spans="1:18" x14ac:dyDescent="0.2">
      <c r="A945" s="15"/>
      <c r="B945" s="38"/>
      <c r="C945" s="15"/>
      <c r="D945" s="15"/>
      <c r="E945" s="15"/>
      <c r="F945" s="15"/>
      <c r="G945" s="15"/>
      <c r="H945" s="15"/>
      <c r="I945" s="15"/>
      <c r="J945" s="15"/>
      <c r="K945" s="15"/>
      <c r="L945" s="15"/>
      <c r="M945" s="15"/>
      <c r="N945" s="15"/>
      <c r="O945" s="15"/>
      <c r="P945" s="15"/>
      <c r="Q945" s="15"/>
      <c r="R945" s="15"/>
    </row>
    <row r="946" spans="1:18" x14ac:dyDescent="0.2">
      <c r="A946" s="15"/>
      <c r="B946" s="38"/>
      <c r="C946" s="15"/>
      <c r="D946" s="15"/>
      <c r="E946" s="15"/>
      <c r="F946" s="15"/>
      <c r="G946" s="15"/>
      <c r="H946" s="15"/>
      <c r="I946" s="15"/>
      <c r="J946" s="15"/>
      <c r="K946" s="15"/>
      <c r="L946" s="15"/>
      <c r="M946" s="15"/>
      <c r="N946" s="15"/>
      <c r="O946" s="15"/>
      <c r="P946" s="15"/>
      <c r="Q946" s="15"/>
      <c r="R946" s="15"/>
    </row>
    <row r="947" spans="1:18" x14ac:dyDescent="0.2">
      <c r="A947" s="15"/>
      <c r="B947" s="38"/>
      <c r="C947" s="15"/>
      <c r="D947" s="15"/>
      <c r="E947" s="15"/>
      <c r="F947" s="15"/>
      <c r="G947" s="15"/>
      <c r="H947" s="15"/>
      <c r="I947" s="15"/>
      <c r="J947" s="15"/>
      <c r="K947" s="15"/>
      <c r="L947" s="15"/>
      <c r="M947" s="15"/>
      <c r="N947" s="15"/>
      <c r="O947" s="15"/>
      <c r="P947" s="15"/>
      <c r="Q947" s="15"/>
      <c r="R947" s="15"/>
    </row>
    <row r="948" spans="1:18" x14ac:dyDescent="0.2">
      <c r="A948" s="15"/>
      <c r="B948" s="38"/>
      <c r="C948" s="15"/>
      <c r="D948" s="15"/>
      <c r="E948" s="15"/>
      <c r="F948" s="15"/>
      <c r="G948" s="15"/>
      <c r="H948" s="15"/>
      <c r="I948" s="15"/>
      <c r="J948" s="15"/>
      <c r="K948" s="15"/>
      <c r="L948" s="15"/>
      <c r="M948" s="15"/>
      <c r="N948" s="15"/>
      <c r="O948" s="15"/>
      <c r="P948" s="15"/>
      <c r="Q948" s="15"/>
      <c r="R948" s="15"/>
    </row>
    <row r="949" spans="1:18" x14ac:dyDescent="0.2">
      <c r="A949" s="15"/>
      <c r="B949" s="38"/>
      <c r="C949" s="15"/>
      <c r="D949" s="15"/>
      <c r="E949" s="15"/>
      <c r="F949" s="15"/>
      <c r="G949" s="15"/>
      <c r="H949" s="15"/>
      <c r="I949" s="15"/>
      <c r="J949" s="15"/>
      <c r="K949" s="15"/>
      <c r="L949" s="15"/>
      <c r="M949" s="15"/>
      <c r="N949" s="15"/>
      <c r="O949" s="15"/>
      <c r="P949" s="15"/>
      <c r="Q949" s="15"/>
      <c r="R949" s="15"/>
    </row>
    <row r="950" spans="1:18" x14ac:dyDescent="0.2">
      <c r="A950" s="15"/>
      <c r="B950" s="38"/>
      <c r="C950" s="15"/>
      <c r="D950" s="15"/>
      <c r="E950" s="15"/>
      <c r="F950" s="15"/>
      <c r="G950" s="15"/>
      <c r="H950" s="15"/>
      <c r="I950" s="15"/>
      <c r="J950" s="15"/>
      <c r="K950" s="15"/>
      <c r="L950" s="15"/>
      <c r="M950" s="15"/>
      <c r="N950" s="15"/>
      <c r="O950" s="15"/>
      <c r="P950" s="15"/>
      <c r="Q950" s="15"/>
      <c r="R950" s="15"/>
    </row>
    <row r="951" spans="1:18" x14ac:dyDescent="0.2">
      <c r="A951" s="15"/>
      <c r="B951" s="38"/>
      <c r="C951" s="15"/>
      <c r="D951" s="15"/>
      <c r="E951" s="15"/>
      <c r="F951" s="15"/>
      <c r="G951" s="15"/>
      <c r="H951" s="15"/>
      <c r="I951" s="15"/>
      <c r="J951" s="15"/>
      <c r="K951" s="15"/>
      <c r="L951" s="15"/>
      <c r="M951" s="15"/>
      <c r="N951" s="15"/>
      <c r="O951" s="15"/>
      <c r="P951" s="15"/>
      <c r="Q951" s="15"/>
      <c r="R951" s="15"/>
    </row>
    <row r="952" spans="1:18" x14ac:dyDescent="0.2">
      <c r="A952" s="15"/>
      <c r="B952" s="38"/>
      <c r="C952" s="15"/>
      <c r="D952" s="15"/>
      <c r="E952" s="15"/>
      <c r="F952" s="15"/>
      <c r="G952" s="15"/>
      <c r="H952" s="15"/>
      <c r="I952" s="15"/>
      <c r="J952" s="15"/>
      <c r="K952" s="15"/>
      <c r="L952" s="15"/>
      <c r="M952" s="15"/>
      <c r="N952" s="15"/>
      <c r="O952" s="15"/>
      <c r="P952" s="15"/>
      <c r="Q952" s="15"/>
      <c r="R952" s="15"/>
    </row>
    <row r="953" spans="1:18" x14ac:dyDescent="0.2">
      <c r="A953" s="15"/>
      <c r="B953" s="38"/>
      <c r="C953" s="15"/>
      <c r="D953" s="15"/>
      <c r="E953" s="15"/>
      <c r="F953" s="15"/>
      <c r="G953" s="15"/>
      <c r="H953" s="15"/>
      <c r="I953" s="15"/>
      <c r="J953" s="15"/>
      <c r="K953" s="15"/>
      <c r="L953" s="15"/>
      <c r="M953" s="15"/>
      <c r="N953" s="15"/>
      <c r="O953" s="15"/>
      <c r="P953" s="15"/>
      <c r="Q953" s="15"/>
      <c r="R953" s="15"/>
    </row>
    <row r="954" spans="1:18" x14ac:dyDescent="0.2">
      <c r="A954" s="15"/>
      <c r="B954" s="38"/>
      <c r="C954" s="15"/>
      <c r="D954" s="15"/>
      <c r="E954" s="15"/>
      <c r="F954" s="15"/>
      <c r="G954" s="15"/>
      <c r="H954" s="15"/>
      <c r="I954" s="15"/>
      <c r="J954" s="15"/>
      <c r="K954" s="15"/>
      <c r="L954" s="15"/>
      <c r="M954" s="15"/>
      <c r="N954" s="15"/>
      <c r="O954" s="15"/>
      <c r="P954" s="15"/>
      <c r="Q954" s="15"/>
      <c r="R954" s="15"/>
    </row>
    <row r="955" spans="1:18" x14ac:dyDescent="0.2">
      <c r="A955" s="15"/>
      <c r="B955" s="38"/>
      <c r="C955" s="15"/>
      <c r="D955" s="15"/>
      <c r="E955" s="15"/>
      <c r="F955" s="15"/>
      <c r="G955" s="15"/>
      <c r="H955" s="15"/>
      <c r="I955" s="15"/>
      <c r="J955" s="15"/>
      <c r="K955" s="15"/>
      <c r="L955" s="15"/>
      <c r="M955" s="15"/>
      <c r="N955" s="15"/>
      <c r="O955" s="15"/>
      <c r="P955" s="15"/>
      <c r="Q955" s="15"/>
      <c r="R955" s="15"/>
    </row>
    <row r="956" spans="1:18" x14ac:dyDescent="0.2">
      <c r="A956" s="15"/>
      <c r="B956" s="38"/>
      <c r="C956" s="15"/>
      <c r="D956" s="15"/>
      <c r="E956" s="15"/>
      <c r="F956" s="15"/>
      <c r="G956" s="15"/>
      <c r="H956" s="15"/>
      <c r="I956" s="15"/>
      <c r="J956" s="15"/>
      <c r="K956" s="15"/>
      <c r="L956" s="15"/>
      <c r="M956" s="15"/>
      <c r="N956" s="15"/>
      <c r="O956" s="15"/>
      <c r="P956" s="15"/>
      <c r="Q956" s="15"/>
      <c r="R956" s="15"/>
    </row>
    <row r="957" spans="1:18" x14ac:dyDescent="0.2">
      <c r="A957" s="15"/>
      <c r="B957" s="38"/>
      <c r="C957" s="15"/>
      <c r="D957" s="15"/>
      <c r="E957" s="15"/>
      <c r="F957" s="15"/>
      <c r="G957" s="15"/>
      <c r="H957" s="15"/>
      <c r="I957" s="15"/>
      <c r="J957" s="15"/>
      <c r="K957" s="15"/>
      <c r="L957" s="15"/>
      <c r="M957" s="15"/>
      <c r="N957" s="15"/>
      <c r="O957" s="15"/>
      <c r="P957" s="15"/>
      <c r="Q957" s="15"/>
      <c r="R957" s="15"/>
    </row>
    <row r="958" spans="1:18" x14ac:dyDescent="0.2">
      <c r="A958" s="15"/>
      <c r="B958" s="38"/>
      <c r="C958" s="15"/>
      <c r="D958" s="15"/>
      <c r="E958" s="15"/>
      <c r="F958" s="15"/>
      <c r="G958" s="15"/>
      <c r="H958" s="15"/>
      <c r="I958" s="15"/>
      <c r="J958" s="15"/>
      <c r="K958" s="15"/>
      <c r="L958" s="15"/>
      <c r="M958" s="15"/>
      <c r="N958" s="15"/>
      <c r="O958" s="15"/>
      <c r="P958" s="15"/>
      <c r="Q958" s="15"/>
      <c r="R958" s="15"/>
    </row>
    <row r="959" spans="1:18" x14ac:dyDescent="0.2">
      <c r="A959" s="15"/>
      <c r="B959" s="38"/>
      <c r="C959" s="15"/>
      <c r="D959" s="15"/>
      <c r="E959" s="15"/>
      <c r="F959" s="15"/>
      <c r="G959" s="15"/>
      <c r="H959" s="15"/>
      <c r="I959" s="15"/>
      <c r="J959" s="15"/>
      <c r="K959" s="15"/>
      <c r="L959" s="15"/>
      <c r="M959" s="15"/>
      <c r="N959" s="15"/>
      <c r="O959" s="15"/>
      <c r="P959" s="15"/>
      <c r="Q959" s="15"/>
      <c r="R959" s="15"/>
    </row>
    <row r="960" spans="1:18" x14ac:dyDescent="0.2">
      <c r="A960" s="15"/>
      <c r="B960" s="38"/>
      <c r="C960" s="15"/>
      <c r="D960" s="15"/>
      <c r="E960" s="15"/>
      <c r="F960" s="15"/>
      <c r="G960" s="15"/>
      <c r="H960" s="15"/>
      <c r="I960" s="15"/>
      <c r="J960" s="15"/>
      <c r="K960" s="15"/>
      <c r="L960" s="15"/>
      <c r="M960" s="15"/>
      <c r="N960" s="15"/>
      <c r="O960" s="15"/>
      <c r="P960" s="15"/>
      <c r="Q960" s="15"/>
      <c r="R960" s="15"/>
    </row>
    <row r="961" spans="1:18" x14ac:dyDescent="0.2">
      <c r="A961" s="15"/>
      <c r="B961" s="38"/>
      <c r="C961" s="15"/>
      <c r="D961" s="15"/>
      <c r="E961" s="15"/>
      <c r="F961" s="15"/>
      <c r="G961" s="15"/>
      <c r="H961" s="15"/>
      <c r="I961" s="15"/>
      <c r="J961" s="15"/>
      <c r="K961" s="15"/>
      <c r="L961" s="15"/>
      <c r="M961" s="15"/>
      <c r="N961" s="15"/>
      <c r="O961" s="15"/>
      <c r="P961" s="15"/>
      <c r="Q961" s="15"/>
      <c r="R961" s="15"/>
    </row>
    <row r="962" spans="1:18" x14ac:dyDescent="0.2">
      <c r="A962" s="15"/>
      <c r="B962" s="38"/>
      <c r="C962" s="15"/>
      <c r="D962" s="15"/>
      <c r="E962" s="15"/>
      <c r="F962" s="15"/>
      <c r="G962" s="15"/>
      <c r="H962" s="15"/>
      <c r="I962" s="15"/>
      <c r="J962" s="15"/>
      <c r="K962" s="15"/>
      <c r="L962" s="15"/>
      <c r="M962" s="15"/>
      <c r="N962" s="15"/>
      <c r="O962" s="15"/>
      <c r="P962" s="15"/>
      <c r="Q962" s="15"/>
      <c r="R962" s="15"/>
    </row>
    <row r="963" spans="1:18" x14ac:dyDescent="0.2">
      <c r="A963" s="15"/>
      <c r="B963" s="38"/>
      <c r="C963" s="15"/>
      <c r="D963" s="15"/>
      <c r="E963" s="15"/>
      <c r="F963" s="15"/>
      <c r="G963" s="15"/>
      <c r="H963" s="15"/>
      <c r="I963" s="15"/>
      <c r="J963" s="15"/>
      <c r="K963" s="15"/>
      <c r="L963" s="15"/>
      <c r="M963" s="15"/>
      <c r="N963" s="15"/>
      <c r="O963" s="15"/>
      <c r="P963" s="15"/>
      <c r="Q963" s="15"/>
      <c r="R963" s="15"/>
    </row>
    <row r="964" spans="1:18" x14ac:dyDescent="0.2">
      <c r="A964" s="15"/>
      <c r="B964" s="38"/>
      <c r="C964" s="15"/>
      <c r="D964" s="15"/>
      <c r="E964" s="15"/>
      <c r="F964" s="15"/>
      <c r="G964" s="15"/>
      <c r="H964" s="15"/>
      <c r="I964" s="15"/>
      <c r="J964" s="15"/>
      <c r="K964" s="15"/>
      <c r="L964" s="15"/>
      <c r="M964" s="15"/>
      <c r="N964" s="15"/>
      <c r="O964" s="15"/>
      <c r="P964" s="15"/>
      <c r="Q964" s="15"/>
      <c r="R964" s="15"/>
    </row>
    <row r="965" spans="1:18" x14ac:dyDescent="0.2">
      <c r="A965" s="15"/>
      <c r="B965" s="38"/>
      <c r="C965" s="15"/>
      <c r="D965" s="15"/>
      <c r="E965" s="15"/>
      <c r="F965" s="15"/>
      <c r="G965" s="15"/>
      <c r="H965" s="15"/>
      <c r="I965" s="15"/>
      <c r="J965" s="15"/>
      <c r="K965" s="15"/>
      <c r="L965" s="15"/>
      <c r="M965" s="15"/>
      <c r="N965" s="15"/>
      <c r="O965" s="15"/>
      <c r="P965" s="15"/>
      <c r="Q965" s="15"/>
      <c r="R965" s="15"/>
    </row>
    <row r="966" spans="1:18" x14ac:dyDescent="0.2">
      <c r="A966" s="15"/>
      <c r="B966" s="38"/>
      <c r="C966" s="15"/>
      <c r="D966" s="15"/>
      <c r="E966" s="15"/>
      <c r="F966" s="15"/>
      <c r="G966" s="15"/>
      <c r="H966" s="15"/>
      <c r="I966" s="15"/>
      <c r="J966" s="15"/>
      <c r="K966" s="15"/>
      <c r="L966" s="15"/>
      <c r="M966" s="15"/>
      <c r="N966" s="15"/>
      <c r="O966" s="15"/>
      <c r="P966" s="15"/>
      <c r="Q966" s="15"/>
      <c r="R966" s="15"/>
    </row>
    <row r="967" spans="1:18" x14ac:dyDescent="0.2">
      <c r="A967" s="15"/>
      <c r="B967" s="38"/>
      <c r="C967" s="15"/>
      <c r="D967" s="15"/>
      <c r="E967" s="15"/>
      <c r="F967" s="15"/>
      <c r="G967" s="15"/>
      <c r="H967" s="15"/>
      <c r="I967" s="15"/>
      <c r="J967" s="15"/>
      <c r="K967" s="15"/>
      <c r="L967" s="15"/>
      <c r="M967" s="15"/>
      <c r="N967" s="15"/>
      <c r="O967" s="15"/>
      <c r="P967" s="15"/>
      <c r="Q967" s="15"/>
      <c r="R967" s="15"/>
    </row>
    <row r="968" spans="1:18" x14ac:dyDescent="0.2">
      <c r="A968" s="15"/>
      <c r="B968" s="38"/>
      <c r="C968" s="15"/>
      <c r="D968" s="15"/>
      <c r="E968" s="15"/>
      <c r="F968" s="15"/>
      <c r="G968" s="15"/>
      <c r="H968" s="15"/>
      <c r="I968" s="15"/>
      <c r="J968" s="15"/>
      <c r="K968" s="15"/>
      <c r="L968" s="15"/>
      <c r="M968" s="15"/>
      <c r="N968" s="15"/>
      <c r="O968" s="15"/>
      <c r="P968" s="15"/>
      <c r="Q968" s="15"/>
      <c r="R968" s="15"/>
    </row>
    <row r="969" spans="1:18" x14ac:dyDescent="0.2">
      <c r="A969" s="15"/>
      <c r="B969" s="38"/>
      <c r="C969" s="15"/>
      <c r="D969" s="15"/>
      <c r="E969" s="15"/>
      <c r="F969" s="15"/>
      <c r="G969" s="15"/>
      <c r="H969" s="15"/>
      <c r="I969" s="15"/>
      <c r="J969" s="15"/>
      <c r="K969" s="15"/>
      <c r="L969" s="15"/>
      <c r="M969" s="15"/>
      <c r="N969" s="15"/>
      <c r="O969" s="15"/>
      <c r="P969" s="15"/>
      <c r="Q969" s="15"/>
      <c r="R969" s="15"/>
    </row>
    <row r="970" spans="1:18" x14ac:dyDescent="0.2">
      <c r="A970" s="15"/>
      <c r="B970" s="38"/>
      <c r="C970" s="15"/>
      <c r="D970" s="15"/>
      <c r="E970" s="15"/>
      <c r="F970" s="15"/>
      <c r="G970" s="15"/>
      <c r="H970" s="15"/>
      <c r="I970" s="15"/>
      <c r="J970" s="15"/>
      <c r="K970" s="15"/>
      <c r="L970" s="15"/>
      <c r="M970" s="15"/>
      <c r="N970" s="15"/>
      <c r="O970" s="15"/>
      <c r="P970" s="15"/>
      <c r="Q970" s="15"/>
      <c r="R970" s="15"/>
    </row>
    <row r="971" spans="1:18" x14ac:dyDescent="0.2">
      <c r="A971" s="15"/>
      <c r="B971" s="38"/>
      <c r="C971" s="15"/>
      <c r="D971" s="15"/>
      <c r="E971" s="15"/>
      <c r="F971" s="15"/>
      <c r="G971" s="15"/>
      <c r="H971" s="15"/>
      <c r="I971" s="15"/>
      <c r="J971" s="15"/>
      <c r="K971" s="15"/>
      <c r="L971" s="15"/>
      <c r="M971" s="15"/>
      <c r="N971" s="15"/>
      <c r="O971" s="15"/>
      <c r="P971" s="15"/>
      <c r="Q971" s="15"/>
      <c r="R971" s="15"/>
    </row>
    <row r="972" spans="1:18" x14ac:dyDescent="0.2">
      <c r="A972" s="15"/>
      <c r="B972" s="38"/>
      <c r="C972" s="15"/>
      <c r="D972" s="15"/>
      <c r="E972" s="15"/>
      <c r="F972" s="15"/>
      <c r="G972" s="15"/>
      <c r="H972" s="15"/>
      <c r="I972" s="15"/>
      <c r="J972" s="15"/>
      <c r="K972" s="15"/>
      <c r="L972" s="15"/>
      <c r="M972" s="15"/>
      <c r="N972" s="15"/>
      <c r="O972" s="15"/>
      <c r="P972" s="15"/>
      <c r="Q972" s="15"/>
      <c r="R972" s="15"/>
    </row>
    <row r="973" spans="1:18" x14ac:dyDescent="0.2">
      <c r="A973" s="15"/>
      <c r="B973" s="38"/>
      <c r="C973" s="15"/>
      <c r="D973" s="15"/>
      <c r="E973" s="15"/>
      <c r="F973" s="15"/>
      <c r="G973" s="15"/>
      <c r="H973" s="15"/>
      <c r="I973" s="15"/>
      <c r="J973" s="15"/>
      <c r="K973" s="15"/>
      <c r="L973" s="15"/>
      <c r="M973" s="15"/>
      <c r="N973" s="15"/>
      <c r="O973" s="15"/>
      <c r="P973" s="15"/>
      <c r="Q973" s="15"/>
      <c r="R973" s="15"/>
    </row>
    <row r="974" spans="1:18" x14ac:dyDescent="0.2">
      <c r="A974" s="15"/>
      <c r="B974" s="38"/>
      <c r="C974" s="15"/>
      <c r="D974" s="15"/>
      <c r="E974" s="15"/>
      <c r="F974" s="15"/>
      <c r="G974" s="15"/>
      <c r="H974" s="15"/>
      <c r="I974" s="15"/>
      <c r="J974" s="15"/>
      <c r="K974" s="15"/>
      <c r="L974" s="15"/>
      <c r="M974" s="15"/>
      <c r="N974" s="15"/>
      <c r="O974" s="15"/>
      <c r="P974" s="15"/>
      <c r="Q974" s="15"/>
      <c r="R974" s="15"/>
    </row>
    <row r="975" spans="1:18" x14ac:dyDescent="0.2">
      <c r="A975" s="15"/>
      <c r="B975" s="38"/>
      <c r="C975" s="15"/>
      <c r="D975" s="15"/>
      <c r="E975" s="15"/>
      <c r="F975" s="15"/>
      <c r="G975" s="15"/>
      <c r="H975" s="15"/>
      <c r="I975" s="15"/>
      <c r="J975" s="15"/>
      <c r="K975" s="15"/>
      <c r="L975" s="15"/>
      <c r="M975" s="15"/>
      <c r="N975" s="15"/>
      <c r="O975" s="15"/>
      <c r="P975" s="15"/>
      <c r="Q975" s="15"/>
      <c r="R975" s="15"/>
    </row>
    <row r="976" spans="1:18" x14ac:dyDescent="0.2">
      <c r="A976" s="15"/>
      <c r="B976" s="38"/>
      <c r="C976" s="15"/>
      <c r="D976" s="15"/>
      <c r="E976" s="15"/>
      <c r="F976" s="15"/>
      <c r="G976" s="15"/>
      <c r="H976" s="15"/>
      <c r="I976" s="15"/>
      <c r="J976" s="15"/>
      <c r="K976" s="15"/>
      <c r="L976" s="15"/>
      <c r="M976" s="15"/>
      <c r="N976" s="15"/>
      <c r="O976" s="15"/>
      <c r="P976" s="15"/>
      <c r="Q976" s="15"/>
      <c r="R976" s="15"/>
    </row>
    <row r="977" spans="1:18" x14ac:dyDescent="0.2">
      <c r="A977" s="15"/>
      <c r="B977" s="38"/>
      <c r="C977" s="15"/>
      <c r="D977" s="15"/>
      <c r="E977" s="15"/>
      <c r="F977" s="15"/>
      <c r="G977" s="15"/>
      <c r="H977" s="15"/>
      <c r="I977" s="15"/>
      <c r="J977" s="15"/>
      <c r="K977" s="15"/>
      <c r="L977" s="15"/>
      <c r="M977" s="15"/>
      <c r="N977" s="15"/>
      <c r="O977" s="15"/>
      <c r="P977" s="15"/>
      <c r="Q977" s="15"/>
      <c r="R977" s="15"/>
    </row>
    <row r="978" spans="1:18" x14ac:dyDescent="0.2">
      <c r="A978" s="15"/>
      <c r="B978" s="38"/>
      <c r="C978" s="15"/>
      <c r="D978" s="15"/>
      <c r="E978" s="15"/>
      <c r="F978" s="15"/>
      <c r="G978" s="15"/>
      <c r="H978" s="15"/>
      <c r="I978" s="15"/>
      <c r="J978" s="15"/>
      <c r="K978" s="15"/>
      <c r="L978" s="15"/>
      <c r="M978" s="15"/>
      <c r="N978" s="15"/>
      <c r="O978" s="15"/>
      <c r="P978" s="15"/>
      <c r="Q978" s="15"/>
      <c r="R978" s="15"/>
    </row>
    <row r="979" spans="1:18" x14ac:dyDescent="0.2">
      <c r="A979" s="15"/>
      <c r="B979" s="38"/>
      <c r="C979" s="15"/>
      <c r="D979" s="15"/>
      <c r="E979" s="15"/>
      <c r="F979" s="15"/>
      <c r="G979" s="15"/>
      <c r="H979" s="15"/>
      <c r="I979" s="15"/>
      <c r="J979" s="15"/>
      <c r="K979" s="15"/>
      <c r="L979" s="15"/>
      <c r="M979" s="15"/>
      <c r="N979" s="15"/>
      <c r="O979" s="15"/>
      <c r="P979" s="15"/>
      <c r="Q979" s="15"/>
      <c r="R979" s="15"/>
    </row>
    <row r="980" spans="1:18" x14ac:dyDescent="0.2">
      <c r="A980" s="15"/>
      <c r="B980" s="38"/>
      <c r="C980" s="15"/>
      <c r="D980" s="15"/>
      <c r="E980" s="15"/>
      <c r="F980" s="15"/>
      <c r="G980" s="15"/>
      <c r="H980" s="15"/>
      <c r="I980" s="15"/>
      <c r="J980" s="15"/>
      <c r="K980" s="15"/>
      <c r="L980" s="15"/>
      <c r="M980" s="15"/>
      <c r="N980" s="15"/>
      <c r="O980" s="15"/>
      <c r="P980" s="15"/>
      <c r="Q980" s="15"/>
      <c r="R980" s="15"/>
    </row>
    <row r="981" spans="1:18" x14ac:dyDescent="0.2">
      <c r="A981" s="15"/>
      <c r="B981" s="38"/>
      <c r="C981" s="15"/>
      <c r="D981" s="15"/>
      <c r="E981" s="15"/>
      <c r="F981" s="15"/>
      <c r="G981" s="15"/>
      <c r="H981" s="15"/>
      <c r="I981" s="15"/>
      <c r="J981" s="15"/>
      <c r="K981" s="15"/>
      <c r="L981" s="15"/>
      <c r="M981" s="15"/>
      <c r="N981" s="15"/>
      <c r="O981" s="15"/>
      <c r="P981" s="15"/>
      <c r="Q981" s="15"/>
      <c r="R981" s="15"/>
    </row>
    <row r="982" spans="1:18" x14ac:dyDescent="0.2">
      <c r="A982" s="15"/>
      <c r="B982" s="38"/>
      <c r="C982" s="15"/>
      <c r="D982" s="15"/>
      <c r="E982" s="15"/>
      <c r="F982" s="15"/>
      <c r="G982" s="15"/>
      <c r="H982" s="15"/>
      <c r="I982" s="15"/>
      <c r="J982" s="15"/>
      <c r="K982" s="15"/>
      <c r="L982" s="15"/>
      <c r="M982" s="15"/>
      <c r="N982" s="15"/>
      <c r="O982" s="15"/>
      <c r="P982" s="15"/>
      <c r="Q982" s="15"/>
      <c r="R982" s="15"/>
    </row>
    <row r="983" spans="1:18" x14ac:dyDescent="0.2">
      <c r="A983" s="15"/>
      <c r="B983" s="38"/>
      <c r="C983" s="15"/>
      <c r="D983" s="15"/>
      <c r="E983" s="15"/>
      <c r="F983" s="15"/>
      <c r="G983" s="15"/>
      <c r="H983" s="15"/>
      <c r="I983" s="15"/>
      <c r="J983" s="15"/>
      <c r="K983" s="15"/>
      <c r="L983" s="15"/>
      <c r="M983" s="15"/>
      <c r="N983" s="15"/>
      <c r="O983" s="15"/>
      <c r="P983" s="15"/>
      <c r="Q983" s="15"/>
      <c r="R983" s="15"/>
    </row>
    <row r="984" spans="1:18" x14ac:dyDescent="0.2">
      <c r="A984" s="15"/>
      <c r="B984" s="38"/>
      <c r="C984" s="15"/>
      <c r="D984" s="15"/>
      <c r="E984" s="15"/>
      <c r="F984" s="15"/>
      <c r="G984" s="15"/>
      <c r="H984" s="15"/>
      <c r="I984" s="15"/>
      <c r="J984" s="15"/>
      <c r="K984" s="15"/>
      <c r="L984" s="15"/>
      <c r="M984" s="15"/>
      <c r="N984" s="15"/>
      <c r="O984" s="15"/>
      <c r="P984" s="15"/>
      <c r="Q984" s="15"/>
      <c r="R984" s="15"/>
    </row>
    <row r="985" spans="1:18" x14ac:dyDescent="0.2">
      <c r="A985" s="15"/>
      <c r="B985" s="38"/>
      <c r="C985" s="15"/>
      <c r="D985" s="15"/>
      <c r="E985" s="15"/>
      <c r="F985" s="15"/>
      <c r="G985" s="15"/>
      <c r="H985" s="15"/>
      <c r="I985" s="15"/>
      <c r="J985" s="15"/>
      <c r="K985" s="15"/>
      <c r="L985" s="15"/>
      <c r="M985" s="15"/>
      <c r="N985" s="15"/>
      <c r="O985" s="15"/>
      <c r="P985" s="15"/>
      <c r="Q985" s="15"/>
      <c r="R985" s="15"/>
    </row>
    <row r="986" spans="1:18" x14ac:dyDescent="0.2">
      <c r="A986" s="15"/>
      <c r="B986" s="38"/>
      <c r="C986" s="15"/>
      <c r="D986" s="15"/>
      <c r="E986" s="15"/>
      <c r="F986" s="15"/>
      <c r="G986" s="15"/>
      <c r="H986" s="15"/>
      <c r="I986" s="15"/>
      <c r="J986" s="15"/>
      <c r="K986" s="15"/>
      <c r="L986" s="15"/>
      <c r="M986" s="15"/>
      <c r="N986" s="15"/>
      <c r="O986" s="15"/>
      <c r="P986" s="15"/>
      <c r="Q986" s="15"/>
      <c r="R986" s="15"/>
    </row>
    <row r="987" spans="1:18" x14ac:dyDescent="0.2">
      <c r="A987" s="15"/>
      <c r="B987" s="38"/>
      <c r="C987" s="15"/>
      <c r="D987" s="15"/>
      <c r="E987" s="15"/>
      <c r="F987" s="15"/>
      <c r="G987" s="15"/>
      <c r="H987" s="15"/>
      <c r="I987" s="15"/>
      <c r="J987" s="15"/>
      <c r="K987" s="15"/>
      <c r="L987" s="15"/>
      <c r="M987" s="15"/>
      <c r="N987" s="15"/>
      <c r="O987" s="15"/>
      <c r="P987" s="15"/>
      <c r="Q987" s="15"/>
      <c r="R987" s="15"/>
    </row>
    <row r="988" spans="1:18" x14ac:dyDescent="0.2">
      <c r="A988" s="15"/>
      <c r="B988" s="38"/>
      <c r="C988" s="15"/>
      <c r="D988" s="15"/>
      <c r="E988" s="15"/>
      <c r="F988" s="15"/>
      <c r="G988" s="15"/>
      <c r="H988" s="15"/>
      <c r="I988" s="15"/>
      <c r="J988" s="15"/>
      <c r="K988" s="15"/>
      <c r="L988" s="15"/>
      <c r="M988" s="15"/>
      <c r="N988" s="15"/>
      <c r="O988" s="15"/>
      <c r="P988" s="15"/>
      <c r="Q988" s="15"/>
      <c r="R988" s="15"/>
    </row>
    <row r="989" spans="1:18" x14ac:dyDescent="0.2">
      <c r="A989" s="15"/>
      <c r="B989" s="38"/>
      <c r="C989" s="15"/>
      <c r="D989" s="15"/>
      <c r="E989" s="15"/>
      <c r="F989" s="15"/>
      <c r="G989" s="15"/>
      <c r="H989" s="15"/>
      <c r="I989" s="15"/>
      <c r="J989" s="15"/>
      <c r="K989" s="15"/>
      <c r="L989" s="15"/>
      <c r="M989" s="15"/>
      <c r="N989" s="15"/>
      <c r="O989" s="15"/>
      <c r="P989" s="15"/>
      <c r="Q989" s="15"/>
      <c r="R989" s="15"/>
    </row>
    <row r="990" spans="1:18" x14ac:dyDescent="0.2">
      <c r="A990" s="15"/>
      <c r="B990" s="38"/>
      <c r="C990" s="15"/>
      <c r="D990" s="15"/>
      <c r="E990" s="15"/>
      <c r="F990" s="15"/>
      <c r="G990" s="15"/>
      <c r="H990" s="15"/>
      <c r="I990" s="15"/>
      <c r="J990" s="15"/>
      <c r="K990" s="15"/>
      <c r="L990" s="15"/>
      <c r="M990" s="15"/>
      <c r="N990" s="15"/>
      <c r="O990" s="15"/>
      <c r="P990" s="15"/>
      <c r="Q990" s="15"/>
      <c r="R990" s="15"/>
    </row>
    <row r="991" spans="1:18" x14ac:dyDescent="0.2">
      <c r="A991" s="15"/>
      <c r="B991" s="38"/>
      <c r="C991" s="15"/>
      <c r="D991" s="15"/>
      <c r="E991" s="15"/>
      <c r="F991" s="15"/>
      <c r="G991" s="15"/>
      <c r="H991" s="15"/>
      <c r="I991" s="15"/>
      <c r="J991" s="15"/>
      <c r="K991" s="15"/>
      <c r="L991" s="15"/>
      <c r="M991" s="15"/>
      <c r="N991" s="15"/>
      <c r="O991" s="15"/>
      <c r="P991" s="15"/>
      <c r="Q991" s="15"/>
      <c r="R991" s="15"/>
    </row>
    <row r="992" spans="1:18" x14ac:dyDescent="0.2">
      <c r="A992" s="15"/>
      <c r="B992" s="38"/>
      <c r="C992" s="15"/>
      <c r="D992" s="15"/>
      <c r="E992" s="15"/>
      <c r="F992" s="15"/>
      <c r="G992" s="15"/>
      <c r="H992" s="15"/>
      <c r="I992" s="15"/>
      <c r="J992" s="15"/>
      <c r="K992" s="15"/>
      <c r="L992" s="15"/>
      <c r="M992" s="15"/>
      <c r="N992" s="15"/>
      <c r="O992" s="15"/>
      <c r="P992" s="15"/>
      <c r="Q992" s="15"/>
      <c r="R992" s="15"/>
    </row>
    <row r="993" spans="1:18" x14ac:dyDescent="0.2">
      <c r="A993" s="15"/>
      <c r="B993" s="38"/>
      <c r="C993" s="15"/>
      <c r="D993" s="15"/>
      <c r="E993" s="15"/>
      <c r="F993" s="15"/>
      <c r="G993" s="15"/>
      <c r="H993" s="15"/>
      <c r="I993" s="15"/>
      <c r="J993" s="15"/>
      <c r="K993" s="15"/>
      <c r="L993" s="15"/>
      <c r="M993" s="15"/>
      <c r="N993" s="15"/>
      <c r="O993" s="15"/>
      <c r="P993" s="15"/>
      <c r="Q993" s="15"/>
      <c r="R993" s="15"/>
    </row>
    <row r="994" spans="1:18" x14ac:dyDescent="0.2">
      <c r="A994" s="15"/>
      <c r="B994" s="38"/>
      <c r="C994" s="15"/>
      <c r="D994" s="15"/>
      <c r="E994" s="15"/>
      <c r="F994" s="15"/>
      <c r="G994" s="15"/>
      <c r="H994" s="15"/>
      <c r="I994" s="15"/>
      <c r="J994" s="15"/>
      <c r="K994" s="15"/>
      <c r="L994" s="15"/>
      <c r="M994" s="15"/>
      <c r="N994" s="15"/>
      <c r="O994" s="15"/>
      <c r="P994" s="15"/>
      <c r="Q994" s="15"/>
      <c r="R994" s="15"/>
    </row>
    <row r="995" spans="1:18" x14ac:dyDescent="0.2">
      <c r="A995" s="15"/>
      <c r="B995" s="38"/>
      <c r="C995" s="15"/>
      <c r="D995" s="15"/>
      <c r="E995" s="15"/>
      <c r="F995" s="15"/>
      <c r="G995" s="15"/>
      <c r="H995" s="15"/>
      <c r="I995" s="15"/>
      <c r="J995" s="15"/>
      <c r="K995" s="15"/>
      <c r="L995" s="15"/>
      <c r="M995" s="15"/>
      <c r="N995" s="15"/>
      <c r="O995" s="15"/>
      <c r="P995" s="15"/>
      <c r="Q995" s="15"/>
      <c r="R995" s="15"/>
    </row>
    <row r="996" spans="1:18" x14ac:dyDescent="0.2">
      <c r="A996" s="15"/>
      <c r="B996" s="38"/>
      <c r="C996" s="15"/>
      <c r="D996" s="15"/>
      <c r="E996" s="15"/>
      <c r="F996" s="15"/>
      <c r="G996" s="15"/>
      <c r="H996" s="15"/>
      <c r="I996" s="15"/>
      <c r="J996" s="15"/>
      <c r="K996" s="15"/>
      <c r="L996" s="15"/>
      <c r="M996" s="15"/>
      <c r="N996" s="15"/>
      <c r="O996" s="15"/>
      <c r="P996" s="15"/>
      <c r="Q996" s="15"/>
      <c r="R996" s="15"/>
    </row>
    <row r="997" spans="1:18" x14ac:dyDescent="0.2">
      <c r="A997" s="15"/>
      <c r="B997" s="38"/>
      <c r="C997" s="15"/>
      <c r="D997" s="15"/>
      <c r="E997" s="15"/>
      <c r="F997" s="15"/>
      <c r="G997" s="15"/>
      <c r="H997" s="15"/>
      <c r="I997" s="15"/>
      <c r="J997" s="15"/>
      <c r="K997" s="15"/>
      <c r="L997" s="15"/>
      <c r="M997" s="15"/>
      <c r="N997" s="15"/>
      <c r="O997" s="15"/>
      <c r="P997" s="15"/>
      <c r="Q997" s="15"/>
      <c r="R997" s="15"/>
    </row>
    <row r="998" spans="1:18" x14ac:dyDescent="0.2">
      <c r="A998" s="15"/>
      <c r="B998" s="38"/>
      <c r="C998" s="15"/>
      <c r="D998" s="15"/>
      <c r="E998" s="15"/>
      <c r="F998" s="15"/>
      <c r="G998" s="15"/>
      <c r="H998" s="15"/>
      <c r="I998" s="15"/>
      <c r="J998" s="15"/>
      <c r="K998" s="15"/>
      <c r="L998" s="15"/>
      <c r="M998" s="15"/>
      <c r="N998" s="15"/>
      <c r="O998" s="15"/>
      <c r="P998" s="15"/>
      <c r="Q998" s="15"/>
      <c r="R998" s="15"/>
    </row>
    <row r="999" spans="1:18" x14ac:dyDescent="0.2">
      <c r="A999" s="15"/>
      <c r="B999" s="38"/>
      <c r="C999" s="15"/>
      <c r="D999" s="15"/>
      <c r="E999" s="15"/>
      <c r="F999" s="15"/>
      <c r="G999" s="15"/>
      <c r="H999" s="15"/>
      <c r="I999" s="15"/>
      <c r="J999" s="15"/>
      <c r="K999" s="15"/>
      <c r="L999" s="15"/>
      <c r="M999" s="15"/>
      <c r="N999" s="15"/>
      <c r="O999" s="15"/>
      <c r="P999" s="15"/>
      <c r="Q999" s="15"/>
      <c r="R999" s="15"/>
    </row>
    <row r="1000" spans="1:18" x14ac:dyDescent="0.2">
      <c r="A1000" s="15"/>
      <c r="B1000" s="38"/>
      <c r="C1000" s="15"/>
      <c r="D1000" s="15"/>
      <c r="E1000" s="15"/>
      <c r="F1000" s="15"/>
      <c r="G1000" s="15"/>
      <c r="H1000" s="15"/>
      <c r="I1000" s="15"/>
      <c r="J1000" s="15"/>
      <c r="K1000" s="15"/>
      <c r="L1000" s="15"/>
      <c r="M1000" s="15"/>
      <c r="N1000" s="15"/>
      <c r="O1000" s="15"/>
      <c r="P1000" s="15"/>
      <c r="Q1000" s="15"/>
      <c r="R1000" s="15"/>
    </row>
    <row r="1001" spans="1:18" x14ac:dyDescent="0.2">
      <c r="A1001" s="15"/>
      <c r="B1001" s="38"/>
      <c r="C1001" s="15"/>
      <c r="D1001" s="15"/>
      <c r="E1001" s="15"/>
      <c r="F1001" s="15"/>
      <c r="G1001" s="15"/>
      <c r="H1001" s="15"/>
      <c r="I1001" s="15"/>
      <c r="J1001" s="15"/>
      <c r="K1001" s="15"/>
      <c r="L1001" s="15"/>
      <c r="M1001" s="15"/>
      <c r="N1001" s="15"/>
      <c r="O1001" s="15"/>
      <c r="P1001" s="15"/>
      <c r="Q1001" s="15"/>
      <c r="R1001" s="15"/>
    </row>
    <row r="1002" spans="1:18" x14ac:dyDescent="0.2">
      <c r="A1002" s="15"/>
      <c r="B1002" s="38"/>
      <c r="C1002" s="15"/>
      <c r="D1002" s="15"/>
      <c r="E1002" s="15"/>
      <c r="F1002" s="15"/>
      <c r="G1002" s="15"/>
      <c r="H1002" s="15"/>
      <c r="I1002" s="15"/>
      <c r="J1002" s="15"/>
      <c r="K1002" s="15"/>
      <c r="L1002" s="15"/>
      <c r="M1002" s="15"/>
      <c r="N1002" s="15"/>
      <c r="O1002" s="15"/>
      <c r="P1002" s="15"/>
      <c r="Q1002" s="15"/>
      <c r="R1002" s="15"/>
    </row>
    <row r="1003" spans="1:18" x14ac:dyDescent="0.2">
      <c r="A1003" s="15"/>
      <c r="B1003" s="38"/>
      <c r="C1003" s="15"/>
      <c r="D1003" s="15"/>
      <c r="E1003" s="15"/>
      <c r="F1003" s="15"/>
      <c r="G1003" s="15"/>
      <c r="H1003" s="15"/>
      <c r="I1003" s="15"/>
      <c r="J1003" s="15"/>
      <c r="K1003" s="15"/>
      <c r="L1003" s="15"/>
      <c r="M1003" s="15"/>
      <c r="N1003" s="15"/>
      <c r="O1003" s="15"/>
      <c r="P1003" s="15"/>
      <c r="Q1003" s="15"/>
      <c r="R1003" s="15"/>
    </row>
    <row r="1004" spans="1:18" x14ac:dyDescent="0.2">
      <c r="A1004" s="15"/>
      <c r="B1004" s="38"/>
      <c r="C1004" s="15"/>
      <c r="D1004" s="15"/>
      <c r="E1004" s="15"/>
      <c r="F1004" s="15"/>
      <c r="G1004" s="15"/>
      <c r="H1004" s="15"/>
      <c r="I1004" s="15"/>
      <c r="J1004" s="15"/>
      <c r="K1004" s="15"/>
      <c r="L1004" s="15"/>
      <c r="M1004" s="15"/>
      <c r="N1004" s="15"/>
      <c r="O1004" s="15"/>
      <c r="P1004" s="15"/>
      <c r="Q1004" s="15"/>
      <c r="R1004" s="15"/>
    </row>
    <row r="1005" spans="1:18" x14ac:dyDescent="0.2">
      <c r="A1005" s="15"/>
      <c r="B1005" s="38"/>
      <c r="C1005" s="15"/>
      <c r="D1005" s="15"/>
      <c r="E1005" s="15"/>
      <c r="F1005" s="15"/>
      <c r="G1005" s="15"/>
      <c r="H1005" s="15"/>
      <c r="I1005" s="15"/>
      <c r="J1005" s="15"/>
      <c r="K1005" s="15"/>
      <c r="L1005" s="15"/>
      <c r="M1005" s="15"/>
      <c r="N1005" s="15"/>
      <c r="O1005" s="15"/>
      <c r="P1005" s="15"/>
      <c r="Q1005" s="15"/>
      <c r="R1005" s="15"/>
    </row>
    <row r="1006" spans="1:18" x14ac:dyDescent="0.2">
      <c r="A1006" s="15"/>
      <c r="B1006" s="38"/>
      <c r="C1006" s="15"/>
      <c r="D1006" s="15"/>
      <c r="E1006" s="15"/>
      <c r="F1006" s="15"/>
      <c r="G1006" s="15"/>
      <c r="H1006" s="15"/>
      <c r="I1006" s="15"/>
      <c r="J1006" s="15"/>
      <c r="K1006" s="15"/>
      <c r="L1006" s="15"/>
      <c r="M1006" s="15"/>
      <c r="N1006" s="15"/>
      <c r="O1006" s="15"/>
      <c r="P1006" s="15"/>
      <c r="Q1006" s="15"/>
      <c r="R1006" s="15"/>
    </row>
    <row r="1007" spans="1:18" x14ac:dyDescent="0.2">
      <c r="A1007" s="15"/>
      <c r="B1007" s="38"/>
      <c r="C1007" s="15"/>
      <c r="D1007" s="15"/>
      <c r="E1007" s="15"/>
      <c r="F1007" s="15"/>
      <c r="G1007" s="15"/>
      <c r="H1007" s="15"/>
      <c r="I1007" s="15"/>
      <c r="J1007" s="15"/>
      <c r="K1007" s="15"/>
      <c r="L1007" s="15"/>
      <c r="M1007" s="15"/>
      <c r="N1007" s="15"/>
      <c r="O1007" s="15"/>
      <c r="P1007" s="15"/>
      <c r="Q1007" s="15"/>
      <c r="R1007" s="15"/>
    </row>
    <row r="1008" spans="1:18" x14ac:dyDescent="0.2">
      <c r="A1008" s="15"/>
      <c r="B1008" s="38"/>
      <c r="C1008" s="15"/>
      <c r="D1008" s="15"/>
      <c r="E1008" s="15"/>
      <c r="F1008" s="15"/>
      <c r="G1008" s="15"/>
      <c r="H1008" s="15"/>
      <c r="I1008" s="15"/>
      <c r="J1008" s="15"/>
      <c r="K1008" s="15"/>
      <c r="L1008" s="15"/>
      <c r="M1008" s="15"/>
      <c r="N1008" s="15"/>
      <c r="O1008" s="15"/>
      <c r="P1008" s="15"/>
      <c r="Q1008" s="15"/>
      <c r="R1008" s="15"/>
    </row>
    <row r="1009" spans="1:18" x14ac:dyDescent="0.2">
      <c r="A1009" s="15"/>
      <c r="B1009" s="38"/>
      <c r="C1009" s="15"/>
      <c r="D1009" s="15"/>
      <c r="E1009" s="15"/>
      <c r="F1009" s="15"/>
      <c r="G1009" s="15"/>
      <c r="H1009" s="15"/>
      <c r="I1009" s="15"/>
      <c r="J1009" s="15"/>
      <c r="K1009" s="15"/>
      <c r="L1009" s="15"/>
      <c r="M1009" s="15"/>
      <c r="N1009" s="15"/>
      <c r="O1009" s="15"/>
      <c r="P1009" s="15"/>
      <c r="Q1009" s="15"/>
      <c r="R1009" s="15"/>
    </row>
    <row r="1010" spans="1:18" x14ac:dyDescent="0.2">
      <c r="A1010" s="15"/>
      <c r="B1010" s="38"/>
      <c r="C1010" s="15"/>
      <c r="D1010" s="15"/>
      <c r="E1010" s="15"/>
      <c r="F1010" s="15"/>
      <c r="G1010" s="15"/>
      <c r="H1010" s="15"/>
      <c r="I1010" s="15"/>
      <c r="J1010" s="15"/>
      <c r="K1010" s="15"/>
      <c r="L1010" s="15"/>
      <c r="M1010" s="15"/>
      <c r="N1010" s="15"/>
      <c r="O1010" s="15"/>
      <c r="P1010" s="15"/>
      <c r="Q1010" s="15"/>
      <c r="R1010" s="15"/>
    </row>
    <row r="1011" spans="1:18" x14ac:dyDescent="0.2">
      <c r="A1011" s="15"/>
      <c r="B1011" s="38"/>
      <c r="C1011" s="15"/>
      <c r="D1011" s="15"/>
      <c r="E1011" s="15"/>
      <c r="F1011" s="15"/>
      <c r="G1011" s="15"/>
      <c r="H1011" s="15"/>
      <c r="I1011" s="15"/>
      <c r="J1011" s="15"/>
      <c r="K1011" s="15"/>
      <c r="L1011" s="15"/>
      <c r="M1011" s="15"/>
      <c r="N1011" s="15"/>
      <c r="O1011" s="15"/>
      <c r="P1011" s="15"/>
      <c r="Q1011" s="15"/>
      <c r="R1011" s="15"/>
    </row>
    <row r="1012" spans="1:18" x14ac:dyDescent="0.2">
      <c r="A1012" s="15"/>
      <c r="B1012" s="38"/>
      <c r="C1012" s="15"/>
      <c r="D1012" s="15"/>
      <c r="E1012" s="15"/>
      <c r="F1012" s="15"/>
      <c r="G1012" s="15"/>
      <c r="H1012" s="15"/>
      <c r="I1012" s="15"/>
      <c r="J1012" s="15"/>
      <c r="K1012" s="15"/>
      <c r="L1012" s="15"/>
      <c r="M1012" s="15"/>
      <c r="N1012" s="15"/>
      <c r="O1012" s="15"/>
      <c r="P1012" s="15"/>
      <c r="Q1012" s="15"/>
      <c r="R1012" s="15"/>
    </row>
    <row r="1013" spans="1:18" x14ac:dyDescent="0.2">
      <c r="A1013" s="15"/>
      <c r="B1013" s="38"/>
      <c r="C1013" s="15"/>
      <c r="D1013" s="15"/>
      <c r="E1013" s="15"/>
      <c r="F1013" s="15"/>
      <c r="G1013" s="15"/>
      <c r="H1013" s="15"/>
      <c r="I1013" s="15"/>
      <c r="J1013" s="15"/>
      <c r="K1013" s="15"/>
      <c r="L1013" s="15"/>
      <c r="M1013" s="15"/>
      <c r="N1013" s="15"/>
      <c r="O1013" s="15"/>
      <c r="P1013" s="15"/>
      <c r="Q1013" s="15"/>
      <c r="R1013" s="15"/>
    </row>
    <row r="1014" spans="1:18" x14ac:dyDescent="0.2">
      <c r="A1014" s="15"/>
      <c r="B1014" s="38"/>
      <c r="C1014" s="15"/>
      <c r="D1014" s="15"/>
      <c r="E1014" s="15"/>
      <c r="F1014" s="15"/>
      <c r="G1014" s="15"/>
      <c r="H1014" s="15"/>
      <c r="I1014" s="15"/>
      <c r="J1014" s="15"/>
      <c r="K1014" s="15"/>
      <c r="L1014" s="15"/>
      <c r="M1014" s="15"/>
      <c r="N1014" s="15"/>
      <c r="O1014" s="15"/>
      <c r="P1014" s="15"/>
      <c r="Q1014" s="15"/>
      <c r="R1014" s="15"/>
    </row>
    <row r="1015" spans="1:18" x14ac:dyDescent="0.2">
      <c r="A1015" s="15"/>
      <c r="B1015" s="38"/>
      <c r="C1015" s="15"/>
      <c r="D1015" s="15"/>
      <c r="E1015" s="15"/>
      <c r="F1015" s="15"/>
      <c r="G1015" s="15"/>
      <c r="H1015" s="15"/>
      <c r="I1015" s="15"/>
      <c r="J1015" s="15"/>
      <c r="K1015" s="15"/>
      <c r="L1015" s="15"/>
      <c r="M1015" s="15"/>
      <c r="N1015" s="15"/>
      <c r="O1015" s="15"/>
      <c r="P1015" s="15"/>
      <c r="Q1015" s="15"/>
      <c r="R1015" s="15"/>
    </row>
    <row r="1016" spans="1:18" x14ac:dyDescent="0.2">
      <c r="A1016" s="15"/>
      <c r="B1016" s="38"/>
      <c r="C1016" s="15"/>
      <c r="D1016" s="15"/>
      <c r="E1016" s="15"/>
      <c r="F1016" s="15"/>
      <c r="G1016" s="15"/>
      <c r="H1016" s="15"/>
      <c r="I1016" s="15"/>
      <c r="J1016" s="15"/>
      <c r="K1016" s="15"/>
      <c r="L1016" s="15"/>
      <c r="M1016" s="15"/>
      <c r="N1016" s="15"/>
      <c r="O1016" s="15"/>
      <c r="P1016" s="15"/>
      <c r="Q1016" s="15"/>
      <c r="R1016" s="15"/>
    </row>
    <row r="1017" spans="1:18" x14ac:dyDescent="0.2">
      <c r="A1017" s="15"/>
      <c r="B1017" s="38"/>
      <c r="C1017" s="15"/>
      <c r="D1017" s="15"/>
      <c r="E1017" s="15"/>
      <c r="F1017" s="15"/>
      <c r="G1017" s="15"/>
      <c r="H1017" s="15"/>
      <c r="I1017" s="15"/>
      <c r="J1017" s="15"/>
      <c r="K1017" s="15"/>
      <c r="L1017" s="15"/>
      <c r="M1017" s="15"/>
      <c r="N1017" s="15"/>
      <c r="O1017" s="15"/>
      <c r="P1017" s="15"/>
      <c r="Q1017" s="15"/>
      <c r="R1017" s="15"/>
    </row>
    <row r="1018" spans="1:18" x14ac:dyDescent="0.2">
      <c r="A1018" s="15"/>
      <c r="B1018" s="38"/>
      <c r="C1018" s="15"/>
      <c r="D1018" s="15"/>
      <c r="E1018" s="15"/>
      <c r="F1018" s="15"/>
      <c r="G1018" s="15"/>
      <c r="H1018" s="15"/>
      <c r="I1018" s="15"/>
      <c r="J1018" s="15"/>
      <c r="K1018" s="15"/>
      <c r="L1018" s="15"/>
      <c r="M1018" s="15"/>
      <c r="N1018" s="15"/>
      <c r="O1018" s="15"/>
      <c r="P1018" s="15"/>
      <c r="Q1018" s="15"/>
      <c r="R1018" s="15"/>
    </row>
    <row r="1019" spans="1:18" x14ac:dyDescent="0.2">
      <c r="A1019" s="15"/>
      <c r="B1019" s="38"/>
      <c r="C1019" s="15"/>
      <c r="D1019" s="15"/>
      <c r="E1019" s="15"/>
      <c r="F1019" s="15"/>
      <c r="G1019" s="15"/>
      <c r="H1019" s="15"/>
      <c r="I1019" s="15"/>
      <c r="J1019" s="15"/>
      <c r="K1019" s="15"/>
      <c r="L1019" s="15"/>
      <c r="M1019" s="15"/>
      <c r="N1019" s="15"/>
      <c r="O1019" s="15"/>
      <c r="P1019" s="15"/>
      <c r="Q1019" s="15"/>
      <c r="R1019" s="15"/>
    </row>
    <row r="1020" spans="1:18" x14ac:dyDescent="0.2">
      <c r="A1020" s="15"/>
      <c r="B1020" s="38"/>
      <c r="C1020" s="15"/>
      <c r="D1020" s="15"/>
      <c r="E1020" s="15"/>
      <c r="F1020" s="15"/>
      <c r="G1020" s="15"/>
      <c r="H1020" s="15"/>
      <c r="I1020" s="15"/>
      <c r="J1020" s="15"/>
      <c r="K1020" s="15"/>
      <c r="L1020" s="15"/>
      <c r="M1020" s="15"/>
      <c r="N1020" s="15"/>
      <c r="O1020" s="15"/>
      <c r="P1020" s="15"/>
      <c r="Q1020" s="15"/>
      <c r="R1020" s="15"/>
    </row>
    <row r="1021" spans="1:18" x14ac:dyDescent="0.2">
      <c r="A1021" s="15"/>
      <c r="B1021" s="38"/>
      <c r="C1021" s="15"/>
      <c r="D1021" s="15"/>
      <c r="E1021" s="15"/>
      <c r="F1021" s="15"/>
      <c r="G1021" s="15"/>
      <c r="H1021" s="15"/>
      <c r="I1021" s="15"/>
      <c r="J1021" s="15"/>
      <c r="K1021" s="15"/>
      <c r="L1021" s="15"/>
      <c r="M1021" s="15"/>
      <c r="N1021" s="15"/>
      <c r="O1021" s="15"/>
      <c r="P1021" s="15"/>
      <c r="Q1021" s="15"/>
      <c r="R1021" s="15"/>
    </row>
    <row r="1022" spans="1:18" x14ac:dyDescent="0.2">
      <c r="A1022" s="15"/>
      <c r="B1022" s="38"/>
      <c r="C1022" s="15"/>
      <c r="D1022" s="15"/>
      <c r="E1022" s="15"/>
      <c r="F1022" s="15"/>
      <c r="G1022" s="15"/>
      <c r="H1022" s="15"/>
      <c r="I1022" s="15"/>
      <c r="J1022" s="15"/>
      <c r="K1022" s="15"/>
      <c r="L1022" s="15"/>
      <c r="M1022" s="15"/>
      <c r="N1022" s="15"/>
      <c r="O1022" s="15"/>
      <c r="P1022" s="15"/>
      <c r="Q1022" s="15"/>
      <c r="R1022" s="15"/>
    </row>
    <row r="1023" spans="1:18" x14ac:dyDescent="0.2">
      <c r="A1023" s="15"/>
      <c r="B1023" s="38"/>
      <c r="C1023" s="15"/>
      <c r="D1023" s="15"/>
      <c r="E1023" s="15"/>
      <c r="F1023" s="15"/>
      <c r="G1023" s="15"/>
      <c r="H1023" s="15"/>
      <c r="I1023" s="15"/>
      <c r="J1023" s="15"/>
      <c r="K1023" s="15"/>
      <c r="L1023" s="15"/>
      <c r="M1023" s="15"/>
      <c r="N1023" s="15"/>
      <c r="O1023" s="15"/>
      <c r="P1023" s="15"/>
      <c r="Q1023" s="15"/>
      <c r="R1023" s="15"/>
    </row>
    <row r="1024" spans="1:18" x14ac:dyDescent="0.2">
      <c r="A1024" s="15"/>
      <c r="B1024" s="38"/>
      <c r="C1024" s="15"/>
      <c r="D1024" s="15"/>
      <c r="E1024" s="15"/>
      <c r="F1024" s="15"/>
      <c r="G1024" s="15"/>
      <c r="H1024" s="15"/>
      <c r="I1024" s="15"/>
      <c r="J1024" s="15"/>
      <c r="K1024" s="15"/>
      <c r="L1024" s="15"/>
      <c r="M1024" s="15"/>
      <c r="N1024" s="15"/>
      <c r="O1024" s="15"/>
      <c r="P1024" s="15"/>
      <c r="Q1024" s="15"/>
      <c r="R1024" s="15"/>
    </row>
    <row r="1025" spans="1:18" x14ac:dyDescent="0.2">
      <c r="A1025" s="15"/>
      <c r="B1025" s="38"/>
      <c r="C1025" s="15"/>
      <c r="D1025" s="15"/>
      <c r="E1025" s="15"/>
      <c r="F1025" s="15"/>
      <c r="G1025" s="15"/>
      <c r="H1025" s="15"/>
      <c r="I1025" s="15"/>
      <c r="J1025" s="15"/>
      <c r="K1025" s="15"/>
      <c r="L1025" s="15"/>
      <c r="M1025" s="15"/>
      <c r="N1025" s="15"/>
      <c r="O1025" s="15"/>
      <c r="P1025" s="15"/>
      <c r="Q1025" s="15"/>
      <c r="R1025" s="15"/>
    </row>
    <row r="1026" spans="1:18" x14ac:dyDescent="0.2">
      <c r="A1026" s="15"/>
      <c r="B1026" s="38"/>
      <c r="C1026" s="15"/>
      <c r="D1026" s="15"/>
      <c r="E1026" s="15"/>
      <c r="F1026" s="15"/>
      <c r="G1026" s="15"/>
      <c r="H1026" s="15"/>
      <c r="I1026" s="15"/>
      <c r="J1026" s="15"/>
      <c r="K1026" s="15"/>
      <c r="L1026" s="15"/>
      <c r="M1026" s="15"/>
      <c r="N1026" s="15"/>
      <c r="O1026" s="15"/>
      <c r="P1026" s="15"/>
      <c r="Q1026" s="15"/>
      <c r="R1026" s="15"/>
    </row>
    <row r="1027" spans="1:18" x14ac:dyDescent="0.2">
      <c r="A1027" s="15"/>
      <c r="B1027" s="38"/>
      <c r="C1027" s="15"/>
      <c r="D1027" s="15"/>
      <c r="E1027" s="15"/>
      <c r="F1027" s="15"/>
      <c r="G1027" s="15"/>
      <c r="H1027" s="15"/>
      <c r="I1027" s="15"/>
      <c r="J1027" s="15"/>
      <c r="K1027" s="15"/>
      <c r="L1027" s="15"/>
      <c r="M1027" s="15"/>
      <c r="N1027" s="15"/>
      <c r="O1027" s="15"/>
      <c r="P1027" s="15"/>
      <c r="Q1027" s="15"/>
      <c r="R1027" s="15"/>
    </row>
    <row r="1028" spans="1:18" x14ac:dyDescent="0.2">
      <c r="A1028" s="15"/>
      <c r="B1028" s="38"/>
      <c r="C1028" s="15"/>
      <c r="D1028" s="15"/>
      <c r="E1028" s="15"/>
      <c r="F1028" s="15"/>
      <c r="G1028" s="15"/>
      <c r="H1028" s="15"/>
      <c r="I1028" s="15"/>
      <c r="J1028" s="15"/>
      <c r="K1028" s="15"/>
      <c r="L1028" s="15"/>
      <c r="M1028" s="15"/>
      <c r="N1028" s="15"/>
      <c r="O1028" s="15"/>
      <c r="P1028" s="15"/>
      <c r="Q1028" s="15"/>
      <c r="R1028" s="15"/>
    </row>
    <row r="1029" spans="1:18" x14ac:dyDescent="0.2">
      <c r="A1029" s="15"/>
      <c r="B1029" s="38"/>
      <c r="C1029" s="15"/>
      <c r="D1029" s="15"/>
      <c r="E1029" s="15"/>
      <c r="F1029" s="15"/>
      <c r="G1029" s="15"/>
      <c r="H1029" s="15"/>
      <c r="I1029" s="15"/>
      <c r="J1029" s="15"/>
      <c r="K1029" s="15"/>
      <c r="L1029" s="15"/>
      <c r="M1029" s="15"/>
      <c r="N1029" s="15"/>
      <c r="O1029" s="15"/>
      <c r="P1029" s="15"/>
      <c r="Q1029" s="15"/>
      <c r="R1029" s="15"/>
    </row>
    <row r="1030" spans="1:18" x14ac:dyDescent="0.2">
      <c r="A1030" s="15"/>
      <c r="B1030" s="38"/>
      <c r="C1030" s="15"/>
      <c r="D1030" s="15"/>
      <c r="E1030" s="15"/>
      <c r="F1030" s="15"/>
      <c r="G1030" s="15"/>
      <c r="H1030" s="15"/>
      <c r="I1030" s="15"/>
      <c r="J1030" s="15"/>
      <c r="K1030" s="15"/>
      <c r="L1030" s="15"/>
      <c r="M1030" s="15"/>
      <c r="N1030" s="15"/>
      <c r="O1030" s="15"/>
      <c r="P1030" s="15"/>
      <c r="Q1030" s="15"/>
      <c r="R1030" s="15"/>
    </row>
    <row r="1031" spans="1:18" x14ac:dyDescent="0.2">
      <c r="A1031" s="15"/>
      <c r="B1031" s="38"/>
      <c r="C1031" s="15"/>
      <c r="D1031" s="15"/>
      <c r="E1031" s="15"/>
      <c r="F1031" s="15"/>
      <c r="G1031" s="15"/>
      <c r="H1031" s="15"/>
      <c r="I1031" s="15"/>
      <c r="J1031" s="15"/>
      <c r="K1031" s="15"/>
      <c r="L1031" s="15"/>
      <c r="M1031" s="15"/>
      <c r="N1031" s="15"/>
      <c r="O1031" s="15"/>
      <c r="P1031" s="15"/>
      <c r="Q1031" s="15"/>
      <c r="R1031" s="15"/>
    </row>
    <row r="1032" spans="1:18" x14ac:dyDescent="0.2">
      <c r="A1032" s="15"/>
      <c r="B1032" s="38"/>
      <c r="C1032" s="15"/>
      <c r="D1032" s="15"/>
      <c r="E1032" s="15"/>
      <c r="F1032" s="15"/>
      <c r="G1032" s="15"/>
      <c r="H1032" s="15"/>
      <c r="I1032" s="15"/>
      <c r="J1032" s="15"/>
      <c r="K1032" s="15"/>
      <c r="L1032" s="15"/>
      <c r="M1032" s="15"/>
      <c r="N1032" s="15"/>
      <c r="O1032" s="15"/>
      <c r="P1032" s="15"/>
      <c r="Q1032" s="15"/>
      <c r="R1032" s="15"/>
    </row>
    <row r="1033" spans="1:18" x14ac:dyDescent="0.2">
      <c r="A1033" s="15"/>
      <c r="B1033" s="38"/>
      <c r="C1033" s="15"/>
      <c r="D1033" s="15"/>
      <c r="E1033" s="15"/>
      <c r="F1033" s="15"/>
      <c r="G1033" s="15"/>
      <c r="H1033" s="15"/>
      <c r="I1033" s="15"/>
      <c r="J1033" s="15"/>
      <c r="K1033" s="15"/>
      <c r="L1033" s="15"/>
      <c r="M1033" s="15"/>
      <c r="N1033" s="15"/>
      <c r="O1033" s="15"/>
      <c r="P1033" s="15"/>
      <c r="Q1033" s="15"/>
      <c r="R1033" s="15"/>
    </row>
    <row r="1034" spans="1:18" x14ac:dyDescent="0.2">
      <c r="A1034" s="15"/>
      <c r="B1034" s="38"/>
      <c r="C1034" s="15"/>
      <c r="D1034" s="15"/>
      <c r="E1034" s="15"/>
      <c r="F1034" s="15"/>
      <c r="G1034" s="15"/>
      <c r="H1034" s="15"/>
      <c r="I1034" s="15"/>
      <c r="J1034" s="15"/>
      <c r="K1034" s="15"/>
      <c r="L1034" s="15"/>
      <c r="M1034" s="15"/>
      <c r="N1034" s="15"/>
      <c r="O1034" s="15"/>
      <c r="P1034" s="15"/>
      <c r="Q1034" s="15"/>
      <c r="R1034" s="15"/>
    </row>
    <row r="1035" spans="1:18" x14ac:dyDescent="0.2">
      <c r="A1035" s="15"/>
      <c r="B1035" s="38"/>
      <c r="C1035" s="15"/>
      <c r="D1035" s="15"/>
      <c r="E1035" s="15"/>
      <c r="F1035" s="15"/>
      <c r="G1035" s="15"/>
      <c r="H1035" s="15"/>
      <c r="I1035" s="15"/>
      <c r="J1035" s="15"/>
      <c r="K1035" s="15"/>
      <c r="L1035" s="15"/>
      <c r="M1035" s="15"/>
      <c r="N1035" s="15"/>
      <c r="O1035" s="15"/>
      <c r="P1035" s="15"/>
      <c r="Q1035" s="15"/>
      <c r="R1035" s="15"/>
    </row>
    <row r="1036" spans="1:18" x14ac:dyDescent="0.2">
      <c r="A1036" s="15"/>
      <c r="B1036" s="38"/>
      <c r="C1036" s="15"/>
      <c r="D1036" s="15"/>
      <c r="E1036" s="15"/>
      <c r="F1036" s="15"/>
      <c r="G1036" s="15"/>
      <c r="H1036" s="15"/>
      <c r="I1036" s="15"/>
      <c r="J1036" s="15"/>
      <c r="K1036" s="15"/>
      <c r="L1036" s="15"/>
      <c r="M1036" s="15"/>
      <c r="N1036" s="15"/>
      <c r="O1036" s="15"/>
      <c r="P1036" s="15"/>
      <c r="Q1036" s="15"/>
      <c r="R1036" s="15"/>
    </row>
    <row r="1037" spans="1:18" x14ac:dyDescent="0.2">
      <c r="A1037" s="15"/>
      <c r="B1037" s="38"/>
      <c r="C1037" s="15"/>
      <c r="D1037" s="15"/>
      <c r="E1037" s="15"/>
      <c r="F1037" s="15"/>
      <c r="G1037" s="15"/>
      <c r="H1037" s="15"/>
      <c r="I1037" s="15"/>
      <c r="J1037" s="15"/>
      <c r="K1037" s="15"/>
      <c r="L1037" s="15"/>
      <c r="M1037" s="15"/>
      <c r="N1037" s="15"/>
      <c r="O1037" s="15"/>
      <c r="P1037" s="15"/>
      <c r="Q1037" s="15"/>
      <c r="R1037" s="15"/>
    </row>
    <row r="1038" spans="1:18" x14ac:dyDescent="0.2">
      <c r="A1038" s="15"/>
      <c r="B1038" s="38"/>
      <c r="C1038" s="15"/>
      <c r="D1038" s="15"/>
      <c r="E1038" s="15"/>
      <c r="F1038" s="15"/>
      <c r="G1038" s="15"/>
      <c r="H1038" s="15"/>
      <c r="I1038" s="15"/>
      <c r="J1038" s="15"/>
      <c r="K1038" s="15"/>
      <c r="L1038" s="15"/>
      <c r="M1038" s="15"/>
      <c r="N1038" s="15"/>
      <c r="O1038" s="15"/>
      <c r="P1038" s="15"/>
      <c r="Q1038" s="15"/>
      <c r="R1038" s="15"/>
    </row>
    <row r="1039" spans="1:18" x14ac:dyDescent="0.2">
      <c r="A1039" s="15"/>
      <c r="B1039" s="38"/>
      <c r="C1039" s="15"/>
      <c r="D1039" s="15"/>
      <c r="E1039" s="15"/>
      <c r="F1039" s="15"/>
      <c r="G1039" s="15"/>
      <c r="H1039" s="15"/>
      <c r="I1039" s="15"/>
      <c r="J1039" s="15"/>
      <c r="K1039" s="15"/>
      <c r="L1039" s="15"/>
      <c r="M1039" s="15"/>
      <c r="N1039" s="15"/>
      <c r="O1039" s="15"/>
      <c r="P1039" s="15"/>
      <c r="Q1039" s="15"/>
      <c r="R1039" s="15"/>
    </row>
    <row r="1040" spans="1:18" x14ac:dyDescent="0.2">
      <c r="A1040" s="15"/>
      <c r="B1040" s="38"/>
      <c r="C1040" s="15"/>
      <c r="D1040" s="15"/>
      <c r="E1040" s="15"/>
      <c r="F1040" s="15"/>
      <c r="G1040" s="15"/>
      <c r="H1040" s="15"/>
      <c r="I1040" s="15"/>
      <c r="J1040" s="15"/>
      <c r="K1040" s="15"/>
      <c r="L1040" s="15"/>
      <c r="M1040" s="15"/>
      <c r="N1040" s="15"/>
      <c r="O1040" s="15"/>
      <c r="P1040" s="15"/>
      <c r="Q1040" s="15"/>
      <c r="R1040" s="15"/>
    </row>
    <row r="1041" spans="1:18" x14ac:dyDescent="0.2">
      <c r="A1041" s="15"/>
      <c r="B1041" s="38"/>
      <c r="C1041" s="15"/>
      <c r="D1041" s="15"/>
      <c r="E1041" s="15"/>
      <c r="F1041" s="15"/>
      <c r="G1041" s="15"/>
      <c r="H1041" s="15"/>
      <c r="I1041" s="15"/>
      <c r="J1041" s="15"/>
      <c r="K1041" s="15"/>
      <c r="L1041" s="15"/>
      <c r="M1041" s="15"/>
      <c r="N1041" s="15"/>
      <c r="O1041" s="15"/>
      <c r="P1041" s="15"/>
      <c r="Q1041" s="15"/>
      <c r="R1041" s="15"/>
    </row>
    <row r="1042" spans="1:18" x14ac:dyDescent="0.2">
      <c r="A1042" s="15"/>
      <c r="B1042" s="38"/>
      <c r="C1042" s="15"/>
      <c r="D1042" s="15"/>
      <c r="E1042" s="15"/>
      <c r="F1042" s="15"/>
      <c r="G1042" s="15"/>
      <c r="H1042" s="15"/>
      <c r="I1042" s="15"/>
      <c r="J1042" s="15"/>
      <c r="K1042" s="15"/>
      <c r="L1042" s="15"/>
      <c r="M1042" s="15"/>
      <c r="N1042" s="15"/>
      <c r="O1042" s="15"/>
      <c r="P1042" s="15"/>
      <c r="Q1042" s="15"/>
      <c r="R1042" s="15"/>
    </row>
    <row r="1043" spans="1:18" x14ac:dyDescent="0.2">
      <c r="A1043" s="15"/>
      <c r="B1043" s="38"/>
      <c r="C1043" s="15"/>
      <c r="D1043" s="15"/>
      <c r="E1043" s="15"/>
      <c r="F1043" s="15"/>
      <c r="G1043" s="15"/>
      <c r="H1043" s="15"/>
      <c r="I1043" s="15"/>
      <c r="J1043" s="15"/>
      <c r="K1043" s="15"/>
      <c r="L1043" s="15"/>
      <c r="M1043" s="15"/>
      <c r="N1043" s="15"/>
      <c r="O1043" s="15"/>
      <c r="P1043" s="15"/>
      <c r="Q1043" s="15"/>
      <c r="R1043" s="15"/>
    </row>
    <row r="1044" spans="1:18" x14ac:dyDescent="0.2">
      <c r="A1044" s="15"/>
      <c r="B1044" s="38"/>
      <c r="C1044" s="15"/>
      <c r="D1044" s="15"/>
      <c r="E1044" s="15"/>
      <c r="F1044" s="15"/>
      <c r="G1044" s="15"/>
      <c r="H1044" s="15"/>
      <c r="I1044" s="15"/>
      <c r="J1044" s="15"/>
      <c r="K1044" s="15"/>
      <c r="L1044" s="15"/>
      <c r="M1044" s="15"/>
      <c r="N1044" s="15"/>
      <c r="O1044" s="15"/>
      <c r="P1044" s="15"/>
      <c r="Q1044" s="15"/>
      <c r="R1044" s="15"/>
    </row>
    <row r="1045" spans="1:18" x14ac:dyDescent="0.2">
      <c r="A1045" s="15"/>
      <c r="B1045" s="38"/>
      <c r="C1045" s="15"/>
      <c r="D1045" s="15"/>
      <c r="E1045" s="15"/>
      <c r="F1045" s="15"/>
      <c r="G1045" s="15"/>
      <c r="H1045" s="15"/>
      <c r="I1045" s="15"/>
      <c r="J1045" s="15"/>
      <c r="K1045" s="15"/>
      <c r="L1045" s="15"/>
      <c r="M1045" s="15"/>
      <c r="N1045" s="15"/>
      <c r="O1045" s="15"/>
      <c r="P1045" s="15"/>
      <c r="Q1045" s="15"/>
      <c r="R1045" s="15"/>
    </row>
    <row r="1046" spans="1:18" x14ac:dyDescent="0.2">
      <c r="A1046" s="15"/>
      <c r="B1046" s="38"/>
      <c r="C1046" s="15"/>
      <c r="D1046" s="15"/>
      <c r="E1046" s="15"/>
      <c r="F1046" s="15"/>
      <c r="G1046" s="15"/>
      <c r="H1046" s="15"/>
      <c r="I1046" s="15"/>
      <c r="J1046" s="15"/>
      <c r="K1046" s="15"/>
      <c r="L1046" s="15"/>
      <c r="M1046" s="15"/>
      <c r="N1046" s="15"/>
      <c r="O1046" s="15"/>
      <c r="P1046" s="15"/>
      <c r="Q1046" s="15"/>
      <c r="R1046" s="15"/>
    </row>
    <row r="1047" spans="1:18" x14ac:dyDescent="0.2">
      <c r="A1047" s="15"/>
      <c r="B1047" s="38"/>
      <c r="C1047" s="15"/>
      <c r="D1047" s="15"/>
      <c r="E1047" s="15"/>
      <c r="F1047" s="15"/>
      <c r="G1047" s="15"/>
      <c r="H1047" s="15"/>
      <c r="I1047" s="15"/>
      <c r="J1047" s="15"/>
      <c r="K1047" s="15"/>
      <c r="L1047" s="15"/>
      <c r="M1047" s="15"/>
      <c r="N1047" s="15"/>
      <c r="O1047" s="15"/>
      <c r="P1047" s="15"/>
      <c r="Q1047" s="15"/>
      <c r="R1047" s="15"/>
    </row>
    <row r="1048" spans="1:18" x14ac:dyDescent="0.2">
      <c r="A1048" s="15"/>
      <c r="B1048" s="38"/>
      <c r="C1048" s="15"/>
      <c r="D1048" s="15"/>
      <c r="E1048" s="15"/>
      <c r="F1048" s="15"/>
      <c r="G1048" s="15"/>
      <c r="H1048" s="15"/>
      <c r="I1048" s="15"/>
      <c r="J1048" s="15"/>
      <c r="K1048" s="15"/>
      <c r="L1048" s="15"/>
      <c r="M1048" s="15"/>
      <c r="N1048" s="15"/>
      <c r="O1048" s="15"/>
      <c r="P1048" s="15"/>
      <c r="Q1048" s="15"/>
      <c r="R1048" s="15"/>
    </row>
    <row r="1049" spans="1:18" x14ac:dyDescent="0.2">
      <c r="A1049" s="15"/>
      <c r="B1049" s="38"/>
      <c r="C1049" s="15"/>
      <c r="D1049" s="15"/>
      <c r="E1049" s="15"/>
      <c r="F1049" s="15"/>
      <c r="G1049" s="15"/>
      <c r="H1049" s="15"/>
      <c r="I1049" s="15"/>
      <c r="J1049" s="15"/>
      <c r="K1049" s="15"/>
      <c r="L1049" s="15"/>
      <c r="M1049" s="15"/>
      <c r="N1049" s="15"/>
      <c r="O1049" s="15"/>
      <c r="P1049" s="15"/>
      <c r="Q1049" s="15"/>
      <c r="R1049" s="15"/>
    </row>
    <row r="1050" spans="1:18" x14ac:dyDescent="0.2">
      <c r="A1050" s="15"/>
      <c r="B1050" s="38"/>
      <c r="C1050" s="15"/>
      <c r="D1050" s="15"/>
      <c r="E1050" s="15"/>
      <c r="F1050" s="15"/>
      <c r="G1050" s="15"/>
      <c r="H1050" s="15"/>
      <c r="I1050" s="15"/>
      <c r="J1050" s="15"/>
      <c r="K1050" s="15"/>
      <c r="L1050" s="15"/>
      <c r="M1050" s="15"/>
      <c r="N1050" s="15"/>
      <c r="O1050" s="15"/>
      <c r="P1050" s="15"/>
      <c r="Q1050" s="15"/>
      <c r="R1050" s="15"/>
    </row>
    <row r="1051" spans="1:18" x14ac:dyDescent="0.2">
      <c r="A1051" s="15"/>
      <c r="B1051" s="38"/>
      <c r="C1051" s="15"/>
      <c r="D1051" s="15"/>
      <c r="E1051" s="15"/>
      <c r="F1051" s="15"/>
      <c r="G1051" s="15"/>
      <c r="H1051" s="15"/>
      <c r="I1051" s="15"/>
      <c r="J1051" s="15"/>
      <c r="K1051" s="15"/>
      <c r="L1051" s="15"/>
      <c r="M1051" s="15"/>
      <c r="N1051" s="15"/>
      <c r="O1051" s="15"/>
      <c r="P1051" s="15"/>
      <c r="Q1051" s="15"/>
      <c r="R1051" s="15"/>
    </row>
    <row r="1052" spans="1:18" x14ac:dyDescent="0.2">
      <c r="A1052" s="15"/>
      <c r="B1052" s="38"/>
      <c r="C1052" s="15"/>
      <c r="D1052" s="15"/>
      <c r="E1052" s="15"/>
      <c r="F1052" s="15"/>
      <c r="G1052" s="15"/>
      <c r="H1052" s="15"/>
      <c r="I1052" s="15"/>
      <c r="J1052" s="15"/>
      <c r="K1052" s="15"/>
      <c r="L1052" s="15"/>
      <c r="M1052" s="15"/>
      <c r="N1052" s="15"/>
      <c r="O1052" s="15"/>
      <c r="P1052" s="15"/>
      <c r="Q1052" s="15"/>
      <c r="R1052" s="15"/>
    </row>
    <row r="1053" spans="1:18" x14ac:dyDescent="0.2">
      <c r="A1053" s="15"/>
      <c r="B1053" s="38"/>
      <c r="C1053" s="15"/>
      <c r="D1053" s="15"/>
      <c r="E1053" s="15"/>
      <c r="F1053" s="15"/>
      <c r="G1053" s="15"/>
      <c r="H1053" s="15"/>
      <c r="I1053" s="15"/>
      <c r="J1053" s="15"/>
      <c r="K1053" s="15"/>
      <c r="L1053" s="15"/>
      <c r="M1053" s="15"/>
      <c r="N1053" s="15"/>
      <c r="O1053" s="15"/>
      <c r="P1053" s="15"/>
      <c r="Q1053" s="15"/>
      <c r="R1053" s="15"/>
    </row>
    <row r="1054" spans="1:18" x14ac:dyDescent="0.2">
      <c r="A1054" s="15"/>
      <c r="B1054" s="38"/>
      <c r="C1054" s="15"/>
      <c r="D1054" s="15"/>
      <c r="E1054" s="15"/>
      <c r="F1054" s="15"/>
      <c r="G1054" s="15"/>
      <c r="H1054" s="15"/>
      <c r="I1054" s="15"/>
      <c r="J1054" s="15"/>
      <c r="K1054" s="15"/>
      <c r="L1054" s="15"/>
      <c r="M1054" s="15"/>
      <c r="N1054" s="15"/>
      <c r="O1054" s="15"/>
      <c r="P1054" s="15"/>
      <c r="Q1054" s="15"/>
      <c r="R1054" s="15"/>
    </row>
    <row r="1055" spans="1:18" x14ac:dyDescent="0.2">
      <c r="A1055" s="15"/>
      <c r="B1055" s="38"/>
      <c r="C1055" s="15"/>
      <c r="D1055" s="15"/>
      <c r="E1055" s="15"/>
      <c r="F1055" s="15"/>
      <c r="G1055" s="15"/>
      <c r="H1055" s="15"/>
      <c r="I1055" s="15"/>
      <c r="J1055" s="15"/>
      <c r="K1055" s="15"/>
      <c r="L1055" s="15"/>
      <c r="M1055" s="15"/>
      <c r="N1055" s="15"/>
      <c r="O1055" s="15"/>
      <c r="P1055" s="15"/>
      <c r="Q1055" s="15"/>
      <c r="R1055" s="15"/>
    </row>
    <row r="1056" spans="1:18" x14ac:dyDescent="0.2">
      <c r="A1056" s="15"/>
      <c r="B1056" s="38"/>
      <c r="C1056" s="15"/>
      <c r="D1056" s="15"/>
      <c r="E1056" s="15"/>
      <c r="F1056" s="15"/>
      <c r="G1056" s="15"/>
      <c r="H1056" s="15"/>
      <c r="I1056" s="15"/>
      <c r="J1056" s="15"/>
      <c r="K1056" s="15"/>
      <c r="L1056" s="15"/>
      <c r="M1056" s="15"/>
      <c r="N1056" s="15"/>
      <c r="O1056" s="15"/>
      <c r="P1056" s="15"/>
      <c r="Q1056" s="15"/>
      <c r="R1056" s="15"/>
    </row>
    <row r="1057" spans="1:18" x14ac:dyDescent="0.2">
      <c r="A1057" s="15"/>
      <c r="B1057" s="38"/>
      <c r="C1057" s="15"/>
      <c r="D1057" s="15"/>
      <c r="E1057" s="15"/>
      <c r="F1057" s="15"/>
      <c r="G1057" s="15"/>
      <c r="H1057" s="15"/>
      <c r="I1057" s="15"/>
      <c r="J1057" s="15"/>
      <c r="K1057" s="15"/>
      <c r="L1057" s="15"/>
      <c r="M1057" s="15"/>
      <c r="N1057" s="15"/>
      <c r="O1057" s="15"/>
      <c r="P1057" s="15"/>
      <c r="Q1057" s="15"/>
      <c r="R1057" s="15"/>
    </row>
    <row r="1058" spans="1:18" x14ac:dyDescent="0.2">
      <c r="A1058" s="15"/>
      <c r="B1058" s="38"/>
      <c r="C1058" s="15"/>
      <c r="D1058" s="15"/>
      <c r="E1058" s="15"/>
      <c r="F1058" s="15"/>
      <c r="G1058" s="15"/>
      <c r="H1058" s="15"/>
      <c r="I1058" s="15"/>
      <c r="J1058" s="15"/>
      <c r="K1058" s="15"/>
      <c r="L1058" s="15"/>
      <c r="M1058" s="15"/>
      <c r="N1058" s="15"/>
      <c r="O1058" s="15"/>
      <c r="P1058" s="15"/>
      <c r="Q1058" s="15"/>
      <c r="R1058" s="15"/>
    </row>
    <row r="1059" spans="1:18" x14ac:dyDescent="0.2">
      <c r="A1059" s="15"/>
      <c r="B1059" s="38"/>
      <c r="C1059" s="15"/>
      <c r="D1059" s="15"/>
      <c r="E1059" s="15"/>
      <c r="F1059" s="15"/>
      <c r="G1059" s="15"/>
      <c r="H1059" s="15"/>
      <c r="I1059" s="15"/>
      <c r="J1059" s="15"/>
      <c r="K1059" s="15"/>
      <c r="L1059" s="15"/>
      <c r="M1059" s="15"/>
      <c r="N1059" s="15"/>
      <c r="O1059" s="15"/>
      <c r="P1059" s="15"/>
      <c r="Q1059" s="15"/>
      <c r="R1059" s="15"/>
    </row>
    <row r="1060" spans="1:18" x14ac:dyDescent="0.2">
      <c r="A1060" s="15"/>
      <c r="B1060" s="38"/>
      <c r="C1060" s="15"/>
      <c r="D1060" s="15"/>
      <c r="E1060" s="15"/>
      <c r="F1060" s="15"/>
      <c r="G1060" s="15"/>
      <c r="H1060" s="15"/>
      <c r="I1060" s="15"/>
      <c r="J1060" s="15"/>
      <c r="K1060" s="15"/>
      <c r="L1060" s="15"/>
      <c r="M1060" s="15"/>
      <c r="N1060" s="15"/>
      <c r="O1060" s="15"/>
      <c r="P1060" s="15"/>
      <c r="Q1060" s="15"/>
      <c r="R1060" s="15"/>
    </row>
    <row r="1061" spans="1:18" x14ac:dyDescent="0.2">
      <c r="A1061" s="15"/>
      <c r="B1061" s="38"/>
      <c r="C1061" s="15"/>
      <c r="D1061" s="15"/>
      <c r="E1061" s="15"/>
      <c r="F1061" s="15"/>
      <c r="G1061" s="15"/>
      <c r="H1061" s="15"/>
      <c r="I1061" s="15"/>
      <c r="J1061" s="15"/>
      <c r="K1061" s="15"/>
      <c r="L1061" s="15"/>
      <c r="M1061" s="15"/>
      <c r="N1061" s="15"/>
      <c r="O1061" s="15"/>
      <c r="P1061" s="15"/>
      <c r="Q1061" s="15"/>
      <c r="R1061" s="15"/>
    </row>
    <row r="1062" spans="1:18" x14ac:dyDescent="0.2">
      <c r="A1062" s="15"/>
      <c r="B1062" s="38"/>
      <c r="C1062" s="15"/>
      <c r="D1062" s="15"/>
      <c r="E1062" s="15"/>
      <c r="F1062" s="15"/>
      <c r="G1062" s="15"/>
      <c r="H1062" s="15"/>
      <c r="I1062" s="15"/>
      <c r="J1062" s="15"/>
      <c r="K1062" s="15"/>
      <c r="L1062" s="15"/>
      <c r="M1062" s="15"/>
      <c r="N1062" s="15"/>
      <c r="O1062" s="15"/>
      <c r="P1062" s="15"/>
      <c r="Q1062" s="15"/>
      <c r="R1062" s="15"/>
    </row>
    <row r="1063" spans="1:18" x14ac:dyDescent="0.2">
      <c r="A1063" s="15"/>
      <c r="B1063" s="38"/>
      <c r="C1063" s="15"/>
      <c r="D1063" s="15"/>
      <c r="E1063" s="15"/>
      <c r="F1063" s="15"/>
      <c r="G1063" s="15"/>
      <c r="H1063" s="15"/>
      <c r="I1063" s="15"/>
      <c r="J1063" s="15"/>
      <c r="K1063" s="15"/>
      <c r="L1063" s="15"/>
      <c r="M1063" s="15"/>
      <c r="N1063" s="15"/>
      <c r="O1063" s="15"/>
      <c r="P1063" s="15"/>
      <c r="Q1063" s="15"/>
      <c r="R1063" s="15"/>
    </row>
    <row r="1064" spans="1:18" x14ac:dyDescent="0.2">
      <c r="A1064" s="15"/>
      <c r="B1064" s="38"/>
      <c r="C1064" s="15"/>
      <c r="D1064" s="15"/>
      <c r="E1064" s="15"/>
      <c r="F1064" s="15"/>
      <c r="G1064" s="15"/>
      <c r="H1064" s="15"/>
      <c r="I1064" s="15"/>
      <c r="J1064" s="15"/>
      <c r="K1064" s="15"/>
      <c r="L1064" s="15"/>
      <c r="M1064" s="15"/>
      <c r="N1064" s="15"/>
      <c r="O1064" s="15"/>
      <c r="P1064" s="15"/>
      <c r="Q1064" s="15"/>
      <c r="R1064" s="15"/>
    </row>
    <row r="1065" spans="1:18" x14ac:dyDescent="0.2">
      <c r="A1065" s="15"/>
      <c r="B1065" s="38"/>
      <c r="C1065" s="15"/>
      <c r="D1065" s="15"/>
      <c r="E1065" s="15"/>
      <c r="F1065" s="15"/>
      <c r="G1065" s="15"/>
      <c r="H1065" s="15"/>
      <c r="I1065" s="15"/>
      <c r="J1065" s="15"/>
      <c r="K1065" s="15"/>
      <c r="L1065" s="15"/>
      <c r="M1065" s="15"/>
      <c r="N1065" s="15"/>
      <c r="O1065" s="15"/>
      <c r="P1065" s="15"/>
      <c r="Q1065" s="15"/>
      <c r="R1065" s="15"/>
    </row>
    <row r="1066" spans="1:18" x14ac:dyDescent="0.2">
      <c r="A1066" s="15"/>
      <c r="B1066" s="38"/>
      <c r="C1066" s="15"/>
      <c r="D1066" s="15"/>
      <c r="E1066" s="15"/>
      <c r="F1066" s="15"/>
      <c r="G1066" s="15"/>
      <c r="H1066" s="15"/>
      <c r="I1066" s="15"/>
      <c r="J1066" s="15"/>
      <c r="K1066" s="15"/>
      <c r="L1066" s="15"/>
      <c r="M1066" s="15"/>
      <c r="N1066" s="15"/>
      <c r="O1066" s="15"/>
      <c r="P1066" s="15"/>
      <c r="Q1066" s="15"/>
      <c r="R1066" s="15"/>
    </row>
    <row r="1067" spans="1:18" x14ac:dyDescent="0.2">
      <c r="A1067" s="15"/>
      <c r="B1067" s="38"/>
      <c r="C1067" s="15"/>
      <c r="D1067" s="15"/>
      <c r="E1067" s="15"/>
      <c r="F1067" s="15"/>
      <c r="G1067" s="15"/>
      <c r="H1067" s="15"/>
      <c r="I1067" s="15"/>
      <c r="J1067" s="15"/>
      <c r="K1067" s="15"/>
      <c r="L1067" s="15"/>
      <c r="M1067" s="15"/>
      <c r="N1067" s="15"/>
      <c r="O1067" s="15"/>
      <c r="P1067" s="15"/>
      <c r="Q1067" s="15"/>
      <c r="R1067" s="15"/>
    </row>
    <row r="1068" spans="1:18" x14ac:dyDescent="0.2">
      <c r="A1068" s="15"/>
      <c r="B1068" s="38"/>
      <c r="C1068" s="15"/>
      <c r="D1068" s="15"/>
      <c r="E1068" s="15"/>
      <c r="F1068" s="15"/>
      <c r="G1068" s="15"/>
      <c r="H1068" s="15"/>
      <c r="I1068" s="15"/>
      <c r="J1068" s="15"/>
      <c r="K1068" s="15"/>
      <c r="L1068" s="15"/>
      <c r="M1068" s="15"/>
      <c r="N1068" s="15"/>
      <c r="O1068" s="15"/>
      <c r="P1068" s="15"/>
      <c r="Q1068" s="15"/>
      <c r="R1068" s="15"/>
    </row>
    <row r="1069" spans="1:18" x14ac:dyDescent="0.2">
      <c r="A1069" s="15"/>
      <c r="B1069" s="38"/>
      <c r="C1069" s="15"/>
      <c r="D1069" s="15"/>
      <c r="E1069" s="15"/>
      <c r="F1069" s="15"/>
      <c r="G1069" s="15"/>
      <c r="H1069" s="15"/>
      <c r="I1069" s="15"/>
      <c r="J1069" s="15"/>
      <c r="K1069" s="15"/>
      <c r="L1069" s="15"/>
      <c r="M1069" s="15"/>
      <c r="N1069" s="15"/>
      <c r="O1069" s="15"/>
      <c r="P1069" s="15"/>
      <c r="Q1069" s="15"/>
      <c r="R1069" s="15"/>
    </row>
    <row r="1070" spans="1:18" x14ac:dyDescent="0.2">
      <c r="A1070" s="15"/>
      <c r="B1070" s="38"/>
      <c r="C1070" s="15"/>
      <c r="D1070" s="15"/>
      <c r="E1070" s="15"/>
      <c r="F1070" s="15"/>
      <c r="G1070" s="15"/>
      <c r="H1070" s="15"/>
      <c r="I1070" s="15"/>
      <c r="J1070" s="15"/>
      <c r="K1070" s="15"/>
      <c r="L1070" s="15"/>
      <c r="M1070" s="15"/>
      <c r="N1070" s="15"/>
      <c r="O1070" s="15"/>
      <c r="P1070" s="15"/>
      <c r="Q1070" s="15"/>
      <c r="R1070" s="15"/>
    </row>
    <row r="1071" spans="1:18" x14ac:dyDescent="0.2">
      <c r="A1071" s="15"/>
      <c r="B1071" s="38"/>
      <c r="C1071" s="15"/>
      <c r="D1071" s="15"/>
      <c r="E1071" s="15"/>
      <c r="F1071" s="15"/>
      <c r="G1071" s="15"/>
      <c r="H1071" s="15"/>
      <c r="I1071" s="15"/>
      <c r="J1071" s="15"/>
      <c r="K1071" s="15"/>
      <c r="L1071" s="15"/>
      <c r="M1071" s="15"/>
      <c r="N1071" s="15"/>
      <c r="O1071" s="15"/>
      <c r="P1071" s="15"/>
      <c r="Q1071" s="15"/>
      <c r="R1071" s="15"/>
    </row>
    <row r="1072" spans="1:18" x14ac:dyDescent="0.2">
      <c r="A1072" s="15"/>
      <c r="B1072" s="38"/>
      <c r="C1072" s="15"/>
      <c r="D1072" s="15"/>
      <c r="E1072" s="15"/>
      <c r="F1072" s="15"/>
      <c r="G1072" s="15"/>
      <c r="H1072" s="15"/>
      <c r="I1072" s="15"/>
      <c r="J1072" s="15"/>
      <c r="K1072" s="15"/>
      <c r="L1072" s="15"/>
      <c r="M1072" s="15"/>
      <c r="N1072" s="15"/>
      <c r="O1072" s="15"/>
      <c r="P1072" s="15"/>
      <c r="Q1072" s="15"/>
      <c r="R1072" s="15"/>
    </row>
    <row r="1073" spans="1:18" x14ac:dyDescent="0.2">
      <c r="A1073" s="15"/>
      <c r="B1073" s="38"/>
      <c r="C1073" s="15"/>
      <c r="D1073" s="15"/>
      <c r="E1073" s="15"/>
      <c r="F1073" s="15"/>
      <c r="G1073" s="15"/>
      <c r="H1073" s="15"/>
      <c r="I1073" s="15"/>
      <c r="J1073" s="15"/>
      <c r="K1073" s="15"/>
      <c r="L1073" s="15"/>
      <c r="M1073" s="15"/>
      <c r="N1073" s="15"/>
      <c r="O1073" s="15"/>
      <c r="P1073" s="15"/>
      <c r="Q1073" s="15"/>
      <c r="R1073" s="15"/>
    </row>
    <row r="1074" spans="1:18" x14ac:dyDescent="0.2">
      <c r="A1074" s="15"/>
      <c r="B1074" s="38"/>
      <c r="C1074" s="15"/>
      <c r="D1074" s="15"/>
      <c r="E1074" s="15"/>
      <c r="F1074" s="15"/>
      <c r="G1074" s="15"/>
      <c r="H1074" s="15"/>
      <c r="I1074" s="15"/>
      <c r="J1074" s="15"/>
      <c r="K1074" s="15"/>
      <c r="L1074" s="15"/>
      <c r="M1074" s="15"/>
      <c r="N1074" s="15"/>
      <c r="O1074" s="15"/>
      <c r="P1074" s="15"/>
      <c r="Q1074" s="15"/>
      <c r="R1074" s="15"/>
    </row>
    <row r="1075" spans="1:18" x14ac:dyDescent="0.2">
      <c r="A1075" s="15"/>
      <c r="B1075" s="38"/>
      <c r="C1075" s="15"/>
      <c r="D1075" s="15"/>
      <c r="E1075" s="15"/>
      <c r="F1075" s="15"/>
      <c r="G1075" s="15"/>
      <c r="H1075" s="15"/>
      <c r="I1075" s="15"/>
      <c r="J1075" s="15"/>
      <c r="K1075" s="15"/>
      <c r="L1075" s="15"/>
      <c r="M1075" s="15"/>
      <c r="N1075" s="15"/>
      <c r="O1075" s="15"/>
      <c r="P1075" s="15"/>
      <c r="Q1075" s="15"/>
      <c r="R1075" s="15"/>
    </row>
    <row r="1076" spans="1:18" x14ac:dyDescent="0.2">
      <c r="A1076" s="15"/>
      <c r="B1076" s="38"/>
      <c r="C1076" s="15"/>
      <c r="D1076" s="15"/>
      <c r="E1076" s="15"/>
      <c r="F1076" s="15"/>
      <c r="G1076" s="15"/>
      <c r="H1076" s="15"/>
      <c r="I1076" s="15"/>
      <c r="J1076" s="15"/>
      <c r="K1076" s="15"/>
      <c r="L1076" s="15"/>
      <c r="M1076" s="15"/>
      <c r="N1076" s="15"/>
      <c r="O1076" s="15"/>
      <c r="P1076" s="15"/>
      <c r="Q1076" s="15"/>
      <c r="R1076" s="15"/>
    </row>
    <row r="1077" spans="1:18" x14ac:dyDescent="0.2">
      <c r="A1077" s="15"/>
      <c r="B1077" s="38"/>
      <c r="C1077" s="15"/>
      <c r="D1077" s="15"/>
      <c r="E1077" s="15"/>
      <c r="F1077" s="15"/>
      <c r="G1077" s="15"/>
      <c r="H1077" s="15"/>
      <c r="I1077" s="15"/>
      <c r="J1077" s="15"/>
      <c r="K1077" s="15"/>
      <c r="L1077" s="15"/>
      <c r="M1077" s="15"/>
      <c r="N1077" s="15"/>
      <c r="O1077" s="15"/>
      <c r="P1077" s="15"/>
      <c r="Q1077" s="15"/>
      <c r="R1077" s="15"/>
    </row>
    <row r="1078" spans="1:18" x14ac:dyDescent="0.2">
      <c r="A1078" s="15"/>
      <c r="B1078" s="38"/>
      <c r="C1078" s="15"/>
      <c r="D1078" s="15"/>
      <c r="E1078" s="15"/>
      <c r="F1078" s="15"/>
      <c r="G1078" s="15"/>
      <c r="H1078" s="15"/>
      <c r="I1078" s="15"/>
      <c r="J1078" s="15"/>
      <c r="K1078" s="15"/>
      <c r="L1078" s="15"/>
      <c r="M1078" s="15"/>
      <c r="N1078" s="15"/>
      <c r="O1078" s="15"/>
      <c r="P1078" s="15"/>
      <c r="Q1078" s="15"/>
      <c r="R1078" s="15"/>
    </row>
    <row r="1079" spans="1:18" x14ac:dyDescent="0.2">
      <c r="A1079" s="15"/>
      <c r="B1079" s="38"/>
      <c r="C1079" s="15"/>
      <c r="D1079" s="15"/>
      <c r="E1079" s="15"/>
      <c r="F1079" s="15"/>
      <c r="G1079" s="15"/>
      <c r="H1079" s="15"/>
      <c r="I1079" s="15"/>
      <c r="J1079" s="15"/>
      <c r="K1079" s="15"/>
      <c r="L1079" s="15"/>
      <c r="M1079" s="15"/>
      <c r="N1079" s="15"/>
      <c r="O1079" s="15"/>
      <c r="P1079" s="15"/>
      <c r="Q1079" s="15"/>
      <c r="R1079" s="15"/>
    </row>
    <row r="1080" spans="1:18" x14ac:dyDescent="0.2">
      <c r="A1080" s="15"/>
      <c r="B1080" s="38"/>
      <c r="C1080" s="15"/>
      <c r="D1080" s="15"/>
      <c r="E1080" s="15"/>
      <c r="F1080" s="15"/>
      <c r="G1080" s="15"/>
      <c r="H1080" s="15"/>
      <c r="I1080" s="15"/>
      <c r="J1080" s="15"/>
      <c r="K1080" s="15"/>
      <c r="L1080" s="15"/>
      <c r="M1080" s="15"/>
      <c r="N1080" s="15"/>
      <c r="O1080" s="15"/>
      <c r="P1080" s="15"/>
      <c r="Q1080" s="15"/>
      <c r="R1080" s="15"/>
    </row>
    <row r="1081" spans="1:18" x14ac:dyDescent="0.2">
      <c r="A1081" s="15"/>
      <c r="B1081" s="38"/>
      <c r="C1081" s="15"/>
      <c r="D1081" s="15"/>
      <c r="E1081" s="15"/>
      <c r="F1081" s="15"/>
      <c r="G1081" s="15"/>
      <c r="H1081" s="15"/>
      <c r="I1081" s="15"/>
      <c r="J1081" s="15"/>
      <c r="K1081" s="15"/>
      <c r="L1081" s="15"/>
      <c r="M1081" s="15"/>
      <c r="N1081" s="15"/>
      <c r="O1081" s="15"/>
      <c r="P1081" s="15"/>
      <c r="Q1081" s="15"/>
      <c r="R1081" s="15"/>
    </row>
    <row r="1082" spans="1:18" x14ac:dyDescent="0.2">
      <c r="A1082" s="15"/>
      <c r="B1082" s="38"/>
      <c r="C1082" s="15"/>
      <c r="D1082" s="15"/>
      <c r="E1082" s="15"/>
      <c r="F1082" s="15"/>
      <c r="G1082" s="15"/>
      <c r="H1082" s="15"/>
      <c r="I1082" s="15"/>
      <c r="J1082" s="15"/>
      <c r="K1082" s="15"/>
      <c r="L1082" s="15"/>
      <c r="M1082" s="15"/>
      <c r="N1082" s="15"/>
      <c r="O1082" s="15"/>
      <c r="P1082" s="15"/>
      <c r="Q1082" s="15"/>
      <c r="R1082" s="15"/>
    </row>
    <row r="1083" spans="1:18" x14ac:dyDescent="0.2">
      <c r="A1083" s="15"/>
      <c r="B1083" s="38"/>
      <c r="C1083" s="15"/>
      <c r="D1083" s="15"/>
      <c r="E1083" s="15"/>
      <c r="F1083" s="15"/>
      <c r="G1083" s="15"/>
      <c r="H1083" s="15"/>
      <c r="I1083" s="15"/>
      <c r="J1083" s="15"/>
      <c r="K1083" s="15"/>
      <c r="L1083" s="15"/>
      <c r="M1083" s="15"/>
      <c r="N1083" s="15"/>
      <c r="O1083" s="15"/>
      <c r="P1083" s="15"/>
      <c r="Q1083" s="15"/>
      <c r="R1083" s="15"/>
    </row>
    <row r="1084" spans="1:18" x14ac:dyDescent="0.2">
      <c r="A1084" s="15"/>
      <c r="B1084" s="38"/>
      <c r="C1084" s="15"/>
      <c r="D1084" s="15"/>
      <c r="E1084" s="15"/>
      <c r="F1084" s="15"/>
      <c r="G1084" s="15"/>
      <c r="H1084" s="15"/>
      <c r="I1084" s="15"/>
      <c r="J1084" s="15"/>
      <c r="K1084" s="15"/>
      <c r="L1084" s="15"/>
      <c r="M1084" s="15"/>
      <c r="N1084" s="15"/>
      <c r="O1084" s="15"/>
      <c r="P1084" s="15"/>
      <c r="Q1084" s="15"/>
      <c r="R1084" s="15"/>
    </row>
    <row r="1085" spans="1:18" x14ac:dyDescent="0.2">
      <c r="A1085" s="15"/>
      <c r="B1085" s="38"/>
      <c r="C1085" s="15"/>
      <c r="D1085" s="15"/>
      <c r="E1085" s="15"/>
      <c r="F1085" s="15"/>
      <c r="G1085" s="15"/>
      <c r="H1085" s="15"/>
      <c r="I1085" s="15"/>
      <c r="J1085" s="15"/>
      <c r="K1085" s="15"/>
      <c r="L1085" s="15"/>
      <c r="M1085" s="15"/>
      <c r="N1085" s="15"/>
      <c r="O1085" s="15"/>
      <c r="P1085" s="15"/>
      <c r="Q1085" s="15"/>
      <c r="R1085" s="15"/>
    </row>
    <row r="1086" spans="1:18" x14ac:dyDescent="0.2">
      <c r="A1086" s="15"/>
      <c r="B1086" s="38"/>
      <c r="C1086" s="15"/>
      <c r="D1086" s="15"/>
      <c r="E1086" s="15"/>
      <c r="F1086" s="15"/>
      <c r="G1086" s="15"/>
      <c r="H1086" s="15"/>
      <c r="I1086" s="15"/>
      <c r="J1086" s="15"/>
      <c r="K1086" s="15"/>
      <c r="L1086" s="15"/>
      <c r="M1086" s="15"/>
      <c r="N1086" s="15"/>
      <c r="O1086" s="15"/>
      <c r="P1086" s="15"/>
      <c r="Q1086" s="15"/>
      <c r="R1086" s="15"/>
    </row>
    <row r="1087" spans="1:18" x14ac:dyDescent="0.2">
      <c r="A1087" s="15"/>
      <c r="B1087" s="38"/>
      <c r="C1087" s="15"/>
      <c r="D1087" s="15"/>
      <c r="E1087" s="15"/>
      <c r="F1087" s="15"/>
      <c r="G1087" s="15"/>
      <c r="H1087" s="15"/>
      <c r="I1087" s="15"/>
      <c r="J1087" s="15"/>
      <c r="K1087" s="15"/>
      <c r="L1087" s="15"/>
      <c r="M1087" s="15"/>
      <c r="N1087" s="15"/>
      <c r="O1087" s="15"/>
      <c r="P1087" s="15"/>
      <c r="Q1087" s="15"/>
      <c r="R1087" s="15"/>
    </row>
    <row r="1088" spans="1:18" x14ac:dyDescent="0.2">
      <c r="A1088" s="15"/>
      <c r="B1088" s="38"/>
      <c r="C1088" s="15"/>
      <c r="D1088" s="15"/>
      <c r="E1088" s="15"/>
      <c r="F1088" s="15"/>
      <c r="G1088" s="15"/>
      <c r="H1088" s="15"/>
      <c r="I1088" s="15"/>
      <c r="J1088" s="15"/>
      <c r="K1088" s="15"/>
      <c r="L1088" s="15"/>
      <c r="M1088" s="15"/>
      <c r="N1088" s="15"/>
      <c r="O1088" s="15"/>
      <c r="P1088" s="15"/>
      <c r="Q1088" s="15"/>
      <c r="R1088" s="15"/>
    </row>
    <row r="1089" spans="1:18" x14ac:dyDescent="0.2">
      <c r="A1089" s="15"/>
      <c r="B1089" s="38"/>
      <c r="C1089" s="15"/>
      <c r="D1089" s="15"/>
      <c r="E1089" s="15"/>
      <c r="F1089" s="15"/>
      <c r="G1089" s="15"/>
      <c r="H1089" s="15"/>
      <c r="I1089" s="15"/>
      <c r="J1089" s="15"/>
      <c r="K1089" s="15"/>
      <c r="L1089" s="15"/>
      <c r="M1089" s="15"/>
      <c r="N1089" s="15"/>
      <c r="O1089" s="15"/>
      <c r="P1089" s="15"/>
      <c r="Q1089" s="15"/>
      <c r="R1089" s="15"/>
    </row>
    <row r="1090" spans="1:18" x14ac:dyDescent="0.2">
      <c r="A1090" s="15"/>
      <c r="B1090" s="38"/>
      <c r="C1090" s="15"/>
      <c r="D1090" s="15"/>
      <c r="E1090" s="15"/>
      <c r="F1090" s="15"/>
      <c r="G1090" s="15"/>
      <c r="H1090" s="15"/>
      <c r="I1090" s="15"/>
      <c r="J1090" s="15"/>
      <c r="K1090" s="15"/>
      <c r="L1090" s="15"/>
      <c r="M1090" s="15"/>
      <c r="N1090" s="15"/>
      <c r="O1090" s="15"/>
      <c r="P1090" s="15"/>
      <c r="Q1090" s="15"/>
      <c r="R1090" s="15"/>
    </row>
    <row r="1091" spans="1:18" x14ac:dyDescent="0.2">
      <c r="A1091" s="15"/>
      <c r="B1091" s="38"/>
      <c r="C1091" s="15"/>
      <c r="D1091" s="15"/>
      <c r="E1091" s="15"/>
      <c r="F1091" s="15"/>
      <c r="G1091" s="15"/>
      <c r="H1091" s="15"/>
      <c r="I1091" s="15"/>
      <c r="J1091" s="15"/>
      <c r="K1091" s="15"/>
      <c r="L1091" s="15"/>
      <c r="M1091" s="15"/>
      <c r="N1091" s="15"/>
      <c r="O1091" s="15"/>
      <c r="P1091" s="15"/>
      <c r="Q1091" s="15"/>
      <c r="R1091" s="15"/>
    </row>
    <row r="1092" spans="1:18" x14ac:dyDescent="0.2">
      <c r="A1092" s="15"/>
      <c r="B1092" s="38"/>
      <c r="C1092" s="15"/>
      <c r="D1092" s="15"/>
      <c r="E1092" s="15"/>
      <c r="F1092" s="15"/>
      <c r="G1092" s="15"/>
      <c r="H1092" s="15"/>
      <c r="I1092" s="15"/>
      <c r="J1092" s="15"/>
      <c r="K1092" s="15"/>
      <c r="L1092" s="15"/>
      <c r="M1092" s="15"/>
      <c r="N1092" s="15"/>
      <c r="O1092" s="15"/>
      <c r="P1092" s="15"/>
      <c r="Q1092" s="15"/>
      <c r="R1092" s="15"/>
    </row>
    <row r="1093" spans="1:18" x14ac:dyDescent="0.2">
      <c r="A1093" s="15"/>
      <c r="B1093" s="38"/>
      <c r="C1093" s="15"/>
      <c r="D1093" s="15"/>
      <c r="E1093" s="15"/>
      <c r="F1093" s="15"/>
      <c r="G1093" s="15"/>
      <c r="H1093" s="15"/>
      <c r="I1093" s="15"/>
      <c r="J1093" s="15"/>
      <c r="K1093" s="15"/>
      <c r="L1093" s="15"/>
      <c r="M1093" s="15"/>
      <c r="N1093" s="15"/>
      <c r="O1093" s="15"/>
      <c r="P1093" s="15"/>
      <c r="Q1093" s="15"/>
      <c r="R1093" s="15"/>
    </row>
    <row r="1094" spans="1:18" x14ac:dyDescent="0.2">
      <c r="A1094" s="15"/>
      <c r="B1094" s="38"/>
      <c r="C1094" s="15"/>
      <c r="D1094" s="15"/>
      <c r="E1094" s="15"/>
      <c r="F1094" s="15"/>
      <c r="G1094" s="15"/>
      <c r="H1094" s="15"/>
      <c r="I1094" s="15"/>
      <c r="J1094" s="15"/>
      <c r="K1094" s="15"/>
      <c r="L1094" s="15"/>
      <c r="M1094" s="15"/>
      <c r="N1094" s="15"/>
      <c r="O1094" s="15"/>
      <c r="P1094" s="15"/>
      <c r="Q1094" s="15"/>
      <c r="R1094" s="15"/>
    </row>
    <row r="1095" spans="1:18" x14ac:dyDescent="0.2">
      <c r="A1095" s="15"/>
      <c r="B1095" s="38"/>
      <c r="C1095" s="15"/>
      <c r="D1095" s="15"/>
      <c r="E1095" s="15"/>
      <c r="F1095" s="15"/>
      <c r="G1095" s="15"/>
      <c r="H1095" s="15"/>
      <c r="I1095" s="15"/>
      <c r="J1095" s="15"/>
      <c r="K1095" s="15"/>
      <c r="L1095" s="15"/>
      <c r="M1095" s="15"/>
      <c r="N1095" s="15"/>
      <c r="O1095" s="15"/>
      <c r="P1095" s="15"/>
      <c r="Q1095" s="15"/>
      <c r="R1095" s="15"/>
    </row>
    <row r="1096" spans="1:18" x14ac:dyDescent="0.2">
      <c r="A1096" s="15"/>
      <c r="B1096" s="38"/>
      <c r="C1096" s="15"/>
      <c r="D1096" s="15"/>
      <c r="E1096" s="15"/>
      <c r="F1096" s="15"/>
      <c r="G1096" s="15"/>
      <c r="H1096" s="15"/>
      <c r="I1096" s="15"/>
      <c r="J1096" s="15"/>
      <c r="K1096" s="15"/>
      <c r="L1096" s="15"/>
      <c r="M1096" s="15"/>
      <c r="N1096" s="15"/>
      <c r="O1096" s="15"/>
      <c r="P1096" s="15"/>
      <c r="Q1096" s="15"/>
      <c r="R1096" s="15"/>
    </row>
    <row r="1097" spans="1:18" x14ac:dyDescent="0.2">
      <c r="A1097" s="15"/>
      <c r="B1097" s="38"/>
      <c r="C1097" s="15"/>
      <c r="D1097" s="15"/>
      <c r="E1097" s="15"/>
      <c r="F1097" s="15"/>
      <c r="G1097" s="15"/>
      <c r="H1097" s="15"/>
      <c r="I1097" s="15"/>
      <c r="J1097" s="15"/>
      <c r="K1097" s="15"/>
      <c r="L1097" s="15"/>
      <c r="M1097" s="15"/>
      <c r="N1097" s="15"/>
      <c r="O1097" s="15"/>
      <c r="P1097" s="15"/>
      <c r="Q1097" s="15"/>
      <c r="R1097" s="15"/>
    </row>
    <row r="1098" spans="1:18" x14ac:dyDescent="0.2">
      <c r="A1098" s="15"/>
      <c r="B1098" s="38"/>
      <c r="C1098" s="15"/>
      <c r="D1098" s="15"/>
      <c r="E1098" s="15"/>
      <c r="F1098" s="15"/>
      <c r="G1098" s="15"/>
      <c r="H1098" s="15"/>
      <c r="I1098" s="15"/>
      <c r="J1098" s="15"/>
      <c r="K1098" s="15"/>
      <c r="L1098" s="15"/>
      <c r="M1098" s="15"/>
      <c r="N1098" s="15"/>
      <c r="O1098" s="15"/>
      <c r="P1098" s="15"/>
      <c r="Q1098" s="15"/>
      <c r="R1098" s="15"/>
    </row>
    <row r="1099" spans="1:18" x14ac:dyDescent="0.2">
      <c r="A1099" s="15"/>
      <c r="B1099" s="38"/>
      <c r="C1099" s="15"/>
      <c r="D1099" s="15"/>
      <c r="E1099" s="15"/>
      <c r="F1099" s="15"/>
      <c r="G1099" s="15"/>
      <c r="H1099" s="15"/>
      <c r="I1099" s="15"/>
      <c r="J1099" s="15"/>
      <c r="K1099" s="15"/>
      <c r="L1099" s="15"/>
      <c r="M1099" s="15"/>
      <c r="N1099" s="15"/>
      <c r="O1099" s="15"/>
      <c r="P1099" s="15"/>
      <c r="Q1099" s="15"/>
      <c r="R1099" s="15"/>
    </row>
    <row r="1100" spans="1:18" x14ac:dyDescent="0.2">
      <c r="A1100" s="15"/>
      <c r="B1100" s="38"/>
      <c r="C1100" s="15"/>
      <c r="D1100" s="15"/>
      <c r="E1100" s="15"/>
      <c r="F1100" s="15"/>
      <c r="G1100" s="15"/>
      <c r="H1100" s="15"/>
      <c r="I1100" s="15"/>
      <c r="J1100" s="15"/>
      <c r="K1100" s="15"/>
      <c r="L1100" s="15"/>
      <c r="M1100" s="15"/>
      <c r="N1100" s="15"/>
      <c r="O1100" s="15"/>
      <c r="P1100" s="15"/>
      <c r="Q1100" s="15"/>
      <c r="R1100" s="15"/>
    </row>
    <row r="1101" spans="1:18" x14ac:dyDescent="0.2">
      <c r="A1101" s="15"/>
      <c r="B1101" s="38"/>
      <c r="C1101" s="15"/>
      <c r="D1101" s="15"/>
      <c r="E1101" s="15"/>
      <c r="F1101" s="15"/>
      <c r="G1101" s="15"/>
      <c r="H1101" s="15"/>
      <c r="I1101" s="15"/>
      <c r="J1101" s="15"/>
      <c r="K1101" s="15"/>
      <c r="L1101" s="15"/>
      <c r="M1101" s="15"/>
      <c r="N1101" s="15"/>
      <c r="O1101" s="15"/>
      <c r="P1101" s="15"/>
      <c r="Q1101" s="15"/>
      <c r="R1101" s="15"/>
    </row>
    <row r="1102" spans="1:18" x14ac:dyDescent="0.2">
      <c r="A1102" s="15"/>
      <c r="B1102" s="38"/>
      <c r="C1102" s="15"/>
      <c r="D1102" s="15"/>
      <c r="E1102" s="15"/>
      <c r="F1102" s="15"/>
      <c r="G1102" s="15"/>
      <c r="H1102" s="15"/>
      <c r="I1102" s="15"/>
      <c r="J1102" s="15"/>
      <c r="K1102" s="15"/>
      <c r="L1102" s="15"/>
      <c r="M1102" s="15"/>
      <c r="N1102" s="15"/>
      <c r="O1102" s="15"/>
      <c r="P1102" s="15"/>
      <c r="Q1102" s="15"/>
      <c r="R1102" s="15"/>
    </row>
    <row r="1103" spans="1:18" x14ac:dyDescent="0.2">
      <c r="A1103" s="15"/>
      <c r="B1103" s="38"/>
      <c r="C1103" s="15"/>
      <c r="D1103" s="15"/>
      <c r="E1103" s="15"/>
      <c r="F1103" s="15"/>
      <c r="G1103" s="15"/>
      <c r="H1103" s="15"/>
      <c r="I1103" s="15"/>
      <c r="J1103" s="15"/>
      <c r="K1103" s="15"/>
      <c r="L1103" s="15"/>
      <c r="M1103" s="15"/>
      <c r="N1103" s="15"/>
      <c r="O1103" s="15"/>
      <c r="P1103" s="15"/>
      <c r="Q1103" s="15"/>
      <c r="R1103" s="15"/>
    </row>
    <row r="1104" spans="1:18" x14ac:dyDescent="0.2">
      <c r="A1104" s="15"/>
      <c r="B1104" s="38"/>
      <c r="C1104" s="15"/>
      <c r="D1104" s="15"/>
      <c r="E1104" s="15"/>
      <c r="F1104" s="15"/>
      <c r="G1104" s="15"/>
      <c r="H1104" s="15"/>
      <c r="I1104" s="15"/>
      <c r="J1104" s="15"/>
      <c r="K1104" s="15"/>
      <c r="L1104" s="15"/>
      <c r="M1104" s="15"/>
      <c r="N1104" s="15"/>
      <c r="O1104" s="15"/>
      <c r="P1104" s="15"/>
      <c r="Q1104" s="15"/>
      <c r="R1104" s="15"/>
    </row>
    <row r="1105" spans="1:18" x14ac:dyDescent="0.2">
      <c r="A1105" s="15"/>
      <c r="B1105" s="38"/>
      <c r="C1105" s="15"/>
      <c r="D1105" s="15"/>
      <c r="E1105" s="15"/>
      <c r="F1105" s="15"/>
      <c r="G1105" s="15"/>
      <c r="H1105" s="15"/>
      <c r="I1105" s="15"/>
      <c r="J1105" s="15"/>
      <c r="K1105" s="15"/>
      <c r="L1105" s="15"/>
      <c r="M1105" s="15"/>
      <c r="N1105" s="15"/>
      <c r="O1105" s="15"/>
      <c r="P1105" s="15"/>
      <c r="Q1105" s="15"/>
      <c r="R1105" s="15"/>
    </row>
    <row r="1106" spans="1:18" x14ac:dyDescent="0.2">
      <c r="A1106" s="15"/>
      <c r="B1106" s="38"/>
      <c r="C1106" s="15"/>
      <c r="D1106" s="15"/>
      <c r="E1106" s="15"/>
      <c r="F1106" s="15"/>
      <c r="G1106" s="15"/>
      <c r="H1106" s="15"/>
      <c r="I1106" s="15"/>
      <c r="J1106" s="15"/>
      <c r="K1106" s="15"/>
      <c r="L1106" s="15"/>
      <c r="M1106" s="15"/>
      <c r="N1106" s="15"/>
      <c r="O1106" s="15"/>
      <c r="P1106" s="15"/>
      <c r="Q1106" s="15"/>
      <c r="R1106" s="15"/>
    </row>
    <row r="1107" spans="1:18" x14ac:dyDescent="0.2">
      <c r="A1107" s="15"/>
      <c r="B1107" s="38"/>
      <c r="C1107" s="15"/>
      <c r="D1107" s="15"/>
      <c r="E1107" s="15"/>
      <c r="F1107" s="15"/>
      <c r="G1107" s="15"/>
      <c r="H1107" s="15"/>
      <c r="I1107" s="15"/>
      <c r="J1107" s="15"/>
      <c r="K1107" s="15"/>
      <c r="L1107" s="15"/>
      <c r="M1107" s="15"/>
      <c r="N1107" s="15"/>
      <c r="O1107" s="15"/>
      <c r="P1107" s="15"/>
      <c r="Q1107" s="15"/>
      <c r="R1107" s="15"/>
    </row>
    <row r="1108" spans="1:18" x14ac:dyDescent="0.2">
      <c r="A1108" s="15"/>
      <c r="B1108" s="38"/>
      <c r="C1108" s="15"/>
      <c r="D1108" s="15"/>
      <c r="E1108" s="15"/>
      <c r="F1108" s="15"/>
      <c r="G1108" s="15"/>
      <c r="H1108" s="15"/>
      <c r="I1108" s="15"/>
      <c r="J1108" s="15"/>
      <c r="K1108" s="15"/>
      <c r="L1108" s="15"/>
      <c r="M1108" s="15"/>
      <c r="N1108" s="15"/>
      <c r="O1108" s="15"/>
      <c r="P1108" s="15"/>
      <c r="Q1108" s="15"/>
      <c r="R1108" s="15"/>
    </row>
    <row r="1109" spans="1:18" x14ac:dyDescent="0.2">
      <c r="A1109" s="15"/>
      <c r="B1109" s="38"/>
      <c r="C1109" s="15"/>
      <c r="D1109" s="15"/>
      <c r="E1109" s="15"/>
      <c r="F1109" s="15"/>
      <c r="G1109" s="15"/>
      <c r="H1109" s="15"/>
      <c r="I1109" s="15"/>
      <c r="J1109" s="15"/>
      <c r="K1109" s="15"/>
      <c r="L1109" s="15"/>
      <c r="M1109" s="15"/>
      <c r="N1109" s="15"/>
      <c r="O1109" s="15"/>
      <c r="P1109" s="15"/>
      <c r="Q1109" s="15"/>
      <c r="R1109" s="15"/>
    </row>
    <row r="1110" spans="1:18" x14ac:dyDescent="0.2">
      <c r="A1110" s="15"/>
      <c r="B1110" s="38"/>
      <c r="C1110" s="15"/>
      <c r="D1110" s="15"/>
      <c r="E1110" s="15"/>
      <c r="F1110" s="15"/>
      <c r="G1110" s="15"/>
      <c r="H1110" s="15"/>
      <c r="I1110" s="15"/>
      <c r="J1110" s="15"/>
      <c r="K1110" s="15"/>
      <c r="L1110" s="15"/>
      <c r="M1110" s="15"/>
      <c r="N1110" s="15"/>
      <c r="O1110" s="15"/>
      <c r="P1110" s="15"/>
      <c r="Q1110" s="15"/>
      <c r="R1110" s="15"/>
    </row>
    <row r="1111" spans="1:18" x14ac:dyDescent="0.2">
      <c r="A1111" s="15"/>
      <c r="B1111" s="38"/>
      <c r="C1111" s="15"/>
      <c r="D1111" s="15"/>
      <c r="E1111" s="15"/>
      <c r="F1111" s="15"/>
      <c r="G1111" s="15"/>
      <c r="H1111" s="15"/>
      <c r="I1111" s="15"/>
      <c r="J1111" s="15"/>
      <c r="K1111" s="15"/>
      <c r="L1111" s="15"/>
      <c r="M1111" s="15"/>
      <c r="N1111" s="15"/>
      <c r="O1111" s="15"/>
      <c r="P1111" s="15"/>
      <c r="Q1111" s="15"/>
      <c r="R1111" s="15"/>
    </row>
    <row r="1112" spans="1:18" x14ac:dyDescent="0.2">
      <c r="A1112" s="15"/>
      <c r="B1112" s="38"/>
      <c r="C1112" s="15"/>
      <c r="D1112" s="15"/>
      <c r="E1112" s="15"/>
      <c r="F1112" s="15"/>
      <c r="G1112" s="15"/>
      <c r="H1112" s="15"/>
      <c r="I1112" s="15"/>
      <c r="J1112" s="15"/>
      <c r="K1112" s="15"/>
      <c r="L1112" s="15"/>
      <c r="M1112" s="15"/>
      <c r="N1112" s="15"/>
      <c r="O1112" s="15"/>
      <c r="P1112" s="15"/>
      <c r="Q1112" s="15"/>
      <c r="R1112" s="15"/>
    </row>
    <row r="1113" spans="1:18" x14ac:dyDescent="0.2">
      <c r="A1113" s="15"/>
      <c r="B1113" s="38"/>
      <c r="C1113" s="15"/>
      <c r="D1113" s="15"/>
      <c r="E1113" s="15"/>
      <c r="F1113" s="15"/>
      <c r="G1113" s="15"/>
      <c r="H1113" s="15"/>
      <c r="I1113" s="15"/>
      <c r="J1113" s="15"/>
      <c r="K1113" s="15"/>
      <c r="L1113" s="15"/>
      <c r="M1113" s="15"/>
      <c r="N1113" s="15"/>
      <c r="O1113" s="15"/>
      <c r="P1113" s="15"/>
      <c r="Q1113" s="15"/>
      <c r="R1113" s="15"/>
    </row>
    <row r="1114" spans="1:18" x14ac:dyDescent="0.2">
      <c r="A1114" s="15"/>
      <c r="B1114" s="38"/>
      <c r="C1114" s="15"/>
      <c r="D1114" s="15"/>
      <c r="E1114" s="15"/>
      <c r="F1114" s="15"/>
      <c r="G1114" s="15"/>
      <c r="H1114" s="15"/>
      <c r="I1114" s="15"/>
      <c r="J1114" s="15"/>
      <c r="K1114" s="15"/>
      <c r="L1114" s="15"/>
      <c r="M1114" s="15"/>
      <c r="N1114" s="15"/>
      <c r="O1114" s="15"/>
      <c r="P1114" s="15"/>
      <c r="Q1114" s="15"/>
      <c r="R1114" s="15"/>
    </row>
    <row r="1115" spans="1:18" x14ac:dyDescent="0.2">
      <c r="A1115" s="15"/>
      <c r="B1115" s="38"/>
      <c r="C1115" s="15"/>
      <c r="D1115" s="15"/>
      <c r="E1115" s="15"/>
      <c r="F1115" s="15"/>
      <c r="G1115" s="15"/>
      <c r="H1115" s="15"/>
      <c r="I1115" s="15"/>
      <c r="J1115" s="15"/>
      <c r="K1115" s="15"/>
      <c r="L1115" s="15"/>
      <c r="M1115" s="15"/>
      <c r="N1115" s="15"/>
      <c r="O1115" s="15"/>
      <c r="P1115" s="15"/>
      <c r="Q1115" s="15"/>
      <c r="R1115" s="15"/>
    </row>
    <row r="1116" spans="1:18" x14ac:dyDescent="0.2">
      <c r="A1116" s="15"/>
      <c r="B1116" s="38"/>
      <c r="C1116" s="15"/>
      <c r="D1116" s="15"/>
      <c r="E1116" s="15"/>
      <c r="F1116" s="15"/>
      <c r="G1116" s="15"/>
      <c r="H1116" s="15"/>
      <c r="I1116" s="15"/>
      <c r="J1116" s="15"/>
      <c r="K1116" s="15"/>
      <c r="L1116" s="15"/>
      <c r="M1116" s="15"/>
      <c r="N1116" s="15"/>
      <c r="O1116" s="15"/>
      <c r="P1116" s="15"/>
      <c r="Q1116" s="15"/>
      <c r="R1116" s="15"/>
    </row>
    <row r="1117" spans="1:18" x14ac:dyDescent="0.2">
      <c r="A1117" s="15"/>
      <c r="B1117" s="38"/>
      <c r="C1117" s="15"/>
      <c r="D1117" s="15"/>
      <c r="E1117" s="15"/>
      <c r="F1117" s="15"/>
      <c r="G1117" s="15"/>
      <c r="H1117" s="15"/>
      <c r="I1117" s="15"/>
      <c r="J1117" s="15"/>
      <c r="K1117" s="15"/>
      <c r="L1117" s="15"/>
      <c r="M1117" s="15"/>
      <c r="N1117" s="15"/>
      <c r="O1117" s="15"/>
      <c r="P1117" s="15"/>
      <c r="Q1117" s="15"/>
      <c r="R1117" s="15"/>
    </row>
    <row r="1118" spans="1:18" x14ac:dyDescent="0.2">
      <c r="A1118" s="15"/>
      <c r="B1118" s="38"/>
      <c r="C1118" s="15"/>
      <c r="D1118" s="15"/>
      <c r="E1118" s="15"/>
      <c r="F1118" s="15"/>
      <c r="G1118" s="15"/>
      <c r="H1118" s="15"/>
      <c r="I1118" s="15"/>
      <c r="J1118" s="15"/>
      <c r="K1118" s="15"/>
      <c r="L1118" s="15"/>
      <c r="M1118" s="15"/>
      <c r="N1118" s="15"/>
      <c r="O1118" s="15"/>
      <c r="P1118" s="15"/>
      <c r="Q1118" s="15"/>
      <c r="R1118" s="15"/>
    </row>
    <row r="1119" spans="1:18" x14ac:dyDescent="0.2">
      <c r="A1119" s="15"/>
      <c r="B1119" s="38"/>
      <c r="C1119" s="15"/>
      <c r="D1119" s="15"/>
      <c r="E1119" s="15"/>
      <c r="F1119" s="15"/>
      <c r="G1119" s="15"/>
      <c r="H1119" s="15"/>
      <c r="I1119" s="15"/>
      <c r="J1119" s="15"/>
      <c r="K1119" s="15"/>
      <c r="L1119" s="15"/>
      <c r="M1119" s="15"/>
      <c r="N1119" s="15"/>
      <c r="O1119" s="15"/>
      <c r="P1119" s="15"/>
      <c r="Q1119" s="15"/>
      <c r="R1119" s="15"/>
    </row>
    <row r="1120" spans="1:18" x14ac:dyDescent="0.2">
      <c r="A1120" s="15"/>
      <c r="B1120" s="38"/>
      <c r="C1120" s="15"/>
      <c r="D1120" s="15"/>
      <c r="E1120" s="15"/>
      <c r="F1120" s="15"/>
      <c r="G1120" s="15"/>
      <c r="H1120" s="15"/>
      <c r="I1120" s="15"/>
      <c r="J1120" s="15"/>
      <c r="K1120" s="15"/>
      <c r="L1120" s="15"/>
      <c r="M1120" s="15"/>
      <c r="N1120" s="15"/>
      <c r="O1120" s="15"/>
      <c r="P1120" s="15"/>
      <c r="Q1120" s="15"/>
      <c r="R1120" s="15"/>
    </row>
    <row r="1121" spans="1:18" x14ac:dyDescent="0.2">
      <c r="A1121" s="15"/>
      <c r="B1121" s="38"/>
      <c r="C1121" s="15"/>
      <c r="D1121" s="15"/>
      <c r="E1121" s="15"/>
      <c r="F1121" s="15"/>
      <c r="G1121" s="15"/>
      <c r="H1121" s="15"/>
      <c r="I1121" s="15"/>
      <c r="J1121" s="15"/>
      <c r="K1121" s="15"/>
      <c r="L1121" s="15"/>
      <c r="M1121" s="15"/>
      <c r="N1121" s="15"/>
      <c r="O1121" s="15"/>
      <c r="P1121" s="15"/>
      <c r="Q1121" s="15"/>
      <c r="R1121" s="15"/>
    </row>
    <row r="1122" spans="1:18" x14ac:dyDescent="0.2">
      <c r="A1122" s="15"/>
      <c r="B1122" s="38"/>
      <c r="C1122" s="15"/>
      <c r="D1122" s="15"/>
      <c r="E1122" s="15"/>
      <c r="F1122" s="15"/>
      <c r="G1122" s="15"/>
      <c r="H1122" s="15"/>
      <c r="I1122" s="15"/>
      <c r="J1122" s="15"/>
      <c r="K1122" s="15"/>
      <c r="L1122" s="15"/>
      <c r="M1122" s="15"/>
      <c r="N1122" s="15"/>
      <c r="O1122" s="15"/>
      <c r="P1122" s="15"/>
      <c r="Q1122" s="15"/>
      <c r="R1122" s="15"/>
    </row>
    <row r="1123" spans="1:18" x14ac:dyDescent="0.2">
      <c r="A1123" s="15"/>
      <c r="B1123" s="38"/>
      <c r="C1123" s="15"/>
      <c r="D1123" s="15"/>
      <c r="E1123" s="15"/>
      <c r="F1123" s="15"/>
      <c r="G1123" s="15"/>
      <c r="H1123" s="15"/>
      <c r="I1123" s="15"/>
      <c r="J1123" s="15"/>
      <c r="K1123" s="15"/>
      <c r="L1123" s="15"/>
      <c r="M1123" s="15"/>
      <c r="N1123" s="15"/>
      <c r="O1123" s="15"/>
      <c r="P1123" s="15"/>
      <c r="Q1123" s="15"/>
      <c r="R1123" s="15"/>
    </row>
    <row r="1124" spans="1:18" x14ac:dyDescent="0.2">
      <c r="A1124" s="15"/>
      <c r="B1124" s="38"/>
      <c r="C1124" s="15"/>
      <c r="D1124" s="15"/>
      <c r="E1124" s="15"/>
      <c r="F1124" s="15"/>
      <c r="G1124" s="15"/>
      <c r="H1124" s="15"/>
      <c r="I1124" s="15"/>
      <c r="J1124" s="15"/>
      <c r="K1124" s="15"/>
      <c r="L1124" s="15"/>
      <c r="M1124" s="15"/>
      <c r="N1124" s="15"/>
      <c r="O1124" s="15"/>
      <c r="P1124" s="15"/>
      <c r="Q1124" s="15"/>
      <c r="R1124" s="15"/>
    </row>
    <row r="1125" spans="1:18" x14ac:dyDescent="0.2">
      <c r="A1125" s="15"/>
      <c r="B1125" s="38"/>
      <c r="C1125" s="15"/>
      <c r="D1125" s="15"/>
      <c r="E1125" s="15"/>
      <c r="F1125" s="15"/>
      <c r="G1125" s="15"/>
      <c r="H1125" s="15"/>
      <c r="I1125" s="15"/>
      <c r="J1125" s="15"/>
      <c r="K1125" s="15"/>
      <c r="L1125" s="15"/>
      <c r="M1125" s="15"/>
      <c r="N1125" s="15"/>
      <c r="O1125" s="15"/>
      <c r="P1125" s="15"/>
      <c r="Q1125" s="15"/>
      <c r="R1125" s="15"/>
    </row>
    <row r="1126" spans="1:18" x14ac:dyDescent="0.2">
      <c r="A1126" s="15"/>
      <c r="B1126" s="38"/>
      <c r="C1126" s="15"/>
      <c r="D1126" s="15"/>
      <c r="E1126" s="15"/>
      <c r="F1126" s="15"/>
      <c r="G1126" s="15"/>
      <c r="H1126" s="15"/>
      <c r="I1126" s="15"/>
      <c r="J1126" s="15"/>
      <c r="K1126" s="15"/>
      <c r="L1126" s="15"/>
      <c r="M1126" s="15"/>
      <c r="N1126" s="15"/>
      <c r="O1126" s="15"/>
      <c r="P1126" s="15"/>
      <c r="Q1126" s="15"/>
      <c r="R1126" s="15"/>
    </row>
    <row r="1127" spans="1:18" x14ac:dyDescent="0.2">
      <c r="A1127" s="15"/>
      <c r="B1127" s="38"/>
      <c r="C1127" s="15"/>
      <c r="D1127" s="15"/>
      <c r="E1127" s="15"/>
      <c r="F1127" s="15"/>
      <c r="G1127" s="15"/>
      <c r="H1127" s="15"/>
      <c r="I1127" s="15"/>
      <c r="J1127" s="15"/>
      <c r="K1127" s="15"/>
      <c r="L1127" s="15"/>
      <c r="M1127" s="15"/>
      <c r="N1127" s="15"/>
      <c r="O1127" s="15"/>
      <c r="P1127" s="15"/>
      <c r="Q1127" s="15"/>
      <c r="R1127" s="15"/>
    </row>
    <row r="1128" spans="1:18" x14ac:dyDescent="0.2">
      <c r="A1128" s="15"/>
      <c r="B1128" s="38"/>
      <c r="C1128" s="15"/>
      <c r="D1128" s="15"/>
      <c r="E1128" s="15"/>
      <c r="F1128" s="15"/>
      <c r="G1128" s="15"/>
      <c r="H1128" s="15"/>
      <c r="I1128" s="15"/>
      <c r="J1128" s="15"/>
      <c r="K1128" s="15"/>
      <c r="L1128" s="15"/>
      <c r="M1128" s="15"/>
      <c r="N1128" s="15"/>
      <c r="O1128" s="15"/>
      <c r="P1128" s="15"/>
      <c r="Q1128" s="15"/>
      <c r="R1128" s="15"/>
    </row>
    <row r="1129" spans="1:18" x14ac:dyDescent="0.2">
      <c r="A1129" s="15"/>
      <c r="B1129" s="38"/>
      <c r="C1129" s="15"/>
      <c r="D1129" s="15"/>
      <c r="E1129" s="15"/>
      <c r="F1129" s="15"/>
      <c r="G1129" s="15"/>
      <c r="H1129" s="15"/>
      <c r="I1129" s="15"/>
      <c r="J1129" s="15"/>
      <c r="K1129" s="15"/>
      <c r="L1129" s="15"/>
      <c r="M1129" s="15"/>
      <c r="N1129" s="15"/>
      <c r="O1129" s="15"/>
      <c r="P1129" s="15"/>
      <c r="Q1129" s="15"/>
      <c r="R1129" s="15"/>
    </row>
    <row r="1130" spans="1:18" x14ac:dyDescent="0.2">
      <c r="A1130" s="15"/>
      <c r="B1130" s="38"/>
      <c r="C1130" s="15"/>
      <c r="D1130" s="15"/>
      <c r="E1130" s="15"/>
      <c r="F1130" s="15"/>
      <c r="G1130" s="15"/>
      <c r="H1130" s="15"/>
      <c r="I1130" s="15"/>
      <c r="J1130" s="15"/>
      <c r="K1130" s="15"/>
      <c r="L1130" s="15"/>
      <c r="M1130" s="15"/>
      <c r="N1130" s="15"/>
      <c r="O1130" s="15"/>
      <c r="P1130" s="15"/>
      <c r="Q1130" s="15"/>
      <c r="R1130" s="15"/>
    </row>
    <row r="1131" spans="1:18" x14ac:dyDescent="0.2">
      <c r="A1131" s="15"/>
      <c r="B1131" s="38"/>
      <c r="C1131" s="15"/>
      <c r="D1131" s="15"/>
      <c r="E1131" s="15"/>
      <c r="F1131" s="15"/>
      <c r="G1131" s="15"/>
      <c r="H1131" s="15"/>
      <c r="I1131" s="15"/>
      <c r="J1131" s="15"/>
      <c r="K1131" s="15"/>
      <c r="L1131" s="15"/>
      <c r="M1131" s="15"/>
      <c r="N1131" s="15"/>
      <c r="O1131" s="15"/>
      <c r="P1131" s="15"/>
      <c r="Q1131" s="15"/>
      <c r="R1131" s="15"/>
    </row>
    <row r="1132" spans="1:18" x14ac:dyDescent="0.2">
      <c r="A1132" s="15"/>
      <c r="B1132" s="38"/>
      <c r="C1132" s="15"/>
      <c r="D1132" s="15"/>
      <c r="E1132" s="15"/>
      <c r="F1132" s="15"/>
      <c r="G1132" s="15"/>
      <c r="H1132" s="15"/>
      <c r="I1132" s="15"/>
      <c r="J1132" s="15"/>
      <c r="K1132" s="15"/>
      <c r="L1132" s="15"/>
      <c r="M1132" s="15"/>
      <c r="N1132" s="15"/>
      <c r="O1132" s="15"/>
      <c r="P1132" s="15"/>
      <c r="Q1132" s="15"/>
      <c r="R1132" s="15"/>
    </row>
    <row r="1133" spans="1:18" x14ac:dyDescent="0.2">
      <c r="A1133" s="15"/>
      <c r="B1133" s="38"/>
      <c r="C1133" s="15"/>
      <c r="D1133" s="15"/>
      <c r="E1133" s="15"/>
      <c r="F1133" s="15"/>
      <c r="G1133" s="15"/>
      <c r="H1133" s="15"/>
      <c r="I1133" s="15"/>
      <c r="J1133" s="15"/>
      <c r="K1133" s="15"/>
      <c r="L1133" s="15"/>
      <c r="M1133" s="15"/>
      <c r="N1133" s="15"/>
      <c r="O1133" s="15"/>
      <c r="P1133" s="15"/>
      <c r="Q1133" s="15"/>
      <c r="R1133" s="15"/>
    </row>
    <row r="1134" spans="1:18" x14ac:dyDescent="0.2">
      <c r="A1134" s="15"/>
      <c r="B1134" s="38"/>
      <c r="C1134" s="15"/>
      <c r="D1134" s="15"/>
      <c r="E1134" s="15"/>
      <c r="F1134" s="15"/>
      <c r="G1134" s="15"/>
      <c r="H1134" s="15"/>
      <c r="I1134" s="15"/>
      <c r="J1134" s="15"/>
      <c r="K1134" s="15"/>
      <c r="L1134" s="15"/>
      <c r="M1134" s="15"/>
      <c r="N1134" s="15"/>
      <c r="O1134" s="15"/>
      <c r="P1134" s="15"/>
      <c r="Q1134" s="15"/>
      <c r="R1134" s="15"/>
    </row>
    <row r="1135" spans="1:18" x14ac:dyDescent="0.2">
      <c r="A1135" s="15"/>
      <c r="B1135" s="38"/>
      <c r="C1135" s="15"/>
      <c r="D1135" s="15"/>
      <c r="E1135" s="15"/>
      <c r="F1135" s="15"/>
      <c r="G1135" s="15"/>
      <c r="H1135" s="15"/>
      <c r="I1135" s="15"/>
      <c r="J1135" s="15"/>
      <c r="K1135" s="15"/>
      <c r="L1135" s="15"/>
      <c r="M1135" s="15"/>
      <c r="N1135" s="15"/>
      <c r="O1135" s="15"/>
      <c r="P1135" s="15"/>
      <c r="Q1135" s="15"/>
      <c r="R1135" s="15"/>
    </row>
    <row r="1136" spans="1:18" x14ac:dyDescent="0.2">
      <c r="A1136" s="15"/>
      <c r="B1136" s="38"/>
      <c r="C1136" s="15"/>
      <c r="D1136" s="15"/>
      <c r="E1136" s="15"/>
      <c r="F1136" s="15"/>
      <c r="G1136" s="15"/>
      <c r="H1136" s="15"/>
      <c r="I1136" s="15"/>
      <c r="J1136" s="15"/>
      <c r="K1136" s="15"/>
      <c r="L1136" s="15"/>
      <c r="M1136" s="15"/>
      <c r="N1136" s="15"/>
      <c r="O1136" s="15"/>
      <c r="P1136" s="15"/>
      <c r="Q1136" s="15"/>
      <c r="R1136" s="15"/>
    </row>
    <row r="1137" spans="1:18" x14ac:dyDescent="0.2">
      <c r="A1137" s="15"/>
      <c r="B1137" s="38"/>
      <c r="C1137" s="15"/>
      <c r="D1137" s="15"/>
      <c r="E1137" s="15"/>
      <c r="F1137" s="15"/>
      <c r="G1137" s="15"/>
      <c r="H1137" s="15"/>
      <c r="I1137" s="15"/>
      <c r="J1137" s="15"/>
      <c r="K1137" s="15"/>
      <c r="L1137" s="15"/>
      <c r="M1137" s="15"/>
      <c r="N1137" s="15"/>
      <c r="O1137" s="15"/>
      <c r="P1137" s="15"/>
      <c r="Q1137" s="15"/>
      <c r="R1137" s="15"/>
    </row>
    <row r="1138" spans="1:18" x14ac:dyDescent="0.2">
      <c r="A1138" s="15"/>
      <c r="B1138" s="38"/>
      <c r="C1138" s="15"/>
      <c r="D1138" s="15"/>
      <c r="E1138" s="15"/>
      <c r="F1138" s="15"/>
      <c r="G1138" s="15"/>
      <c r="H1138" s="15"/>
      <c r="I1138" s="15"/>
      <c r="J1138" s="15"/>
      <c r="K1138" s="15"/>
      <c r="L1138" s="15"/>
      <c r="M1138" s="15"/>
      <c r="N1138" s="15"/>
      <c r="O1138" s="15"/>
      <c r="P1138" s="15"/>
      <c r="Q1138" s="15"/>
      <c r="R1138" s="15"/>
    </row>
    <row r="1139" spans="1:18" x14ac:dyDescent="0.2">
      <c r="A1139" s="15"/>
      <c r="B1139" s="38"/>
      <c r="C1139" s="15"/>
      <c r="D1139" s="15"/>
      <c r="E1139" s="15"/>
      <c r="F1139" s="15"/>
      <c r="G1139" s="15"/>
      <c r="H1139" s="15"/>
      <c r="I1139" s="15"/>
      <c r="J1139" s="15"/>
      <c r="K1139" s="15"/>
      <c r="L1139" s="15"/>
      <c r="M1139" s="15"/>
      <c r="N1139" s="15"/>
      <c r="O1139" s="15"/>
      <c r="P1139" s="15"/>
      <c r="Q1139" s="15"/>
      <c r="R1139" s="15"/>
    </row>
    <row r="1140" spans="1:18" x14ac:dyDescent="0.2">
      <c r="A1140" s="15"/>
      <c r="B1140" s="38"/>
      <c r="C1140" s="15"/>
      <c r="D1140" s="15"/>
      <c r="E1140" s="15"/>
      <c r="F1140" s="15"/>
      <c r="G1140" s="15"/>
      <c r="H1140" s="15"/>
      <c r="I1140" s="15"/>
      <c r="J1140" s="15"/>
      <c r="K1140" s="15"/>
      <c r="L1140" s="15"/>
      <c r="M1140" s="15"/>
      <c r="N1140" s="15"/>
      <c r="O1140" s="15"/>
      <c r="P1140" s="15"/>
      <c r="Q1140" s="15"/>
      <c r="R1140" s="15"/>
    </row>
    <row r="1141" spans="1:18" x14ac:dyDescent="0.2">
      <c r="A1141" s="15"/>
      <c r="B1141" s="38"/>
      <c r="C1141" s="15"/>
      <c r="D1141" s="15"/>
      <c r="E1141" s="15"/>
      <c r="F1141" s="15"/>
      <c r="G1141" s="15"/>
      <c r="H1141" s="15"/>
      <c r="I1141" s="15"/>
      <c r="J1141" s="15"/>
      <c r="K1141" s="15"/>
      <c r="L1141" s="15"/>
      <c r="M1141" s="15"/>
      <c r="N1141" s="15"/>
      <c r="O1141" s="15"/>
      <c r="P1141" s="15"/>
      <c r="Q1141" s="15"/>
      <c r="R1141" s="15"/>
    </row>
    <row r="1142" spans="1:18" x14ac:dyDescent="0.2">
      <c r="A1142" s="15"/>
      <c r="B1142" s="38"/>
      <c r="C1142" s="15"/>
      <c r="D1142" s="15"/>
      <c r="E1142" s="15"/>
      <c r="F1142" s="15"/>
      <c r="G1142" s="15"/>
      <c r="H1142" s="15"/>
      <c r="I1142" s="15"/>
      <c r="J1142" s="15"/>
      <c r="K1142" s="15"/>
      <c r="L1142" s="15"/>
      <c r="M1142" s="15"/>
      <c r="N1142" s="15"/>
      <c r="O1142" s="15"/>
      <c r="P1142" s="15"/>
      <c r="Q1142" s="15"/>
      <c r="R1142" s="15"/>
    </row>
    <row r="1143" spans="1:18" x14ac:dyDescent="0.2">
      <c r="A1143" s="15"/>
      <c r="B1143" s="38"/>
      <c r="C1143" s="15"/>
      <c r="D1143" s="15"/>
      <c r="E1143" s="15"/>
      <c r="F1143" s="15"/>
      <c r="G1143" s="15"/>
      <c r="H1143" s="15"/>
      <c r="I1143" s="15"/>
      <c r="J1143" s="15"/>
      <c r="K1143" s="15"/>
      <c r="L1143" s="15"/>
      <c r="M1143" s="15"/>
      <c r="N1143" s="15"/>
      <c r="O1143" s="15"/>
      <c r="P1143" s="15"/>
      <c r="Q1143" s="15"/>
      <c r="R1143" s="15"/>
    </row>
    <row r="1144" spans="1:18" x14ac:dyDescent="0.2">
      <c r="A1144" s="15"/>
      <c r="B1144" s="38"/>
      <c r="C1144" s="15"/>
      <c r="D1144" s="15"/>
      <c r="E1144" s="15"/>
      <c r="F1144" s="15"/>
      <c r="G1144" s="15"/>
      <c r="H1144" s="15"/>
      <c r="I1144" s="15"/>
      <c r="J1144" s="15"/>
      <c r="K1144" s="15"/>
      <c r="L1144" s="15"/>
      <c r="M1144" s="15"/>
      <c r="N1144" s="15"/>
      <c r="O1144" s="15"/>
      <c r="P1144" s="15"/>
      <c r="Q1144" s="15"/>
      <c r="R1144" s="15"/>
    </row>
    <row r="1145" spans="1:18" x14ac:dyDescent="0.2">
      <c r="A1145" s="15"/>
      <c r="B1145" s="38"/>
      <c r="C1145" s="15"/>
      <c r="D1145" s="15"/>
      <c r="E1145" s="15"/>
      <c r="F1145" s="15"/>
      <c r="G1145" s="15"/>
      <c r="H1145" s="15"/>
      <c r="I1145" s="15"/>
      <c r="J1145" s="15"/>
      <c r="K1145" s="15"/>
      <c r="L1145" s="15"/>
      <c r="M1145" s="15"/>
      <c r="N1145" s="15"/>
      <c r="O1145" s="15"/>
      <c r="P1145" s="15"/>
      <c r="Q1145" s="15"/>
      <c r="R1145" s="15"/>
    </row>
    <row r="1146" spans="1:18" x14ac:dyDescent="0.2">
      <c r="A1146" s="15"/>
      <c r="B1146" s="38"/>
      <c r="C1146" s="15"/>
      <c r="D1146" s="15"/>
      <c r="E1146" s="15"/>
      <c r="F1146" s="15"/>
      <c r="G1146" s="15"/>
      <c r="H1146" s="15"/>
      <c r="I1146" s="15"/>
      <c r="J1146" s="15"/>
      <c r="K1146" s="15"/>
      <c r="L1146" s="15"/>
      <c r="M1146" s="15"/>
      <c r="N1146" s="15"/>
      <c r="O1146" s="15"/>
      <c r="P1146" s="15"/>
      <c r="Q1146" s="15"/>
      <c r="R1146" s="15"/>
    </row>
    <row r="1147" spans="1:18" x14ac:dyDescent="0.2">
      <c r="A1147" s="15"/>
      <c r="B1147" s="38"/>
      <c r="C1147" s="15"/>
      <c r="D1147" s="15"/>
      <c r="E1147" s="15"/>
      <c r="F1147" s="15"/>
      <c r="G1147" s="15"/>
      <c r="H1147" s="15"/>
      <c r="I1147" s="15"/>
      <c r="J1147" s="15"/>
      <c r="K1147" s="15"/>
      <c r="L1147" s="15"/>
      <c r="M1147" s="15"/>
      <c r="N1147" s="15"/>
      <c r="O1147" s="15"/>
      <c r="P1147" s="15"/>
      <c r="Q1147" s="15"/>
      <c r="R1147" s="15"/>
    </row>
    <row r="1148" spans="1:18" x14ac:dyDescent="0.2">
      <c r="A1148" s="15"/>
      <c r="B1148" s="38"/>
      <c r="C1148" s="15"/>
      <c r="D1148" s="15"/>
      <c r="E1148" s="15"/>
      <c r="F1148" s="15"/>
      <c r="G1148" s="15"/>
      <c r="H1148" s="15"/>
      <c r="I1148" s="15"/>
      <c r="J1148" s="15"/>
      <c r="K1148" s="15"/>
      <c r="L1148" s="15"/>
      <c r="M1148" s="15"/>
      <c r="N1148" s="15"/>
      <c r="O1148" s="15"/>
      <c r="P1148" s="15"/>
      <c r="Q1148" s="15"/>
      <c r="R1148" s="15"/>
    </row>
    <row r="1149" spans="1:18" x14ac:dyDescent="0.2">
      <c r="A1149" s="15"/>
      <c r="B1149" s="38"/>
      <c r="C1149" s="15"/>
      <c r="D1149" s="15"/>
      <c r="E1149" s="15"/>
      <c r="F1149" s="15"/>
      <c r="G1149" s="15"/>
      <c r="H1149" s="15"/>
      <c r="I1149" s="15"/>
      <c r="J1149" s="15"/>
      <c r="K1149" s="15"/>
      <c r="L1149" s="15"/>
      <c r="M1149" s="15"/>
      <c r="N1149" s="15"/>
      <c r="O1149" s="15"/>
      <c r="P1149" s="15"/>
      <c r="Q1149" s="15"/>
      <c r="R1149" s="15"/>
    </row>
    <row r="1150" spans="1:18" x14ac:dyDescent="0.2">
      <c r="A1150" s="15"/>
      <c r="B1150" s="38"/>
      <c r="C1150" s="15"/>
      <c r="D1150" s="15"/>
      <c r="E1150" s="15"/>
      <c r="F1150" s="15"/>
      <c r="G1150" s="15"/>
      <c r="H1150" s="15"/>
      <c r="I1150" s="15"/>
      <c r="J1150" s="15"/>
      <c r="K1150" s="15"/>
      <c r="L1150" s="15"/>
      <c r="M1150" s="15"/>
      <c r="N1150" s="15"/>
      <c r="O1150" s="15"/>
      <c r="P1150" s="15"/>
      <c r="Q1150" s="15"/>
      <c r="R1150" s="15"/>
    </row>
    <row r="1151" spans="1:18" x14ac:dyDescent="0.2">
      <c r="A1151" s="15"/>
      <c r="B1151" s="38"/>
      <c r="C1151" s="15"/>
      <c r="D1151" s="15"/>
      <c r="E1151" s="15"/>
      <c r="F1151" s="15"/>
      <c r="G1151" s="15"/>
      <c r="H1151" s="15"/>
      <c r="I1151" s="15"/>
      <c r="J1151" s="15"/>
      <c r="K1151" s="15"/>
      <c r="L1151" s="15"/>
      <c r="M1151" s="15"/>
      <c r="N1151" s="15"/>
      <c r="O1151" s="15"/>
      <c r="P1151" s="15"/>
      <c r="Q1151" s="15"/>
      <c r="R1151" s="15"/>
    </row>
    <row r="1152" spans="1:18" x14ac:dyDescent="0.2">
      <c r="A1152" s="15"/>
      <c r="B1152" s="38"/>
      <c r="C1152" s="15"/>
      <c r="D1152" s="15"/>
      <c r="E1152" s="15"/>
      <c r="F1152" s="15"/>
      <c r="G1152" s="15"/>
      <c r="H1152" s="15"/>
      <c r="I1152" s="15"/>
      <c r="J1152" s="15"/>
      <c r="K1152" s="15"/>
      <c r="L1152" s="15"/>
      <c r="M1152" s="15"/>
      <c r="N1152" s="15"/>
      <c r="O1152" s="15"/>
      <c r="P1152" s="15"/>
      <c r="Q1152" s="15"/>
      <c r="R1152" s="15"/>
    </row>
    <row r="1153" spans="1:18" x14ac:dyDescent="0.2">
      <c r="A1153" s="15"/>
      <c r="B1153" s="38"/>
      <c r="C1153" s="15"/>
      <c r="D1153" s="15"/>
      <c r="E1153" s="15"/>
      <c r="F1153" s="15"/>
      <c r="G1153" s="15"/>
      <c r="H1153" s="15"/>
      <c r="I1153" s="15"/>
      <c r="J1153" s="15"/>
      <c r="K1153" s="15"/>
      <c r="L1153" s="15"/>
      <c r="M1153" s="15"/>
      <c r="N1153" s="15"/>
      <c r="O1153" s="15"/>
      <c r="P1153" s="15"/>
      <c r="Q1153" s="15"/>
      <c r="R1153" s="15"/>
    </row>
    <row r="1154" spans="1:18" x14ac:dyDescent="0.2">
      <c r="A1154" s="15"/>
      <c r="B1154" s="38"/>
      <c r="C1154" s="15"/>
      <c r="D1154" s="15"/>
      <c r="E1154" s="15"/>
      <c r="F1154" s="15"/>
      <c r="G1154" s="15"/>
      <c r="H1154" s="15"/>
      <c r="I1154" s="15"/>
      <c r="J1154" s="15"/>
      <c r="K1154" s="15"/>
      <c r="L1154" s="15"/>
      <c r="M1154" s="15"/>
      <c r="N1154" s="15"/>
      <c r="O1154" s="15"/>
      <c r="P1154" s="15"/>
      <c r="Q1154" s="15"/>
      <c r="R1154" s="15"/>
    </row>
    <row r="1155" spans="1:18" x14ac:dyDescent="0.2">
      <c r="A1155" s="15"/>
      <c r="B1155" s="38"/>
      <c r="C1155" s="15"/>
      <c r="D1155" s="15"/>
      <c r="E1155" s="15"/>
      <c r="F1155" s="15"/>
      <c r="G1155" s="15"/>
      <c r="H1155" s="15"/>
      <c r="I1155" s="15"/>
      <c r="J1155" s="15"/>
      <c r="K1155" s="15"/>
      <c r="L1155" s="15"/>
      <c r="M1155" s="15"/>
      <c r="N1155" s="15"/>
      <c r="O1155" s="15"/>
      <c r="P1155" s="15"/>
      <c r="Q1155" s="15"/>
      <c r="R1155" s="15"/>
    </row>
    <row r="1156" spans="1:18" x14ac:dyDescent="0.2">
      <c r="A1156" s="15"/>
      <c r="B1156" s="38"/>
      <c r="C1156" s="15"/>
      <c r="D1156" s="15"/>
      <c r="E1156" s="15"/>
      <c r="F1156" s="15"/>
      <c r="G1156" s="15"/>
      <c r="H1156" s="15"/>
      <c r="I1156" s="15"/>
      <c r="J1156" s="15"/>
      <c r="K1156" s="15"/>
      <c r="L1156" s="15"/>
      <c r="M1156" s="15"/>
      <c r="N1156" s="15"/>
      <c r="O1156" s="15"/>
      <c r="P1156" s="15"/>
      <c r="Q1156" s="15"/>
      <c r="R1156" s="15"/>
    </row>
    <row r="1157" spans="1:18" x14ac:dyDescent="0.2">
      <c r="A1157" s="15"/>
      <c r="B1157" s="38"/>
      <c r="C1157" s="15"/>
      <c r="D1157" s="15"/>
      <c r="E1157" s="15"/>
      <c r="F1157" s="15"/>
      <c r="G1157" s="15"/>
      <c r="H1157" s="15"/>
      <c r="I1157" s="15"/>
      <c r="J1157" s="15"/>
      <c r="K1157" s="15"/>
      <c r="L1157" s="15"/>
      <c r="M1157" s="15"/>
      <c r="N1157" s="15"/>
      <c r="O1157" s="15"/>
      <c r="P1157" s="15"/>
      <c r="Q1157" s="15"/>
      <c r="R1157" s="15"/>
    </row>
    <row r="1158" spans="1:18" x14ac:dyDescent="0.2">
      <c r="A1158" s="15"/>
      <c r="B1158" s="38"/>
      <c r="C1158" s="15"/>
      <c r="D1158" s="15"/>
      <c r="E1158" s="15"/>
      <c r="F1158" s="15"/>
      <c r="G1158" s="15"/>
      <c r="H1158" s="15"/>
      <c r="I1158" s="15"/>
      <c r="J1158" s="15"/>
      <c r="K1158" s="15"/>
      <c r="L1158" s="15"/>
      <c r="M1158" s="15"/>
      <c r="N1158" s="15"/>
      <c r="O1158" s="15"/>
      <c r="P1158" s="15"/>
      <c r="Q1158" s="15"/>
      <c r="R1158" s="15"/>
    </row>
    <row r="1159" spans="1:18" x14ac:dyDescent="0.2">
      <c r="A1159" s="15"/>
      <c r="B1159" s="38"/>
      <c r="C1159" s="15"/>
      <c r="D1159" s="15"/>
      <c r="E1159" s="15"/>
      <c r="F1159" s="15"/>
      <c r="G1159" s="15"/>
      <c r="H1159" s="15"/>
      <c r="I1159" s="15"/>
      <c r="J1159" s="15"/>
      <c r="K1159" s="15"/>
      <c r="L1159" s="15"/>
      <c r="M1159" s="15"/>
      <c r="N1159" s="15"/>
      <c r="O1159" s="15"/>
      <c r="P1159" s="15"/>
      <c r="Q1159" s="15"/>
      <c r="R1159" s="15"/>
    </row>
    <row r="1160" spans="1:18" x14ac:dyDescent="0.2">
      <c r="A1160" s="15"/>
      <c r="B1160" s="38"/>
      <c r="C1160" s="15"/>
      <c r="D1160" s="15"/>
      <c r="E1160" s="15"/>
      <c r="F1160" s="15"/>
      <c r="G1160" s="15"/>
      <c r="H1160" s="15"/>
      <c r="I1160" s="15"/>
      <c r="J1160" s="15"/>
      <c r="K1160" s="15"/>
      <c r="L1160" s="15"/>
      <c r="M1160" s="15"/>
      <c r="N1160" s="15"/>
      <c r="O1160" s="15"/>
      <c r="P1160" s="15"/>
      <c r="Q1160" s="15"/>
      <c r="R1160" s="15"/>
    </row>
    <row r="1161" spans="1:18" x14ac:dyDescent="0.2">
      <c r="A1161" s="15"/>
      <c r="B1161" s="38"/>
      <c r="C1161" s="15"/>
      <c r="D1161" s="15"/>
      <c r="E1161" s="15"/>
      <c r="F1161" s="15"/>
      <c r="G1161" s="15"/>
      <c r="H1161" s="15"/>
      <c r="I1161" s="15"/>
      <c r="J1161" s="15"/>
      <c r="K1161" s="15"/>
      <c r="L1161" s="15"/>
      <c r="M1161" s="15"/>
      <c r="N1161" s="15"/>
      <c r="O1161" s="15"/>
      <c r="P1161" s="15"/>
      <c r="Q1161" s="15"/>
      <c r="R1161" s="15"/>
    </row>
    <row r="1162" spans="1:18" x14ac:dyDescent="0.2">
      <c r="A1162" s="15"/>
      <c r="B1162" s="38"/>
      <c r="C1162" s="15"/>
      <c r="D1162" s="15"/>
      <c r="E1162" s="15"/>
      <c r="F1162" s="15"/>
      <c r="G1162" s="15"/>
      <c r="H1162" s="15"/>
      <c r="I1162" s="15"/>
      <c r="J1162" s="15"/>
      <c r="K1162" s="15"/>
      <c r="L1162" s="15"/>
      <c r="M1162" s="15"/>
      <c r="N1162" s="15"/>
      <c r="O1162" s="15"/>
      <c r="P1162" s="15"/>
      <c r="Q1162" s="15"/>
      <c r="R1162" s="15"/>
    </row>
    <row r="1163" spans="1:18" x14ac:dyDescent="0.2">
      <c r="A1163" s="15"/>
      <c r="B1163" s="38"/>
      <c r="C1163" s="15"/>
      <c r="D1163" s="15"/>
      <c r="E1163" s="15"/>
      <c r="F1163" s="15"/>
      <c r="G1163" s="15"/>
      <c r="H1163" s="15"/>
      <c r="I1163" s="15"/>
      <c r="J1163" s="15"/>
      <c r="K1163" s="15"/>
      <c r="L1163" s="15"/>
      <c r="M1163" s="15"/>
      <c r="N1163" s="15"/>
      <c r="O1163" s="15"/>
      <c r="P1163" s="15"/>
      <c r="Q1163" s="15"/>
      <c r="R1163" s="15"/>
    </row>
    <row r="1164" spans="1:18" x14ac:dyDescent="0.2">
      <c r="A1164" s="15"/>
      <c r="B1164" s="38"/>
      <c r="C1164" s="15"/>
      <c r="D1164" s="15"/>
      <c r="E1164" s="15"/>
      <c r="F1164" s="15"/>
      <c r="G1164" s="15"/>
      <c r="H1164" s="15"/>
      <c r="I1164" s="15"/>
      <c r="J1164" s="15"/>
      <c r="K1164" s="15"/>
      <c r="L1164" s="15"/>
      <c r="M1164" s="15"/>
      <c r="N1164" s="15"/>
      <c r="O1164" s="15"/>
      <c r="P1164" s="15"/>
      <c r="Q1164" s="15"/>
      <c r="R1164" s="15"/>
    </row>
    <row r="1165" spans="1:18" x14ac:dyDescent="0.2">
      <c r="A1165" s="15"/>
      <c r="B1165" s="38"/>
      <c r="C1165" s="15"/>
      <c r="D1165" s="15"/>
      <c r="E1165" s="15"/>
      <c r="F1165" s="15"/>
      <c r="G1165" s="15"/>
      <c r="H1165" s="15"/>
      <c r="I1165" s="15"/>
      <c r="J1165" s="15"/>
      <c r="K1165" s="15"/>
      <c r="L1165" s="15"/>
      <c r="M1165" s="15"/>
      <c r="N1165" s="15"/>
      <c r="O1165" s="15"/>
      <c r="P1165" s="15"/>
      <c r="Q1165" s="15"/>
      <c r="R1165" s="15"/>
    </row>
    <row r="1166" spans="1:18" x14ac:dyDescent="0.2">
      <c r="A1166" s="15"/>
      <c r="B1166" s="38"/>
      <c r="C1166" s="15"/>
      <c r="D1166" s="15"/>
      <c r="E1166" s="15"/>
      <c r="F1166" s="15"/>
      <c r="G1166" s="15"/>
      <c r="H1166" s="15"/>
      <c r="I1166" s="15"/>
      <c r="J1166" s="15"/>
      <c r="K1166" s="15"/>
      <c r="L1166" s="15"/>
      <c r="M1166" s="15"/>
      <c r="N1166" s="15"/>
      <c r="O1166" s="15"/>
      <c r="P1166" s="15"/>
      <c r="Q1166" s="15"/>
      <c r="R1166" s="15"/>
    </row>
    <row r="1167" spans="1:18" x14ac:dyDescent="0.2">
      <c r="A1167" s="15"/>
      <c r="B1167" s="38"/>
      <c r="C1167" s="15"/>
      <c r="D1167" s="15"/>
      <c r="E1167" s="15"/>
      <c r="F1167" s="15"/>
      <c r="G1167" s="15"/>
      <c r="H1167" s="15"/>
      <c r="I1167" s="15"/>
      <c r="J1167" s="15"/>
      <c r="K1167" s="15"/>
      <c r="L1167" s="15"/>
      <c r="M1167" s="15"/>
      <c r="N1167" s="15"/>
      <c r="O1167" s="15"/>
      <c r="P1167" s="15"/>
      <c r="Q1167" s="15"/>
      <c r="R1167" s="15"/>
    </row>
    <row r="1168" spans="1:18" x14ac:dyDescent="0.2">
      <c r="A1168" s="15"/>
      <c r="B1168" s="38"/>
      <c r="C1168" s="15"/>
      <c r="D1168" s="15"/>
      <c r="E1168" s="15"/>
      <c r="F1168" s="15"/>
      <c r="G1168" s="15"/>
      <c r="H1168" s="15"/>
      <c r="I1168" s="15"/>
      <c r="J1168" s="15"/>
      <c r="K1168" s="15"/>
      <c r="L1168" s="15"/>
      <c r="M1168" s="15"/>
      <c r="N1168" s="15"/>
      <c r="O1168" s="15"/>
      <c r="P1168" s="15"/>
      <c r="Q1168" s="15"/>
      <c r="R1168" s="15"/>
    </row>
    <row r="1169" spans="1:18" x14ac:dyDescent="0.2">
      <c r="A1169" s="15"/>
      <c r="B1169" s="38"/>
      <c r="C1169" s="15"/>
      <c r="D1169" s="15"/>
      <c r="E1169" s="15"/>
      <c r="F1169" s="15"/>
      <c r="G1169" s="15"/>
      <c r="H1169" s="15"/>
      <c r="I1169" s="15"/>
      <c r="J1169" s="15"/>
      <c r="K1169" s="15"/>
      <c r="L1169" s="15"/>
      <c r="M1169" s="15"/>
      <c r="N1169" s="15"/>
      <c r="O1169" s="15"/>
      <c r="P1169" s="15"/>
      <c r="Q1169" s="15"/>
      <c r="R1169" s="15"/>
    </row>
    <row r="1170" spans="1:18" x14ac:dyDescent="0.2">
      <c r="A1170" s="15"/>
      <c r="B1170" s="38"/>
      <c r="C1170" s="15"/>
      <c r="D1170" s="15"/>
      <c r="E1170" s="15"/>
      <c r="F1170" s="15"/>
      <c r="G1170" s="15"/>
      <c r="H1170" s="15"/>
      <c r="I1170" s="15"/>
      <c r="J1170" s="15"/>
      <c r="K1170" s="15"/>
      <c r="L1170" s="15"/>
      <c r="M1170" s="15"/>
      <c r="N1170" s="15"/>
      <c r="O1170" s="15"/>
      <c r="P1170" s="15"/>
      <c r="Q1170" s="15"/>
      <c r="R1170" s="15"/>
    </row>
    <row r="1171" spans="1:18" x14ac:dyDescent="0.2">
      <c r="A1171" s="15"/>
      <c r="B1171" s="38"/>
      <c r="C1171" s="15"/>
      <c r="D1171" s="15"/>
      <c r="E1171" s="15"/>
      <c r="F1171" s="15"/>
      <c r="G1171" s="15"/>
      <c r="H1171" s="15"/>
      <c r="I1171" s="15"/>
      <c r="J1171" s="15"/>
      <c r="K1171" s="15"/>
      <c r="L1171" s="15"/>
      <c r="M1171" s="15"/>
      <c r="N1171" s="15"/>
      <c r="O1171" s="15"/>
      <c r="P1171" s="15"/>
      <c r="Q1171" s="15"/>
      <c r="R1171" s="15"/>
    </row>
    <row r="1172" spans="1:18" x14ac:dyDescent="0.2">
      <c r="A1172" s="15"/>
      <c r="B1172" s="38"/>
      <c r="C1172" s="15"/>
      <c r="D1172" s="15"/>
      <c r="E1172" s="15"/>
      <c r="F1172" s="15"/>
      <c r="G1172" s="15"/>
      <c r="H1172" s="15"/>
      <c r="I1172" s="15"/>
      <c r="J1172" s="15"/>
      <c r="K1172" s="15"/>
      <c r="L1172" s="15"/>
      <c r="M1172" s="15"/>
      <c r="N1172" s="15"/>
      <c r="O1172" s="15"/>
      <c r="P1172" s="15"/>
      <c r="Q1172" s="15"/>
      <c r="R1172" s="15"/>
    </row>
    <row r="1173" spans="1:18" x14ac:dyDescent="0.2">
      <c r="A1173" s="15"/>
      <c r="B1173" s="38"/>
      <c r="C1173" s="15"/>
      <c r="D1173" s="15"/>
      <c r="E1173" s="15"/>
      <c r="F1173" s="15"/>
      <c r="G1173" s="15"/>
      <c r="H1173" s="15"/>
      <c r="I1173" s="15"/>
      <c r="J1173" s="15"/>
      <c r="K1173" s="15"/>
      <c r="L1173" s="15"/>
      <c r="M1173" s="15"/>
      <c r="N1173" s="15"/>
      <c r="O1173" s="15"/>
      <c r="P1173" s="15"/>
      <c r="Q1173" s="15"/>
      <c r="R1173" s="15"/>
    </row>
    <row r="1174" spans="1:18" x14ac:dyDescent="0.2">
      <c r="A1174" s="15"/>
      <c r="B1174" s="38"/>
      <c r="C1174" s="15"/>
      <c r="D1174" s="15"/>
      <c r="E1174" s="15"/>
      <c r="F1174" s="15"/>
      <c r="G1174" s="15"/>
      <c r="H1174" s="15"/>
      <c r="I1174" s="15"/>
      <c r="J1174" s="15"/>
      <c r="K1174" s="15"/>
      <c r="L1174" s="15"/>
      <c r="M1174" s="15"/>
      <c r="N1174" s="15"/>
      <c r="O1174" s="15"/>
      <c r="P1174" s="15"/>
      <c r="Q1174" s="15"/>
      <c r="R1174" s="15"/>
    </row>
    <row r="1175" spans="1:18" x14ac:dyDescent="0.2">
      <c r="A1175" s="15"/>
      <c r="B1175" s="38"/>
      <c r="C1175" s="15"/>
      <c r="D1175" s="15"/>
      <c r="E1175" s="15"/>
      <c r="F1175" s="15"/>
      <c r="G1175" s="15"/>
      <c r="H1175" s="15"/>
      <c r="I1175" s="15"/>
      <c r="J1175" s="15"/>
      <c r="K1175" s="15"/>
      <c r="L1175" s="15"/>
      <c r="M1175" s="15"/>
      <c r="N1175" s="15"/>
      <c r="O1175" s="15"/>
      <c r="P1175" s="15"/>
      <c r="Q1175" s="15"/>
      <c r="R1175" s="15"/>
    </row>
    <row r="1176" spans="1:18" x14ac:dyDescent="0.2">
      <c r="A1176" s="15"/>
      <c r="B1176" s="38"/>
      <c r="C1176" s="15"/>
      <c r="D1176" s="15"/>
      <c r="E1176" s="15"/>
      <c r="F1176" s="15"/>
      <c r="G1176" s="15"/>
      <c r="H1176" s="15"/>
      <c r="I1176" s="15"/>
      <c r="J1176" s="15"/>
      <c r="K1176" s="15"/>
      <c r="L1176" s="15"/>
      <c r="M1176" s="15"/>
      <c r="N1176" s="15"/>
      <c r="O1176" s="15"/>
      <c r="P1176" s="15"/>
      <c r="Q1176" s="15"/>
      <c r="R1176" s="15"/>
    </row>
    <row r="1177" spans="1:18" x14ac:dyDescent="0.2">
      <c r="A1177" s="15"/>
      <c r="B1177" s="38"/>
      <c r="C1177" s="15"/>
      <c r="D1177" s="15"/>
      <c r="E1177" s="15"/>
      <c r="F1177" s="15"/>
      <c r="G1177" s="15"/>
      <c r="H1177" s="15"/>
      <c r="I1177" s="15"/>
      <c r="J1177" s="15"/>
      <c r="K1177" s="15"/>
      <c r="L1177" s="15"/>
      <c r="M1177" s="15"/>
      <c r="N1177" s="15"/>
      <c r="O1177" s="15"/>
      <c r="P1177" s="15"/>
      <c r="Q1177" s="15"/>
      <c r="R1177" s="15"/>
    </row>
    <row r="1178" spans="1:18" x14ac:dyDescent="0.2">
      <c r="A1178" s="15"/>
      <c r="B1178" s="38"/>
      <c r="C1178" s="15"/>
      <c r="D1178" s="15"/>
      <c r="E1178" s="15"/>
      <c r="F1178" s="15"/>
      <c r="G1178" s="15"/>
      <c r="H1178" s="15"/>
      <c r="I1178" s="15"/>
      <c r="J1178" s="15"/>
      <c r="K1178" s="15"/>
      <c r="L1178" s="15"/>
      <c r="M1178" s="15"/>
      <c r="N1178" s="15"/>
      <c r="O1178" s="15"/>
      <c r="P1178" s="15"/>
      <c r="Q1178" s="15"/>
      <c r="R1178" s="15"/>
    </row>
    <row r="1179" spans="1:18" x14ac:dyDescent="0.2">
      <c r="A1179" s="15"/>
      <c r="B1179" s="38"/>
      <c r="C1179" s="15"/>
      <c r="D1179" s="15"/>
      <c r="E1179" s="15"/>
      <c r="F1179" s="15"/>
      <c r="G1179" s="15"/>
      <c r="H1179" s="15"/>
      <c r="I1179" s="15"/>
      <c r="J1179" s="15"/>
      <c r="K1179" s="15"/>
      <c r="L1179" s="15"/>
      <c r="M1179" s="15"/>
      <c r="N1179" s="15"/>
      <c r="O1179" s="15"/>
      <c r="P1179" s="15"/>
      <c r="Q1179" s="15"/>
      <c r="R1179" s="15"/>
    </row>
    <row r="1180" spans="1:18" x14ac:dyDescent="0.2">
      <c r="A1180" s="15"/>
      <c r="B1180" s="38"/>
      <c r="C1180" s="15"/>
      <c r="D1180" s="15"/>
      <c r="E1180" s="15"/>
      <c r="F1180" s="15"/>
      <c r="G1180" s="15"/>
      <c r="H1180" s="15"/>
      <c r="I1180" s="15"/>
      <c r="J1180" s="15"/>
      <c r="K1180" s="15"/>
      <c r="L1180" s="15"/>
      <c r="M1180" s="15"/>
      <c r="N1180" s="15"/>
      <c r="O1180" s="15"/>
      <c r="P1180" s="15"/>
      <c r="Q1180" s="15"/>
      <c r="R1180" s="15"/>
    </row>
    <row r="1181" spans="1:18" x14ac:dyDescent="0.2">
      <c r="A1181" s="15"/>
      <c r="B1181" s="38"/>
      <c r="C1181" s="15"/>
      <c r="D1181" s="15"/>
      <c r="E1181" s="15"/>
      <c r="F1181" s="15"/>
      <c r="G1181" s="15"/>
      <c r="H1181" s="15"/>
      <c r="I1181" s="15"/>
      <c r="J1181" s="15"/>
      <c r="K1181" s="15"/>
      <c r="L1181" s="15"/>
      <c r="M1181" s="15"/>
      <c r="N1181" s="15"/>
      <c r="O1181" s="15"/>
      <c r="P1181" s="15"/>
      <c r="Q1181" s="15"/>
      <c r="R1181" s="15"/>
    </row>
    <row r="1182" spans="1:18" x14ac:dyDescent="0.2">
      <c r="A1182" s="15"/>
      <c r="B1182" s="38"/>
      <c r="C1182" s="15"/>
      <c r="D1182" s="15"/>
      <c r="E1182" s="15"/>
      <c r="F1182" s="15"/>
      <c r="G1182" s="15"/>
      <c r="H1182" s="15"/>
      <c r="I1182" s="15"/>
      <c r="J1182" s="15"/>
      <c r="K1182" s="15"/>
      <c r="L1182" s="15"/>
      <c r="M1182" s="15"/>
      <c r="N1182" s="15"/>
      <c r="O1182" s="15"/>
      <c r="P1182" s="15"/>
      <c r="Q1182" s="15"/>
      <c r="R1182" s="15"/>
    </row>
    <row r="1183" spans="1:18" x14ac:dyDescent="0.2">
      <c r="A1183" s="15"/>
      <c r="B1183" s="38"/>
      <c r="C1183" s="15"/>
      <c r="D1183" s="15"/>
      <c r="E1183" s="15"/>
      <c r="F1183" s="15"/>
      <c r="G1183" s="15"/>
      <c r="H1183" s="15"/>
      <c r="I1183" s="15"/>
      <c r="J1183" s="15"/>
      <c r="K1183" s="15"/>
      <c r="L1183" s="15"/>
      <c r="M1183" s="15"/>
      <c r="N1183" s="15"/>
      <c r="O1183" s="15"/>
      <c r="P1183" s="15"/>
      <c r="Q1183" s="15"/>
      <c r="R1183" s="15"/>
    </row>
    <row r="1184" spans="1:18" x14ac:dyDescent="0.2">
      <c r="A1184" s="15"/>
      <c r="B1184" s="38"/>
      <c r="C1184" s="15"/>
      <c r="D1184" s="15"/>
      <c r="E1184" s="15"/>
      <c r="F1184" s="15"/>
      <c r="G1184" s="15"/>
      <c r="H1184" s="15"/>
      <c r="I1184" s="15"/>
      <c r="J1184" s="15"/>
      <c r="K1184" s="15"/>
      <c r="L1184" s="15"/>
      <c r="M1184" s="15"/>
      <c r="N1184" s="15"/>
      <c r="O1184" s="15"/>
      <c r="P1184" s="15"/>
      <c r="Q1184" s="15"/>
      <c r="R1184" s="15"/>
    </row>
    <row r="1185" spans="1:18" x14ac:dyDescent="0.2">
      <c r="A1185" s="15"/>
      <c r="B1185" s="38"/>
      <c r="C1185" s="15"/>
      <c r="D1185" s="15"/>
      <c r="E1185" s="15"/>
      <c r="F1185" s="15"/>
      <c r="G1185" s="15"/>
      <c r="H1185" s="15"/>
      <c r="I1185" s="15"/>
      <c r="J1185" s="15"/>
      <c r="K1185" s="15"/>
      <c r="L1185" s="15"/>
      <c r="M1185" s="15"/>
      <c r="N1185" s="15"/>
      <c r="O1185" s="15"/>
      <c r="P1185" s="15"/>
      <c r="Q1185" s="15"/>
      <c r="R1185" s="15"/>
    </row>
    <row r="1186" spans="1:18" x14ac:dyDescent="0.2">
      <c r="A1186" s="15"/>
      <c r="B1186" s="38"/>
      <c r="C1186" s="15"/>
      <c r="D1186" s="15"/>
      <c r="E1186" s="15"/>
      <c r="F1186" s="15"/>
      <c r="G1186" s="15"/>
      <c r="H1186" s="15"/>
      <c r="I1186" s="15"/>
      <c r="J1186" s="15"/>
      <c r="K1186" s="15"/>
      <c r="L1186" s="15"/>
      <c r="M1186" s="15"/>
      <c r="N1186" s="15"/>
      <c r="O1186" s="15"/>
      <c r="P1186" s="15"/>
      <c r="Q1186" s="15"/>
      <c r="R1186" s="15"/>
    </row>
    <row r="1187" spans="1:18" x14ac:dyDescent="0.2">
      <c r="A1187" s="15"/>
      <c r="B1187" s="38"/>
      <c r="C1187" s="15"/>
      <c r="D1187" s="15"/>
      <c r="E1187" s="15"/>
      <c r="F1187" s="15"/>
      <c r="G1187" s="15"/>
      <c r="H1187" s="15"/>
      <c r="I1187" s="15"/>
      <c r="J1187" s="15"/>
      <c r="K1187" s="15"/>
      <c r="L1187" s="15"/>
      <c r="M1187" s="15"/>
      <c r="N1187" s="15"/>
      <c r="O1187" s="15"/>
      <c r="P1187" s="15"/>
      <c r="Q1187" s="15"/>
      <c r="R1187" s="15"/>
    </row>
    <row r="1188" spans="1:18" x14ac:dyDescent="0.2">
      <c r="A1188" s="15"/>
      <c r="B1188" s="38"/>
      <c r="C1188" s="15"/>
      <c r="D1188" s="15"/>
      <c r="E1188" s="15"/>
      <c r="F1188" s="15"/>
      <c r="G1188" s="15"/>
      <c r="H1188" s="15"/>
      <c r="I1188" s="15"/>
      <c r="J1188" s="15"/>
      <c r="K1188" s="15"/>
      <c r="L1188" s="15"/>
      <c r="M1188" s="15"/>
      <c r="N1188" s="15"/>
      <c r="O1188" s="15"/>
      <c r="P1188" s="15"/>
      <c r="Q1188" s="15"/>
      <c r="R1188" s="15"/>
    </row>
    <row r="1189" spans="1:18" x14ac:dyDescent="0.2">
      <c r="A1189" s="15"/>
      <c r="B1189" s="38"/>
      <c r="C1189" s="15"/>
      <c r="D1189" s="15"/>
      <c r="E1189" s="15"/>
      <c r="F1189" s="15"/>
      <c r="G1189" s="15"/>
      <c r="H1189" s="15"/>
      <c r="I1189" s="15"/>
      <c r="J1189" s="15"/>
      <c r="K1189" s="15"/>
      <c r="L1189" s="15"/>
      <c r="M1189" s="15"/>
      <c r="N1189" s="15"/>
      <c r="O1189" s="15"/>
      <c r="P1189" s="15"/>
      <c r="Q1189" s="15"/>
      <c r="R1189" s="15"/>
    </row>
    <row r="1190" spans="1:18" x14ac:dyDescent="0.2">
      <c r="A1190" s="15"/>
      <c r="B1190" s="38"/>
      <c r="C1190" s="15"/>
      <c r="D1190" s="15"/>
      <c r="E1190" s="15"/>
      <c r="F1190" s="15"/>
      <c r="G1190" s="15"/>
      <c r="H1190" s="15"/>
      <c r="I1190" s="15"/>
      <c r="J1190" s="15"/>
      <c r="K1190" s="15"/>
      <c r="L1190" s="15"/>
      <c r="M1190" s="15"/>
      <c r="N1190" s="15"/>
      <c r="O1190" s="15"/>
      <c r="P1190" s="15"/>
      <c r="Q1190" s="15"/>
      <c r="R1190" s="15"/>
    </row>
    <row r="1191" spans="1:18" x14ac:dyDescent="0.2">
      <c r="A1191" s="15"/>
      <c r="B1191" s="38"/>
      <c r="C1191" s="15"/>
      <c r="D1191" s="15"/>
      <c r="E1191" s="15"/>
      <c r="F1191" s="15"/>
      <c r="G1191" s="15"/>
      <c r="H1191" s="15"/>
      <c r="I1191" s="15"/>
      <c r="J1191" s="15"/>
      <c r="K1191" s="15"/>
      <c r="L1191" s="15"/>
      <c r="M1191" s="15"/>
      <c r="N1191" s="15"/>
      <c r="O1191" s="15"/>
      <c r="P1191" s="15"/>
      <c r="Q1191" s="15"/>
      <c r="R1191" s="15"/>
    </row>
    <row r="1192" spans="1:18" x14ac:dyDescent="0.2">
      <c r="A1192" s="15"/>
      <c r="B1192" s="38"/>
      <c r="C1192" s="15"/>
      <c r="D1192" s="15"/>
      <c r="E1192" s="15"/>
      <c r="F1192" s="15"/>
      <c r="G1192" s="15"/>
      <c r="H1192" s="15"/>
      <c r="I1192" s="15"/>
      <c r="J1192" s="15"/>
      <c r="K1192" s="15"/>
      <c r="L1192" s="15"/>
      <c r="M1192" s="15"/>
      <c r="N1192" s="15"/>
      <c r="O1192" s="15"/>
      <c r="P1192" s="15"/>
      <c r="Q1192" s="15"/>
      <c r="R1192" s="15"/>
    </row>
    <row r="1193" spans="1:18" x14ac:dyDescent="0.2">
      <c r="A1193" s="15"/>
      <c r="B1193" s="38"/>
      <c r="C1193" s="15"/>
      <c r="D1193" s="15"/>
      <c r="E1193" s="15"/>
      <c r="F1193" s="15"/>
      <c r="G1193" s="15"/>
      <c r="H1193" s="15"/>
      <c r="I1193" s="15"/>
      <c r="J1193" s="15"/>
      <c r="K1193" s="15"/>
      <c r="L1193" s="15"/>
      <c r="M1193" s="15"/>
      <c r="N1193" s="15"/>
      <c r="O1193" s="15"/>
      <c r="P1193" s="15"/>
      <c r="Q1193" s="15"/>
      <c r="R1193" s="15"/>
    </row>
    <row r="1194" spans="1:18" x14ac:dyDescent="0.2">
      <c r="A1194" s="15"/>
      <c r="B1194" s="38"/>
      <c r="C1194" s="15"/>
      <c r="D1194" s="15"/>
      <c r="E1194" s="15"/>
      <c r="F1194" s="15"/>
      <c r="G1194" s="15"/>
      <c r="H1194" s="15"/>
      <c r="I1194" s="15"/>
      <c r="J1194" s="15"/>
      <c r="K1194" s="15"/>
      <c r="L1194" s="15"/>
      <c r="M1194" s="15"/>
      <c r="N1194" s="15"/>
      <c r="O1194" s="15"/>
      <c r="P1194" s="15"/>
      <c r="Q1194" s="15"/>
      <c r="R1194" s="15"/>
    </row>
    <row r="1195" spans="1:18" x14ac:dyDescent="0.2">
      <c r="A1195" s="15"/>
      <c r="B1195" s="38"/>
      <c r="C1195" s="15"/>
      <c r="D1195" s="15"/>
      <c r="E1195" s="15"/>
      <c r="F1195" s="15"/>
      <c r="G1195" s="15"/>
      <c r="H1195" s="15"/>
      <c r="I1195" s="15"/>
      <c r="J1195" s="15"/>
      <c r="K1195" s="15"/>
      <c r="L1195" s="15"/>
      <c r="M1195" s="15"/>
      <c r="N1195" s="15"/>
      <c r="O1195" s="15"/>
      <c r="P1195" s="15"/>
      <c r="Q1195" s="15"/>
      <c r="R1195" s="15"/>
    </row>
    <row r="1196" spans="1:18" x14ac:dyDescent="0.2">
      <c r="A1196" s="15"/>
      <c r="B1196" s="38"/>
      <c r="C1196" s="15"/>
      <c r="D1196" s="15"/>
      <c r="E1196" s="15"/>
      <c r="F1196" s="15"/>
      <c r="G1196" s="15"/>
      <c r="H1196" s="15"/>
      <c r="I1196" s="15"/>
      <c r="J1196" s="15"/>
      <c r="K1196" s="15"/>
      <c r="L1196" s="15"/>
      <c r="M1196" s="15"/>
      <c r="N1196" s="15"/>
      <c r="O1196" s="15"/>
      <c r="P1196" s="15"/>
      <c r="Q1196" s="15"/>
      <c r="R1196" s="15"/>
    </row>
    <row r="1197" spans="1:18" x14ac:dyDescent="0.2">
      <c r="A1197" s="15"/>
      <c r="B1197" s="38"/>
      <c r="C1197" s="15"/>
      <c r="D1197" s="15"/>
      <c r="E1197" s="15"/>
      <c r="F1197" s="15"/>
      <c r="G1197" s="15"/>
      <c r="H1197" s="15"/>
      <c r="I1197" s="15"/>
      <c r="J1197" s="15"/>
      <c r="K1197" s="15"/>
      <c r="L1197" s="15"/>
      <c r="M1197" s="15"/>
      <c r="N1197" s="15"/>
      <c r="O1197" s="15"/>
      <c r="P1197" s="15"/>
      <c r="Q1197" s="15"/>
      <c r="R1197" s="15"/>
    </row>
    <row r="1198" spans="1:18" x14ac:dyDescent="0.2">
      <c r="A1198" s="15"/>
      <c r="B1198" s="38"/>
      <c r="C1198" s="15"/>
      <c r="D1198" s="15"/>
      <c r="E1198" s="15"/>
      <c r="F1198" s="15"/>
      <c r="G1198" s="15"/>
      <c r="H1198" s="15"/>
      <c r="I1198" s="15"/>
      <c r="J1198" s="15"/>
      <c r="K1198" s="15"/>
      <c r="L1198" s="15"/>
      <c r="M1198" s="15"/>
      <c r="N1198" s="15"/>
      <c r="O1198" s="15"/>
      <c r="P1198" s="15"/>
      <c r="Q1198" s="15"/>
      <c r="R1198" s="15"/>
    </row>
    <row r="1199" spans="1:18" x14ac:dyDescent="0.2">
      <c r="A1199" s="15"/>
      <c r="B1199" s="38"/>
      <c r="C1199" s="15"/>
      <c r="D1199" s="15"/>
      <c r="E1199" s="15"/>
      <c r="F1199" s="15"/>
      <c r="G1199" s="15"/>
      <c r="H1199" s="15"/>
      <c r="I1199" s="15"/>
      <c r="J1199" s="15"/>
      <c r="K1199" s="15"/>
      <c r="L1199" s="15"/>
      <c r="M1199" s="15"/>
      <c r="N1199" s="15"/>
      <c r="O1199" s="15"/>
      <c r="P1199" s="15"/>
      <c r="Q1199" s="15"/>
      <c r="R1199" s="15"/>
    </row>
    <row r="1200" spans="1:18" x14ac:dyDescent="0.2">
      <c r="A1200" s="15"/>
      <c r="B1200" s="38"/>
      <c r="C1200" s="15"/>
      <c r="D1200" s="15"/>
      <c r="E1200" s="15"/>
      <c r="F1200" s="15"/>
      <c r="G1200" s="15"/>
      <c r="H1200" s="15"/>
      <c r="I1200" s="15"/>
      <c r="J1200" s="15"/>
      <c r="K1200" s="15"/>
      <c r="L1200" s="15"/>
      <c r="M1200" s="15"/>
      <c r="N1200" s="15"/>
      <c r="O1200" s="15"/>
      <c r="P1200" s="15"/>
      <c r="Q1200" s="15"/>
      <c r="R1200" s="15"/>
    </row>
    <row r="1201" spans="1:18" x14ac:dyDescent="0.2">
      <c r="A1201" s="15"/>
      <c r="B1201" s="38"/>
      <c r="C1201" s="15"/>
      <c r="D1201" s="15"/>
      <c r="E1201" s="15"/>
      <c r="F1201" s="15"/>
      <c r="G1201" s="15"/>
      <c r="H1201" s="15"/>
      <c r="I1201" s="15"/>
      <c r="J1201" s="15"/>
      <c r="K1201" s="15"/>
      <c r="L1201" s="15"/>
      <c r="M1201" s="15"/>
      <c r="N1201" s="15"/>
      <c r="O1201" s="15"/>
      <c r="P1201" s="15"/>
      <c r="Q1201" s="15"/>
      <c r="R1201" s="15"/>
    </row>
    <row r="1202" spans="1:18" x14ac:dyDescent="0.2">
      <c r="A1202" s="15"/>
      <c r="B1202" s="38"/>
      <c r="C1202" s="15"/>
      <c r="D1202" s="15"/>
      <c r="E1202" s="15"/>
      <c r="F1202" s="15"/>
      <c r="G1202" s="15"/>
      <c r="H1202" s="15"/>
      <c r="I1202" s="15"/>
      <c r="J1202" s="15"/>
      <c r="K1202" s="15"/>
      <c r="L1202" s="15"/>
      <c r="M1202" s="15"/>
      <c r="N1202" s="15"/>
      <c r="O1202" s="15"/>
      <c r="P1202" s="15"/>
      <c r="Q1202" s="15"/>
      <c r="R1202" s="15"/>
    </row>
    <row r="1203" spans="1:18" x14ac:dyDescent="0.2">
      <c r="A1203" s="15"/>
      <c r="B1203" s="38"/>
      <c r="C1203" s="15"/>
      <c r="D1203" s="15"/>
      <c r="E1203" s="15"/>
      <c r="F1203" s="15"/>
      <c r="G1203" s="15"/>
      <c r="H1203" s="15"/>
      <c r="I1203" s="15"/>
      <c r="J1203" s="15"/>
      <c r="K1203" s="15"/>
      <c r="L1203" s="15"/>
      <c r="M1203" s="15"/>
      <c r="N1203" s="15"/>
      <c r="O1203" s="15"/>
      <c r="P1203" s="15"/>
      <c r="Q1203" s="15"/>
      <c r="R1203" s="15"/>
    </row>
    <row r="1204" spans="1:18" x14ac:dyDescent="0.2">
      <c r="A1204" s="15"/>
      <c r="B1204" s="38"/>
      <c r="C1204" s="15"/>
      <c r="D1204" s="15"/>
      <c r="E1204" s="15"/>
      <c r="F1204" s="15"/>
      <c r="G1204" s="15"/>
      <c r="H1204" s="15"/>
      <c r="I1204" s="15"/>
      <c r="J1204" s="15"/>
      <c r="K1204" s="15"/>
      <c r="L1204" s="15"/>
      <c r="M1204" s="15"/>
      <c r="N1204" s="15"/>
      <c r="O1204" s="15"/>
      <c r="P1204" s="15"/>
      <c r="Q1204" s="15"/>
      <c r="R1204" s="15"/>
    </row>
    <row r="1205" spans="1:18" x14ac:dyDescent="0.2">
      <c r="A1205" s="15"/>
      <c r="B1205" s="38"/>
      <c r="C1205" s="15"/>
      <c r="D1205" s="15"/>
      <c r="E1205" s="15"/>
      <c r="F1205" s="15"/>
      <c r="G1205" s="15"/>
      <c r="H1205" s="15"/>
      <c r="I1205" s="15"/>
      <c r="J1205" s="15"/>
      <c r="K1205" s="15"/>
      <c r="L1205" s="15"/>
      <c r="M1205" s="15"/>
      <c r="N1205" s="15"/>
      <c r="O1205" s="15"/>
      <c r="P1205" s="15"/>
      <c r="Q1205" s="15"/>
      <c r="R1205" s="15"/>
    </row>
    <row r="1206" spans="1:18" x14ac:dyDescent="0.2">
      <c r="A1206" s="15"/>
      <c r="B1206" s="38"/>
      <c r="C1206" s="15"/>
      <c r="D1206" s="15"/>
      <c r="E1206" s="15"/>
      <c r="F1206" s="15"/>
      <c r="G1206" s="15"/>
      <c r="H1206" s="15"/>
      <c r="I1206" s="15"/>
      <c r="J1206" s="15"/>
      <c r="K1206" s="15"/>
      <c r="L1206" s="15"/>
      <c r="M1206" s="15"/>
      <c r="N1206" s="15"/>
      <c r="O1206" s="15"/>
      <c r="P1206" s="15"/>
      <c r="Q1206" s="15"/>
      <c r="R1206" s="15"/>
    </row>
    <row r="1207" spans="1:18" x14ac:dyDescent="0.2">
      <c r="A1207" s="15"/>
      <c r="B1207" s="38"/>
      <c r="C1207" s="15"/>
      <c r="D1207" s="15"/>
      <c r="E1207" s="15"/>
      <c r="F1207" s="15"/>
      <c r="G1207" s="15"/>
      <c r="H1207" s="15"/>
      <c r="I1207" s="15"/>
      <c r="J1207" s="15"/>
      <c r="K1207" s="15"/>
      <c r="L1207" s="15"/>
      <c r="M1207" s="15"/>
      <c r="N1207" s="15"/>
      <c r="O1207" s="15"/>
      <c r="P1207" s="15"/>
      <c r="Q1207" s="15"/>
      <c r="R1207" s="15"/>
    </row>
    <row r="1208" spans="1:18" x14ac:dyDescent="0.2">
      <c r="A1208" s="15"/>
      <c r="B1208" s="38"/>
      <c r="C1208" s="15"/>
      <c r="D1208" s="15"/>
      <c r="E1208" s="15"/>
      <c r="F1208" s="15"/>
      <c r="G1208" s="15"/>
      <c r="H1208" s="15"/>
      <c r="I1208" s="15"/>
      <c r="J1208" s="15"/>
      <c r="K1208" s="15"/>
      <c r="L1208" s="15"/>
      <c r="M1208" s="15"/>
      <c r="N1208" s="15"/>
      <c r="O1208" s="15"/>
      <c r="P1208" s="15"/>
      <c r="Q1208" s="15"/>
      <c r="R1208" s="15"/>
    </row>
    <row r="1209" spans="1:18" x14ac:dyDescent="0.2">
      <c r="A1209" s="15"/>
      <c r="B1209" s="38"/>
      <c r="C1209" s="15"/>
      <c r="D1209" s="15"/>
      <c r="E1209" s="15"/>
      <c r="F1209" s="15"/>
      <c r="G1209" s="15"/>
      <c r="H1209" s="15"/>
      <c r="I1209" s="15"/>
      <c r="J1209" s="15"/>
      <c r="K1209" s="15"/>
      <c r="L1209" s="15"/>
      <c r="M1209" s="15"/>
      <c r="N1209" s="15"/>
      <c r="O1209" s="15"/>
      <c r="P1209" s="15"/>
      <c r="Q1209" s="15"/>
      <c r="R1209" s="15"/>
    </row>
    <row r="1210" spans="1:18" x14ac:dyDescent="0.2">
      <c r="A1210" s="15"/>
      <c r="B1210" s="38"/>
      <c r="C1210" s="15"/>
      <c r="D1210" s="15"/>
      <c r="E1210" s="15"/>
      <c r="F1210" s="15"/>
      <c r="G1210" s="15"/>
      <c r="H1210" s="15"/>
      <c r="I1210" s="15"/>
      <c r="J1210" s="15"/>
      <c r="K1210" s="15"/>
      <c r="L1210" s="15"/>
      <c r="M1210" s="15"/>
      <c r="N1210" s="15"/>
      <c r="O1210" s="15"/>
      <c r="P1210" s="15"/>
      <c r="Q1210" s="15"/>
      <c r="R1210" s="15"/>
    </row>
    <row r="1211" spans="1:18" x14ac:dyDescent="0.2">
      <c r="A1211" s="15"/>
      <c r="B1211" s="38"/>
      <c r="C1211" s="15"/>
      <c r="D1211" s="15"/>
      <c r="E1211" s="15"/>
      <c r="F1211" s="15"/>
      <c r="G1211" s="15"/>
      <c r="H1211" s="15"/>
      <c r="I1211" s="15"/>
      <c r="J1211" s="15"/>
      <c r="K1211" s="15"/>
      <c r="L1211" s="15"/>
      <c r="M1211" s="15"/>
      <c r="N1211" s="15"/>
      <c r="O1211" s="15"/>
      <c r="P1211" s="15"/>
      <c r="Q1211" s="15"/>
      <c r="R1211" s="15"/>
    </row>
    <row r="1212" spans="1:18" x14ac:dyDescent="0.2">
      <c r="A1212" s="15"/>
      <c r="B1212" s="38"/>
      <c r="C1212" s="15"/>
      <c r="D1212" s="15"/>
      <c r="E1212" s="15"/>
      <c r="F1212" s="15"/>
      <c r="G1212" s="15"/>
      <c r="H1212" s="15"/>
      <c r="I1212" s="15"/>
      <c r="J1212" s="15"/>
      <c r="K1212" s="15"/>
      <c r="L1212" s="15"/>
      <c r="M1212" s="15"/>
      <c r="N1212" s="15"/>
      <c r="O1212" s="15"/>
      <c r="P1212" s="15"/>
      <c r="Q1212" s="15"/>
      <c r="R1212" s="15"/>
    </row>
    <row r="1213" spans="1:18" x14ac:dyDescent="0.2">
      <c r="A1213" s="15"/>
      <c r="B1213" s="38"/>
      <c r="C1213" s="15"/>
      <c r="D1213" s="15"/>
      <c r="E1213" s="15"/>
      <c r="F1213" s="15"/>
      <c r="G1213" s="15"/>
      <c r="H1213" s="15"/>
      <c r="I1213" s="15"/>
      <c r="J1213" s="15"/>
      <c r="K1213" s="15"/>
      <c r="L1213" s="15"/>
      <c r="M1213" s="15"/>
      <c r="N1213" s="15"/>
      <c r="O1213" s="15"/>
      <c r="P1213" s="15"/>
      <c r="Q1213" s="15"/>
      <c r="R1213" s="15"/>
    </row>
    <row r="1214" spans="1:18" x14ac:dyDescent="0.2">
      <c r="A1214" s="15"/>
      <c r="B1214" s="38"/>
      <c r="C1214" s="15"/>
      <c r="D1214" s="15"/>
      <c r="E1214" s="15"/>
      <c r="F1214" s="15"/>
      <c r="G1214" s="15"/>
      <c r="H1214" s="15"/>
      <c r="I1214" s="15"/>
      <c r="J1214" s="15"/>
      <c r="K1214" s="15"/>
      <c r="L1214" s="15"/>
      <c r="M1214" s="15"/>
      <c r="N1214" s="15"/>
      <c r="O1214" s="15"/>
      <c r="P1214" s="15"/>
      <c r="Q1214" s="15"/>
      <c r="R1214" s="15"/>
    </row>
    <row r="1215" spans="1:18" x14ac:dyDescent="0.2">
      <c r="A1215" s="15"/>
      <c r="B1215" s="38"/>
      <c r="C1215" s="15"/>
      <c r="D1215" s="15"/>
      <c r="E1215" s="15"/>
      <c r="F1215" s="15"/>
      <c r="G1215" s="15"/>
      <c r="H1215" s="15"/>
      <c r="I1215" s="15"/>
      <c r="J1215" s="15"/>
      <c r="K1215" s="15"/>
      <c r="L1215" s="15"/>
      <c r="M1215" s="15"/>
      <c r="N1215" s="15"/>
      <c r="O1215" s="15"/>
      <c r="P1215" s="15"/>
      <c r="Q1215" s="15"/>
      <c r="R1215" s="15"/>
    </row>
    <row r="1216" spans="1:18" x14ac:dyDescent="0.2">
      <c r="A1216" s="15"/>
      <c r="B1216" s="38"/>
      <c r="C1216" s="15"/>
      <c r="D1216" s="15"/>
      <c r="E1216" s="15"/>
      <c r="F1216" s="15"/>
      <c r="G1216" s="15"/>
      <c r="H1216" s="15"/>
      <c r="I1216" s="15"/>
      <c r="J1216" s="15"/>
      <c r="K1216" s="15"/>
      <c r="L1216" s="15"/>
      <c r="M1216" s="15"/>
      <c r="N1216" s="15"/>
      <c r="O1216" s="15"/>
      <c r="P1216" s="15"/>
      <c r="Q1216" s="15"/>
      <c r="R1216" s="15"/>
    </row>
    <row r="1217" spans="1:18" x14ac:dyDescent="0.2">
      <c r="A1217" s="15"/>
      <c r="B1217" s="38"/>
      <c r="C1217" s="15"/>
      <c r="D1217" s="15"/>
      <c r="E1217" s="15"/>
      <c r="F1217" s="15"/>
      <c r="G1217" s="15"/>
      <c r="H1217" s="15"/>
      <c r="I1217" s="15"/>
      <c r="J1217" s="15"/>
      <c r="K1217" s="15"/>
      <c r="L1217" s="15"/>
      <c r="M1217" s="15"/>
      <c r="N1217" s="15"/>
      <c r="O1217" s="15"/>
      <c r="P1217" s="15"/>
      <c r="Q1217" s="15"/>
      <c r="R1217" s="15"/>
    </row>
    <row r="1218" spans="1:18" x14ac:dyDescent="0.2">
      <c r="A1218" s="15"/>
      <c r="B1218" s="38"/>
      <c r="C1218" s="15"/>
      <c r="D1218" s="15"/>
      <c r="E1218" s="15"/>
      <c r="F1218" s="15"/>
      <c r="G1218" s="15"/>
      <c r="H1218" s="15"/>
      <c r="I1218" s="15"/>
      <c r="J1218" s="15"/>
      <c r="K1218" s="15"/>
      <c r="L1218" s="15"/>
      <c r="M1218" s="15"/>
      <c r="N1218" s="15"/>
      <c r="O1218" s="15"/>
      <c r="P1218" s="15"/>
      <c r="Q1218" s="15"/>
      <c r="R1218" s="15"/>
    </row>
    <row r="1219" spans="1:18" x14ac:dyDescent="0.2">
      <c r="A1219" s="15"/>
      <c r="B1219" s="38"/>
      <c r="C1219" s="15"/>
      <c r="D1219" s="15"/>
      <c r="E1219" s="15"/>
      <c r="F1219" s="15"/>
      <c r="G1219" s="15"/>
      <c r="H1219" s="15"/>
      <c r="I1219" s="15"/>
      <c r="J1219" s="15"/>
      <c r="K1219" s="15"/>
      <c r="L1219" s="15"/>
      <c r="M1219" s="15"/>
      <c r="N1219" s="15"/>
      <c r="O1219" s="15"/>
      <c r="P1219" s="15"/>
      <c r="Q1219" s="15"/>
      <c r="R1219" s="15"/>
    </row>
    <row r="1220" spans="1:18" x14ac:dyDescent="0.2">
      <c r="A1220" s="15"/>
      <c r="B1220" s="38"/>
      <c r="C1220" s="15"/>
      <c r="D1220" s="15"/>
      <c r="E1220" s="15"/>
      <c r="F1220" s="15"/>
      <c r="G1220" s="15"/>
      <c r="H1220" s="15"/>
      <c r="I1220" s="15"/>
      <c r="J1220" s="15"/>
      <c r="K1220" s="15"/>
      <c r="L1220" s="15"/>
      <c r="M1220" s="15"/>
      <c r="N1220" s="15"/>
      <c r="O1220" s="15"/>
      <c r="P1220" s="15"/>
      <c r="Q1220" s="15"/>
      <c r="R1220" s="15"/>
    </row>
    <row r="1221" spans="1:18" x14ac:dyDescent="0.2">
      <c r="A1221" s="15"/>
      <c r="B1221" s="38"/>
      <c r="C1221" s="15"/>
      <c r="D1221" s="15"/>
      <c r="E1221" s="15"/>
      <c r="F1221" s="15"/>
      <c r="G1221" s="15"/>
      <c r="H1221" s="15"/>
      <c r="I1221" s="15"/>
      <c r="J1221" s="15"/>
      <c r="K1221" s="15"/>
      <c r="L1221" s="15"/>
      <c r="M1221" s="15"/>
      <c r="N1221" s="15"/>
      <c r="O1221" s="15"/>
      <c r="P1221" s="15"/>
      <c r="Q1221" s="15"/>
      <c r="R1221" s="15"/>
    </row>
    <row r="1222" spans="1:18" x14ac:dyDescent="0.2">
      <c r="A1222" s="15"/>
      <c r="B1222" s="38"/>
      <c r="C1222" s="15"/>
      <c r="D1222" s="15"/>
      <c r="E1222" s="15"/>
      <c r="F1222" s="15"/>
      <c r="G1222" s="15"/>
      <c r="H1222" s="15"/>
      <c r="I1222" s="15"/>
      <c r="J1222" s="15"/>
      <c r="K1222" s="15"/>
      <c r="L1222" s="15"/>
      <c r="M1222" s="15"/>
      <c r="N1222" s="15"/>
      <c r="O1222" s="15"/>
      <c r="P1222" s="15"/>
      <c r="Q1222" s="15"/>
      <c r="R1222" s="15"/>
    </row>
    <row r="1223" spans="1:18" x14ac:dyDescent="0.2">
      <c r="A1223" s="15"/>
      <c r="B1223" s="38"/>
      <c r="C1223" s="15"/>
      <c r="D1223" s="15"/>
      <c r="E1223" s="15"/>
      <c r="F1223" s="15"/>
      <c r="G1223" s="15"/>
      <c r="H1223" s="15"/>
      <c r="I1223" s="15"/>
      <c r="J1223" s="15"/>
      <c r="K1223" s="15"/>
      <c r="L1223" s="15"/>
      <c r="M1223" s="15"/>
      <c r="N1223" s="15"/>
      <c r="O1223" s="15"/>
      <c r="P1223" s="15"/>
      <c r="Q1223" s="15"/>
      <c r="R1223" s="15"/>
    </row>
    <row r="1224" spans="1:18" x14ac:dyDescent="0.2">
      <c r="A1224" s="15"/>
      <c r="B1224" s="38"/>
      <c r="C1224" s="15"/>
      <c r="D1224" s="15"/>
      <c r="E1224" s="15"/>
      <c r="F1224" s="15"/>
      <c r="G1224" s="15"/>
      <c r="H1224" s="15"/>
      <c r="I1224" s="15"/>
      <c r="J1224" s="15"/>
      <c r="K1224" s="15"/>
      <c r="L1224" s="15"/>
      <c r="M1224" s="15"/>
      <c r="N1224" s="15"/>
      <c r="O1224" s="15"/>
      <c r="P1224" s="15"/>
      <c r="Q1224" s="15"/>
      <c r="R1224" s="15"/>
    </row>
    <row r="1225" spans="1:18" x14ac:dyDescent="0.2">
      <c r="A1225" s="15"/>
      <c r="B1225" s="38"/>
      <c r="C1225" s="15"/>
      <c r="D1225" s="15"/>
      <c r="E1225" s="15"/>
      <c r="F1225" s="15"/>
      <c r="G1225" s="15"/>
      <c r="H1225" s="15"/>
      <c r="I1225" s="15"/>
      <c r="J1225" s="15"/>
      <c r="K1225" s="15"/>
      <c r="L1225" s="15"/>
      <c r="M1225" s="15"/>
      <c r="N1225" s="15"/>
      <c r="O1225" s="15"/>
      <c r="P1225" s="15"/>
      <c r="Q1225" s="15"/>
      <c r="R1225" s="15"/>
    </row>
    <row r="1226" spans="1:18" x14ac:dyDescent="0.2">
      <c r="A1226" s="15"/>
      <c r="B1226" s="38"/>
      <c r="C1226" s="15"/>
      <c r="D1226" s="15"/>
      <c r="E1226" s="15"/>
      <c r="F1226" s="15"/>
      <c r="G1226" s="15"/>
      <c r="H1226" s="15"/>
      <c r="I1226" s="15"/>
      <c r="J1226" s="15"/>
      <c r="K1226" s="15"/>
      <c r="L1226" s="15"/>
      <c r="M1226" s="15"/>
      <c r="N1226" s="15"/>
      <c r="O1226" s="15"/>
      <c r="P1226" s="15"/>
      <c r="Q1226" s="15"/>
      <c r="R1226" s="15"/>
    </row>
    <row r="1227" spans="1:18" x14ac:dyDescent="0.2">
      <c r="A1227" s="15"/>
      <c r="B1227" s="38"/>
      <c r="C1227" s="15"/>
      <c r="D1227" s="15"/>
      <c r="E1227" s="15"/>
      <c r="F1227" s="15"/>
      <c r="G1227" s="15"/>
      <c r="H1227" s="15"/>
      <c r="I1227" s="15"/>
      <c r="J1227" s="15"/>
      <c r="K1227" s="15"/>
      <c r="L1227" s="15"/>
      <c r="M1227" s="15"/>
      <c r="N1227" s="15"/>
      <c r="O1227" s="15"/>
      <c r="P1227" s="15"/>
      <c r="Q1227" s="15"/>
      <c r="R1227" s="15"/>
    </row>
    <row r="1228" spans="1:18" x14ac:dyDescent="0.2">
      <c r="A1228" s="15"/>
      <c r="B1228" s="38"/>
      <c r="C1228" s="15"/>
      <c r="D1228" s="15"/>
      <c r="E1228" s="15"/>
      <c r="F1228" s="15"/>
      <c r="G1228" s="15"/>
      <c r="H1228" s="15"/>
      <c r="I1228" s="15"/>
      <c r="J1228" s="15"/>
      <c r="K1228" s="15"/>
      <c r="L1228" s="15"/>
      <c r="M1228" s="15"/>
      <c r="N1228" s="15"/>
      <c r="O1228" s="15"/>
      <c r="P1228" s="15"/>
      <c r="Q1228" s="15"/>
      <c r="R1228" s="15"/>
    </row>
    <row r="1229" spans="1:18" x14ac:dyDescent="0.2">
      <c r="A1229" s="15"/>
      <c r="B1229" s="38"/>
      <c r="C1229" s="15"/>
      <c r="D1229" s="15"/>
      <c r="E1229" s="15"/>
      <c r="F1229" s="15"/>
      <c r="G1229" s="15"/>
      <c r="H1229" s="15"/>
      <c r="I1229" s="15"/>
      <c r="J1229" s="15"/>
      <c r="K1229" s="15"/>
      <c r="L1229" s="15"/>
      <c r="M1229" s="15"/>
      <c r="N1229" s="15"/>
      <c r="O1229" s="15"/>
      <c r="P1229" s="15"/>
      <c r="Q1229" s="15"/>
      <c r="R1229" s="15"/>
    </row>
    <row r="1230" spans="1:18" x14ac:dyDescent="0.2">
      <c r="A1230" s="15"/>
      <c r="B1230" s="38"/>
      <c r="C1230" s="15"/>
      <c r="D1230" s="15"/>
      <c r="E1230" s="15"/>
      <c r="F1230" s="15"/>
      <c r="G1230" s="15"/>
      <c r="H1230" s="15"/>
      <c r="I1230" s="15"/>
      <c r="J1230" s="15"/>
      <c r="K1230" s="15"/>
      <c r="L1230" s="15"/>
      <c r="M1230" s="15"/>
      <c r="N1230" s="15"/>
      <c r="O1230" s="15"/>
      <c r="P1230" s="15"/>
      <c r="Q1230" s="15"/>
      <c r="R1230" s="15"/>
    </row>
    <row r="1231" spans="1:18" x14ac:dyDescent="0.2">
      <c r="A1231" s="15"/>
      <c r="B1231" s="38"/>
      <c r="C1231" s="15"/>
      <c r="D1231" s="15"/>
      <c r="E1231" s="15"/>
      <c r="F1231" s="15"/>
      <c r="G1231" s="15"/>
      <c r="H1231" s="15"/>
      <c r="I1231" s="15"/>
      <c r="J1231" s="15"/>
      <c r="K1231" s="15"/>
      <c r="L1231" s="15"/>
      <c r="M1231" s="15"/>
      <c r="N1231" s="15"/>
      <c r="O1231" s="15"/>
      <c r="P1231" s="15"/>
      <c r="Q1231" s="15"/>
      <c r="R1231" s="15"/>
    </row>
    <row r="1232" spans="1:18" x14ac:dyDescent="0.2">
      <c r="A1232" s="15"/>
      <c r="B1232" s="38"/>
      <c r="C1232" s="15"/>
      <c r="D1232" s="15"/>
      <c r="E1232" s="15"/>
      <c r="F1232" s="15"/>
      <c r="G1232" s="15"/>
      <c r="H1232" s="15"/>
      <c r="I1232" s="15"/>
      <c r="J1232" s="15"/>
      <c r="K1232" s="15"/>
      <c r="L1232" s="15"/>
      <c r="M1232" s="15"/>
      <c r="N1232" s="15"/>
      <c r="O1232" s="15"/>
      <c r="P1232" s="15"/>
      <c r="Q1232" s="15"/>
      <c r="R1232" s="15"/>
    </row>
    <row r="1233" spans="1:18" x14ac:dyDescent="0.2">
      <c r="A1233" s="15"/>
      <c r="B1233" s="38"/>
      <c r="C1233" s="15"/>
      <c r="D1233" s="15"/>
      <c r="E1233" s="15"/>
      <c r="F1233" s="15"/>
      <c r="G1233" s="15"/>
      <c r="H1233" s="15"/>
      <c r="I1233" s="15"/>
      <c r="J1233" s="15"/>
      <c r="K1233" s="15"/>
      <c r="L1233" s="15"/>
      <c r="M1233" s="15"/>
      <c r="N1233" s="15"/>
      <c r="O1233" s="15"/>
      <c r="P1233" s="15"/>
      <c r="Q1233" s="15"/>
      <c r="R1233" s="15"/>
    </row>
    <row r="1234" spans="1:18" x14ac:dyDescent="0.2">
      <c r="A1234" s="15"/>
      <c r="B1234" s="38"/>
      <c r="C1234" s="15"/>
      <c r="D1234" s="15"/>
      <c r="E1234" s="15"/>
      <c r="F1234" s="15"/>
      <c r="G1234" s="15"/>
      <c r="H1234" s="15"/>
      <c r="I1234" s="15"/>
      <c r="J1234" s="15"/>
      <c r="K1234" s="15"/>
      <c r="L1234" s="15"/>
      <c r="M1234" s="15"/>
      <c r="N1234" s="15"/>
      <c r="O1234" s="15"/>
      <c r="P1234" s="15"/>
      <c r="Q1234" s="15"/>
      <c r="R1234" s="15"/>
    </row>
    <row r="1235" spans="1:18" x14ac:dyDescent="0.2">
      <c r="A1235" s="15"/>
      <c r="B1235" s="38"/>
      <c r="C1235" s="15"/>
      <c r="D1235" s="15"/>
      <c r="E1235" s="15"/>
      <c r="F1235" s="15"/>
      <c r="G1235" s="15"/>
      <c r="H1235" s="15"/>
      <c r="I1235" s="15"/>
      <c r="J1235" s="15"/>
      <c r="K1235" s="15"/>
      <c r="L1235" s="15"/>
      <c r="M1235" s="15"/>
      <c r="N1235" s="15"/>
      <c r="O1235" s="15"/>
      <c r="P1235" s="15"/>
      <c r="Q1235" s="15"/>
      <c r="R1235" s="15"/>
    </row>
    <row r="1236" spans="1:18" x14ac:dyDescent="0.2">
      <c r="A1236" s="15"/>
      <c r="B1236" s="38"/>
      <c r="C1236" s="15"/>
      <c r="D1236" s="15"/>
      <c r="E1236" s="15"/>
      <c r="F1236" s="15"/>
      <c r="G1236" s="15"/>
      <c r="H1236" s="15"/>
      <c r="I1236" s="15"/>
      <c r="J1236" s="15"/>
      <c r="K1236" s="15"/>
      <c r="L1236" s="15"/>
      <c r="M1236" s="15"/>
      <c r="N1236" s="15"/>
      <c r="O1236" s="15"/>
      <c r="P1236" s="15"/>
      <c r="Q1236" s="15"/>
      <c r="R1236" s="15"/>
    </row>
    <row r="1237" spans="1:18" x14ac:dyDescent="0.2">
      <c r="A1237" s="15"/>
      <c r="B1237" s="38"/>
      <c r="C1237" s="15"/>
      <c r="D1237" s="15"/>
      <c r="E1237" s="15"/>
      <c r="F1237" s="15"/>
      <c r="G1237" s="15"/>
      <c r="H1237" s="15"/>
      <c r="I1237" s="15"/>
      <c r="J1237" s="15"/>
      <c r="K1237" s="15"/>
      <c r="L1237" s="15"/>
      <c r="M1237" s="15"/>
      <c r="N1237" s="15"/>
      <c r="O1237" s="15"/>
      <c r="P1237" s="15"/>
      <c r="Q1237" s="15"/>
      <c r="R1237" s="15"/>
    </row>
    <row r="1238" spans="1:18" x14ac:dyDescent="0.2">
      <c r="A1238" s="15"/>
      <c r="B1238" s="38"/>
      <c r="C1238" s="15"/>
      <c r="D1238" s="15"/>
      <c r="E1238" s="15"/>
      <c r="F1238" s="15"/>
      <c r="G1238" s="15"/>
      <c r="H1238" s="15"/>
      <c r="I1238" s="15"/>
      <c r="J1238" s="15"/>
      <c r="K1238" s="15"/>
      <c r="L1238" s="15"/>
      <c r="M1238" s="15"/>
      <c r="N1238" s="15"/>
      <c r="O1238" s="15"/>
      <c r="P1238" s="15"/>
      <c r="Q1238" s="15"/>
      <c r="R1238" s="15"/>
    </row>
    <row r="1239" spans="1:18" x14ac:dyDescent="0.2">
      <c r="A1239" s="15"/>
      <c r="B1239" s="38"/>
      <c r="C1239" s="15"/>
      <c r="D1239" s="15"/>
      <c r="E1239" s="15"/>
      <c r="F1239" s="15"/>
      <c r="G1239" s="15"/>
      <c r="H1239" s="15"/>
      <c r="I1239" s="15"/>
      <c r="J1239" s="15"/>
      <c r="K1239" s="15"/>
      <c r="L1239" s="15"/>
      <c r="M1239" s="15"/>
      <c r="N1239" s="15"/>
      <c r="O1239" s="15"/>
      <c r="P1239" s="15"/>
      <c r="Q1239" s="15"/>
      <c r="R1239" s="15"/>
    </row>
    <row r="1240" spans="1:18" x14ac:dyDescent="0.2">
      <c r="A1240" s="15"/>
      <c r="B1240" s="38"/>
      <c r="C1240" s="15"/>
      <c r="D1240" s="15"/>
      <c r="E1240" s="15"/>
      <c r="F1240" s="15"/>
      <c r="G1240" s="15"/>
      <c r="H1240" s="15"/>
      <c r="I1240" s="15"/>
      <c r="J1240" s="15"/>
      <c r="K1240" s="15"/>
      <c r="L1240" s="15"/>
      <c r="M1240" s="15"/>
      <c r="N1240" s="15"/>
      <c r="O1240" s="15"/>
      <c r="P1240" s="15"/>
      <c r="Q1240" s="15"/>
      <c r="R1240" s="15"/>
    </row>
    <row r="1241" spans="1:18" x14ac:dyDescent="0.2">
      <c r="A1241" s="15"/>
      <c r="B1241" s="38"/>
      <c r="C1241" s="15"/>
      <c r="D1241" s="15"/>
      <c r="E1241" s="15"/>
      <c r="F1241" s="15"/>
      <c r="G1241" s="15"/>
      <c r="H1241" s="15"/>
      <c r="I1241" s="15"/>
      <c r="J1241" s="15"/>
      <c r="K1241" s="15"/>
      <c r="L1241" s="15"/>
      <c r="M1241" s="15"/>
      <c r="N1241" s="15"/>
      <c r="O1241" s="15"/>
      <c r="P1241" s="15"/>
      <c r="Q1241" s="15"/>
      <c r="R1241" s="15"/>
    </row>
    <row r="1242" spans="1:18" x14ac:dyDescent="0.2">
      <c r="A1242" s="15"/>
      <c r="B1242" s="38"/>
      <c r="C1242" s="15"/>
      <c r="D1242" s="15"/>
      <c r="E1242" s="15"/>
      <c r="F1242" s="15"/>
      <c r="G1242" s="15"/>
      <c r="H1242" s="15"/>
      <c r="I1242" s="15"/>
      <c r="J1242" s="15"/>
      <c r="K1242" s="15"/>
      <c r="L1242" s="15"/>
      <c r="M1242" s="15"/>
      <c r="N1242" s="15"/>
      <c r="O1242" s="15"/>
      <c r="P1242" s="15"/>
      <c r="Q1242" s="15"/>
      <c r="R1242" s="15"/>
    </row>
    <row r="1243" spans="1:18" x14ac:dyDescent="0.2">
      <c r="A1243" s="15"/>
      <c r="B1243" s="38"/>
      <c r="C1243" s="15"/>
      <c r="D1243" s="15"/>
      <c r="E1243" s="15"/>
      <c r="F1243" s="15"/>
      <c r="G1243" s="15"/>
      <c r="H1243" s="15"/>
      <c r="I1243" s="15"/>
      <c r="J1243" s="15"/>
      <c r="K1243" s="15"/>
      <c r="L1243" s="15"/>
      <c r="M1243" s="15"/>
      <c r="N1243" s="15"/>
      <c r="O1243" s="15"/>
      <c r="P1243" s="15"/>
      <c r="Q1243" s="15"/>
      <c r="R1243" s="15"/>
    </row>
    <row r="1244" spans="1:18" x14ac:dyDescent="0.2">
      <c r="A1244" s="15"/>
      <c r="B1244" s="38"/>
      <c r="C1244" s="15"/>
      <c r="D1244" s="15"/>
      <c r="E1244" s="15"/>
      <c r="F1244" s="15"/>
      <c r="G1244" s="15"/>
      <c r="H1244" s="15"/>
      <c r="I1244" s="15"/>
      <c r="J1244" s="15"/>
      <c r="K1244" s="15"/>
      <c r="L1244" s="15"/>
      <c r="M1244" s="15"/>
      <c r="N1244" s="15"/>
      <c r="O1244" s="15"/>
      <c r="P1244" s="15"/>
      <c r="Q1244" s="15"/>
      <c r="R1244" s="15"/>
    </row>
    <row r="1245" spans="1:18" x14ac:dyDescent="0.2">
      <c r="A1245" s="15"/>
      <c r="B1245" s="38"/>
      <c r="C1245" s="15"/>
      <c r="D1245" s="15"/>
      <c r="E1245" s="15"/>
      <c r="F1245" s="15"/>
      <c r="G1245" s="15"/>
      <c r="H1245" s="15"/>
      <c r="I1245" s="15"/>
      <c r="J1245" s="15"/>
      <c r="K1245" s="15"/>
      <c r="L1245" s="15"/>
      <c r="M1245" s="15"/>
      <c r="N1245" s="15"/>
      <c r="O1245" s="15"/>
      <c r="P1245" s="15"/>
      <c r="Q1245" s="15"/>
      <c r="R1245" s="15"/>
    </row>
    <row r="1246" spans="1:18" x14ac:dyDescent="0.2">
      <c r="A1246" s="15"/>
      <c r="B1246" s="38"/>
      <c r="C1246" s="15"/>
      <c r="D1246" s="15"/>
      <c r="E1246" s="15"/>
      <c r="F1246" s="15"/>
      <c r="G1246" s="15"/>
      <c r="H1246" s="15"/>
      <c r="I1246" s="15"/>
      <c r="J1246" s="15"/>
      <c r="K1246" s="15"/>
      <c r="L1246" s="15"/>
      <c r="M1246" s="15"/>
      <c r="N1246" s="15"/>
      <c r="O1246" s="15"/>
      <c r="P1246" s="15"/>
      <c r="Q1246" s="15"/>
      <c r="R1246" s="15"/>
    </row>
    <row r="1247" spans="1:18" x14ac:dyDescent="0.2">
      <c r="A1247" s="15"/>
      <c r="B1247" s="38"/>
      <c r="C1247" s="15"/>
      <c r="D1247" s="15"/>
      <c r="E1247" s="15"/>
      <c r="F1247" s="15"/>
      <c r="G1247" s="15"/>
      <c r="H1247" s="15"/>
      <c r="I1247" s="15"/>
      <c r="J1247" s="15"/>
      <c r="K1247" s="15"/>
      <c r="L1247" s="15"/>
      <c r="M1247" s="15"/>
      <c r="N1247" s="15"/>
      <c r="O1247" s="15"/>
      <c r="P1247" s="15"/>
      <c r="Q1247" s="15"/>
      <c r="R1247" s="15"/>
    </row>
    <row r="1248" spans="1:18" x14ac:dyDescent="0.2">
      <c r="A1248" s="15"/>
      <c r="B1248" s="38"/>
      <c r="C1248" s="15"/>
      <c r="D1248" s="15"/>
      <c r="E1248" s="15"/>
      <c r="F1248" s="15"/>
      <c r="G1248" s="15"/>
      <c r="H1248" s="15"/>
      <c r="I1248" s="15"/>
      <c r="J1248" s="15"/>
      <c r="K1248" s="15"/>
      <c r="L1248" s="15"/>
      <c r="M1248" s="15"/>
      <c r="N1248" s="15"/>
      <c r="O1248" s="15"/>
      <c r="P1248" s="15"/>
      <c r="Q1248" s="15"/>
      <c r="R1248" s="15"/>
    </row>
    <row r="1249" spans="1:18" x14ac:dyDescent="0.2">
      <c r="A1249" s="15"/>
      <c r="B1249" s="38"/>
      <c r="C1249" s="15"/>
      <c r="D1249" s="15"/>
      <c r="E1249" s="15"/>
      <c r="F1249" s="15"/>
      <c r="G1249" s="15"/>
      <c r="H1249" s="15"/>
      <c r="I1249" s="15"/>
      <c r="J1249" s="15"/>
      <c r="K1249" s="15"/>
      <c r="L1249" s="15"/>
      <c r="M1249" s="15"/>
      <c r="N1249" s="15"/>
      <c r="O1249" s="15"/>
      <c r="P1249" s="15"/>
      <c r="Q1249" s="15"/>
      <c r="R1249" s="15"/>
    </row>
    <row r="1250" spans="1:18" x14ac:dyDescent="0.2">
      <c r="A1250" s="15"/>
      <c r="B1250" s="38"/>
      <c r="C1250" s="15"/>
      <c r="D1250" s="15"/>
      <c r="E1250" s="15"/>
      <c r="F1250" s="15"/>
      <c r="G1250" s="15"/>
      <c r="H1250" s="15"/>
      <c r="I1250" s="15"/>
      <c r="J1250" s="15"/>
      <c r="K1250" s="15"/>
      <c r="L1250" s="15"/>
      <c r="M1250" s="15"/>
      <c r="N1250" s="15"/>
      <c r="O1250" s="15"/>
      <c r="P1250" s="15"/>
      <c r="Q1250" s="15"/>
      <c r="R1250" s="15"/>
    </row>
    <row r="1251" spans="1:18" x14ac:dyDescent="0.2">
      <c r="A1251" s="15"/>
      <c r="B1251" s="38"/>
      <c r="C1251" s="15"/>
      <c r="D1251" s="15"/>
      <c r="E1251" s="15"/>
      <c r="F1251" s="15"/>
      <c r="G1251" s="15"/>
      <c r="H1251" s="15"/>
      <c r="I1251" s="15"/>
      <c r="J1251" s="15"/>
      <c r="K1251" s="15"/>
      <c r="L1251" s="15"/>
      <c r="M1251" s="15"/>
      <c r="N1251" s="15"/>
      <c r="O1251" s="15"/>
      <c r="P1251" s="15"/>
      <c r="Q1251" s="15"/>
      <c r="R1251" s="15"/>
    </row>
    <row r="1252" spans="1:18" x14ac:dyDescent="0.2">
      <c r="A1252" s="15"/>
      <c r="B1252" s="38"/>
      <c r="C1252" s="15"/>
      <c r="D1252" s="15"/>
      <c r="E1252" s="15"/>
      <c r="F1252" s="15"/>
      <c r="G1252" s="15"/>
      <c r="H1252" s="15"/>
      <c r="I1252" s="15"/>
      <c r="J1252" s="15"/>
      <c r="K1252" s="15"/>
      <c r="L1252" s="15"/>
      <c r="M1252" s="15"/>
      <c r="N1252" s="15"/>
      <c r="O1252" s="15"/>
      <c r="P1252" s="15"/>
      <c r="Q1252" s="15"/>
      <c r="R1252" s="15"/>
    </row>
    <row r="1253" spans="1:18" x14ac:dyDescent="0.2">
      <c r="A1253" s="15"/>
      <c r="B1253" s="38"/>
      <c r="C1253" s="15"/>
      <c r="D1253" s="15"/>
      <c r="E1253" s="15"/>
      <c r="F1253" s="15"/>
      <c r="G1253" s="15"/>
      <c r="H1253" s="15"/>
      <c r="I1253" s="15"/>
      <c r="J1253" s="15"/>
      <c r="K1253" s="15"/>
      <c r="L1253" s="15"/>
      <c r="M1253" s="15"/>
      <c r="N1253" s="15"/>
      <c r="O1253" s="15"/>
      <c r="P1253" s="15"/>
      <c r="Q1253" s="15"/>
      <c r="R1253" s="15"/>
    </row>
    <row r="1254" spans="1:18" x14ac:dyDescent="0.2">
      <c r="A1254" s="15"/>
      <c r="B1254" s="38"/>
      <c r="C1254" s="15"/>
      <c r="D1254" s="15"/>
      <c r="E1254" s="15"/>
      <c r="F1254" s="15"/>
      <c r="G1254" s="15"/>
      <c r="H1254" s="15"/>
      <c r="I1254" s="15"/>
      <c r="J1254" s="15"/>
      <c r="K1254" s="15"/>
      <c r="L1254" s="15"/>
      <c r="M1254" s="15"/>
      <c r="N1254" s="15"/>
      <c r="O1254" s="15"/>
      <c r="P1254" s="15"/>
      <c r="Q1254" s="15"/>
      <c r="R1254" s="15"/>
    </row>
    <row r="1255" spans="1:18" x14ac:dyDescent="0.2">
      <c r="A1255" s="15"/>
      <c r="B1255" s="38"/>
      <c r="C1255" s="15"/>
      <c r="D1255" s="15"/>
      <c r="E1255" s="15"/>
      <c r="F1255" s="15"/>
      <c r="G1255" s="15"/>
      <c r="H1255" s="15"/>
      <c r="I1255" s="15"/>
      <c r="J1255" s="15"/>
      <c r="K1255" s="15"/>
      <c r="L1255" s="15"/>
      <c r="M1255" s="15"/>
      <c r="N1255" s="15"/>
      <c r="O1255" s="15"/>
      <c r="P1255" s="15"/>
      <c r="Q1255" s="15"/>
      <c r="R1255" s="15"/>
    </row>
    <row r="1256" spans="1:18" x14ac:dyDescent="0.2">
      <c r="A1256" s="15"/>
      <c r="B1256" s="38"/>
      <c r="C1256" s="15"/>
      <c r="D1256" s="15"/>
      <c r="E1256" s="15"/>
      <c r="F1256" s="15"/>
      <c r="G1256" s="15"/>
      <c r="H1256" s="15"/>
      <c r="I1256" s="15"/>
      <c r="J1256" s="15"/>
      <c r="K1256" s="15"/>
      <c r="L1256" s="15"/>
      <c r="M1256" s="15"/>
      <c r="N1256" s="15"/>
      <c r="O1256" s="15"/>
      <c r="P1256" s="15"/>
      <c r="Q1256" s="15"/>
      <c r="R1256" s="15"/>
    </row>
    <row r="1257" spans="1:18" x14ac:dyDescent="0.2">
      <c r="A1257" s="15"/>
      <c r="B1257" s="38"/>
      <c r="C1257" s="15"/>
      <c r="D1257" s="15"/>
      <c r="E1257" s="15"/>
      <c r="F1257" s="15"/>
      <c r="G1257" s="15"/>
      <c r="H1257" s="15"/>
      <c r="I1257" s="15"/>
      <c r="J1257" s="15"/>
      <c r="K1257" s="15"/>
      <c r="L1257" s="15"/>
      <c r="M1257" s="15"/>
      <c r="N1257" s="15"/>
      <c r="O1257" s="15"/>
      <c r="P1257" s="15"/>
      <c r="Q1257" s="15"/>
      <c r="R1257" s="15"/>
    </row>
    <row r="1258" spans="1:18" x14ac:dyDescent="0.2">
      <c r="A1258" s="15"/>
      <c r="B1258" s="38"/>
      <c r="C1258" s="15"/>
      <c r="D1258" s="15"/>
      <c r="E1258" s="15"/>
      <c r="F1258" s="15"/>
      <c r="G1258" s="15"/>
      <c r="H1258" s="15"/>
      <c r="I1258" s="15"/>
      <c r="J1258" s="15"/>
      <c r="K1258" s="15"/>
      <c r="L1258" s="15"/>
      <c r="M1258" s="15"/>
      <c r="N1258" s="15"/>
      <c r="O1258" s="15"/>
      <c r="P1258" s="15"/>
      <c r="Q1258" s="15"/>
      <c r="R1258" s="15"/>
    </row>
    <row r="1259" spans="1:18" x14ac:dyDescent="0.2">
      <c r="A1259" s="15"/>
      <c r="B1259" s="38"/>
      <c r="C1259" s="15"/>
      <c r="D1259" s="15"/>
      <c r="E1259" s="15"/>
      <c r="F1259" s="15"/>
      <c r="G1259" s="15"/>
      <c r="H1259" s="15"/>
      <c r="I1259" s="15"/>
      <c r="J1259" s="15"/>
      <c r="K1259" s="15"/>
      <c r="L1259" s="15"/>
      <c r="M1259" s="15"/>
      <c r="N1259" s="15"/>
      <c r="O1259" s="15"/>
      <c r="P1259" s="15"/>
      <c r="Q1259" s="15"/>
      <c r="R1259" s="15"/>
    </row>
    <row r="1260" spans="1:18" x14ac:dyDescent="0.2">
      <c r="A1260" s="15"/>
      <c r="B1260" s="38"/>
      <c r="C1260" s="15"/>
      <c r="D1260" s="15"/>
      <c r="E1260" s="15"/>
      <c r="F1260" s="15"/>
      <c r="G1260" s="15"/>
      <c r="H1260" s="15"/>
      <c r="I1260" s="15"/>
      <c r="J1260" s="15"/>
      <c r="K1260" s="15"/>
      <c r="L1260" s="15"/>
      <c r="M1260" s="15"/>
      <c r="N1260" s="15"/>
      <c r="O1260" s="15"/>
      <c r="P1260" s="15"/>
      <c r="Q1260" s="15"/>
      <c r="R1260" s="15"/>
    </row>
    <row r="1261" spans="1:18" x14ac:dyDescent="0.2">
      <c r="A1261" s="15"/>
      <c r="B1261" s="38"/>
      <c r="C1261" s="15"/>
      <c r="D1261" s="15"/>
      <c r="E1261" s="15"/>
      <c r="F1261" s="15"/>
      <c r="G1261" s="15"/>
      <c r="H1261" s="15"/>
      <c r="I1261" s="15"/>
      <c r="J1261" s="15"/>
      <c r="K1261" s="15"/>
      <c r="L1261" s="15"/>
      <c r="M1261" s="15"/>
      <c r="N1261" s="15"/>
      <c r="O1261" s="15"/>
      <c r="P1261" s="15"/>
      <c r="Q1261" s="15"/>
      <c r="R1261" s="15"/>
    </row>
    <row r="1262" spans="1:18" x14ac:dyDescent="0.2">
      <c r="A1262" s="15"/>
      <c r="B1262" s="38"/>
      <c r="C1262" s="15"/>
      <c r="D1262" s="15"/>
      <c r="E1262" s="15"/>
      <c r="F1262" s="15"/>
      <c r="G1262" s="15"/>
      <c r="H1262" s="15"/>
      <c r="I1262" s="15"/>
      <c r="J1262" s="15"/>
      <c r="K1262" s="15"/>
      <c r="L1262" s="15"/>
      <c r="M1262" s="15"/>
      <c r="N1262" s="15"/>
      <c r="O1262" s="15"/>
      <c r="P1262" s="15"/>
      <c r="Q1262" s="15"/>
      <c r="R1262" s="15"/>
    </row>
    <row r="1263" spans="1:18" x14ac:dyDescent="0.2">
      <c r="A1263" s="15"/>
      <c r="B1263" s="38"/>
      <c r="C1263" s="15"/>
      <c r="D1263" s="15"/>
      <c r="E1263" s="15"/>
      <c r="F1263" s="15"/>
      <c r="G1263" s="15"/>
      <c r="H1263" s="15"/>
      <c r="I1263" s="15"/>
      <c r="J1263" s="15"/>
      <c r="K1263" s="15"/>
      <c r="L1263" s="15"/>
      <c r="M1263" s="15"/>
      <c r="N1263" s="15"/>
      <c r="O1263" s="15"/>
      <c r="P1263" s="15"/>
      <c r="Q1263" s="15"/>
      <c r="R1263" s="15"/>
    </row>
    <row r="1264" spans="1:18" x14ac:dyDescent="0.2">
      <c r="A1264" s="15"/>
      <c r="B1264" s="38"/>
      <c r="C1264" s="15"/>
      <c r="D1264" s="15"/>
      <c r="E1264" s="15"/>
      <c r="F1264" s="15"/>
      <c r="G1264" s="15"/>
      <c r="H1264" s="15"/>
      <c r="I1264" s="15"/>
      <c r="J1264" s="15"/>
      <c r="K1264" s="15"/>
      <c r="L1264" s="15"/>
      <c r="M1264" s="15"/>
      <c r="N1264" s="15"/>
      <c r="O1264" s="15"/>
      <c r="P1264" s="15"/>
      <c r="Q1264" s="15"/>
      <c r="R1264" s="15"/>
    </row>
    <row r="1265" spans="1:18" x14ac:dyDescent="0.2">
      <c r="A1265" s="15"/>
      <c r="B1265" s="38"/>
      <c r="C1265" s="15"/>
      <c r="D1265" s="15"/>
      <c r="E1265" s="15"/>
      <c r="F1265" s="15"/>
      <c r="G1265" s="15"/>
      <c r="H1265" s="15"/>
      <c r="I1265" s="15"/>
      <c r="J1265" s="15"/>
      <c r="K1265" s="15"/>
      <c r="L1265" s="15"/>
      <c r="M1265" s="15"/>
      <c r="N1265" s="15"/>
      <c r="O1265" s="15"/>
      <c r="P1265" s="15"/>
      <c r="Q1265" s="15"/>
      <c r="R1265" s="15"/>
    </row>
    <row r="1266" spans="1:18" x14ac:dyDescent="0.2">
      <c r="A1266" s="15"/>
      <c r="B1266" s="38"/>
      <c r="C1266" s="15"/>
      <c r="D1266" s="15"/>
      <c r="E1266" s="15"/>
      <c r="F1266" s="15"/>
      <c r="G1266" s="15"/>
      <c r="H1266" s="15"/>
      <c r="I1266" s="15"/>
      <c r="J1266" s="15"/>
      <c r="K1266" s="15"/>
      <c r="L1266" s="15"/>
      <c r="M1266" s="15"/>
      <c r="N1266" s="15"/>
      <c r="O1266" s="15"/>
      <c r="P1266" s="15"/>
      <c r="Q1266" s="15"/>
      <c r="R1266" s="15"/>
    </row>
    <row r="1267" spans="1:18" x14ac:dyDescent="0.2">
      <c r="A1267" s="15"/>
      <c r="B1267" s="38"/>
      <c r="C1267" s="15"/>
      <c r="D1267" s="15"/>
      <c r="E1267" s="15"/>
      <c r="F1267" s="15"/>
      <c r="G1267" s="15"/>
      <c r="H1267" s="15"/>
      <c r="I1267" s="15"/>
      <c r="J1267" s="15"/>
      <c r="K1267" s="15"/>
      <c r="L1267" s="15"/>
      <c r="M1267" s="15"/>
      <c r="N1267" s="15"/>
      <c r="O1267" s="15"/>
      <c r="P1267" s="15"/>
      <c r="Q1267" s="15"/>
      <c r="R1267" s="15"/>
    </row>
    <row r="1268" spans="1:18" x14ac:dyDescent="0.2">
      <c r="A1268" s="15"/>
      <c r="B1268" s="38"/>
      <c r="C1268" s="15"/>
      <c r="D1268" s="15"/>
      <c r="E1268" s="15"/>
      <c r="F1268" s="15"/>
      <c r="G1268" s="15"/>
      <c r="H1268" s="15"/>
      <c r="I1268" s="15"/>
      <c r="J1268" s="15"/>
      <c r="K1268" s="15"/>
      <c r="L1268" s="15"/>
      <c r="M1268" s="15"/>
      <c r="N1268" s="15"/>
      <c r="O1268" s="15"/>
      <c r="P1268" s="15"/>
      <c r="Q1268" s="15"/>
      <c r="R1268" s="15"/>
    </row>
    <row r="1269" spans="1:18" x14ac:dyDescent="0.2">
      <c r="A1269" s="15"/>
      <c r="B1269" s="38"/>
      <c r="C1269" s="15"/>
      <c r="D1269" s="15"/>
      <c r="E1269" s="15"/>
      <c r="F1269" s="15"/>
      <c r="G1269" s="15"/>
      <c r="H1269" s="15"/>
      <c r="I1269" s="15"/>
      <c r="J1269" s="15"/>
      <c r="K1269" s="15"/>
      <c r="L1269" s="15"/>
      <c r="M1269" s="15"/>
      <c r="N1269" s="15"/>
      <c r="O1269" s="15"/>
      <c r="P1269" s="15"/>
      <c r="Q1269" s="15"/>
      <c r="R1269" s="15"/>
    </row>
    <row r="1270" spans="1:18" x14ac:dyDescent="0.2">
      <c r="A1270" s="15"/>
      <c r="B1270" s="38"/>
      <c r="C1270" s="15"/>
      <c r="D1270" s="15"/>
      <c r="E1270" s="15"/>
      <c r="F1270" s="15"/>
      <c r="G1270" s="15"/>
      <c r="H1270" s="15"/>
      <c r="I1270" s="15"/>
      <c r="J1270" s="15"/>
      <c r="K1270" s="15"/>
      <c r="L1270" s="15"/>
      <c r="M1270" s="15"/>
      <c r="N1270" s="15"/>
      <c r="O1270" s="15"/>
      <c r="P1270" s="15"/>
      <c r="Q1270" s="15"/>
      <c r="R1270" s="15"/>
    </row>
    <row r="1271" spans="1:18" x14ac:dyDescent="0.2">
      <c r="A1271" s="15"/>
      <c r="B1271" s="38"/>
      <c r="C1271" s="15"/>
      <c r="D1271" s="15"/>
      <c r="E1271" s="15"/>
      <c r="F1271" s="15"/>
      <c r="G1271" s="15"/>
      <c r="H1271" s="15"/>
      <c r="I1271" s="15"/>
      <c r="J1271" s="15"/>
      <c r="K1271" s="15"/>
      <c r="L1271" s="15"/>
      <c r="M1271" s="15"/>
      <c r="N1271" s="15"/>
      <c r="O1271" s="15"/>
      <c r="P1271" s="15"/>
      <c r="Q1271" s="15"/>
      <c r="R1271" s="15"/>
    </row>
    <row r="1272" spans="1:18" x14ac:dyDescent="0.2">
      <c r="A1272" s="15"/>
      <c r="B1272" s="38"/>
      <c r="C1272" s="15"/>
      <c r="D1272" s="15"/>
      <c r="E1272" s="15"/>
      <c r="F1272" s="15"/>
      <c r="G1272" s="15"/>
      <c r="H1272" s="15"/>
      <c r="I1272" s="15"/>
      <c r="J1272" s="15"/>
      <c r="K1272" s="15"/>
      <c r="L1272" s="15"/>
      <c r="M1272" s="15"/>
      <c r="N1272" s="15"/>
      <c r="O1272" s="15"/>
      <c r="P1272" s="15"/>
      <c r="Q1272" s="15"/>
      <c r="R1272" s="15"/>
    </row>
    <row r="1273" spans="1:18" x14ac:dyDescent="0.2">
      <c r="A1273" s="15"/>
      <c r="B1273" s="38"/>
      <c r="C1273" s="15"/>
      <c r="D1273" s="15"/>
      <c r="E1273" s="15"/>
      <c r="F1273" s="15"/>
      <c r="G1273" s="15"/>
      <c r="H1273" s="15"/>
      <c r="I1273" s="15"/>
      <c r="J1273" s="15"/>
      <c r="K1273" s="15"/>
      <c r="L1273" s="15"/>
      <c r="M1273" s="15"/>
      <c r="N1273" s="15"/>
      <c r="O1273" s="15"/>
      <c r="P1273" s="15"/>
      <c r="Q1273" s="15"/>
      <c r="R1273" s="15"/>
    </row>
    <row r="1274" spans="1:18" x14ac:dyDescent="0.2">
      <c r="A1274" s="15"/>
      <c r="B1274" s="38"/>
      <c r="C1274" s="15"/>
      <c r="D1274" s="15"/>
      <c r="E1274" s="15"/>
      <c r="F1274" s="15"/>
      <c r="G1274" s="15"/>
      <c r="H1274" s="15"/>
      <c r="I1274" s="15"/>
      <c r="J1274" s="15"/>
      <c r="K1274" s="15"/>
      <c r="L1274" s="15"/>
      <c r="M1274" s="15"/>
      <c r="N1274" s="15"/>
      <c r="O1274" s="15"/>
      <c r="P1274" s="15"/>
      <c r="Q1274" s="15"/>
      <c r="R1274" s="15"/>
    </row>
    <row r="1275" spans="1:18" x14ac:dyDescent="0.2">
      <c r="A1275" s="15"/>
      <c r="B1275" s="38"/>
      <c r="C1275" s="15"/>
      <c r="D1275" s="15"/>
      <c r="E1275" s="15"/>
      <c r="F1275" s="15"/>
      <c r="G1275" s="15"/>
      <c r="H1275" s="15"/>
      <c r="I1275" s="15"/>
      <c r="J1275" s="15"/>
      <c r="K1275" s="15"/>
      <c r="L1275" s="15"/>
      <c r="M1275" s="15"/>
      <c r="N1275" s="15"/>
      <c r="O1275" s="15"/>
      <c r="P1275" s="15"/>
      <c r="Q1275" s="15"/>
      <c r="R1275" s="15"/>
    </row>
    <row r="1276" spans="1:18" x14ac:dyDescent="0.2">
      <c r="A1276" s="15"/>
      <c r="B1276" s="38"/>
      <c r="C1276" s="15"/>
      <c r="D1276" s="15"/>
      <c r="E1276" s="15"/>
      <c r="F1276" s="15"/>
      <c r="G1276" s="15"/>
      <c r="H1276" s="15"/>
      <c r="I1276" s="15"/>
      <c r="J1276" s="15"/>
      <c r="K1276" s="15"/>
      <c r="L1276" s="15"/>
      <c r="M1276" s="15"/>
      <c r="N1276" s="15"/>
      <c r="O1276" s="15"/>
      <c r="P1276" s="15"/>
      <c r="Q1276" s="15"/>
      <c r="R1276" s="15"/>
    </row>
    <row r="1277" spans="1:18" x14ac:dyDescent="0.2">
      <c r="A1277" s="15"/>
      <c r="B1277" s="38"/>
      <c r="C1277" s="15"/>
      <c r="D1277" s="15"/>
      <c r="E1277" s="15"/>
      <c r="F1277" s="15"/>
      <c r="G1277" s="15"/>
      <c r="H1277" s="15"/>
      <c r="I1277" s="15"/>
      <c r="J1277" s="15"/>
      <c r="K1277" s="15"/>
      <c r="L1277" s="15"/>
      <c r="M1277" s="15"/>
      <c r="N1277" s="15"/>
      <c r="O1277" s="15"/>
      <c r="P1277" s="15"/>
      <c r="Q1277" s="15"/>
      <c r="R1277" s="15"/>
    </row>
    <row r="1278" spans="1:18" x14ac:dyDescent="0.2">
      <c r="A1278" s="15"/>
      <c r="B1278" s="38"/>
      <c r="C1278" s="15"/>
      <c r="D1278" s="15"/>
      <c r="E1278" s="15"/>
      <c r="F1278" s="15"/>
      <c r="G1278" s="15"/>
      <c r="H1278" s="15"/>
      <c r="I1278" s="15"/>
      <c r="J1278" s="15"/>
      <c r="K1278" s="15"/>
      <c r="L1278" s="15"/>
      <c r="M1278" s="15"/>
      <c r="N1278" s="15"/>
      <c r="O1278" s="15"/>
      <c r="P1278" s="15"/>
      <c r="Q1278" s="15"/>
      <c r="R1278" s="15"/>
    </row>
    <row r="1279" spans="1:18" x14ac:dyDescent="0.2">
      <c r="A1279" s="15"/>
      <c r="B1279" s="38"/>
      <c r="C1279" s="15"/>
      <c r="D1279" s="15"/>
      <c r="E1279" s="15"/>
      <c r="F1279" s="15"/>
      <c r="G1279" s="15"/>
      <c r="H1279" s="15"/>
      <c r="I1279" s="15"/>
      <c r="J1279" s="15"/>
      <c r="K1279" s="15"/>
      <c r="L1279" s="15"/>
      <c r="M1279" s="15"/>
      <c r="N1279" s="15"/>
      <c r="O1279" s="15"/>
      <c r="P1279" s="15"/>
      <c r="Q1279" s="15"/>
      <c r="R1279" s="15"/>
    </row>
    <row r="1280" spans="1:18" x14ac:dyDescent="0.2">
      <c r="A1280" s="15"/>
      <c r="B1280" s="38"/>
      <c r="C1280" s="15"/>
      <c r="D1280" s="15"/>
      <c r="E1280" s="15"/>
      <c r="F1280" s="15"/>
      <c r="G1280" s="15"/>
      <c r="H1280" s="15"/>
      <c r="I1280" s="15"/>
      <c r="J1280" s="15"/>
      <c r="K1280" s="15"/>
      <c r="L1280" s="15"/>
      <c r="M1280" s="15"/>
      <c r="N1280" s="15"/>
      <c r="O1280" s="15"/>
      <c r="P1280" s="15"/>
      <c r="Q1280" s="15"/>
      <c r="R1280" s="15"/>
    </row>
    <row r="1281" spans="1:18" x14ac:dyDescent="0.2">
      <c r="A1281" s="15"/>
      <c r="B1281" s="38"/>
      <c r="C1281" s="15"/>
      <c r="D1281" s="15"/>
      <c r="E1281" s="15"/>
      <c r="F1281" s="15"/>
      <c r="G1281" s="15"/>
      <c r="H1281" s="15"/>
      <c r="I1281" s="15"/>
      <c r="J1281" s="15"/>
      <c r="K1281" s="15"/>
      <c r="L1281" s="15"/>
      <c r="M1281" s="15"/>
      <c r="N1281" s="15"/>
      <c r="O1281" s="15"/>
      <c r="P1281" s="15"/>
      <c r="Q1281" s="15"/>
      <c r="R1281" s="15"/>
    </row>
    <row r="1282" spans="1:18" x14ac:dyDescent="0.2">
      <c r="A1282" s="15"/>
      <c r="B1282" s="38"/>
      <c r="C1282" s="15"/>
      <c r="D1282" s="15"/>
      <c r="E1282" s="15"/>
      <c r="F1282" s="15"/>
      <c r="G1282" s="15"/>
      <c r="H1282" s="15"/>
      <c r="I1282" s="15"/>
      <c r="J1282" s="15"/>
      <c r="K1282" s="15"/>
      <c r="L1282" s="15"/>
      <c r="M1282" s="15"/>
      <c r="N1282" s="15"/>
      <c r="O1282" s="15"/>
      <c r="P1282" s="15"/>
      <c r="Q1282" s="15"/>
      <c r="R1282" s="15"/>
    </row>
    <row r="1283" spans="1:18" x14ac:dyDescent="0.2">
      <c r="A1283" s="15"/>
      <c r="B1283" s="38"/>
      <c r="C1283" s="15"/>
      <c r="D1283" s="15"/>
      <c r="E1283" s="15"/>
      <c r="F1283" s="15"/>
      <c r="G1283" s="15"/>
      <c r="H1283" s="15"/>
      <c r="I1283" s="15"/>
      <c r="J1283" s="15"/>
      <c r="K1283" s="15"/>
      <c r="L1283" s="15"/>
      <c r="M1283" s="15"/>
      <c r="N1283" s="15"/>
      <c r="O1283" s="15"/>
      <c r="P1283" s="15"/>
      <c r="Q1283" s="15"/>
      <c r="R1283" s="15"/>
    </row>
    <row r="1284" spans="1:18" x14ac:dyDescent="0.2">
      <c r="A1284" s="15"/>
      <c r="B1284" s="38"/>
      <c r="C1284" s="15"/>
      <c r="D1284" s="15"/>
      <c r="E1284" s="15"/>
      <c r="F1284" s="15"/>
      <c r="G1284" s="15"/>
      <c r="H1284" s="15"/>
      <c r="I1284" s="15"/>
      <c r="J1284" s="15"/>
      <c r="K1284" s="15"/>
      <c r="L1284" s="15"/>
      <c r="M1284" s="15"/>
      <c r="N1284" s="15"/>
      <c r="O1284" s="15"/>
      <c r="P1284" s="15"/>
      <c r="Q1284" s="15"/>
      <c r="R1284" s="15"/>
    </row>
    <row r="1285" spans="1:18" x14ac:dyDescent="0.2">
      <c r="A1285" s="15"/>
      <c r="B1285" s="38"/>
      <c r="C1285" s="15"/>
      <c r="D1285" s="15"/>
      <c r="E1285" s="15"/>
      <c r="F1285" s="15"/>
      <c r="G1285" s="15"/>
      <c r="H1285" s="15"/>
      <c r="I1285" s="15"/>
      <c r="J1285" s="15"/>
      <c r="K1285" s="15"/>
      <c r="L1285" s="15"/>
      <c r="M1285" s="15"/>
      <c r="N1285" s="15"/>
      <c r="O1285" s="15"/>
      <c r="P1285" s="15"/>
      <c r="Q1285" s="15"/>
      <c r="R1285" s="15"/>
    </row>
    <row r="1286" spans="1:18" x14ac:dyDescent="0.2">
      <c r="A1286" s="15"/>
      <c r="B1286" s="38"/>
      <c r="C1286" s="15"/>
      <c r="D1286" s="15"/>
      <c r="E1286" s="15"/>
      <c r="F1286" s="15"/>
      <c r="G1286" s="15"/>
      <c r="H1286" s="15"/>
      <c r="I1286" s="15"/>
      <c r="J1286" s="15"/>
      <c r="K1286" s="15"/>
      <c r="L1286" s="15"/>
      <c r="M1286" s="15"/>
      <c r="N1286" s="15"/>
      <c r="O1286" s="15"/>
      <c r="P1286" s="15"/>
      <c r="Q1286" s="15"/>
      <c r="R1286" s="15"/>
    </row>
    <row r="1287" spans="1:18" x14ac:dyDescent="0.2">
      <c r="A1287" s="15"/>
      <c r="B1287" s="38"/>
      <c r="C1287" s="15"/>
      <c r="D1287" s="15"/>
      <c r="E1287" s="15"/>
      <c r="F1287" s="15"/>
      <c r="G1287" s="15"/>
      <c r="H1287" s="15"/>
      <c r="I1287" s="15"/>
      <c r="J1287" s="15"/>
      <c r="K1287" s="15"/>
      <c r="L1287" s="15"/>
      <c r="M1287" s="15"/>
      <c r="N1287" s="15"/>
      <c r="O1287" s="15"/>
      <c r="P1287" s="15"/>
      <c r="Q1287" s="15"/>
      <c r="R1287" s="15"/>
    </row>
    <row r="1288" spans="1:18" x14ac:dyDescent="0.2">
      <c r="A1288" s="15"/>
      <c r="B1288" s="38"/>
      <c r="C1288" s="15"/>
      <c r="D1288" s="15"/>
      <c r="E1288" s="15"/>
      <c r="F1288" s="15"/>
      <c r="G1288" s="15"/>
      <c r="H1288" s="15"/>
      <c r="I1288" s="15"/>
      <c r="J1288" s="15"/>
      <c r="K1288" s="15"/>
      <c r="L1288" s="15"/>
      <c r="M1288" s="15"/>
      <c r="N1288" s="15"/>
      <c r="O1288" s="15"/>
      <c r="P1288" s="15"/>
      <c r="Q1288" s="15"/>
      <c r="R1288" s="15"/>
    </row>
    <row r="1289" spans="1:18" x14ac:dyDescent="0.2">
      <c r="A1289" s="15"/>
      <c r="B1289" s="38"/>
      <c r="C1289" s="15"/>
      <c r="D1289" s="15"/>
      <c r="E1289" s="15"/>
      <c r="F1289" s="15"/>
      <c r="G1289" s="15"/>
      <c r="H1289" s="15"/>
      <c r="I1289" s="15"/>
      <c r="J1289" s="15"/>
      <c r="K1289" s="15"/>
      <c r="L1289" s="15"/>
      <c r="M1289" s="15"/>
      <c r="N1289" s="15"/>
      <c r="O1289" s="15"/>
      <c r="P1289" s="15"/>
      <c r="Q1289" s="15"/>
      <c r="R1289" s="15"/>
    </row>
    <row r="1290" spans="1:18" x14ac:dyDescent="0.2">
      <c r="A1290" s="15"/>
      <c r="B1290" s="38"/>
      <c r="C1290" s="15"/>
      <c r="D1290" s="15"/>
      <c r="E1290" s="15"/>
      <c r="F1290" s="15"/>
      <c r="G1290" s="15"/>
      <c r="H1290" s="15"/>
      <c r="I1290" s="15"/>
      <c r="J1290" s="15"/>
      <c r="K1290" s="15"/>
      <c r="L1290" s="15"/>
      <c r="M1290" s="15"/>
      <c r="N1290" s="15"/>
      <c r="O1290" s="15"/>
      <c r="P1290" s="15"/>
      <c r="Q1290" s="15"/>
      <c r="R1290" s="15"/>
    </row>
    <row r="1291" spans="1:18" x14ac:dyDescent="0.2">
      <c r="A1291" s="15"/>
      <c r="B1291" s="38"/>
      <c r="C1291" s="15"/>
      <c r="D1291" s="15"/>
      <c r="E1291" s="15"/>
      <c r="F1291" s="15"/>
      <c r="G1291" s="15"/>
      <c r="H1291" s="15"/>
      <c r="I1291" s="15"/>
      <c r="J1291" s="15"/>
      <c r="K1291" s="15"/>
      <c r="L1291" s="15"/>
      <c r="M1291" s="15"/>
      <c r="N1291" s="15"/>
      <c r="O1291" s="15"/>
      <c r="P1291" s="15"/>
      <c r="Q1291" s="15"/>
      <c r="R1291" s="15"/>
    </row>
    <row r="1292" spans="1:18" x14ac:dyDescent="0.2">
      <c r="A1292" s="15"/>
      <c r="B1292" s="38"/>
      <c r="C1292" s="15"/>
      <c r="D1292" s="15"/>
      <c r="E1292" s="15"/>
      <c r="F1292" s="15"/>
      <c r="G1292" s="15"/>
      <c r="H1292" s="15"/>
      <c r="I1292" s="15"/>
      <c r="J1292" s="15"/>
      <c r="K1292" s="15"/>
      <c r="L1292" s="15"/>
      <c r="M1292" s="15"/>
      <c r="N1292" s="15"/>
      <c r="O1292" s="15"/>
      <c r="P1292" s="15"/>
      <c r="Q1292" s="15"/>
      <c r="R1292" s="15"/>
    </row>
    <row r="1293" spans="1:18" x14ac:dyDescent="0.2">
      <c r="A1293" s="15"/>
      <c r="B1293" s="38"/>
      <c r="C1293" s="15"/>
      <c r="D1293" s="15"/>
      <c r="E1293" s="15"/>
      <c r="F1293" s="15"/>
      <c r="G1293" s="15"/>
      <c r="H1293" s="15"/>
      <c r="I1293" s="15"/>
      <c r="J1293" s="15"/>
      <c r="K1293" s="15"/>
      <c r="L1293" s="15"/>
      <c r="M1293" s="15"/>
      <c r="N1293" s="15"/>
      <c r="O1293" s="15"/>
      <c r="P1293" s="15"/>
      <c r="Q1293" s="15"/>
      <c r="R1293" s="15"/>
    </row>
    <row r="1294" spans="1:18" x14ac:dyDescent="0.2">
      <c r="A1294" s="15"/>
      <c r="B1294" s="38"/>
      <c r="C1294" s="15"/>
      <c r="D1294" s="15"/>
      <c r="E1294" s="15"/>
      <c r="F1294" s="15"/>
      <c r="G1294" s="15"/>
      <c r="H1294" s="15"/>
      <c r="I1294" s="15"/>
      <c r="J1294" s="15"/>
      <c r="K1294" s="15"/>
      <c r="L1294" s="15"/>
      <c r="M1294" s="15"/>
      <c r="N1294" s="15"/>
      <c r="O1294" s="15"/>
      <c r="P1294" s="15"/>
      <c r="Q1294" s="15"/>
      <c r="R1294" s="15"/>
    </row>
    <row r="1295" spans="1:18" x14ac:dyDescent="0.2">
      <c r="A1295" s="15"/>
      <c r="B1295" s="38"/>
      <c r="C1295" s="15"/>
      <c r="D1295" s="15"/>
      <c r="E1295" s="15"/>
      <c r="F1295" s="15"/>
      <c r="G1295" s="15"/>
      <c r="H1295" s="15"/>
      <c r="I1295" s="15"/>
      <c r="J1295" s="15"/>
      <c r="K1295" s="15"/>
      <c r="L1295" s="15"/>
      <c r="M1295" s="15"/>
      <c r="N1295" s="15"/>
      <c r="O1295" s="15"/>
      <c r="P1295" s="15"/>
      <c r="Q1295" s="15"/>
      <c r="R1295" s="15"/>
    </row>
    <row r="1296" spans="1:18" x14ac:dyDescent="0.2">
      <c r="A1296" s="15"/>
      <c r="B1296" s="38"/>
      <c r="C1296" s="15"/>
      <c r="D1296" s="15"/>
      <c r="E1296" s="15"/>
      <c r="F1296" s="15"/>
      <c r="G1296" s="15"/>
      <c r="H1296" s="15"/>
      <c r="I1296" s="15"/>
      <c r="J1296" s="15"/>
      <c r="K1296" s="15"/>
      <c r="L1296" s="15"/>
      <c r="M1296" s="15"/>
      <c r="N1296" s="15"/>
      <c r="O1296" s="15"/>
      <c r="P1296" s="15"/>
      <c r="Q1296" s="15"/>
      <c r="R1296" s="15"/>
    </row>
    <row r="1297" spans="1:18" x14ac:dyDescent="0.2">
      <c r="A1297" s="15"/>
      <c r="B1297" s="38"/>
      <c r="C1297" s="15"/>
      <c r="D1297" s="15"/>
      <c r="E1297" s="15"/>
      <c r="F1297" s="15"/>
      <c r="G1297" s="15"/>
      <c r="H1297" s="15"/>
      <c r="I1297" s="15"/>
      <c r="J1297" s="15"/>
      <c r="K1297" s="15"/>
      <c r="L1297" s="15"/>
      <c r="M1297" s="15"/>
      <c r="N1297" s="15"/>
      <c r="O1297" s="15"/>
      <c r="P1297" s="15"/>
      <c r="Q1297" s="15"/>
      <c r="R1297" s="15"/>
    </row>
    <row r="1298" spans="1:18" x14ac:dyDescent="0.2">
      <c r="A1298" s="15"/>
      <c r="B1298" s="38"/>
      <c r="C1298" s="15"/>
      <c r="D1298" s="15"/>
      <c r="E1298" s="15"/>
      <c r="F1298" s="15"/>
      <c r="G1298" s="15"/>
      <c r="H1298" s="15"/>
      <c r="I1298" s="15"/>
      <c r="J1298" s="15"/>
      <c r="K1298" s="15"/>
      <c r="L1298" s="15"/>
      <c r="M1298" s="15"/>
      <c r="N1298" s="15"/>
      <c r="O1298" s="15"/>
      <c r="P1298" s="15"/>
      <c r="Q1298" s="15"/>
      <c r="R1298" s="15"/>
    </row>
    <row r="1299" spans="1:18" x14ac:dyDescent="0.2">
      <c r="A1299" s="15"/>
      <c r="B1299" s="38"/>
      <c r="C1299" s="15"/>
      <c r="D1299" s="15"/>
      <c r="E1299" s="15"/>
      <c r="F1299" s="15"/>
      <c r="G1299" s="15"/>
      <c r="H1299" s="15"/>
      <c r="I1299" s="15"/>
      <c r="J1299" s="15"/>
      <c r="K1299" s="15"/>
      <c r="L1299" s="15"/>
      <c r="M1299" s="15"/>
      <c r="N1299" s="15"/>
      <c r="O1299" s="15"/>
      <c r="P1299" s="15"/>
      <c r="Q1299" s="15"/>
      <c r="R1299" s="15"/>
    </row>
    <row r="1300" spans="1:18" x14ac:dyDescent="0.2">
      <c r="A1300" s="15"/>
      <c r="B1300" s="38"/>
      <c r="C1300" s="15"/>
      <c r="D1300" s="15"/>
      <c r="E1300" s="15"/>
      <c r="F1300" s="15"/>
      <c r="G1300" s="15"/>
      <c r="H1300" s="15"/>
      <c r="I1300" s="15"/>
      <c r="J1300" s="15"/>
      <c r="K1300" s="15"/>
      <c r="L1300" s="15"/>
      <c r="M1300" s="15"/>
      <c r="N1300" s="15"/>
      <c r="O1300" s="15"/>
      <c r="P1300" s="15"/>
      <c r="Q1300" s="15"/>
      <c r="R1300" s="15"/>
    </row>
    <row r="1301" spans="1:18" x14ac:dyDescent="0.2">
      <c r="A1301" s="15"/>
      <c r="B1301" s="38"/>
      <c r="C1301" s="15"/>
      <c r="D1301" s="15"/>
      <c r="E1301" s="15"/>
      <c r="F1301" s="15"/>
      <c r="G1301" s="15"/>
      <c r="H1301" s="15"/>
      <c r="I1301" s="15"/>
      <c r="J1301" s="15"/>
      <c r="K1301" s="15"/>
      <c r="L1301" s="15"/>
      <c r="M1301" s="15"/>
      <c r="N1301" s="15"/>
      <c r="O1301" s="15"/>
      <c r="P1301" s="15"/>
      <c r="Q1301" s="15"/>
      <c r="R1301" s="15"/>
    </row>
    <row r="1302" spans="1:18" x14ac:dyDescent="0.2">
      <c r="A1302" s="15"/>
      <c r="B1302" s="38"/>
      <c r="C1302" s="15"/>
      <c r="D1302" s="15"/>
      <c r="E1302" s="15"/>
      <c r="F1302" s="15"/>
      <c r="G1302" s="15"/>
      <c r="H1302" s="15"/>
      <c r="I1302" s="15"/>
      <c r="J1302" s="15"/>
      <c r="K1302" s="15"/>
      <c r="L1302" s="15"/>
      <c r="M1302" s="15"/>
      <c r="N1302" s="15"/>
      <c r="O1302" s="15"/>
      <c r="P1302" s="15"/>
      <c r="Q1302" s="15"/>
      <c r="R1302" s="15"/>
    </row>
    <row r="1303" spans="1:18" x14ac:dyDescent="0.2">
      <c r="A1303" s="15"/>
      <c r="B1303" s="38"/>
      <c r="C1303" s="15"/>
      <c r="D1303" s="15"/>
      <c r="E1303" s="15"/>
      <c r="F1303" s="15"/>
      <c r="G1303" s="15"/>
      <c r="H1303" s="15"/>
      <c r="I1303" s="15"/>
      <c r="J1303" s="15"/>
      <c r="K1303" s="15"/>
      <c r="L1303" s="15"/>
      <c r="M1303" s="15"/>
      <c r="N1303" s="15"/>
      <c r="O1303" s="15"/>
      <c r="P1303" s="15"/>
      <c r="Q1303" s="15"/>
      <c r="R1303" s="15"/>
    </row>
    <row r="1304" spans="1:18" x14ac:dyDescent="0.2">
      <c r="A1304" s="15"/>
      <c r="B1304" s="38"/>
      <c r="C1304" s="15"/>
      <c r="D1304" s="15"/>
      <c r="E1304" s="15"/>
      <c r="F1304" s="15"/>
      <c r="G1304" s="15"/>
      <c r="H1304" s="15"/>
      <c r="I1304" s="15"/>
      <c r="J1304" s="15"/>
      <c r="K1304" s="15"/>
      <c r="L1304" s="15"/>
      <c r="M1304" s="15"/>
      <c r="N1304" s="15"/>
      <c r="O1304" s="15"/>
      <c r="P1304" s="15"/>
      <c r="Q1304" s="15"/>
      <c r="R1304" s="15"/>
    </row>
    <row r="1305" spans="1:18" x14ac:dyDescent="0.2">
      <c r="A1305" s="15"/>
      <c r="B1305" s="38"/>
      <c r="C1305" s="15"/>
      <c r="D1305" s="15"/>
      <c r="E1305" s="15"/>
      <c r="F1305" s="15"/>
      <c r="G1305" s="15"/>
      <c r="H1305" s="15"/>
      <c r="I1305" s="15"/>
      <c r="J1305" s="15"/>
      <c r="K1305" s="15"/>
      <c r="L1305" s="15"/>
      <c r="M1305" s="15"/>
      <c r="N1305" s="15"/>
      <c r="O1305" s="15"/>
      <c r="P1305" s="15"/>
      <c r="Q1305" s="15"/>
      <c r="R1305" s="15"/>
    </row>
    <row r="1306" spans="1:18" x14ac:dyDescent="0.2">
      <c r="A1306" s="15"/>
      <c r="B1306" s="38"/>
      <c r="C1306" s="15"/>
      <c r="D1306" s="15"/>
      <c r="E1306" s="15"/>
      <c r="F1306" s="15"/>
      <c r="G1306" s="15"/>
      <c r="H1306" s="15"/>
      <c r="I1306" s="15"/>
      <c r="J1306" s="15"/>
      <c r="K1306" s="15"/>
      <c r="L1306" s="15"/>
      <c r="M1306" s="15"/>
      <c r="N1306" s="15"/>
      <c r="O1306" s="15"/>
      <c r="P1306" s="15"/>
      <c r="Q1306" s="15"/>
      <c r="R1306" s="15"/>
    </row>
    <row r="1307" spans="1:18" x14ac:dyDescent="0.2">
      <c r="A1307" s="15"/>
      <c r="B1307" s="38"/>
      <c r="C1307" s="15"/>
      <c r="D1307" s="15"/>
      <c r="E1307" s="15"/>
      <c r="F1307" s="15"/>
      <c r="G1307" s="15"/>
      <c r="H1307" s="15"/>
      <c r="I1307" s="15"/>
      <c r="J1307" s="15"/>
      <c r="K1307" s="15"/>
      <c r="L1307" s="15"/>
      <c r="M1307" s="15"/>
      <c r="N1307" s="15"/>
      <c r="O1307" s="15"/>
      <c r="P1307" s="15"/>
      <c r="Q1307" s="15"/>
      <c r="R1307" s="15"/>
    </row>
    <row r="1308" spans="1:18" x14ac:dyDescent="0.2">
      <c r="A1308" s="15"/>
      <c r="B1308" s="38"/>
      <c r="C1308" s="15"/>
      <c r="D1308" s="15"/>
      <c r="E1308" s="15"/>
      <c r="F1308" s="15"/>
      <c r="G1308" s="15"/>
      <c r="H1308" s="15"/>
      <c r="I1308" s="15"/>
      <c r="J1308" s="15"/>
      <c r="K1308" s="15"/>
      <c r="L1308" s="15"/>
      <c r="M1308" s="15"/>
      <c r="N1308" s="15"/>
      <c r="O1308" s="15"/>
      <c r="P1308" s="15"/>
      <c r="Q1308" s="15"/>
      <c r="R1308" s="15"/>
    </row>
    <row r="1309" spans="1:18" x14ac:dyDescent="0.2">
      <c r="A1309" s="15"/>
      <c r="B1309" s="38"/>
      <c r="C1309" s="15"/>
      <c r="D1309" s="15"/>
      <c r="E1309" s="15"/>
      <c r="F1309" s="15"/>
      <c r="G1309" s="15"/>
      <c r="H1309" s="15"/>
      <c r="I1309" s="15"/>
      <c r="J1309" s="15"/>
      <c r="K1309" s="15"/>
      <c r="L1309" s="15"/>
      <c r="M1309" s="15"/>
      <c r="N1309" s="15"/>
      <c r="O1309" s="15"/>
      <c r="P1309" s="15"/>
      <c r="Q1309" s="15"/>
      <c r="R1309" s="15"/>
    </row>
    <row r="1310" spans="1:18" x14ac:dyDescent="0.2">
      <c r="A1310" s="15"/>
      <c r="B1310" s="38"/>
      <c r="C1310" s="15"/>
      <c r="D1310" s="15"/>
      <c r="E1310" s="15"/>
      <c r="F1310" s="15"/>
      <c r="G1310" s="15"/>
      <c r="H1310" s="15"/>
      <c r="I1310" s="15"/>
      <c r="J1310" s="15"/>
      <c r="K1310" s="15"/>
      <c r="L1310" s="15"/>
      <c r="M1310" s="15"/>
      <c r="N1310" s="15"/>
      <c r="O1310" s="15"/>
      <c r="P1310" s="15"/>
      <c r="Q1310" s="15"/>
      <c r="R1310" s="15"/>
    </row>
    <row r="1311" spans="1:18" x14ac:dyDescent="0.2">
      <c r="A1311" s="15"/>
      <c r="B1311" s="38"/>
      <c r="C1311" s="15"/>
      <c r="D1311" s="15"/>
      <c r="E1311" s="15"/>
      <c r="F1311" s="15"/>
      <c r="G1311" s="15"/>
      <c r="H1311" s="15"/>
      <c r="I1311" s="15"/>
      <c r="J1311" s="15"/>
      <c r="K1311" s="15"/>
      <c r="L1311" s="15"/>
      <c r="M1311" s="15"/>
      <c r="N1311" s="15"/>
      <c r="O1311" s="15"/>
      <c r="P1311" s="15"/>
      <c r="Q1311" s="15"/>
      <c r="R1311" s="15"/>
    </row>
    <row r="1312" spans="1:18" x14ac:dyDescent="0.2">
      <c r="A1312" s="15"/>
      <c r="B1312" s="38"/>
      <c r="C1312" s="15"/>
      <c r="D1312" s="15"/>
      <c r="E1312" s="15"/>
      <c r="F1312" s="15"/>
      <c r="G1312" s="15"/>
      <c r="H1312" s="15"/>
      <c r="I1312" s="15"/>
      <c r="J1312" s="15"/>
      <c r="K1312" s="15"/>
      <c r="L1312" s="15"/>
      <c r="M1312" s="15"/>
      <c r="N1312" s="15"/>
      <c r="O1312" s="15"/>
      <c r="P1312" s="15"/>
      <c r="Q1312" s="15"/>
      <c r="R1312" s="15"/>
    </row>
    <row r="1313" spans="1:18" x14ac:dyDescent="0.2">
      <c r="A1313" s="15"/>
      <c r="B1313" s="38"/>
      <c r="C1313" s="15"/>
      <c r="D1313" s="15"/>
      <c r="E1313" s="15"/>
      <c r="F1313" s="15"/>
      <c r="G1313" s="15"/>
      <c r="H1313" s="15"/>
      <c r="I1313" s="15"/>
      <c r="J1313" s="15"/>
      <c r="K1313" s="15"/>
      <c r="L1313" s="15"/>
      <c r="M1313" s="15"/>
      <c r="N1313" s="15"/>
      <c r="O1313" s="15"/>
      <c r="P1313" s="15"/>
      <c r="Q1313" s="15"/>
      <c r="R1313" s="15"/>
    </row>
    <row r="1314" spans="1:18" x14ac:dyDescent="0.2">
      <c r="A1314" s="15"/>
      <c r="B1314" s="38"/>
      <c r="C1314" s="15"/>
      <c r="D1314" s="15"/>
      <c r="E1314" s="15"/>
      <c r="F1314" s="15"/>
      <c r="G1314" s="15"/>
      <c r="H1314" s="15"/>
      <c r="I1314" s="15"/>
      <c r="J1314" s="15"/>
      <c r="K1314" s="15"/>
      <c r="L1314" s="15"/>
      <c r="M1314" s="15"/>
      <c r="N1314" s="15"/>
      <c r="O1314" s="15"/>
      <c r="P1314" s="15"/>
      <c r="Q1314" s="15"/>
      <c r="R1314" s="15"/>
    </row>
    <row r="1315" spans="1:18" x14ac:dyDescent="0.2">
      <c r="A1315" s="15"/>
      <c r="B1315" s="38"/>
      <c r="C1315" s="15"/>
      <c r="D1315" s="15"/>
      <c r="E1315" s="15"/>
      <c r="F1315" s="15"/>
      <c r="G1315" s="15"/>
      <c r="H1315" s="15"/>
      <c r="I1315" s="15"/>
      <c r="J1315" s="15"/>
      <c r="K1315" s="15"/>
      <c r="L1315" s="15"/>
      <c r="M1315" s="15"/>
      <c r="N1315" s="15"/>
      <c r="O1315" s="15"/>
      <c r="P1315" s="15"/>
      <c r="Q1315" s="15"/>
      <c r="R1315" s="15"/>
    </row>
    <row r="1316" spans="1:18" x14ac:dyDescent="0.2">
      <c r="A1316" s="15"/>
      <c r="B1316" s="38"/>
      <c r="C1316" s="15"/>
      <c r="D1316" s="15"/>
      <c r="E1316" s="15"/>
      <c r="F1316" s="15"/>
      <c r="G1316" s="15"/>
      <c r="H1316" s="15"/>
      <c r="I1316" s="15"/>
      <c r="J1316" s="15"/>
      <c r="K1316" s="15"/>
      <c r="L1316" s="15"/>
      <c r="M1316" s="15"/>
      <c r="N1316" s="15"/>
      <c r="O1316" s="15"/>
      <c r="P1316" s="15"/>
      <c r="Q1316" s="15"/>
      <c r="R1316" s="15"/>
    </row>
    <row r="1317" spans="1:18" x14ac:dyDescent="0.2">
      <c r="A1317" s="15"/>
      <c r="B1317" s="38"/>
      <c r="C1317" s="15"/>
      <c r="D1317" s="15"/>
      <c r="E1317" s="15"/>
      <c r="F1317" s="15"/>
      <c r="G1317" s="15"/>
      <c r="H1317" s="15"/>
      <c r="I1317" s="15"/>
      <c r="J1317" s="15"/>
      <c r="K1317" s="15"/>
      <c r="L1317" s="15"/>
      <c r="M1317" s="15"/>
      <c r="N1317" s="15"/>
      <c r="O1317" s="15"/>
      <c r="P1317" s="15"/>
      <c r="Q1317" s="15"/>
      <c r="R1317" s="15"/>
    </row>
    <row r="1318" spans="1:18" x14ac:dyDescent="0.2">
      <c r="A1318" s="15"/>
      <c r="B1318" s="38"/>
      <c r="C1318" s="15"/>
      <c r="D1318" s="15"/>
      <c r="E1318" s="15"/>
      <c r="F1318" s="15"/>
      <c r="G1318" s="15"/>
      <c r="H1318" s="15"/>
      <c r="I1318" s="15"/>
      <c r="J1318" s="15"/>
      <c r="K1318" s="15"/>
      <c r="L1318" s="15"/>
      <c r="M1318" s="15"/>
      <c r="N1318" s="15"/>
      <c r="O1318" s="15"/>
      <c r="P1318" s="15"/>
      <c r="Q1318" s="15"/>
      <c r="R1318" s="15"/>
    </row>
    <row r="1319" spans="1:18" x14ac:dyDescent="0.2">
      <c r="A1319" s="15"/>
      <c r="B1319" s="38"/>
      <c r="C1319" s="15"/>
      <c r="D1319" s="15"/>
      <c r="E1319" s="15"/>
      <c r="F1319" s="15"/>
      <c r="G1319" s="15"/>
      <c r="H1319" s="15"/>
      <c r="I1319" s="15"/>
      <c r="J1319" s="15"/>
      <c r="K1319" s="15"/>
      <c r="L1319" s="15"/>
      <c r="M1319" s="15"/>
      <c r="N1319" s="15"/>
      <c r="O1319" s="15"/>
      <c r="P1319" s="15"/>
      <c r="Q1319" s="15"/>
      <c r="R1319" s="15"/>
    </row>
    <row r="1320" spans="1:18" x14ac:dyDescent="0.2">
      <c r="A1320" s="15"/>
      <c r="B1320" s="38"/>
      <c r="C1320" s="15"/>
      <c r="D1320" s="15"/>
      <c r="E1320" s="15"/>
      <c r="F1320" s="15"/>
      <c r="G1320" s="15"/>
      <c r="H1320" s="15"/>
      <c r="I1320" s="15"/>
      <c r="J1320" s="15"/>
      <c r="K1320" s="15"/>
      <c r="L1320" s="15"/>
      <c r="M1320" s="15"/>
      <c r="N1320" s="15"/>
      <c r="O1320" s="15"/>
      <c r="P1320" s="15"/>
      <c r="Q1320" s="15"/>
      <c r="R1320" s="15"/>
    </row>
    <row r="1321" spans="1:18" x14ac:dyDescent="0.2">
      <c r="A1321" s="15"/>
      <c r="B1321" s="38"/>
      <c r="C1321" s="15"/>
      <c r="D1321" s="15"/>
      <c r="E1321" s="15"/>
      <c r="F1321" s="15"/>
      <c r="G1321" s="15"/>
      <c r="H1321" s="15"/>
      <c r="I1321" s="15"/>
      <c r="J1321" s="15"/>
      <c r="K1321" s="15"/>
      <c r="L1321" s="15"/>
      <c r="M1321" s="15"/>
      <c r="N1321" s="15"/>
      <c r="O1321" s="15"/>
      <c r="P1321" s="15"/>
      <c r="Q1321" s="15"/>
      <c r="R1321" s="15"/>
    </row>
    <row r="1322" spans="1:18" x14ac:dyDescent="0.2">
      <c r="A1322" s="15"/>
      <c r="B1322" s="38"/>
      <c r="C1322" s="15"/>
      <c r="D1322" s="15"/>
      <c r="E1322" s="15"/>
      <c r="F1322" s="15"/>
      <c r="G1322" s="15"/>
      <c r="H1322" s="15"/>
      <c r="I1322" s="15"/>
      <c r="J1322" s="15"/>
      <c r="K1322" s="15"/>
      <c r="L1322" s="15"/>
      <c r="M1322" s="15"/>
      <c r="N1322" s="15"/>
      <c r="O1322" s="15"/>
      <c r="P1322" s="15"/>
      <c r="Q1322" s="15"/>
      <c r="R1322" s="15"/>
    </row>
    <row r="1323" spans="1:18" x14ac:dyDescent="0.2">
      <c r="A1323" s="15"/>
      <c r="B1323" s="38"/>
      <c r="C1323" s="15"/>
      <c r="D1323" s="15"/>
      <c r="E1323" s="15"/>
      <c r="F1323" s="15"/>
      <c r="G1323" s="15"/>
      <c r="H1323" s="15"/>
      <c r="I1323" s="15"/>
      <c r="J1323" s="15"/>
      <c r="K1323" s="15"/>
      <c r="L1323" s="15"/>
      <c r="M1323" s="15"/>
      <c r="N1323" s="15"/>
      <c r="O1323" s="15"/>
      <c r="P1323" s="15"/>
      <c r="Q1323" s="15"/>
      <c r="R1323" s="15"/>
    </row>
    <row r="1324" spans="1:18" x14ac:dyDescent="0.2">
      <c r="A1324" s="15"/>
      <c r="B1324" s="38"/>
      <c r="C1324" s="15"/>
      <c r="D1324" s="15"/>
      <c r="E1324" s="15"/>
      <c r="F1324" s="15"/>
      <c r="G1324" s="15"/>
      <c r="H1324" s="15"/>
      <c r="I1324" s="15"/>
      <c r="J1324" s="15"/>
      <c r="K1324" s="15"/>
      <c r="L1324" s="15"/>
      <c r="M1324" s="15"/>
      <c r="N1324" s="15"/>
      <c r="O1324" s="15"/>
      <c r="P1324" s="15"/>
      <c r="Q1324" s="15"/>
      <c r="R1324" s="15"/>
    </row>
    <row r="1325" spans="1:18" x14ac:dyDescent="0.2">
      <c r="A1325" s="15"/>
      <c r="B1325" s="38"/>
      <c r="C1325" s="15"/>
      <c r="D1325" s="15"/>
      <c r="E1325" s="15"/>
      <c r="F1325" s="15"/>
      <c r="G1325" s="15"/>
      <c r="H1325" s="15"/>
      <c r="I1325" s="15"/>
      <c r="J1325" s="15"/>
      <c r="K1325" s="15"/>
      <c r="L1325" s="15"/>
      <c r="M1325" s="15"/>
      <c r="N1325" s="15"/>
      <c r="O1325" s="15"/>
      <c r="P1325" s="15"/>
      <c r="Q1325" s="15"/>
      <c r="R1325" s="15"/>
    </row>
    <row r="1326" spans="1:18" x14ac:dyDescent="0.2">
      <c r="A1326" s="15"/>
      <c r="B1326" s="38"/>
      <c r="C1326" s="15"/>
      <c r="D1326" s="15"/>
      <c r="E1326" s="15"/>
      <c r="F1326" s="15"/>
      <c r="G1326" s="15"/>
      <c r="H1326" s="15"/>
      <c r="I1326" s="15"/>
      <c r="J1326" s="15"/>
      <c r="K1326" s="15"/>
      <c r="L1326" s="15"/>
      <c r="M1326" s="15"/>
      <c r="N1326" s="15"/>
      <c r="O1326" s="15"/>
      <c r="P1326" s="15"/>
      <c r="Q1326" s="15"/>
      <c r="R1326" s="15"/>
    </row>
    <row r="1327" spans="1:18" x14ac:dyDescent="0.2">
      <c r="A1327" s="15"/>
      <c r="B1327" s="38"/>
      <c r="C1327" s="15"/>
      <c r="D1327" s="15"/>
      <c r="E1327" s="15"/>
      <c r="F1327" s="15"/>
      <c r="G1327" s="15"/>
      <c r="H1327" s="15"/>
      <c r="I1327" s="15"/>
      <c r="J1327" s="15"/>
      <c r="K1327" s="15"/>
      <c r="L1327" s="15"/>
      <c r="M1327" s="15"/>
      <c r="N1327" s="15"/>
      <c r="O1327" s="15"/>
      <c r="P1327" s="15"/>
      <c r="Q1327" s="15"/>
      <c r="R1327" s="15"/>
    </row>
    <row r="1328" spans="1:18" x14ac:dyDescent="0.2">
      <c r="A1328" s="15"/>
      <c r="B1328" s="38"/>
      <c r="C1328" s="15"/>
      <c r="D1328" s="15"/>
      <c r="E1328" s="15"/>
      <c r="F1328" s="15"/>
      <c r="G1328" s="15"/>
      <c r="H1328" s="15"/>
      <c r="I1328" s="15"/>
      <c r="J1328" s="15"/>
      <c r="K1328" s="15"/>
      <c r="L1328" s="15"/>
      <c r="M1328" s="15"/>
      <c r="N1328" s="15"/>
      <c r="O1328" s="15"/>
      <c r="P1328" s="15"/>
      <c r="Q1328" s="15"/>
      <c r="R1328" s="15"/>
    </row>
    <row r="1329" spans="1:18" x14ac:dyDescent="0.2">
      <c r="A1329" s="15"/>
      <c r="B1329" s="38"/>
      <c r="C1329" s="15"/>
      <c r="D1329" s="15"/>
      <c r="E1329" s="15"/>
      <c r="F1329" s="15"/>
      <c r="G1329" s="15"/>
      <c r="H1329" s="15"/>
      <c r="I1329" s="15"/>
      <c r="J1329" s="15"/>
      <c r="K1329" s="15"/>
      <c r="L1329" s="15"/>
      <c r="M1329" s="15"/>
      <c r="N1329" s="15"/>
      <c r="O1329" s="15"/>
      <c r="P1329" s="15"/>
      <c r="Q1329" s="15"/>
      <c r="R1329" s="15"/>
    </row>
    <row r="1330" spans="1:18" x14ac:dyDescent="0.2">
      <c r="A1330" s="15"/>
      <c r="B1330" s="38"/>
      <c r="C1330" s="15"/>
      <c r="D1330" s="15"/>
      <c r="E1330" s="15"/>
      <c r="F1330" s="15"/>
      <c r="G1330" s="15"/>
      <c r="H1330" s="15"/>
      <c r="I1330" s="15"/>
      <c r="J1330" s="15"/>
      <c r="K1330" s="15"/>
      <c r="L1330" s="15"/>
      <c r="M1330" s="15"/>
      <c r="N1330" s="15"/>
      <c r="O1330" s="15"/>
      <c r="P1330" s="15"/>
      <c r="Q1330" s="15"/>
      <c r="R1330" s="15"/>
    </row>
    <row r="1331" spans="1:18" x14ac:dyDescent="0.2">
      <c r="A1331" s="15"/>
      <c r="B1331" s="38"/>
      <c r="C1331" s="15"/>
      <c r="D1331" s="15"/>
      <c r="E1331" s="15"/>
      <c r="F1331" s="15"/>
      <c r="G1331" s="15"/>
      <c r="H1331" s="15"/>
      <c r="I1331" s="15"/>
      <c r="J1331" s="15"/>
      <c r="K1331" s="15"/>
      <c r="L1331" s="15"/>
      <c r="M1331" s="15"/>
      <c r="N1331" s="15"/>
      <c r="O1331" s="15"/>
      <c r="P1331" s="15"/>
      <c r="Q1331" s="15"/>
      <c r="R1331" s="15"/>
    </row>
    <row r="1332" spans="1:18" x14ac:dyDescent="0.2">
      <c r="A1332" s="15"/>
      <c r="B1332" s="38"/>
      <c r="C1332" s="15"/>
      <c r="D1332" s="15"/>
      <c r="E1332" s="15"/>
      <c r="F1332" s="15"/>
      <c r="G1332" s="15"/>
      <c r="H1332" s="15"/>
      <c r="I1332" s="15"/>
      <c r="J1332" s="15"/>
      <c r="K1332" s="15"/>
      <c r="L1332" s="15"/>
      <c r="M1332" s="15"/>
      <c r="N1332" s="15"/>
      <c r="O1332" s="15"/>
      <c r="P1332" s="15"/>
      <c r="Q1332" s="15"/>
      <c r="R1332" s="15"/>
    </row>
    <row r="1333" spans="1:18" x14ac:dyDescent="0.2">
      <c r="A1333" s="15"/>
      <c r="B1333" s="38"/>
      <c r="C1333" s="15"/>
      <c r="D1333" s="15"/>
      <c r="E1333" s="15"/>
      <c r="F1333" s="15"/>
      <c r="G1333" s="15"/>
      <c r="H1333" s="15"/>
      <c r="I1333" s="15"/>
      <c r="J1333" s="15"/>
      <c r="K1333" s="15"/>
      <c r="L1333" s="15"/>
      <c r="M1333" s="15"/>
      <c r="N1333" s="15"/>
      <c r="O1333" s="15"/>
      <c r="P1333" s="15"/>
      <c r="Q1333" s="15"/>
      <c r="R1333" s="15"/>
    </row>
    <row r="1334" spans="1:18" x14ac:dyDescent="0.2">
      <c r="A1334" s="15"/>
      <c r="B1334" s="38"/>
      <c r="C1334" s="15"/>
      <c r="D1334" s="15"/>
      <c r="E1334" s="15"/>
      <c r="F1334" s="15"/>
      <c r="G1334" s="15"/>
      <c r="H1334" s="15"/>
      <c r="I1334" s="15"/>
      <c r="J1334" s="15"/>
      <c r="K1334" s="15"/>
      <c r="L1334" s="15"/>
      <c r="M1334" s="15"/>
      <c r="N1334" s="15"/>
      <c r="O1334" s="15"/>
      <c r="P1334" s="15"/>
      <c r="Q1334" s="15"/>
      <c r="R1334" s="15"/>
    </row>
    <row r="1335" spans="1:18" x14ac:dyDescent="0.2">
      <c r="A1335" s="15"/>
      <c r="B1335" s="38"/>
      <c r="C1335" s="15"/>
      <c r="D1335" s="15"/>
      <c r="E1335" s="15"/>
      <c r="F1335" s="15"/>
      <c r="G1335" s="15"/>
      <c r="H1335" s="15"/>
      <c r="I1335" s="15"/>
      <c r="J1335" s="15"/>
      <c r="K1335" s="15"/>
      <c r="L1335" s="15"/>
      <c r="M1335" s="15"/>
      <c r="N1335" s="15"/>
      <c r="O1335" s="15"/>
      <c r="P1335" s="15"/>
      <c r="Q1335" s="15"/>
      <c r="R1335" s="15"/>
    </row>
    <row r="1336" spans="1:18" x14ac:dyDescent="0.2">
      <c r="A1336" s="15"/>
      <c r="B1336" s="38"/>
      <c r="C1336" s="15"/>
      <c r="D1336" s="15"/>
      <c r="E1336" s="15"/>
      <c r="F1336" s="15"/>
      <c r="G1336" s="15"/>
      <c r="H1336" s="15"/>
      <c r="I1336" s="15"/>
      <c r="J1336" s="15"/>
      <c r="K1336" s="15"/>
      <c r="L1336" s="15"/>
      <c r="M1336" s="15"/>
      <c r="N1336" s="15"/>
      <c r="O1336" s="15"/>
      <c r="P1336" s="15"/>
      <c r="Q1336" s="15"/>
      <c r="R1336" s="15"/>
    </row>
    <row r="1337" spans="1:18" x14ac:dyDescent="0.2">
      <c r="A1337" s="15"/>
      <c r="B1337" s="38"/>
      <c r="C1337" s="15"/>
      <c r="D1337" s="15"/>
      <c r="E1337" s="15"/>
      <c r="F1337" s="15"/>
      <c r="G1337" s="15"/>
      <c r="H1337" s="15"/>
      <c r="I1337" s="15"/>
      <c r="J1337" s="15"/>
      <c r="K1337" s="15"/>
      <c r="L1337" s="15"/>
      <c r="M1337" s="15"/>
      <c r="N1337" s="15"/>
      <c r="O1337" s="15"/>
      <c r="P1337" s="15"/>
      <c r="Q1337" s="15"/>
      <c r="R1337" s="15"/>
    </row>
    <row r="1338" spans="1:18" x14ac:dyDescent="0.2">
      <c r="A1338" s="15"/>
      <c r="B1338" s="38"/>
      <c r="C1338" s="15"/>
      <c r="D1338" s="15"/>
      <c r="E1338" s="15"/>
      <c r="F1338" s="15"/>
      <c r="G1338" s="15"/>
      <c r="H1338" s="15"/>
      <c r="I1338" s="15"/>
      <c r="J1338" s="15"/>
      <c r="K1338" s="15"/>
      <c r="L1338" s="15"/>
      <c r="M1338" s="15"/>
      <c r="N1338" s="15"/>
      <c r="O1338" s="15"/>
      <c r="P1338" s="15"/>
      <c r="Q1338" s="15"/>
      <c r="R1338" s="15"/>
    </row>
    <row r="1339" spans="1:18" x14ac:dyDescent="0.2">
      <c r="A1339" s="15"/>
      <c r="B1339" s="38"/>
      <c r="C1339" s="15"/>
      <c r="D1339" s="15"/>
      <c r="E1339" s="15"/>
      <c r="F1339" s="15"/>
      <c r="G1339" s="15"/>
      <c r="H1339" s="15"/>
      <c r="I1339" s="15"/>
      <c r="J1339" s="15"/>
      <c r="K1339" s="15"/>
      <c r="L1339" s="15"/>
      <c r="M1339" s="15"/>
      <c r="N1339" s="15"/>
      <c r="O1339" s="15"/>
      <c r="P1339" s="15"/>
      <c r="Q1339" s="15"/>
      <c r="R1339" s="15"/>
    </row>
    <row r="1340" spans="1:18" x14ac:dyDescent="0.2">
      <c r="A1340" s="15"/>
      <c r="B1340" s="38"/>
      <c r="C1340" s="15"/>
      <c r="D1340" s="15"/>
      <c r="E1340" s="15"/>
      <c r="F1340" s="15"/>
      <c r="G1340" s="15"/>
      <c r="H1340" s="15"/>
      <c r="I1340" s="15"/>
      <c r="J1340" s="15"/>
      <c r="K1340" s="15"/>
      <c r="L1340" s="15"/>
      <c r="M1340" s="15"/>
      <c r="N1340" s="15"/>
      <c r="O1340" s="15"/>
      <c r="P1340" s="15"/>
      <c r="Q1340" s="15"/>
      <c r="R1340" s="15"/>
    </row>
    <row r="1341" spans="1:18" x14ac:dyDescent="0.2">
      <c r="A1341" s="15"/>
      <c r="B1341" s="38"/>
      <c r="C1341" s="15"/>
      <c r="D1341" s="15"/>
      <c r="E1341" s="15"/>
      <c r="F1341" s="15"/>
      <c r="G1341" s="15"/>
      <c r="H1341" s="15"/>
      <c r="I1341" s="15"/>
      <c r="J1341" s="15"/>
      <c r="K1341" s="15"/>
      <c r="L1341" s="15"/>
      <c r="M1341" s="15"/>
      <c r="N1341" s="15"/>
      <c r="O1341" s="15"/>
      <c r="P1341" s="15"/>
      <c r="Q1341" s="15"/>
      <c r="R1341" s="15"/>
    </row>
    <row r="1342" spans="1:18" x14ac:dyDescent="0.2">
      <c r="A1342" s="15"/>
      <c r="B1342" s="38"/>
      <c r="C1342" s="15"/>
      <c r="D1342" s="15"/>
      <c r="E1342" s="15"/>
      <c r="F1342" s="15"/>
      <c r="G1342" s="15"/>
      <c r="H1342" s="15"/>
      <c r="I1342" s="15"/>
      <c r="J1342" s="15"/>
      <c r="K1342" s="15"/>
      <c r="L1342" s="15"/>
      <c r="M1342" s="15"/>
      <c r="N1342" s="15"/>
      <c r="O1342" s="15"/>
      <c r="P1342" s="15"/>
      <c r="Q1342" s="15"/>
      <c r="R1342" s="15"/>
    </row>
    <row r="1343" spans="1:18" x14ac:dyDescent="0.2">
      <c r="A1343" s="15"/>
      <c r="B1343" s="38"/>
      <c r="C1343" s="15"/>
      <c r="D1343" s="15"/>
      <c r="E1343" s="15"/>
      <c r="F1343" s="15"/>
      <c r="G1343" s="15"/>
      <c r="H1343" s="15"/>
      <c r="I1343" s="15"/>
      <c r="J1343" s="15"/>
      <c r="K1343" s="15"/>
      <c r="L1343" s="15"/>
      <c r="M1343" s="15"/>
      <c r="N1343" s="15"/>
      <c r="O1343" s="15"/>
      <c r="P1343" s="15"/>
      <c r="Q1343" s="15"/>
      <c r="R1343" s="15"/>
    </row>
    <row r="1344" spans="1:18" x14ac:dyDescent="0.2">
      <c r="A1344" s="15"/>
      <c r="B1344" s="38"/>
      <c r="C1344" s="15"/>
      <c r="D1344" s="15"/>
      <c r="E1344" s="15"/>
      <c r="F1344" s="15"/>
      <c r="G1344" s="15"/>
      <c r="H1344" s="15"/>
      <c r="I1344" s="15"/>
      <c r="J1344" s="15"/>
      <c r="K1344" s="15"/>
      <c r="L1344" s="15"/>
      <c r="M1344" s="15"/>
      <c r="N1344" s="15"/>
      <c r="O1344" s="15"/>
      <c r="P1344" s="15"/>
      <c r="Q1344" s="15"/>
      <c r="R1344" s="15"/>
    </row>
    <row r="1345" spans="1:18" x14ac:dyDescent="0.2">
      <c r="A1345" s="15"/>
      <c r="B1345" s="38"/>
      <c r="C1345" s="15"/>
      <c r="D1345" s="15"/>
      <c r="E1345" s="15"/>
      <c r="F1345" s="15"/>
      <c r="G1345" s="15"/>
      <c r="H1345" s="15"/>
      <c r="I1345" s="15"/>
      <c r="J1345" s="15"/>
      <c r="K1345" s="15"/>
      <c r="L1345" s="15"/>
      <c r="M1345" s="15"/>
      <c r="N1345" s="15"/>
      <c r="O1345" s="15"/>
      <c r="P1345" s="15"/>
      <c r="Q1345" s="15"/>
      <c r="R1345" s="15"/>
    </row>
    <row r="1346" spans="1:18" x14ac:dyDescent="0.2">
      <c r="A1346" s="15"/>
      <c r="B1346" s="38"/>
      <c r="C1346" s="15"/>
      <c r="D1346" s="15"/>
      <c r="E1346" s="15"/>
      <c r="F1346" s="15"/>
      <c r="G1346" s="15"/>
      <c r="H1346" s="15"/>
      <c r="I1346" s="15"/>
      <c r="J1346" s="15"/>
      <c r="K1346" s="15"/>
      <c r="L1346" s="15"/>
      <c r="M1346" s="15"/>
      <c r="N1346" s="15"/>
      <c r="O1346" s="15"/>
      <c r="P1346" s="15"/>
      <c r="Q1346" s="15"/>
      <c r="R1346" s="15"/>
    </row>
    <row r="1347" spans="1:18" x14ac:dyDescent="0.2">
      <c r="A1347" s="15"/>
      <c r="B1347" s="38"/>
      <c r="C1347" s="15"/>
      <c r="D1347" s="15"/>
      <c r="E1347" s="15"/>
      <c r="F1347" s="15"/>
      <c r="G1347" s="15"/>
      <c r="H1347" s="15"/>
      <c r="I1347" s="15"/>
      <c r="J1347" s="15"/>
      <c r="K1347" s="15"/>
      <c r="L1347" s="15"/>
      <c r="M1347" s="15"/>
      <c r="N1347" s="15"/>
      <c r="O1347" s="15"/>
      <c r="P1347" s="15"/>
      <c r="Q1347" s="15"/>
      <c r="R1347" s="15"/>
    </row>
    <row r="1348" spans="1:18" x14ac:dyDescent="0.2">
      <c r="A1348" s="15"/>
      <c r="B1348" s="38"/>
      <c r="C1348" s="15"/>
      <c r="D1348" s="15"/>
      <c r="E1348" s="15"/>
      <c r="F1348" s="15"/>
      <c r="G1348" s="15"/>
      <c r="H1348" s="15"/>
      <c r="I1348" s="15"/>
      <c r="J1348" s="15"/>
      <c r="K1348" s="15"/>
      <c r="L1348" s="15"/>
      <c r="M1348" s="15"/>
      <c r="N1348" s="15"/>
      <c r="O1348" s="15"/>
      <c r="P1348" s="15"/>
      <c r="Q1348" s="15"/>
      <c r="R1348" s="15"/>
    </row>
    <row r="1349" spans="1:18" x14ac:dyDescent="0.2">
      <c r="A1349" s="15"/>
      <c r="B1349" s="38"/>
      <c r="C1349" s="15"/>
      <c r="D1349" s="15"/>
      <c r="E1349" s="15"/>
      <c r="F1349" s="15"/>
      <c r="G1349" s="15"/>
      <c r="H1349" s="15"/>
      <c r="I1349" s="15"/>
      <c r="J1349" s="15"/>
      <c r="K1349" s="15"/>
      <c r="L1349" s="15"/>
      <c r="M1349" s="15"/>
      <c r="N1349" s="15"/>
      <c r="O1349" s="15"/>
      <c r="P1349" s="15"/>
      <c r="Q1349" s="15"/>
      <c r="R1349" s="15"/>
    </row>
    <row r="1350" spans="1:18" x14ac:dyDescent="0.2">
      <c r="A1350" s="15"/>
      <c r="B1350" s="38"/>
      <c r="C1350" s="15"/>
      <c r="D1350" s="15"/>
      <c r="E1350" s="15"/>
      <c r="F1350" s="15"/>
      <c r="G1350" s="15"/>
      <c r="H1350" s="15"/>
      <c r="I1350" s="15"/>
      <c r="J1350" s="15"/>
      <c r="K1350" s="15"/>
      <c r="L1350" s="15"/>
      <c r="M1350" s="15"/>
      <c r="N1350" s="15"/>
      <c r="O1350" s="15"/>
      <c r="P1350" s="15"/>
      <c r="Q1350" s="15"/>
      <c r="R1350" s="15"/>
    </row>
    <row r="1351" spans="1:18" x14ac:dyDescent="0.2">
      <c r="A1351" s="15"/>
      <c r="B1351" s="38"/>
      <c r="C1351" s="15"/>
      <c r="D1351" s="15"/>
      <c r="E1351" s="15"/>
      <c r="F1351" s="15"/>
      <c r="G1351" s="15"/>
      <c r="H1351" s="15"/>
      <c r="I1351" s="15"/>
      <c r="J1351" s="15"/>
      <c r="K1351" s="15"/>
      <c r="L1351" s="15"/>
      <c r="M1351" s="15"/>
      <c r="N1351" s="15"/>
      <c r="O1351" s="15"/>
      <c r="P1351" s="15"/>
      <c r="Q1351" s="15"/>
      <c r="R1351" s="15"/>
    </row>
    <row r="1352" spans="1:18" x14ac:dyDescent="0.2">
      <c r="A1352" s="15"/>
      <c r="B1352" s="38"/>
      <c r="C1352" s="15"/>
      <c r="D1352" s="15"/>
      <c r="E1352" s="15"/>
      <c r="F1352" s="15"/>
      <c r="G1352" s="15"/>
      <c r="H1352" s="15"/>
      <c r="I1352" s="15"/>
      <c r="J1352" s="15"/>
      <c r="K1352" s="15"/>
      <c r="L1352" s="15"/>
      <c r="M1352" s="15"/>
      <c r="N1352" s="15"/>
      <c r="O1352" s="15"/>
      <c r="P1352" s="15"/>
      <c r="Q1352" s="15"/>
      <c r="R1352" s="15"/>
    </row>
    <row r="1353" spans="1:18" x14ac:dyDescent="0.2">
      <c r="A1353" s="15"/>
      <c r="B1353" s="38"/>
      <c r="C1353" s="15"/>
      <c r="D1353" s="15"/>
      <c r="E1353" s="15"/>
      <c r="F1353" s="15"/>
      <c r="G1353" s="15"/>
      <c r="H1353" s="15"/>
      <c r="I1353" s="15"/>
      <c r="J1353" s="15"/>
      <c r="K1353" s="15"/>
      <c r="L1353" s="15"/>
      <c r="M1353" s="15"/>
      <c r="N1353" s="15"/>
      <c r="O1353" s="15"/>
      <c r="P1353" s="15"/>
      <c r="Q1353" s="15"/>
      <c r="R1353" s="15"/>
    </row>
    <row r="1354" spans="1:18" x14ac:dyDescent="0.2">
      <c r="A1354" s="15"/>
      <c r="B1354" s="38"/>
      <c r="C1354" s="15"/>
      <c r="D1354" s="15"/>
      <c r="E1354" s="15"/>
      <c r="F1354" s="15"/>
      <c r="G1354" s="15"/>
      <c r="H1354" s="15"/>
      <c r="I1354" s="15"/>
      <c r="J1354" s="15"/>
      <c r="K1354" s="15"/>
      <c r="L1354" s="15"/>
      <c r="M1354" s="15"/>
      <c r="N1354" s="15"/>
      <c r="O1354" s="15"/>
      <c r="P1354" s="15"/>
      <c r="Q1354" s="15"/>
      <c r="R1354" s="15"/>
    </row>
    <row r="1355" spans="1:18" x14ac:dyDescent="0.2">
      <c r="A1355" s="15"/>
      <c r="B1355" s="38"/>
      <c r="C1355" s="15"/>
      <c r="D1355" s="15"/>
      <c r="E1355" s="15"/>
      <c r="F1355" s="15"/>
      <c r="G1355" s="15"/>
      <c r="H1355" s="15"/>
      <c r="I1355" s="15"/>
      <c r="J1355" s="15"/>
      <c r="K1355" s="15"/>
      <c r="L1355" s="15"/>
      <c r="M1355" s="15"/>
      <c r="N1355" s="15"/>
      <c r="O1355" s="15"/>
      <c r="P1355" s="15"/>
      <c r="Q1355" s="15"/>
      <c r="R1355" s="15"/>
    </row>
    <row r="1356" spans="1:18" x14ac:dyDescent="0.2">
      <c r="A1356" s="15"/>
      <c r="B1356" s="38"/>
      <c r="C1356" s="15"/>
      <c r="D1356" s="15"/>
      <c r="E1356" s="15"/>
      <c r="F1356" s="15"/>
      <c r="G1356" s="15"/>
      <c r="H1356" s="15"/>
      <c r="I1356" s="15"/>
      <c r="J1356" s="15"/>
      <c r="K1356" s="15"/>
      <c r="L1356" s="15"/>
      <c r="M1356" s="15"/>
      <c r="N1356" s="15"/>
      <c r="O1356" s="15"/>
      <c r="P1356" s="15"/>
      <c r="Q1356" s="15"/>
      <c r="R1356" s="15"/>
    </row>
    <row r="1357" spans="1:18" x14ac:dyDescent="0.2">
      <c r="A1357" s="15"/>
      <c r="B1357" s="38"/>
      <c r="C1357" s="15"/>
      <c r="D1357" s="15"/>
      <c r="E1357" s="15"/>
      <c r="F1357" s="15"/>
      <c r="G1357" s="15"/>
      <c r="H1357" s="15"/>
      <c r="I1357" s="15"/>
      <c r="J1357" s="15"/>
      <c r="K1357" s="15"/>
      <c r="L1357" s="15"/>
      <c r="M1357" s="15"/>
      <c r="N1357" s="15"/>
      <c r="O1357" s="15"/>
      <c r="P1357" s="15"/>
      <c r="Q1357" s="15"/>
      <c r="R1357" s="15"/>
    </row>
    <row r="1358" spans="1:18" x14ac:dyDescent="0.2">
      <c r="A1358" s="15"/>
      <c r="B1358" s="38"/>
      <c r="C1358" s="15"/>
      <c r="D1358" s="15"/>
      <c r="E1358" s="15"/>
      <c r="F1358" s="15"/>
      <c r="G1358" s="15"/>
      <c r="H1358" s="15"/>
      <c r="I1358" s="15"/>
      <c r="J1358" s="15"/>
      <c r="K1358" s="15"/>
      <c r="L1358" s="15"/>
      <c r="M1358" s="15"/>
      <c r="N1358" s="15"/>
      <c r="O1358" s="15"/>
      <c r="P1358" s="15"/>
      <c r="Q1358" s="15"/>
      <c r="R1358" s="15"/>
    </row>
    <row r="1359" spans="1:18" x14ac:dyDescent="0.2">
      <c r="A1359" s="15"/>
      <c r="B1359" s="38"/>
      <c r="C1359" s="15"/>
      <c r="D1359" s="15"/>
      <c r="E1359" s="15"/>
      <c r="F1359" s="15"/>
      <c r="G1359" s="15"/>
      <c r="H1359" s="15"/>
      <c r="I1359" s="15"/>
      <c r="J1359" s="15"/>
      <c r="K1359" s="15"/>
      <c r="L1359" s="15"/>
      <c r="M1359" s="15"/>
      <c r="N1359" s="15"/>
      <c r="O1359" s="15"/>
      <c r="P1359" s="15"/>
      <c r="Q1359" s="15"/>
      <c r="R1359" s="15"/>
    </row>
    <row r="1360" spans="1:18" x14ac:dyDescent="0.2">
      <c r="A1360" s="15"/>
      <c r="B1360" s="38"/>
      <c r="C1360" s="15"/>
      <c r="D1360" s="15"/>
      <c r="E1360" s="15"/>
      <c r="F1360" s="15"/>
      <c r="G1360" s="15"/>
      <c r="H1360" s="15"/>
      <c r="I1360" s="15"/>
      <c r="J1360" s="15"/>
      <c r="K1360" s="15"/>
      <c r="L1360" s="15"/>
      <c r="M1360" s="15"/>
      <c r="N1360" s="15"/>
      <c r="O1360" s="15"/>
      <c r="P1360" s="15"/>
      <c r="Q1360" s="15"/>
      <c r="R1360" s="15"/>
    </row>
    <row r="1361" spans="1:18" x14ac:dyDescent="0.2">
      <c r="A1361" s="15"/>
      <c r="B1361" s="38"/>
      <c r="C1361" s="15"/>
      <c r="D1361" s="15"/>
      <c r="E1361" s="15"/>
      <c r="F1361" s="15"/>
      <c r="G1361" s="15"/>
      <c r="H1361" s="15"/>
      <c r="I1361" s="15"/>
      <c r="J1361" s="15"/>
      <c r="K1361" s="15"/>
      <c r="L1361" s="15"/>
      <c r="M1361" s="15"/>
      <c r="N1361" s="15"/>
      <c r="O1361" s="15"/>
      <c r="P1361" s="15"/>
      <c r="Q1361" s="15"/>
      <c r="R1361" s="15"/>
    </row>
    <row r="1362" spans="1:18" x14ac:dyDescent="0.2">
      <c r="A1362" s="15"/>
      <c r="B1362" s="38"/>
      <c r="C1362" s="15"/>
      <c r="D1362" s="15"/>
      <c r="E1362" s="15"/>
      <c r="F1362" s="15"/>
      <c r="G1362" s="15"/>
      <c r="H1362" s="15"/>
      <c r="I1362" s="15"/>
      <c r="J1362" s="15"/>
      <c r="K1362" s="15"/>
      <c r="L1362" s="15"/>
      <c r="M1362" s="15"/>
      <c r="N1362" s="15"/>
      <c r="O1362" s="15"/>
      <c r="P1362" s="15"/>
      <c r="Q1362" s="15"/>
      <c r="R1362" s="15"/>
    </row>
    <row r="1363" spans="1:18" x14ac:dyDescent="0.2">
      <c r="A1363" s="15"/>
      <c r="B1363" s="38"/>
      <c r="C1363" s="15"/>
      <c r="D1363" s="15"/>
      <c r="E1363" s="15"/>
      <c r="F1363" s="15"/>
      <c r="G1363" s="15"/>
      <c r="H1363" s="15"/>
      <c r="I1363" s="15"/>
      <c r="J1363" s="15"/>
      <c r="K1363" s="15"/>
      <c r="L1363" s="15"/>
      <c r="M1363" s="15"/>
      <c r="N1363" s="15"/>
      <c r="O1363" s="15"/>
      <c r="P1363" s="15"/>
      <c r="Q1363" s="15"/>
      <c r="R1363" s="15"/>
    </row>
    <row r="1364" spans="1:18" x14ac:dyDescent="0.2">
      <c r="A1364" s="15"/>
      <c r="B1364" s="38"/>
      <c r="C1364" s="15"/>
      <c r="D1364" s="15"/>
      <c r="E1364" s="15"/>
      <c r="F1364" s="15"/>
      <c r="G1364" s="15"/>
      <c r="H1364" s="15"/>
      <c r="I1364" s="15"/>
      <c r="J1364" s="15"/>
      <c r="K1364" s="15"/>
      <c r="L1364" s="15"/>
      <c r="M1364" s="15"/>
      <c r="N1364" s="15"/>
      <c r="O1364" s="15"/>
      <c r="P1364" s="15"/>
      <c r="Q1364" s="15"/>
      <c r="R1364" s="15"/>
    </row>
    <row r="1365" spans="1:18" x14ac:dyDescent="0.2">
      <c r="A1365" s="15"/>
      <c r="B1365" s="38"/>
      <c r="C1365" s="15"/>
      <c r="D1365" s="15"/>
      <c r="E1365" s="15"/>
      <c r="F1365" s="15"/>
      <c r="G1365" s="15"/>
      <c r="H1365" s="15"/>
      <c r="I1365" s="15"/>
      <c r="J1365" s="15"/>
      <c r="K1365" s="15"/>
      <c r="L1365" s="15"/>
      <c r="M1365" s="15"/>
      <c r="N1365" s="15"/>
      <c r="O1365" s="15"/>
      <c r="P1365" s="15"/>
      <c r="Q1365" s="15"/>
      <c r="R1365" s="15"/>
    </row>
    <row r="1366" spans="1:18" x14ac:dyDescent="0.2">
      <c r="A1366" s="15"/>
      <c r="B1366" s="38"/>
      <c r="C1366" s="15"/>
      <c r="D1366" s="15"/>
      <c r="E1366" s="15"/>
      <c r="F1366" s="15"/>
      <c r="G1366" s="15"/>
      <c r="H1366" s="15"/>
      <c r="I1366" s="15"/>
      <c r="J1366" s="15"/>
      <c r="K1366" s="15"/>
      <c r="L1366" s="15"/>
      <c r="M1366" s="15"/>
      <c r="N1366" s="15"/>
      <c r="O1366" s="15"/>
      <c r="P1366" s="15"/>
      <c r="Q1366" s="15"/>
      <c r="R1366" s="15"/>
    </row>
    <row r="1367" spans="1:18" x14ac:dyDescent="0.2">
      <c r="A1367" s="15"/>
      <c r="B1367" s="38"/>
      <c r="C1367" s="15"/>
      <c r="D1367" s="15"/>
      <c r="E1367" s="15"/>
      <c r="F1367" s="15"/>
      <c r="G1367" s="15"/>
      <c r="H1367" s="15"/>
      <c r="I1367" s="15"/>
      <c r="J1367" s="15"/>
      <c r="K1367" s="15"/>
      <c r="L1367" s="15"/>
      <c r="M1367" s="15"/>
      <c r="N1367" s="15"/>
      <c r="O1367" s="15"/>
      <c r="P1367" s="15"/>
      <c r="Q1367" s="15"/>
      <c r="R1367" s="15"/>
    </row>
    <row r="1368" spans="1:18" x14ac:dyDescent="0.2">
      <c r="A1368" s="15"/>
      <c r="B1368" s="38"/>
      <c r="C1368" s="15"/>
      <c r="D1368" s="15"/>
      <c r="E1368" s="15"/>
      <c r="F1368" s="15"/>
      <c r="G1368" s="15"/>
      <c r="H1368" s="15"/>
      <c r="I1368" s="15"/>
      <c r="J1368" s="15"/>
      <c r="K1368" s="15"/>
      <c r="L1368" s="15"/>
      <c r="M1368" s="15"/>
      <c r="N1368" s="15"/>
      <c r="O1368" s="15"/>
      <c r="P1368" s="15"/>
      <c r="Q1368" s="15"/>
      <c r="R1368" s="15"/>
    </row>
    <row r="1369" spans="1:18" x14ac:dyDescent="0.2">
      <c r="A1369" s="15"/>
      <c r="B1369" s="38"/>
      <c r="C1369" s="15"/>
      <c r="D1369" s="15"/>
      <c r="E1369" s="15"/>
      <c r="F1369" s="15"/>
      <c r="G1369" s="15"/>
      <c r="H1369" s="15"/>
      <c r="I1369" s="15"/>
      <c r="J1369" s="15"/>
      <c r="K1369" s="15"/>
      <c r="L1369" s="15"/>
      <c r="M1369" s="15"/>
      <c r="N1369" s="15"/>
      <c r="O1369" s="15"/>
      <c r="P1369" s="15"/>
      <c r="Q1369" s="15"/>
      <c r="R1369" s="15"/>
    </row>
    <row r="1370" spans="1:18" x14ac:dyDescent="0.2">
      <c r="A1370" s="15"/>
      <c r="B1370" s="38"/>
      <c r="C1370" s="15"/>
      <c r="D1370" s="15"/>
      <c r="E1370" s="15"/>
      <c r="F1370" s="15"/>
      <c r="G1370" s="15"/>
      <c r="H1370" s="15"/>
      <c r="I1370" s="15"/>
      <c r="J1370" s="15"/>
      <c r="K1370" s="15"/>
      <c r="L1370" s="15"/>
      <c r="M1370" s="15"/>
      <c r="N1370" s="15"/>
      <c r="O1370" s="15"/>
      <c r="P1370" s="15"/>
      <c r="Q1370" s="15"/>
      <c r="R1370" s="15"/>
    </row>
    <row r="1371" spans="1:18" x14ac:dyDescent="0.2">
      <c r="A1371" s="15"/>
      <c r="B1371" s="38"/>
      <c r="C1371" s="15"/>
      <c r="D1371" s="15"/>
      <c r="E1371" s="15"/>
      <c r="F1371" s="15"/>
      <c r="G1371" s="15"/>
      <c r="H1371" s="15"/>
      <c r="I1371" s="15"/>
      <c r="J1371" s="15"/>
      <c r="K1371" s="15"/>
      <c r="L1371" s="15"/>
      <c r="M1371" s="15"/>
      <c r="N1371" s="15"/>
      <c r="O1371" s="15"/>
      <c r="P1371" s="15"/>
      <c r="Q1371" s="15"/>
      <c r="R1371" s="15"/>
    </row>
    <row r="1372" spans="1:18" x14ac:dyDescent="0.2">
      <c r="A1372" s="15"/>
      <c r="B1372" s="38"/>
      <c r="C1372" s="15"/>
      <c r="D1372" s="15"/>
      <c r="E1372" s="15"/>
      <c r="F1372" s="15"/>
      <c r="G1372" s="15"/>
      <c r="H1372" s="15"/>
      <c r="I1372" s="15"/>
      <c r="J1372" s="15"/>
      <c r="K1372" s="15"/>
      <c r="L1372" s="15"/>
      <c r="M1372" s="15"/>
      <c r="N1372" s="15"/>
      <c r="O1372" s="15"/>
      <c r="P1372" s="15"/>
      <c r="Q1372" s="15"/>
      <c r="R1372" s="15"/>
    </row>
    <row r="1373" spans="1:18" x14ac:dyDescent="0.2">
      <c r="A1373" s="15"/>
      <c r="B1373" s="38"/>
      <c r="C1373" s="15"/>
      <c r="D1373" s="15"/>
      <c r="E1373" s="15"/>
      <c r="F1373" s="15"/>
      <c r="G1373" s="15"/>
      <c r="H1373" s="15"/>
      <c r="I1373" s="15"/>
      <c r="J1373" s="15"/>
      <c r="K1373" s="15"/>
      <c r="L1373" s="15"/>
      <c r="M1373" s="15"/>
      <c r="N1373" s="15"/>
      <c r="O1373" s="15"/>
      <c r="P1373" s="15"/>
      <c r="Q1373" s="15"/>
      <c r="R1373" s="15"/>
    </row>
    <row r="1374" spans="1:18" x14ac:dyDescent="0.2">
      <c r="A1374" s="15"/>
      <c r="B1374" s="38"/>
      <c r="C1374" s="15"/>
      <c r="D1374" s="15"/>
      <c r="E1374" s="15"/>
      <c r="F1374" s="15"/>
      <c r="G1374" s="15"/>
      <c r="H1374" s="15"/>
      <c r="I1374" s="15"/>
      <c r="J1374" s="15"/>
      <c r="K1374" s="15"/>
      <c r="L1374" s="15"/>
      <c r="M1374" s="15"/>
      <c r="N1374" s="15"/>
      <c r="O1374" s="15"/>
      <c r="P1374" s="15"/>
      <c r="Q1374" s="15"/>
      <c r="R1374" s="15"/>
    </row>
    <row r="1375" spans="1:18" x14ac:dyDescent="0.2">
      <c r="A1375" s="15"/>
      <c r="B1375" s="38"/>
      <c r="C1375" s="15"/>
      <c r="D1375" s="15"/>
      <c r="E1375" s="15"/>
      <c r="F1375" s="15"/>
      <c r="G1375" s="15"/>
      <c r="H1375" s="15"/>
      <c r="I1375" s="15"/>
      <c r="J1375" s="15"/>
      <c r="K1375" s="15"/>
      <c r="L1375" s="15"/>
      <c r="M1375" s="15"/>
      <c r="N1375" s="15"/>
      <c r="O1375" s="15"/>
      <c r="P1375" s="15"/>
      <c r="Q1375" s="15"/>
      <c r="R1375" s="15"/>
    </row>
    <row r="1376" spans="1:18" x14ac:dyDescent="0.2">
      <c r="A1376" s="15"/>
      <c r="B1376" s="38"/>
      <c r="C1376" s="15"/>
      <c r="D1376" s="15"/>
      <c r="E1376" s="15"/>
      <c r="F1376" s="15"/>
      <c r="G1376" s="15"/>
      <c r="H1376" s="15"/>
      <c r="I1376" s="15"/>
      <c r="J1376" s="15"/>
      <c r="K1376" s="15"/>
      <c r="L1376" s="15"/>
      <c r="M1376" s="15"/>
      <c r="N1376" s="15"/>
      <c r="O1376" s="15"/>
      <c r="P1376" s="15"/>
      <c r="Q1376" s="15"/>
      <c r="R1376" s="15"/>
    </row>
    <row r="1377" spans="1:18" x14ac:dyDescent="0.2">
      <c r="A1377" s="15"/>
      <c r="B1377" s="38"/>
      <c r="C1377" s="15"/>
      <c r="D1377" s="15"/>
      <c r="E1377" s="15"/>
      <c r="F1377" s="15"/>
      <c r="G1377" s="15"/>
      <c r="H1377" s="15"/>
      <c r="I1377" s="15"/>
      <c r="J1377" s="15"/>
      <c r="K1377" s="15"/>
      <c r="L1377" s="15"/>
      <c r="M1377" s="15"/>
      <c r="N1377" s="15"/>
      <c r="O1377" s="15"/>
      <c r="P1377" s="15"/>
      <c r="Q1377" s="15"/>
      <c r="R1377" s="15"/>
    </row>
    <row r="1378" spans="1:18" x14ac:dyDescent="0.2">
      <c r="A1378" s="15"/>
      <c r="B1378" s="38"/>
      <c r="C1378" s="15"/>
      <c r="D1378" s="15"/>
      <c r="E1378" s="15"/>
      <c r="F1378" s="15"/>
      <c r="G1378" s="15"/>
      <c r="H1378" s="15"/>
      <c r="I1378" s="15"/>
      <c r="J1378" s="15"/>
      <c r="K1378" s="15"/>
      <c r="L1378" s="15"/>
      <c r="M1378" s="15"/>
      <c r="N1378" s="15"/>
      <c r="O1378" s="15"/>
      <c r="P1378" s="15"/>
      <c r="Q1378" s="15"/>
      <c r="R1378" s="15"/>
    </row>
    <row r="1379" spans="1:18" x14ac:dyDescent="0.2">
      <c r="A1379" s="15"/>
      <c r="B1379" s="38"/>
      <c r="C1379" s="15"/>
      <c r="D1379" s="15"/>
      <c r="E1379" s="15"/>
      <c r="F1379" s="15"/>
      <c r="G1379" s="15"/>
      <c r="H1379" s="15"/>
      <c r="I1379" s="15"/>
      <c r="J1379" s="15"/>
      <c r="K1379" s="15"/>
      <c r="L1379" s="15"/>
      <c r="M1379" s="15"/>
      <c r="N1379" s="15"/>
      <c r="O1379" s="15"/>
      <c r="P1379" s="15"/>
      <c r="Q1379" s="15"/>
      <c r="R1379" s="15"/>
    </row>
    <row r="1380" spans="1:18" x14ac:dyDescent="0.2">
      <c r="A1380" s="15"/>
      <c r="B1380" s="38"/>
      <c r="C1380" s="15"/>
      <c r="D1380" s="15"/>
      <c r="E1380" s="15"/>
      <c r="F1380" s="15"/>
      <c r="G1380" s="15"/>
      <c r="H1380" s="15"/>
      <c r="I1380" s="15"/>
      <c r="J1380" s="15"/>
      <c r="K1380" s="15"/>
      <c r="L1380" s="15"/>
      <c r="M1380" s="15"/>
      <c r="N1380" s="15"/>
      <c r="O1380" s="15"/>
      <c r="P1380" s="15"/>
      <c r="Q1380" s="15"/>
      <c r="R1380" s="15"/>
    </row>
    <row r="1381" spans="1:18" x14ac:dyDescent="0.2">
      <c r="A1381" s="15"/>
      <c r="B1381" s="38"/>
      <c r="C1381" s="15"/>
      <c r="D1381" s="15"/>
      <c r="E1381" s="15"/>
      <c r="F1381" s="15"/>
      <c r="G1381" s="15"/>
      <c r="H1381" s="15"/>
      <c r="I1381" s="15"/>
      <c r="J1381" s="15"/>
      <c r="K1381" s="15"/>
      <c r="L1381" s="15"/>
      <c r="M1381" s="15"/>
      <c r="N1381" s="15"/>
      <c r="O1381" s="15"/>
      <c r="P1381" s="15"/>
      <c r="Q1381" s="15"/>
      <c r="R1381" s="15"/>
    </row>
    <row r="1382" spans="1:18" x14ac:dyDescent="0.2">
      <c r="A1382" s="15"/>
      <c r="B1382" s="38"/>
      <c r="C1382" s="15"/>
      <c r="D1382" s="15"/>
      <c r="E1382" s="15"/>
      <c r="F1382" s="15"/>
      <c r="G1382" s="15"/>
      <c r="H1382" s="15"/>
      <c r="I1382" s="15"/>
      <c r="J1382" s="15"/>
      <c r="K1382" s="15"/>
      <c r="L1382" s="15"/>
      <c r="M1382" s="15"/>
      <c r="N1382" s="15"/>
      <c r="O1382" s="15"/>
      <c r="P1382" s="15"/>
      <c r="Q1382" s="15"/>
      <c r="R1382" s="15"/>
    </row>
    <row r="1383" spans="1:18" x14ac:dyDescent="0.2">
      <c r="A1383" s="15"/>
      <c r="B1383" s="38"/>
      <c r="C1383" s="15"/>
      <c r="D1383" s="15"/>
      <c r="E1383" s="15"/>
      <c r="F1383" s="15"/>
      <c r="G1383" s="15"/>
      <c r="H1383" s="15"/>
      <c r="I1383" s="15"/>
      <c r="J1383" s="15"/>
      <c r="K1383" s="15"/>
      <c r="L1383" s="15"/>
      <c r="M1383" s="15"/>
      <c r="N1383" s="15"/>
      <c r="O1383" s="15"/>
      <c r="P1383" s="15"/>
      <c r="Q1383" s="15"/>
      <c r="R1383" s="15"/>
    </row>
    <row r="1384" spans="1:18" x14ac:dyDescent="0.2">
      <c r="A1384" s="15"/>
      <c r="B1384" s="38"/>
      <c r="C1384" s="15"/>
      <c r="D1384" s="15"/>
      <c r="E1384" s="15"/>
      <c r="F1384" s="15"/>
      <c r="G1384" s="15"/>
      <c r="H1384" s="15"/>
      <c r="I1384" s="15"/>
      <c r="J1384" s="15"/>
      <c r="K1384" s="15"/>
      <c r="L1384" s="15"/>
      <c r="M1384" s="15"/>
      <c r="N1384" s="15"/>
      <c r="O1384" s="15"/>
      <c r="P1384" s="15"/>
      <c r="Q1384" s="15"/>
      <c r="R1384" s="15"/>
    </row>
    <row r="1385" spans="1:18" x14ac:dyDescent="0.2">
      <c r="A1385" s="15"/>
      <c r="B1385" s="38"/>
      <c r="C1385" s="15"/>
      <c r="D1385" s="15"/>
      <c r="E1385" s="15"/>
      <c r="F1385" s="15"/>
      <c r="G1385" s="15"/>
      <c r="H1385" s="15"/>
      <c r="I1385" s="15"/>
      <c r="J1385" s="15"/>
      <c r="K1385" s="15"/>
      <c r="L1385" s="15"/>
      <c r="M1385" s="15"/>
      <c r="N1385" s="15"/>
      <c r="O1385" s="15"/>
      <c r="P1385" s="15"/>
      <c r="Q1385" s="15"/>
      <c r="R1385" s="15"/>
    </row>
    <row r="1386" spans="1:18" x14ac:dyDescent="0.2">
      <c r="A1386" s="15"/>
      <c r="B1386" s="38"/>
      <c r="C1386" s="15"/>
      <c r="D1386" s="15"/>
      <c r="E1386" s="15"/>
      <c r="F1386" s="15"/>
      <c r="G1386" s="15"/>
      <c r="H1386" s="15"/>
      <c r="I1386" s="15"/>
      <c r="J1386" s="15"/>
      <c r="K1386" s="15"/>
      <c r="L1386" s="15"/>
      <c r="M1386" s="15"/>
      <c r="N1386" s="15"/>
      <c r="O1386" s="15"/>
      <c r="P1386" s="15"/>
      <c r="Q1386" s="15"/>
      <c r="R1386" s="15"/>
    </row>
    <row r="1387" spans="1:18" x14ac:dyDescent="0.2">
      <c r="A1387" s="15"/>
      <c r="B1387" s="38"/>
      <c r="C1387" s="15"/>
      <c r="D1387" s="15"/>
      <c r="E1387" s="15"/>
      <c r="F1387" s="15"/>
      <c r="G1387" s="15"/>
      <c r="H1387" s="15"/>
      <c r="I1387" s="15"/>
      <c r="J1387" s="15"/>
      <c r="K1387" s="15"/>
      <c r="L1387" s="15"/>
      <c r="M1387" s="15"/>
      <c r="N1387" s="15"/>
      <c r="O1387" s="15"/>
      <c r="P1387" s="15"/>
      <c r="Q1387" s="15"/>
      <c r="R1387" s="15"/>
    </row>
    <row r="1388" spans="1:18" x14ac:dyDescent="0.2">
      <c r="A1388" s="15"/>
      <c r="B1388" s="38"/>
      <c r="C1388" s="15"/>
      <c r="D1388" s="15"/>
      <c r="E1388" s="15"/>
      <c r="F1388" s="15"/>
      <c r="G1388" s="15"/>
      <c r="H1388" s="15"/>
      <c r="I1388" s="15"/>
      <c r="J1388" s="15"/>
      <c r="K1388" s="15"/>
      <c r="L1388" s="15"/>
      <c r="M1388" s="15"/>
      <c r="N1388" s="15"/>
      <c r="O1388" s="15"/>
      <c r="P1388" s="15"/>
      <c r="Q1388" s="15"/>
      <c r="R1388" s="15"/>
    </row>
    <row r="1389" spans="1:18" x14ac:dyDescent="0.2">
      <c r="A1389" s="15"/>
      <c r="B1389" s="38"/>
      <c r="C1389" s="15"/>
      <c r="D1389" s="15"/>
      <c r="E1389" s="15"/>
      <c r="F1389" s="15"/>
      <c r="G1389" s="15"/>
      <c r="H1389" s="15"/>
      <c r="I1389" s="15"/>
      <c r="J1389" s="15"/>
      <c r="K1389" s="15"/>
      <c r="L1389" s="15"/>
      <c r="M1389" s="15"/>
      <c r="N1389" s="15"/>
      <c r="O1389" s="15"/>
      <c r="P1389" s="15"/>
      <c r="Q1389" s="15"/>
      <c r="R1389" s="15"/>
    </row>
    <row r="1390" spans="1:18" x14ac:dyDescent="0.2">
      <c r="A1390" s="15"/>
      <c r="B1390" s="38"/>
      <c r="C1390" s="15"/>
      <c r="D1390" s="15"/>
      <c r="E1390" s="15"/>
      <c r="F1390" s="15"/>
      <c r="G1390" s="15"/>
      <c r="H1390" s="15"/>
      <c r="I1390" s="15"/>
      <c r="J1390" s="15"/>
      <c r="K1390" s="15"/>
      <c r="L1390" s="15"/>
      <c r="M1390" s="15"/>
      <c r="N1390" s="15"/>
      <c r="O1390" s="15"/>
      <c r="P1390" s="15"/>
      <c r="Q1390" s="15"/>
      <c r="R1390" s="15"/>
    </row>
    <row r="1391" spans="1:18" x14ac:dyDescent="0.2">
      <c r="A1391" s="15"/>
      <c r="B1391" s="38"/>
      <c r="C1391" s="15"/>
      <c r="D1391" s="15"/>
      <c r="E1391" s="15"/>
      <c r="F1391" s="15"/>
      <c r="G1391" s="15"/>
      <c r="H1391" s="15"/>
      <c r="I1391" s="15"/>
      <c r="J1391" s="15"/>
      <c r="K1391" s="15"/>
      <c r="L1391" s="15"/>
      <c r="M1391" s="15"/>
      <c r="N1391" s="15"/>
      <c r="O1391" s="15"/>
      <c r="P1391" s="15"/>
      <c r="Q1391" s="15"/>
      <c r="R1391" s="15"/>
    </row>
    <row r="1392" spans="1:18" x14ac:dyDescent="0.2">
      <c r="A1392" s="15"/>
      <c r="B1392" s="38"/>
      <c r="C1392" s="15"/>
      <c r="D1392" s="15"/>
      <c r="E1392" s="15"/>
      <c r="F1392" s="15"/>
      <c r="G1392" s="15"/>
      <c r="H1392" s="15"/>
      <c r="I1392" s="15"/>
      <c r="J1392" s="15"/>
      <c r="K1392" s="15"/>
      <c r="L1392" s="15"/>
      <c r="M1392" s="15"/>
      <c r="N1392" s="15"/>
      <c r="O1392" s="15"/>
      <c r="P1392" s="15"/>
      <c r="Q1392" s="15"/>
      <c r="R1392" s="15"/>
    </row>
    <row r="1393" spans="1:18" x14ac:dyDescent="0.2">
      <c r="A1393" s="15"/>
      <c r="B1393" s="38"/>
      <c r="C1393" s="15"/>
      <c r="D1393" s="15"/>
      <c r="E1393" s="15"/>
      <c r="F1393" s="15"/>
      <c r="G1393" s="15"/>
      <c r="H1393" s="15"/>
      <c r="I1393" s="15"/>
      <c r="J1393" s="15"/>
      <c r="K1393" s="15"/>
      <c r="L1393" s="15"/>
      <c r="M1393" s="15"/>
      <c r="N1393" s="15"/>
      <c r="O1393" s="15"/>
      <c r="P1393" s="15"/>
      <c r="Q1393" s="15"/>
      <c r="R1393" s="15"/>
    </row>
    <row r="1394" spans="1:18" x14ac:dyDescent="0.2">
      <c r="A1394" s="15"/>
      <c r="B1394" s="38"/>
      <c r="C1394" s="15"/>
      <c r="D1394" s="15"/>
      <c r="E1394" s="15"/>
      <c r="F1394" s="15"/>
      <c r="G1394" s="15"/>
      <c r="H1394" s="15"/>
      <c r="I1394" s="15"/>
      <c r="J1394" s="15"/>
      <c r="K1394" s="15"/>
      <c r="L1394" s="15"/>
      <c r="M1394" s="15"/>
      <c r="N1394" s="15"/>
      <c r="O1394" s="15"/>
      <c r="P1394" s="15"/>
      <c r="Q1394" s="15"/>
      <c r="R1394" s="15"/>
    </row>
    <row r="1395" spans="1:18" x14ac:dyDescent="0.2">
      <c r="A1395" s="15"/>
      <c r="B1395" s="38"/>
      <c r="C1395" s="15"/>
      <c r="D1395" s="15"/>
      <c r="E1395" s="15"/>
      <c r="F1395" s="15"/>
      <c r="G1395" s="15"/>
      <c r="H1395" s="15"/>
      <c r="I1395" s="15"/>
      <c r="J1395" s="15"/>
      <c r="K1395" s="15"/>
      <c r="L1395" s="15"/>
      <c r="M1395" s="15"/>
      <c r="N1395" s="15"/>
      <c r="O1395" s="15"/>
      <c r="P1395" s="15"/>
      <c r="Q1395" s="15"/>
      <c r="R1395" s="15"/>
    </row>
    <row r="1396" spans="1:18" x14ac:dyDescent="0.2">
      <c r="A1396" s="15"/>
      <c r="B1396" s="38"/>
      <c r="C1396" s="15"/>
      <c r="D1396" s="15"/>
      <c r="E1396" s="15"/>
      <c r="F1396" s="15"/>
      <c r="G1396" s="15"/>
      <c r="H1396" s="15"/>
      <c r="I1396" s="15"/>
      <c r="J1396" s="15"/>
      <c r="K1396" s="15"/>
      <c r="L1396" s="15"/>
      <c r="M1396" s="15"/>
      <c r="N1396" s="15"/>
      <c r="O1396" s="15"/>
      <c r="P1396" s="15"/>
      <c r="Q1396" s="15"/>
      <c r="R1396" s="15"/>
    </row>
    <row r="1397" spans="1:18" x14ac:dyDescent="0.2">
      <c r="A1397" s="15"/>
      <c r="B1397" s="38"/>
      <c r="C1397" s="15"/>
      <c r="D1397" s="15"/>
      <c r="E1397" s="15"/>
      <c r="F1397" s="15"/>
      <c r="G1397" s="15"/>
      <c r="H1397" s="15"/>
      <c r="I1397" s="15"/>
      <c r="J1397" s="15"/>
      <c r="K1397" s="15"/>
      <c r="L1397" s="15"/>
      <c r="M1397" s="15"/>
      <c r="N1397" s="15"/>
      <c r="O1397" s="15"/>
      <c r="P1397" s="15"/>
      <c r="Q1397" s="15"/>
      <c r="R1397" s="15"/>
    </row>
    <row r="1398" spans="1:18" x14ac:dyDescent="0.2">
      <c r="A1398" s="15"/>
      <c r="B1398" s="38"/>
      <c r="C1398" s="15"/>
      <c r="D1398" s="15"/>
      <c r="E1398" s="15"/>
      <c r="F1398" s="15"/>
      <c r="G1398" s="15"/>
      <c r="H1398" s="15"/>
      <c r="I1398" s="15"/>
      <c r="J1398" s="15"/>
      <c r="K1398" s="15"/>
      <c r="L1398" s="15"/>
      <c r="M1398" s="15"/>
      <c r="N1398" s="15"/>
      <c r="O1398" s="15"/>
      <c r="P1398" s="15"/>
      <c r="Q1398" s="15"/>
      <c r="R1398" s="15"/>
    </row>
    <row r="1399" spans="1:18" x14ac:dyDescent="0.2">
      <c r="A1399" s="15"/>
      <c r="B1399" s="38"/>
      <c r="C1399" s="15"/>
      <c r="D1399" s="15"/>
      <c r="E1399" s="15"/>
      <c r="F1399" s="15"/>
      <c r="G1399" s="15"/>
      <c r="H1399" s="15"/>
      <c r="I1399" s="15"/>
      <c r="J1399" s="15"/>
      <c r="K1399" s="15"/>
      <c r="L1399" s="15"/>
      <c r="M1399" s="15"/>
      <c r="N1399" s="15"/>
      <c r="O1399" s="15"/>
      <c r="P1399" s="15"/>
      <c r="Q1399" s="15"/>
      <c r="R1399" s="15"/>
    </row>
    <row r="1400" spans="1:18" x14ac:dyDescent="0.2">
      <c r="A1400" s="15"/>
      <c r="B1400" s="38"/>
      <c r="C1400" s="15"/>
      <c r="D1400" s="15"/>
      <c r="E1400" s="15"/>
      <c r="F1400" s="15"/>
      <c r="G1400" s="15"/>
      <c r="H1400" s="15"/>
      <c r="I1400" s="15"/>
      <c r="J1400" s="15"/>
      <c r="K1400" s="15"/>
      <c r="L1400" s="15"/>
      <c r="M1400" s="15"/>
      <c r="N1400" s="15"/>
      <c r="O1400" s="15"/>
      <c r="P1400" s="15"/>
      <c r="Q1400" s="15"/>
      <c r="R1400" s="15"/>
    </row>
    <row r="1401" spans="1:18" x14ac:dyDescent="0.2">
      <c r="A1401" s="15"/>
      <c r="B1401" s="38"/>
      <c r="C1401" s="15"/>
      <c r="D1401" s="15"/>
      <c r="E1401" s="15"/>
      <c r="F1401" s="15"/>
      <c r="G1401" s="15"/>
      <c r="H1401" s="15"/>
      <c r="I1401" s="15"/>
      <c r="J1401" s="15"/>
      <c r="K1401" s="15"/>
      <c r="L1401" s="15"/>
      <c r="M1401" s="15"/>
      <c r="N1401" s="15"/>
      <c r="O1401" s="15"/>
      <c r="P1401" s="15"/>
      <c r="Q1401" s="15"/>
      <c r="R1401" s="15"/>
    </row>
    <row r="1402" spans="1:18" x14ac:dyDescent="0.2">
      <c r="A1402" s="15"/>
      <c r="B1402" s="38"/>
      <c r="C1402" s="15"/>
      <c r="D1402" s="15"/>
      <c r="E1402" s="15"/>
      <c r="F1402" s="15"/>
      <c r="G1402" s="15"/>
      <c r="H1402" s="15"/>
      <c r="I1402" s="15"/>
      <c r="J1402" s="15"/>
      <c r="K1402" s="15"/>
      <c r="L1402" s="15"/>
      <c r="M1402" s="15"/>
      <c r="N1402" s="15"/>
      <c r="O1402" s="15"/>
      <c r="P1402" s="15"/>
      <c r="Q1402" s="15"/>
      <c r="R1402" s="15"/>
    </row>
    <row r="1403" spans="1:18" x14ac:dyDescent="0.2">
      <c r="A1403" s="15"/>
      <c r="B1403" s="38"/>
      <c r="C1403" s="15"/>
      <c r="D1403" s="15"/>
      <c r="E1403" s="15"/>
      <c r="F1403" s="15"/>
      <c r="G1403" s="15"/>
      <c r="H1403" s="15"/>
      <c r="I1403" s="15"/>
      <c r="J1403" s="15"/>
      <c r="K1403" s="15"/>
      <c r="L1403" s="15"/>
      <c r="M1403" s="15"/>
      <c r="N1403" s="15"/>
      <c r="O1403" s="15"/>
      <c r="P1403" s="15"/>
      <c r="Q1403" s="15"/>
      <c r="R1403" s="15"/>
    </row>
    <row r="1404" spans="1:18" x14ac:dyDescent="0.2">
      <c r="A1404" s="15"/>
      <c r="B1404" s="38"/>
      <c r="C1404" s="15"/>
      <c r="D1404" s="15"/>
      <c r="E1404" s="15"/>
      <c r="F1404" s="15"/>
      <c r="G1404" s="15"/>
      <c r="H1404" s="15"/>
      <c r="I1404" s="15"/>
      <c r="J1404" s="15"/>
      <c r="K1404" s="15"/>
      <c r="L1404" s="15"/>
      <c r="M1404" s="15"/>
      <c r="N1404" s="15"/>
      <c r="O1404" s="15"/>
      <c r="P1404" s="15"/>
      <c r="Q1404" s="15"/>
      <c r="R1404" s="15"/>
    </row>
    <row r="1405" spans="1:18" x14ac:dyDescent="0.2">
      <c r="A1405" s="15"/>
      <c r="B1405" s="38"/>
      <c r="C1405" s="15"/>
      <c r="D1405" s="15"/>
      <c r="E1405" s="15"/>
      <c r="F1405" s="15"/>
      <c r="G1405" s="15"/>
      <c r="H1405" s="15"/>
      <c r="I1405" s="15"/>
      <c r="J1405" s="15"/>
      <c r="K1405" s="15"/>
      <c r="L1405" s="15"/>
      <c r="M1405" s="15"/>
      <c r="N1405" s="15"/>
      <c r="O1405" s="15"/>
      <c r="P1405" s="15"/>
      <c r="Q1405" s="15"/>
      <c r="R1405" s="15"/>
    </row>
    <row r="1406" spans="1:18" x14ac:dyDescent="0.2">
      <c r="A1406" s="15"/>
      <c r="B1406" s="38"/>
      <c r="C1406" s="15"/>
      <c r="D1406" s="15"/>
      <c r="E1406" s="15"/>
      <c r="F1406" s="15"/>
      <c r="G1406" s="15"/>
      <c r="H1406" s="15"/>
      <c r="I1406" s="15"/>
      <c r="J1406" s="15"/>
      <c r="K1406" s="15"/>
      <c r="L1406" s="15"/>
      <c r="M1406" s="15"/>
      <c r="N1406" s="15"/>
      <c r="O1406" s="15"/>
      <c r="P1406" s="15"/>
      <c r="Q1406" s="15"/>
      <c r="R1406" s="15"/>
    </row>
    <row r="1407" spans="1:18" x14ac:dyDescent="0.2">
      <c r="A1407" s="15"/>
      <c r="B1407" s="38"/>
      <c r="C1407" s="15"/>
      <c r="D1407" s="15"/>
      <c r="E1407" s="15"/>
      <c r="F1407" s="15"/>
      <c r="G1407" s="15"/>
      <c r="H1407" s="15"/>
      <c r="I1407" s="15"/>
      <c r="J1407" s="15"/>
      <c r="K1407" s="15"/>
      <c r="L1407" s="15"/>
      <c r="M1407" s="15"/>
      <c r="N1407" s="15"/>
      <c r="O1407" s="15"/>
      <c r="P1407" s="15"/>
      <c r="Q1407" s="15"/>
      <c r="R1407" s="15"/>
    </row>
    <row r="1408" spans="1:18" x14ac:dyDescent="0.2">
      <c r="A1408" s="15"/>
      <c r="B1408" s="38"/>
      <c r="C1408" s="15"/>
      <c r="D1408" s="15"/>
      <c r="E1408" s="15"/>
      <c r="F1408" s="15"/>
      <c r="G1408" s="15"/>
      <c r="H1408" s="15"/>
      <c r="I1408" s="15"/>
      <c r="J1408" s="15"/>
      <c r="K1408" s="15"/>
      <c r="L1408" s="15"/>
      <c r="M1408" s="15"/>
      <c r="N1408" s="15"/>
      <c r="O1408" s="15"/>
      <c r="P1408" s="15"/>
      <c r="Q1408" s="15"/>
      <c r="R1408" s="15"/>
    </row>
    <row r="1409" spans="1:18" x14ac:dyDescent="0.2">
      <c r="A1409" s="15"/>
      <c r="B1409" s="38"/>
      <c r="C1409" s="15"/>
      <c r="D1409" s="15"/>
      <c r="E1409" s="15"/>
      <c r="F1409" s="15"/>
      <c r="G1409" s="15"/>
      <c r="H1409" s="15"/>
      <c r="I1409" s="15"/>
      <c r="J1409" s="15"/>
      <c r="K1409" s="15"/>
      <c r="L1409" s="15"/>
      <c r="M1409" s="15"/>
      <c r="N1409" s="15"/>
      <c r="O1409" s="15"/>
      <c r="P1409" s="15"/>
      <c r="Q1409" s="15"/>
      <c r="R1409" s="15"/>
    </row>
    <row r="1410" spans="1:18" x14ac:dyDescent="0.2">
      <c r="A1410" s="15"/>
      <c r="B1410" s="38"/>
      <c r="C1410" s="15"/>
      <c r="D1410" s="15"/>
      <c r="E1410" s="15"/>
      <c r="F1410" s="15"/>
      <c r="G1410" s="15"/>
      <c r="H1410" s="15"/>
      <c r="I1410" s="15"/>
      <c r="J1410" s="15"/>
      <c r="K1410" s="15"/>
      <c r="L1410" s="15"/>
      <c r="M1410" s="15"/>
      <c r="N1410" s="15"/>
      <c r="O1410" s="15"/>
      <c r="P1410" s="15"/>
      <c r="Q1410" s="15"/>
      <c r="R1410" s="15"/>
    </row>
    <row r="1411" spans="1:18" x14ac:dyDescent="0.2">
      <c r="A1411" s="15"/>
      <c r="B1411" s="38"/>
      <c r="C1411" s="15"/>
      <c r="D1411" s="15"/>
      <c r="E1411" s="15"/>
      <c r="F1411" s="15"/>
      <c r="G1411" s="15"/>
      <c r="H1411" s="15"/>
      <c r="I1411" s="15"/>
      <c r="J1411" s="15"/>
      <c r="K1411" s="15"/>
      <c r="L1411" s="15"/>
      <c r="M1411" s="15"/>
      <c r="N1411" s="15"/>
      <c r="O1411" s="15"/>
      <c r="P1411" s="15"/>
      <c r="Q1411" s="15"/>
      <c r="R1411" s="15"/>
    </row>
    <row r="1412" spans="1:18" x14ac:dyDescent="0.2">
      <c r="A1412" s="15"/>
      <c r="B1412" s="38"/>
      <c r="C1412" s="15"/>
      <c r="D1412" s="15"/>
      <c r="E1412" s="15"/>
      <c r="F1412" s="15"/>
      <c r="G1412" s="15"/>
      <c r="H1412" s="15"/>
      <c r="I1412" s="15"/>
      <c r="J1412" s="15"/>
      <c r="K1412" s="15"/>
      <c r="L1412" s="15"/>
      <c r="M1412" s="15"/>
      <c r="N1412" s="15"/>
      <c r="O1412" s="15"/>
      <c r="P1412" s="15"/>
      <c r="Q1412" s="15"/>
      <c r="R1412" s="15"/>
    </row>
    <row r="1413" spans="1:18" x14ac:dyDescent="0.2">
      <c r="A1413" s="15"/>
      <c r="B1413" s="38"/>
      <c r="C1413" s="15"/>
      <c r="D1413" s="15"/>
      <c r="E1413" s="15"/>
      <c r="F1413" s="15"/>
      <c r="G1413" s="15"/>
      <c r="H1413" s="15"/>
      <c r="I1413" s="15"/>
      <c r="J1413" s="15"/>
      <c r="K1413" s="15"/>
      <c r="L1413" s="15"/>
      <c r="M1413" s="15"/>
      <c r="N1413" s="15"/>
      <c r="O1413" s="15"/>
      <c r="P1413" s="15"/>
      <c r="Q1413" s="15"/>
      <c r="R1413" s="15"/>
    </row>
    <row r="1414" spans="1:18" x14ac:dyDescent="0.2">
      <c r="A1414" s="15"/>
      <c r="B1414" s="38"/>
      <c r="C1414" s="15"/>
      <c r="D1414" s="15"/>
      <c r="E1414" s="15"/>
      <c r="F1414" s="15"/>
      <c r="G1414" s="15"/>
      <c r="H1414" s="15"/>
      <c r="I1414" s="15"/>
      <c r="J1414" s="15"/>
      <c r="K1414" s="15"/>
      <c r="L1414" s="15"/>
      <c r="M1414" s="15"/>
      <c r="N1414" s="15"/>
      <c r="O1414" s="15"/>
      <c r="P1414" s="15"/>
      <c r="Q1414" s="15"/>
      <c r="R1414" s="15"/>
    </row>
    <row r="1415" spans="1:18" x14ac:dyDescent="0.2">
      <c r="A1415" s="15"/>
      <c r="B1415" s="38"/>
      <c r="C1415" s="15"/>
      <c r="D1415" s="15"/>
      <c r="E1415" s="15"/>
      <c r="F1415" s="15"/>
      <c r="G1415" s="15"/>
      <c r="H1415" s="15"/>
      <c r="I1415" s="15"/>
      <c r="J1415" s="15"/>
      <c r="K1415" s="15"/>
      <c r="L1415" s="15"/>
      <c r="M1415" s="15"/>
      <c r="N1415" s="15"/>
      <c r="O1415" s="15"/>
      <c r="P1415" s="15"/>
      <c r="Q1415" s="15"/>
      <c r="R1415" s="15"/>
    </row>
    <row r="1416" spans="1:18" x14ac:dyDescent="0.2">
      <c r="A1416" s="15"/>
      <c r="B1416" s="38"/>
      <c r="C1416" s="15"/>
      <c r="D1416" s="15"/>
      <c r="E1416" s="15"/>
      <c r="F1416" s="15"/>
      <c r="G1416" s="15"/>
      <c r="H1416" s="15"/>
      <c r="I1416" s="15"/>
      <c r="J1416" s="15"/>
      <c r="K1416" s="15"/>
      <c r="L1416" s="15"/>
      <c r="M1416" s="15"/>
      <c r="N1416" s="15"/>
      <c r="O1416" s="15"/>
      <c r="P1416" s="15"/>
      <c r="Q1416" s="15"/>
      <c r="R1416" s="15"/>
    </row>
    <row r="1417" spans="1:18" x14ac:dyDescent="0.2">
      <c r="A1417" s="15"/>
      <c r="B1417" s="38"/>
      <c r="C1417" s="15"/>
      <c r="D1417" s="15"/>
      <c r="E1417" s="15"/>
      <c r="F1417" s="15"/>
      <c r="G1417" s="15"/>
      <c r="H1417" s="15"/>
      <c r="I1417" s="15"/>
      <c r="J1417" s="15"/>
      <c r="K1417" s="15"/>
      <c r="L1417" s="15"/>
      <c r="M1417" s="15"/>
      <c r="N1417" s="15"/>
      <c r="O1417" s="15"/>
      <c r="P1417" s="15"/>
      <c r="Q1417" s="15"/>
      <c r="R1417" s="15"/>
    </row>
    <row r="1418" spans="1:18" x14ac:dyDescent="0.2">
      <c r="A1418" s="15"/>
      <c r="B1418" s="38"/>
      <c r="C1418" s="15"/>
      <c r="D1418" s="15"/>
      <c r="E1418" s="15"/>
      <c r="F1418" s="15"/>
      <c r="G1418" s="15"/>
      <c r="H1418" s="15"/>
      <c r="I1418" s="15"/>
      <c r="J1418" s="15"/>
      <c r="K1418" s="15"/>
      <c r="L1418" s="15"/>
      <c r="M1418" s="15"/>
      <c r="N1418" s="15"/>
      <c r="O1418" s="15"/>
      <c r="P1418" s="15"/>
      <c r="Q1418" s="15"/>
      <c r="R1418" s="15"/>
    </row>
    <row r="1419" spans="1:18" x14ac:dyDescent="0.2">
      <c r="A1419" s="15"/>
      <c r="B1419" s="38"/>
      <c r="C1419" s="15"/>
      <c r="D1419" s="15"/>
      <c r="E1419" s="15"/>
      <c r="F1419" s="15"/>
      <c r="G1419" s="15"/>
      <c r="H1419" s="15"/>
      <c r="I1419" s="15"/>
      <c r="J1419" s="15"/>
      <c r="K1419" s="15"/>
      <c r="L1419" s="15"/>
      <c r="M1419" s="15"/>
      <c r="N1419" s="15"/>
      <c r="O1419" s="15"/>
      <c r="P1419" s="15"/>
      <c r="Q1419" s="15"/>
      <c r="R1419" s="15"/>
    </row>
    <row r="1420" spans="1:18" x14ac:dyDescent="0.2">
      <c r="A1420" s="15"/>
      <c r="B1420" s="38"/>
      <c r="C1420" s="15"/>
      <c r="D1420" s="15"/>
      <c r="E1420" s="15"/>
      <c r="F1420" s="15"/>
      <c r="G1420" s="15"/>
      <c r="H1420" s="15"/>
      <c r="I1420" s="15"/>
      <c r="J1420" s="15"/>
      <c r="K1420" s="15"/>
      <c r="L1420" s="15"/>
      <c r="M1420" s="15"/>
      <c r="N1420" s="15"/>
      <c r="O1420" s="15"/>
      <c r="P1420" s="15"/>
      <c r="Q1420" s="15"/>
      <c r="R1420" s="15"/>
    </row>
    <row r="1421" spans="1:18" x14ac:dyDescent="0.2">
      <c r="A1421" s="15"/>
      <c r="B1421" s="38"/>
      <c r="C1421" s="15"/>
      <c r="D1421" s="15"/>
      <c r="E1421" s="15"/>
      <c r="F1421" s="15"/>
      <c r="G1421" s="15"/>
      <c r="H1421" s="15"/>
      <c r="I1421" s="15"/>
      <c r="J1421" s="15"/>
      <c r="K1421" s="15"/>
      <c r="L1421" s="15"/>
      <c r="M1421" s="15"/>
      <c r="N1421" s="15"/>
      <c r="O1421" s="15"/>
      <c r="P1421" s="15"/>
      <c r="Q1421" s="15"/>
      <c r="R1421" s="15"/>
    </row>
    <row r="1422" spans="1:18" x14ac:dyDescent="0.2">
      <c r="A1422" s="15"/>
      <c r="B1422" s="38"/>
      <c r="C1422" s="15"/>
      <c r="D1422" s="15"/>
      <c r="E1422" s="15"/>
      <c r="F1422" s="15"/>
      <c r="G1422" s="15"/>
      <c r="H1422" s="15"/>
      <c r="I1422" s="15"/>
      <c r="J1422" s="15"/>
      <c r="K1422" s="15"/>
      <c r="L1422" s="15"/>
      <c r="M1422" s="15"/>
      <c r="N1422" s="15"/>
      <c r="O1422" s="15"/>
      <c r="P1422" s="15"/>
      <c r="Q1422" s="15"/>
      <c r="R1422" s="15"/>
    </row>
    <row r="1423" spans="1:18" x14ac:dyDescent="0.2">
      <c r="A1423" s="15"/>
      <c r="B1423" s="38"/>
      <c r="C1423" s="15"/>
      <c r="D1423" s="15"/>
      <c r="E1423" s="15"/>
      <c r="F1423" s="15"/>
      <c r="G1423" s="15"/>
      <c r="H1423" s="15"/>
      <c r="I1423" s="15"/>
      <c r="J1423" s="15"/>
      <c r="K1423" s="15"/>
      <c r="L1423" s="15"/>
      <c r="M1423" s="15"/>
      <c r="N1423" s="15"/>
      <c r="O1423" s="15"/>
      <c r="P1423" s="15"/>
      <c r="Q1423" s="15"/>
      <c r="R1423" s="15"/>
    </row>
    <row r="1424" spans="1:18" x14ac:dyDescent="0.2">
      <c r="A1424" s="15"/>
      <c r="B1424" s="38"/>
      <c r="C1424" s="15"/>
      <c r="D1424" s="15"/>
      <c r="E1424" s="15"/>
      <c r="F1424" s="15"/>
      <c r="G1424" s="15"/>
      <c r="H1424" s="15"/>
      <c r="I1424" s="15"/>
      <c r="J1424" s="15"/>
      <c r="K1424" s="15"/>
      <c r="L1424" s="15"/>
      <c r="M1424" s="15"/>
      <c r="N1424" s="15"/>
      <c r="O1424" s="15"/>
      <c r="P1424" s="15"/>
      <c r="Q1424" s="15"/>
      <c r="R1424" s="15"/>
    </row>
    <row r="1425" spans="1:18" x14ac:dyDescent="0.2">
      <c r="A1425" s="15"/>
      <c r="B1425" s="38"/>
      <c r="C1425" s="15"/>
      <c r="D1425" s="15"/>
      <c r="E1425" s="15"/>
      <c r="F1425" s="15"/>
      <c r="G1425" s="15"/>
      <c r="H1425" s="15"/>
      <c r="I1425" s="15"/>
      <c r="J1425" s="15"/>
      <c r="K1425" s="15"/>
      <c r="L1425" s="15"/>
      <c r="M1425" s="15"/>
      <c r="N1425" s="15"/>
      <c r="O1425" s="15"/>
      <c r="P1425" s="15"/>
      <c r="Q1425" s="15"/>
      <c r="R1425" s="15"/>
    </row>
    <row r="1426" spans="1:18" x14ac:dyDescent="0.2">
      <c r="A1426" s="15"/>
      <c r="B1426" s="38"/>
      <c r="C1426" s="15"/>
      <c r="D1426" s="15"/>
      <c r="E1426" s="15"/>
      <c r="F1426" s="15"/>
      <c r="G1426" s="15"/>
      <c r="H1426" s="15"/>
      <c r="I1426" s="15"/>
      <c r="J1426" s="15"/>
      <c r="K1426" s="15"/>
      <c r="L1426" s="15"/>
      <c r="M1426" s="15"/>
      <c r="N1426" s="15"/>
      <c r="O1426" s="15"/>
      <c r="P1426" s="15"/>
      <c r="Q1426" s="15"/>
      <c r="R1426" s="15"/>
    </row>
    <row r="1427" spans="1:18" x14ac:dyDescent="0.2">
      <c r="A1427" s="15"/>
      <c r="B1427" s="38"/>
      <c r="C1427" s="15"/>
      <c r="D1427" s="15"/>
      <c r="E1427" s="15"/>
      <c r="F1427" s="15"/>
      <c r="G1427" s="15"/>
      <c r="H1427" s="15"/>
      <c r="I1427" s="15"/>
      <c r="J1427" s="15"/>
      <c r="K1427" s="15"/>
      <c r="L1427" s="15"/>
      <c r="M1427" s="15"/>
      <c r="N1427" s="15"/>
      <c r="O1427" s="15"/>
      <c r="P1427" s="15"/>
      <c r="Q1427" s="15"/>
      <c r="R1427" s="15"/>
    </row>
    <row r="1428" spans="1:18" x14ac:dyDescent="0.2">
      <c r="A1428" s="15"/>
      <c r="B1428" s="38"/>
      <c r="C1428" s="15"/>
      <c r="D1428" s="15"/>
      <c r="E1428" s="15"/>
      <c r="F1428" s="15"/>
      <c r="G1428" s="15"/>
      <c r="H1428" s="15"/>
      <c r="I1428" s="15"/>
      <c r="J1428" s="15"/>
      <c r="K1428" s="15"/>
      <c r="L1428" s="15"/>
      <c r="M1428" s="15"/>
      <c r="N1428" s="15"/>
      <c r="O1428" s="15"/>
      <c r="P1428" s="15"/>
      <c r="Q1428" s="15"/>
      <c r="R1428" s="15"/>
    </row>
    <row r="1429" spans="1:18" x14ac:dyDescent="0.2">
      <c r="A1429" s="15"/>
      <c r="B1429" s="38"/>
      <c r="C1429" s="15"/>
      <c r="D1429" s="15"/>
      <c r="E1429" s="15"/>
      <c r="F1429" s="15"/>
      <c r="G1429" s="15"/>
      <c r="H1429" s="15"/>
      <c r="I1429" s="15"/>
      <c r="J1429" s="15"/>
      <c r="K1429" s="15"/>
      <c r="L1429" s="15"/>
      <c r="M1429" s="15"/>
      <c r="N1429" s="15"/>
      <c r="O1429" s="15"/>
      <c r="P1429" s="15"/>
      <c r="Q1429" s="15"/>
      <c r="R1429" s="15"/>
    </row>
    <row r="1430" spans="1:18" x14ac:dyDescent="0.2">
      <c r="A1430" s="15"/>
      <c r="B1430" s="38"/>
      <c r="C1430" s="15"/>
      <c r="D1430" s="15"/>
      <c r="E1430" s="15"/>
      <c r="F1430" s="15"/>
      <c r="G1430" s="15"/>
      <c r="H1430" s="15"/>
      <c r="I1430" s="15"/>
      <c r="J1430" s="15"/>
      <c r="K1430" s="15"/>
      <c r="L1430" s="15"/>
      <c r="M1430" s="15"/>
      <c r="N1430" s="15"/>
      <c r="O1430" s="15"/>
      <c r="P1430" s="15"/>
      <c r="Q1430" s="15"/>
      <c r="R1430" s="15"/>
    </row>
    <row r="1431" spans="1:18" x14ac:dyDescent="0.2">
      <c r="A1431" s="15"/>
      <c r="B1431" s="38"/>
      <c r="C1431" s="15"/>
      <c r="D1431" s="15"/>
      <c r="E1431" s="15"/>
      <c r="F1431" s="15"/>
      <c r="G1431" s="15"/>
      <c r="H1431" s="15"/>
      <c r="I1431" s="15"/>
      <c r="J1431" s="15"/>
      <c r="K1431" s="15"/>
      <c r="L1431" s="15"/>
      <c r="M1431" s="15"/>
      <c r="N1431" s="15"/>
      <c r="O1431" s="15"/>
      <c r="P1431" s="15"/>
      <c r="Q1431" s="15"/>
      <c r="R1431" s="15"/>
    </row>
    <row r="1432" spans="1:18" x14ac:dyDescent="0.2">
      <c r="A1432" s="15"/>
      <c r="B1432" s="38"/>
      <c r="C1432" s="15"/>
      <c r="D1432" s="15"/>
      <c r="E1432" s="15"/>
      <c r="F1432" s="15"/>
      <c r="G1432" s="15"/>
      <c r="H1432" s="15"/>
      <c r="I1432" s="15"/>
      <c r="J1432" s="15"/>
      <c r="K1432" s="15"/>
      <c r="L1432" s="15"/>
      <c r="M1432" s="15"/>
      <c r="N1432" s="15"/>
      <c r="O1432" s="15"/>
      <c r="P1432" s="15"/>
      <c r="Q1432" s="15"/>
      <c r="R1432" s="15"/>
    </row>
    <row r="1433" spans="1:18" x14ac:dyDescent="0.2">
      <c r="A1433" s="15"/>
      <c r="B1433" s="38"/>
      <c r="C1433" s="15"/>
      <c r="D1433" s="15"/>
      <c r="E1433" s="15"/>
      <c r="F1433" s="15"/>
      <c r="G1433" s="15"/>
      <c r="H1433" s="15"/>
      <c r="I1433" s="15"/>
      <c r="J1433" s="15"/>
      <c r="K1433" s="15"/>
      <c r="L1433" s="15"/>
      <c r="M1433" s="15"/>
      <c r="N1433" s="15"/>
      <c r="O1433" s="15"/>
      <c r="P1433" s="15"/>
      <c r="Q1433" s="15"/>
      <c r="R1433" s="15"/>
    </row>
    <row r="1434" spans="1:18" x14ac:dyDescent="0.2">
      <c r="A1434" s="15"/>
      <c r="B1434" s="38"/>
      <c r="C1434" s="15"/>
      <c r="D1434" s="15"/>
      <c r="E1434" s="15"/>
      <c r="F1434" s="15"/>
      <c r="G1434" s="15"/>
      <c r="H1434" s="15"/>
      <c r="I1434" s="15"/>
      <c r="J1434" s="15"/>
      <c r="K1434" s="15"/>
      <c r="L1434" s="15"/>
      <c r="M1434" s="15"/>
      <c r="N1434" s="15"/>
      <c r="O1434" s="15"/>
      <c r="P1434" s="15"/>
      <c r="Q1434" s="15"/>
      <c r="R1434" s="15"/>
    </row>
    <row r="1435" spans="1:18" x14ac:dyDescent="0.2">
      <c r="A1435" s="15"/>
      <c r="B1435" s="38"/>
      <c r="C1435" s="15"/>
      <c r="D1435" s="15"/>
      <c r="E1435" s="15"/>
      <c r="F1435" s="15"/>
      <c r="G1435" s="15"/>
      <c r="H1435" s="15"/>
      <c r="I1435" s="15"/>
      <c r="J1435" s="15"/>
      <c r="K1435" s="15"/>
      <c r="L1435" s="15"/>
      <c r="M1435" s="15"/>
      <c r="N1435" s="15"/>
      <c r="O1435" s="15"/>
      <c r="P1435" s="15"/>
      <c r="Q1435" s="15"/>
      <c r="R1435" s="15"/>
    </row>
    <row r="1436" spans="1:18" x14ac:dyDescent="0.2">
      <c r="A1436" s="15"/>
      <c r="B1436" s="38"/>
      <c r="C1436" s="15"/>
      <c r="D1436" s="15"/>
      <c r="E1436" s="15"/>
      <c r="F1436" s="15"/>
      <c r="G1436" s="15"/>
      <c r="H1436" s="15"/>
      <c r="I1436" s="15"/>
      <c r="J1436" s="15"/>
      <c r="K1436" s="15"/>
      <c r="L1436" s="15"/>
      <c r="M1436" s="15"/>
      <c r="N1436" s="15"/>
      <c r="O1436" s="15"/>
      <c r="P1436" s="15"/>
      <c r="Q1436" s="15"/>
      <c r="R1436" s="15"/>
    </row>
    <row r="1437" spans="1:18" x14ac:dyDescent="0.2">
      <c r="A1437" s="15"/>
      <c r="B1437" s="38"/>
      <c r="C1437" s="15"/>
      <c r="D1437" s="15"/>
      <c r="E1437" s="15"/>
      <c r="F1437" s="15"/>
      <c r="G1437" s="15"/>
      <c r="H1437" s="15"/>
      <c r="I1437" s="15"/>
      <c r="J1437" s="15"/>
      <c r="K1437" s="15"/>
      <c r="L1437" s="15"/>
      <c r="M1437" s="15"/>
      <c r="N1437" s="15"/>
      <c r="O1437" s="15"/>
      <c r="P1437" s="15"/>
      <c r="Q1437" s="15"/>
      <c r="R1437" s="15"/>
    </row>
    <row r="1438" spans="1:18" x14ac:dyDescent="0.2">
      <c r="A1438" s="15"/>
      <c r="B1438" s="38"/>
      <c r="C1438" s="15"/>
      <c r="D1438" s="15"/>
      <c r="E1438" s="15"/>
      <c r="F1438" s="15"/>
      <c r="G1438" s="15"/>
      <c r="H1438" s="15"/>
      <c r="I1438" s="15"/>
      <c r="J1438" s="15"/>
      <c r="K1438" s="15"/>
      <c r="L1438" s="15"/>
      <c r="M1438" s="15"/>
      <c r="N1438" s="15"/>
      <c r="O1438" s="15"/>
      <c r="P1438" s="15"/>
      <c r="Q1438" s="15"/>
      <c r="R1438" s="15"/>
    </row>
    <row r="1439" spans="1:18" x14ac:dyDescent="0.2">
      <c r="A1439" s="15"/>
      <c r="B1439" s="38"/>
      <c r="C1439" s="15"/>
      <c r="D1439" s="15"/>
      <c r="E1439" s="15"/>
      <c r="F1439" s="15"/>
      <c r="G1439" s="15"/>
      <c r="H1439" s="15"/>
      <c r="I1439" s="15"/>
      <c r="J1439" s="15"/>
      <c r="K1439" s="15"/>
      <c r="L1439" s="15"/>
      <c r="M1439" s="15"/>
      <c r="N1439" s="15"/>
      <c r="O1439" s="15"/>
      <c r="P1439" s="15"/>
      <c r="Q1439" s="15"/>
      <c r="R1439" s="15"/>
    </row>
    <row r="1440" spans="1:18" x14ac:dyDescent="0.2">
      <c r="A1440" s="15"/>
      <c r="B1440" s="38"/>
      <c r="C1440" s="15"/>
      <c r="D1440" s="15"/>
      <c r="E1440" s="15"/>
      <c r="F1440" s="15"/>
      <c r="G1440" s="15"/>
      <c r="H1440" s="15"/>
      <c r="I1440" s="15"/>
      <c r="J1440" s="15"/>
      <c r="K1440" s="15"/>
      <c r="L1440" s="15"/>
      <c r="M1440" s="15"/>
      <c r="N1440" s="15"/>
      <c r="O1440" s="15"/>
      <c r="P1440" s="15"/>
      <c r="Q1440" s="15"/>
      <c r="R1440" s="15"/>
    </row>
    <row r="1441" spans="1:18" x14ac:dyDescent="0.2">
      <c r="A1441" s="15"/>
      <c r="B1441" s="38"/>
      <c r="C1441" s="15"/>
      <c r="D1441" s="15"/>
      <c r="E1441" s="15"/>
      <c r="F1441" s="15"/>
      <c r="G1441" s="15"/>
      <c r="H1441" s="15"/>
      <c r="I1441" s="15"/>
      <c r="J1441" s="15"/>
      <c r="K1441" s="15"/>
      <c r="L1441" s="15"/>
      <c r="M1441" s="15"/>
      <c r="N1441" s="15"/>
      <c r="O1441" s="15"/>
      <c r="P1441" s="15"/>
      <c r="Q1441" s="15"/>
      <c r="R1441" s="15"/>
    </row>
    <row r="1442" spans="1:18" x14ac:dyDescent="0.2">
      <c r="A1442" s="15"/>
      <c r="B1442" s="38"/>
      <c r="C1442" s="15"/>
      <c r="D1442" s="15"/>
      <c r="E1442" s="15"/>
      <c r="F1442" s="15"/>
      <c r="G1442" s="15"/>
      <c r="H1442" s="15"/>
      <c r="I1442" s="15"/>
      <c r="J1442" s="15"/>
      <c r="K1442" s="15"/>
      <c r="L1442" s="15"/>
      <c r="M1442" s="15"/>
      <c r="N1442" s="15"/>
      <c r="O1442" s="15"/>
      <c r="P1442" s="15"/>
      <c r="Q1442" s="15"/>
      <c r="R1442" s="15"/>
    </row>
    <row r="1443" spans="1:18" x14ac:dyDescent="0.2">
      <c r="A1443" s="15"/>
      <c r="B1443" s="38"/>
      <c r="C1443" s="15"/>
      <c r="D1443" s="15"/>
      <c r="E1443" s="15"/>
      <c r="F1443" s="15"/>
      <c r="G1443" s="15"/>
      <c r="H1443" s="15"/>
      <c r="I1443" s="15"/>
      <c r="J1443" s="15"/>
      <c r="K1443" s="15"/>
      <c r="L1443" s="15"/>
      <c r="M1443" s="15"/>
      <c r="N1443" s="15"/>
      <c r="O1443" s="15"/>
      <c r="P1443" s="15"/>
      <c r="Q1443" s="15"/>
      <c r="R1443" s="15"/>
    </row>
    <row r="1444" spans="1:18" x14ac:dyDescent="0.2">
      <c r="A1444" s="15"/>
      <c r="B1444" s="38"/>
      <c r="C1444" s="15"/>
      <c r="D1444" s="15"/>
      <c r="E1444" s="15"/>
      <c r="F1444" s="15"/>
      <c r="G1444" s="15"/>
      <c r="H1444" s="15"/>
      <c r="I1444" s="15"/>
      <c r="J1444" s="15"/>
      <c r="K1444" s="15"/>
      <c r="L1444" s="15"/>
      <c r="M1444" s="15"/>
      <c r="N1444" s="15"/>
      <c r="O1444" s="15"/>
      <c r="P1444" s="15"/>
      <c r="Q1444" s="15"/>
      <c r="R1444" s="15"/>
    </row>
    <row r="1445" spans="1:18" x14ac:dyDescent="0.2">
      <c r="A1445" s="15"/>
      <c r="B1445" s="38"/>
      <c r="C1445" s="15"/>
      <c r="D1445" s="15"/>
      <c r="E1445" s="15"/>
      <c r="F1445" s="15"/>
      <c r="G1445" s="15"/>
      <c r="H1445" s="15"/>
      <c r="I1445" s="15"/>
      <c r="J1445" s="15"/>
      <c r="K1445" s="15"/>
      <c r="L1445" s="15"/>
      <c r="M1445" s="15"/>
      <c r="N1445" s="15"/>
      <c r="O1445" s="15"/>
      <c r="P1445" s="15"/>
      <c r="Q1445" s="15"/>
      <c r="R1445" s="15"/>
    </row>
    <row r="1446" spans="1:18" x14ac:dyDescent="0.2">
      <c r="A1446" s="15"/>
      <c r="B1446" s="38"/>
      <c r="C1446" s="15"/>
      <c r="D1446" s="15"/>
      <c r="E1446" s="15"/>
      <c r="F1446" s="15"/>
      <c r="G1446" s="15"/>
      <c r="H1446" s="15"/>
      <c r="I1446" s="15"/>
      <c r="J1446" s="15"/>
      <c r="K1446" s="15"/>
      <c r="L1446" s="15"/>
      <c r="M1446" s="15"/>
      <c r="N1446" s="15"/>
      <c r="O1446" s="15"/>
      <c r="P1446" s="15"/>
      <c r="Q1446" s="15"/>
      <c r="R1446" s="15"/>
    </row>
    <row r="1447" spans="1:18" x14ac:dyDescent="0.2">
      <c r="A1447" s="15"/>
      <c r="B1447" s="38"/>
      <c r="C1447" s="15"/>
      <c r="D1447" s="15"/>
      <c r="E1447" s="15"/>
      <c r="F1447" s="15"/>
      <c r="G1447" s="15"/>
      <c r="H1447" s="15"/>
      <c r="I1447" s="15"/>
      <c r="J1447" s="15"/>
      <c r="K1447" s="15"/>
      <c r="L1447" s="15"/>
      <c r="M1447" s="15"/>
      <c r="N1447" s="15"/>
      <c r="O1447" s="15"/>
      <c r="P1447" s="15"/>
      <c r="Q1447" s="15"/>
      <c r="R1447" s="15"/>
    </row>
    <row r="1448" spans="1:18" x14ac:dyDescent="0.2">
      <c r="A1448" s="15"/>
      <c r="B1448" s="38"/>
      <c r="C1448" s="15"/>
      <c r="D1448" s="15"/>
      <c r="E1448" s="15"/>
      <c r="F1448" s="15"/>
      <c r="G1448" s="15"/>
      <c r="H1448" s="15"/>
      <c r="I1448" s="15"/>
      <c r="J1448" s="15"/>
      <c r="K1448" s="15"/>
      <c r="L1448" s="15"/>
      <c r="M1448" s="15"/>
      <c r="N1448" s="15"/>
      <c r="O1448" s="15"/>
      <c r="P1448" s="15"/>
      <c r="Q1448" s="15"/>
      <c r="R1448" s="15"/>
    </row>
    <row r="1449" spans="1:18" x14ac:dyDescent="0.2">
      <c r="A1449" s="15"/>
      <c r="B1449" s="38"/>
      <c r="C1449" s="15"/>
      <c r="D1449" s="15"/>
      <c r="E1449" s="15"/>
      <c r="F1449" s="15"/>
      <c r="G1449" s="15"/>
      <c r="H1449" s="15"/>
      <c r="I1449" s="15"/>
      <c r="J1449" s="15"/>
      <c r="K1449" s="15"/>
      <c r="L1449" s="15"/>
      <c r="M1449" s="15"/>
      <c r="N1449" s="15"/>
      <c r="O1449" s="15"/>
      <c r="P1449" s="15"/>
      <c r="Q1449" s="15"/>
      <c r="R1449" s="15"/>
    </row>
    <row r="1450" spans="1:18" x14ac:dyDescent="0.2">
      <c r="A1450" s="15"/>
      <c r="B1450" s="38"/>
      <c r="C1450" s="15"/>
      <c r="D1450" s="15"/>
      <c r="E1450" s="15"/>
      <c r="F1450" s="15"/>
      <c r="G1450" s="15"/>
      <c r="H1450" s="15"/>
      <c r="I1450" s="15"/>
      <c r="J1450" s="15"/>
      <c r="K1450" s="15"/>
      <c r="L1450" s="15"/>
      <c r="M1450" s="15"/>
      <c r="N1450" s="15"/>
      <c r="O1450" s="15"/>
      <c r="P1450" s="15"/>
      <c r="Q1450" s="15"/>
      <c r="R1450" s="15"/>
    </row>
    <row r="1451" spans="1:18" x14ac:dyDescent="0.2">
      <c r="A1451" s="15"/>
      <c r="B1451" s="38"/>
      <c r="C1451" s="15"/>
      <c r="D1451" s="15"/>
      <c r="E1451" s="15"/>
      <c r="F1451" s="15"/>
      <c r="G1451" s="15"/>
      <c r="H1451" s="15"/>
      <c r="I1451" s="15"/>
      <c r="J1451" s="15"/>
      <c r="K1451" s="15"/>
      <c r="L1451" s="15"/>
      <c r="M1451" s="15"/>
      <c r="N1451" s="15"/>
      <c r="O1451" s="15"/>
      <c r="P1451" s="15"/>
      <c r="Q1451" s="15"/>
      <c r="R1451" s="15"/>
    </row>
    <row r="1452" spans="1:18" x14ac:dyDescent="0.2">
      <c r="A1452" s="15"/>
      <c r="B1452" s="38"/>
      <c r="C1452" s="15"/>
      <c r="D1452" s="15"/>
      <c r="E1452" s="15"/>
      <c r="F1452" s="15"/>
      <c r="G1452" s="15"/>
      <c r="H1452" s="15"/>
      <c r="I1452" s="15"/>
      <c r="J1452" s="15"/>
      <c r="K1452" s="15"/>
      <c r="L1452" s="15"/>
      <c r="M1452" s="15"/>
      <c r="N1452" s="15"/>
      <c r="O1452" s="15"/>
      <c r="P1452" s="15"/>
      <c r="Q1452" s="15"/>
      <c r="R1452" s="15"/>
    </row>
    <row r="1453" spans="1:18" x14ac:dyDescent="0.2">
      <c r="A1453" s="15"/>
      <c r="B1453" s="38"/>
      <c r="C1453" s="15"/>
      <c r="D1453" s="15"/>
      <c r="E1453" s="15"/>
      <c r="F1453" s="15"/>
      <c r="G1453" s="15"/>
      <c r="H1453" s="15"/>
      <c r="I1453" s="15"/>
      <c r="J1453" s="15"/>
      <c r="K1453" s="15"/>
      <c r="L1453" s="15"/>
      <c r="M1453" s="15"/>
      <c r="N1453" s="15"/>
      <c r="O1453" s="15"/>
      <c r="P1453" s="15"/>
      <c r="Q1453" s="15"/>
      <c r="R1453" s="15"/>
    </row>
    <row r="1454" spans="1:18" x14ac:dyDescent="0.2">
      <c r="A1454" s="15"/>
      <c r="B1454" s="38"/>
      <c r="C1454" s="15"/>
      <c r="D1454" s="15"/>
      <c r="E1454" s="15"/>
      <c r="F1454" s="15"/>
      <c r="G1454" s="15"/>
      <c r="H1454" s="15"/>
      <c r="I1454" s="15"/>
      <c r="J1454" s="15"/>
      <c r="K1454" s="15"/>
      <c r="L1454" s="15"/>
      <c r="M1454" s="15"/>
      <c r="N1454" s="15"/>
      <c r="O1454" s="15"/>
      <c r="P1454" s="15"/>
      <c r="Q1454" s="15"/>
      <c r="R1454" s="15"/>
    </row>
    <row r="1455" spans="1:18" x14ac:dyDescent="0.2">
      <c r="A1455" s="15"/>
      <c r="B1455" s="38"/>
      <c r="C1455" s="15"/>
      <c r="D1455" s="15"/>
      <c r="E1455" s="15"/>
      <c r="F1455" s="15"/>
      <c r="G1455" s="15"/>
      <c r="H1455" s="15"/>
      <c r="I1455" s="15"/>
      <c r="J1455" s="15"/>
      <c r="K1455" s="15"/>
      <c r="L1455" s="15"/>
      <c r="M1455" s="15"/>
      <c r="N1455" s="15"/>
      <c r="O1455" s="15"/>
      <c r="P1455" s="15"/>
      <c r="Q1455" s="15"/>
      <c r="R1455" s="15"/>
    </row>
    <row r="1456" spans="1:18" x14ac:dyDescent="0.2">
      <c r="A1456" s="15"/>
      <c r="B1456" s="38"/>
      <c r="C1456" s="15"/>
      <c r="D1456" s="15"/>
      <c r="E1456" s="15"/>
      <c r="F1456" s="15"/>
      <c r="G1456" s="15"/>
      <c r="H1456" s="15"/>
      <c r="I1456" s="15"/>
      <c r="J1456" s="15"/>
      <c r="K1456" s="15"/>
      <c r="L1456" s="15"/>
      <c r="M1456" s="15"/>
      <c r="N1456" s="15"/>
      <c r="O1456" s="15"/>
      <c r="P1456" s="15"/>
      <c r="Q1456" s="15"/>
      <c r="R1456" s="15"/>
    </row>
    <row r="1457" spans="1:18" x14ac:dyDescent="0.2">
      <c r="A1457" s="15"/>
      <c r="B1457" s="38"/>
      <c r="C1457" s="15"/>
      <c r="D1457" s="15"/>
      <c r="E1457" s="15"/>
      <c r="F1457" s="15"/>
      <c r="G1457" s="15"/>
      <c r="H1457" s="15"/>
      <c r="I1457" s="15"/>
      <c r="J1457" s="15"/>
      <c r="K1457" s="15"/>
      <c r="L1457" s="15"/>
      <c r="M1457" s="15"/>
      <c r="N1457" s="15"/>
      <c r="O1457" s="15"/>
      <c r="P1457" s="15"/>
      <c r="Q1457" s="15"/>
      <c r="R1457" s="15"/>
    </row>
    <row r="1458" spans="1:18" x14ac:dyDescent="0.2">
      <c r="A1458" s="15"/>
      <c r="B1458" s="38"/>
      <c r="C1458" s="15"/>
      <c r="D1458" s="15"/>
      <c r="E1458" s="15"/>
      <c r="F1458" s="15"/>
      <c r="G1458" s="15"/>
      <c r="H1458" s="15"/>
      <c r="I1458" s="15"/>
      <c r="J1458" s="15"/>
      <c r="K1458" s="15"/>
      <c r="L1458" s="15"/>
      <c r="M1458" s="15"/>
      <c r="N1458" s="15"/>
      <c r="O1458" s="15"/>
      <c r="P1458" s="15"/>
      <c r="Q1458" s="15"/>
      <c r="R1458" s="15"/>
    </row>
    <row r="1459" spans="1:18" x14ac:dyDescent="0.2">
      <c r="A1459" s="15"/>
      <c r="B1459" s="38"/>
      <c r="C1459" s="15"/>
      <c r="D1459" s="15"/>
      <c r="E1459" s="15"/>
      <c r="F1459" s="15"/>
      <c r="G1459" s="15"/>
      <c r="H1459" s="15"/>
      <c r="I1459" s="15"/>
      <c r="J1459" s="15"/>
      <c r="K1459" s="15"/>
      <c r="L1459" s="15"/>
      <c r="M1459" s="15"/>
      <c r="N1459" s="15"/>
      <c r="O1459" s="15"/>
      <c r="P1459" s="15"/>
      <c r="Q1459" s="15"/>
      <c r="R1459" s="15"/>
    </row>
    <row r="1460" spans="1:18" x14ac:dyDescent="0.2">
      <c r="A1460" s="15"/>
      <c r="B1460" s="38"/>
      <c r="C1460" s="15"/>
      <c r="D1460" s="15"/>
      <c r="E1460" s="15"/>
      <c r="F1460" s="15"/>
      <c r="G1460" s="15"/>
      <c r="H1460" s="15"/>
      <c r="I1460" s="15"/>
      <c r="J1460" s="15"/>
      <c r="K1460" s="15"/>
      <c r="L1460" s="15"/>
      <c r="M1460" s="15"/>
      <c r="N1460" s="15"/>
      <c r="O1460" s="15"/>
      <c r="P1460" s="15"/>
      <c r="Q1460" s="15"/>
      <c r="R1460" s="15"/>
    </row>
    <row r="1461" spans="1:18" x14ac:dyDescent="0.2">
      <c r="A1461" s="15"/>
      <c r="B1461" s="38"/>
      <c r="C1461" s="15"/>
      <c r="D1461" s="15"/>
      <c r="E1461" s="15"/>
      <c r="F1461" s="15"/>
      <c r="G1461" s="15"/>
      <c r="H1461" s="15"/>
      <c r="I1461" s="15"/>
      <c r="J1461" s="15"/>
      <c r="K1461" s="15"/>
      <c r="L1461" s="15"/>
      <c r="M1461" s="15"/>
      <c r="N1461" s="15"/>
      <c r="O1461" s="15"/>
      <c r="P1461" s="15"/>
      <c r="Q1461" s="15"/>
      <c r="R1461" s="15"/>
    </row>
    <row r="1462" spans="1:18" x14ac:dyDescent="0.2">
      <c r="A1462" s="15"/>
      <c r="B1462" s="38"/>
      <c r="C1462" s="15"/>
      <c r="D1462" s="15"/>
      <c r="E1462" s="15"/>
      <c r="F1462" s="15"/>
      <c r="G1462" s="15"/>
      <c r="H1462" s="15"/>
      <c r="I1462" s="15"/>
      <c r="J1462" s="15"/>
      <c r="K1462" s="15"/>
      <c r="L1462" s="15"/>
      <c r="M1462" s="15"/>
      <c r="N1462" s="15"/>
      <c r="O1462" s="15"/>
      <c r="P1462" s="15"/>
      <c r="Q1462" s="15"/>
      <c r="R1462" s="15"/>
    </row>
    <row r="1463" spans="1:18" x14ac:dyDescent="0.2">
      <c r="A1463" s="15"/>
      <c r="B1463" s="38"/>
      <c r="C1463" s="15"/>
      <c r="D1463" s="15"/>
      <c r="E1463" s="15"/>
      <c r="F1463" s="15"/>
      <c r="G1463" s="15"/>
      <c r="H1463" s="15"/>
      <c r="I1463" s="15"/>
      <c r="J1463" s="15"/>
      <c r="K1463" s="15"/>
      <c r="L1463" s="15"/>
      <c r="M1463" s="15"/>
      <c r="N1463" s="15"/>
      <c r="O1463" s="15"/>
      <c r="P1463" s="15"/>
      <c r="Q1463" s="15"/>
      <c r="R1463" s="15"/>
    </row>
    <row r="1464" spans="1:18" x14ac:dyDescent="0.2">
      <c r="A1464" s="15"/>
      <c r="B1464" s="38"/>
      <c r="C1464" s="15"/>
      <c r="D1464" s="15"/>
      <c r="E1464" s="15"/>
      <c r="F1464" s="15"/>
      <c r="G1464" s="15"/>
      <c r="H1464" s="15"/>
      <c r="I1464" s="15"/>
      <c r="J1464" s="15"/>
      <c r="K1464" s="15"/>
      <c r="L1464" s="15"/>
      <c r="M1464" s="15"/>
      <c r="N1464" s="15"/>
      <c r="O1464" s="15"/>
      <c r="P1464" s="15"/>
      <c r="Q1464" s="15"/>
      <c r="R1464" s="15"/>
    </row>
    <row r="1465" spans="1:18" x14ac:dyDescent="0.2">
      <c r="A1465" s="15"/>
      <c r="B1465" s="38"/>
      <c r="C1465" s="15"/>
      <c r="D1465" s="15"/>
      <c r="E1465" s="15"/>
      <c r="F1465" s="15"/>
      <c r="G1465" s="15"/>
      <c r="H1465" s="15"/>
      <c r="I1465" s="15"/>
      <c r="J1465" s="15"/>
      <c r="K1465" s="15"/>
      <c r="L1465" s="15"/>
      <c r="M1465" s="15"/>
      <c r="N1465" s="15"/>
      <c r="O1465" s="15"/>
      <c r="P1465" s="15"/>
      <c r="Q1465" s="15"/>
      <c r="R1465" s="15"/>
    </row>
    <row r="1466" spans="1:18" x14ac:dyDescent="0.2">
      <c r="A1466" s="15"/>
      <c r="B1466" s="38"/>
      <c r="C1466" s="15"/>
      <c r="D1466" s="15"/>
      <c r="E1466" s="15"/>
      <c r="F1466" s="15"/>
      <c r="G1466" s="15"/>
      <c r="H1466" s="15"/>
      <c r="I1466" s="15"/>
      <c r="J1466" s="15"/>
      <c r="K1466" s="15"/>
      <c r="L1466" s="15"/>
      <c r="M1466" s="15"/>
      <c r="N1466" s="15"/>
      <c r="O1466" s="15"/>
      <c r="P1466" s="15"/>
      <c r="Q1466" s="15"/>
      <c r="R1466" s="15"/>
    </row>
    <row r="1467" spans="1:18" x14ac:dyDescent="0.2">
      <c r="A1467" s="15"/>
      <c r="B1467" s="38"/>
      <c r="C1467" s="15"/>
      <c r="D1467" s="15"/>
      <c r="E1467" s="15"/>
      <c r="F1467" s="15"/>
      <c r="G1467" s="15"/>
      <c r="H1467" s="15"/>
      <c r="I1467" s="15"/>
      <c r="J1467" s="15"/>
      <c r="K1467" s="15"/>
      <c r="L1467" s="15"/>
      <c r="M1467" s="15"/>
      <c r="N1467" s="15"/>
      <c r="O1467" s="15"/>
      <c r="P1467" s="15"/>
      <c r="Q1467" s="15"/>
      <c r="R1467" s="15"/>
    </row>
    <row r="1468" spans="1:18" x14ac:dyDescent="0.2">
      <c r="A1468" s="15"/>
      <c r="B1468" s="38"/>
      <c r="C1468" s="15"/>
      <c r="D1468" s="15"/>
      <c r="E1468" s="15"/>
      <c r="F1468" s="15"/>
      <c r="G1468" s="15"/>
      <c r="H1468" s="15"/>
      <c r="I1468" s="15"/>
      <c r="J1468" s="15"/>
      <c r="K1468" s="15"/>
      <c r="L1468" s="15"/>
      <c r="M1468" s="15"/>
      <c r="N1468" s="15"/>
      <c r="O1468" s="15"/>
      <c r="P1468" s="15"/>
      <c r="Q1468" s="15"/>
      <c r="R1468" s="15"/>
    </row>
    <row r="1469" spans="1:18" x14ac:dyDescent="0.2">
      <c r="A1469" s="15"/>
      <c r="B1469" s="38"/>
      <c r="C1469" s="15"/>
      <c r="D1469" s="15"/>
      <c r="E1469" s="15"/>
      <c r="F1469" s="15"/>
      <c r="G1469" s="15"/>
      <c r="H1469" s="15"/>
      <c r="I1469" s="15"/>
      <c r="J1469" s="15"/>
      <c r="K1469" s="15"/>
      <c r="L1469" s="15"/>
      <c r="M1469" s="15"/>
      <c r="N1469" s="15"/>
      <c r="O1469" s="15"/>
      <c r="P1469" s="15"/>
      <c r="Q1469" s="15"/>
      <c r="R1469" s="15"/>
    </row>
    <row r="1470" spans="1:18" x14ac:dyDescent="0.2">
      <c r="A1470" s="15"/>
      <c r="B1470" s="38"/>
      <c r="C1470" s="15"/>
      <c r="D1470" s="15"/>
      <c r="E1470" s="15"/>
      <c r="F1470" s="15"/>
      <c r="G1470" s="15"/>
      <c r="H1470" s="15"/>
      <c r="I1470" s="15"/>
      <c r="J1470" s="15"/>
      <c r="K1470" s="15"/>
      <c r="L1470" s="15"/>
      <c r="M1470" s="15"/>
      <c r="N1470" s="15"/>
      <c r="O1470" s="15"/>
      <c r="P1470" s="15"/>
      <c r="Q1470" s="15"/>
      <c r="R1470" s="15"/>
    </row>
    <row r="1471" spans="1:18" x14ac:dyDescent="0.2">
      <c r="A1471" s="15"/>
      <c r="B1471" s="38"/>
      <c r="C1471" s="15"/>
      <c r="D1471" s="15"/>
      <c r="E1471" s="15"/>
      <c r="F1471" s="15"/>
      <c r="G1471" s="15"/>
      <c r="H1471" s="15"/>
      <c r="I1471" s="15"/>
      <c r="J1471" s="15"/>
      <c r="K1471" s="15"/>
      <c r="L1471" s="15"/>
      <c r="M1471" s="15"/>
      <c r="N1471" s="15"/>
      <c r="O1471" s="15"/>
      <c r="P1471" s="15"/>
      <c r="Q1471" s="15"/>
      <c r="R1471" s="15"/>
    </row>
    <row r="1472" spans="1:18" x14ac:dyDescent="0.2">
      <c r="A1472" s="15"/>
      <c r="B1472" s="38"/>
      <c r="C1472" s="15"/>
      <c r="D1472" s="15"/>
      <c r="E1472" s="15"/>
      <c r="F1472" s="15"/>
      <c r="G1472" s="15"/>
      <c r="H1472" s="15"/>
      <c r="I1472" s="15"/>
      <c r="J1472" s="15"/>
      <c r="K1472" s="15"/>
      <c r="L1472" s="15"/>
      <c r="M1472" s="15"/>
      <c r="N1472" s="15"/>
      <c r="O1472" s="15"/>
      <c r="P1472" s="15"/>
      <c r="Q1472" s="15"/>
      <c r="R1472" s="15"/>
    </row>
    <row r="1473" spans="1:18" x14ac:dyDescent="0.2">
      <c r="A1473" s="15"/>
      <c r="B1473" s="38"/>
      <c r="C1473" s="15"/>
      <c r="D1473" s="15"/>
      <c r="E1473" s="15"/>
      <c r="F1473" s="15"/>
      <c r="G1473" s="15"/>
      <c r="H1473" s="15"/>
      <c r="I1473" s="15"/>
      <c r="J1473" s="15"/>
      <c r="K1473" s="15"/>
      <c r="L1473" s="15"/>
      <c r="M1473" s="15"/>
      <c r="N1473" s="15"/>
      <c r="O1473" s="15"/>
      <c r="P1473" s="15"/>
      <c r="Q1473" s="15"/>
      <c r="R1473" s="15"/>
    </row>
    <row r="1474" spans="1:18" x14ac:dyDescent="0.2">
      <c r="A1474" s="15"/>
      <c r="B1474" s="38"/>
      <c r="C1474" s="15"/>
      <c r="D1474" s="15"/>
      <c r="E1474" s="15"/>
      <c r="F1474" s="15"/>
      <c r="G1474" s="15"/>
      <c r="H1474" s="15"/>
      <c r="I1474" s="15"/>
      <c r="J1474" s="15"/>
      <c r="K1474" s="15"/>
      <c r="L1474" s="15"/>
      <c r="M1474" s="15"/>
      <c r="N1474" s="15"/>
      <c r="O1474" s="15"/>
      <c r="P1474" s="15"/>
      <c r="Q1474" s="15"/>
      <c r="R1474" s="15"/>
    </row>
    <row r="1475" spans="1:18" x14ac:dyDescent="0.2">
      <c r="A1475" s="15"/>
      <c r="B1475" s="38"/>
      <c r="C1475" s="15"/>
      <c r="D1475" s="15"/>
      <c r="E1475" s="15"/>
      <c r="F1475" s="15"/>
      <c r="G1475" s="15"/>
      <c r="H1475" s="15"/>
      <c r="I1475" s="15"/>
      <c r="J1475" s="15"/>
      <c r="K1475" s="15"/>
      <c r="L1475" s="15"/>
      <c r="M1475" s="15"/>
      <c r="N1475" s="15"/>
      <c r="O1475" s="15"/>
      <c r="P1475" s="15"/>
      <c r="Q1475" s="15"/>
      <c r="R1475" s="15"/>
    </row>
    <row r="1476" spans="1:18" x14ac:dyDescent="0.2">
      <c r="A1476" s="15"/>
      <c r="B1476" s="38"/>
      <c r="C1476" s="15"/>
      <c r="D1476" s="15"/>
      <c r="E1476" s="15"/>
      <c r="F1476" s="15"/>
      <c r="G1476" s="15"/>
      <c r="H1476" s="15"/>
      <c r="I1476" s="15"/>
      <c r="J1476" s="15"/>
      <c r="K1476" s="15"/>
      <c r="L1476" s="15"/>
      <c r="M1476" s="15"/>
      <c r="N1476" s="15"/>
      <c r="O1476" s="15"/>
      <c r="P1476" s="15"/>
      <c r="Q1476" s="15"/>
      <c r="R1476" s="15"/>
    </row>
    <row r="1477" spans="1:18" x14ac:dyDescent="0.2">
      <c r="A1477" s="15"/>
      <c r="B1477" s="38"/>
      <c r="C1477" s="15"/>
      <c r="D1477" s="15"/>
      <c r="E1477" s="15"/>
      <c r="F1477" s="15"/>
      <c r="G1477" s="15"/>
      <c r="H1477" s="15"/>
      <c r="I1477" s="15"/>
      <c r="J1477" s="15"/>
      <c r="K1477" s="15"/>
      <c r="L1477" s="15"/>
      <c r="M1477" s="15"/>
      <c r="N1477" s="15"/>
      <c r="O1477" s="15"/>
      <c r="P1477" s="15"/>
      <c r="Q1477" s="15"/>
      <c r="R1477" s="15"/>
    </row>
    <row r="1478" spans="1:18" x14ac:dyDescent="0.2">
      <c r="A1478" s="15"/>
      <c r="B1478" s="38"/>
      <c r="C1478" s="15"/>
      <c r="D1478" s="15"/>
      <c r="E1478" s="15"/>
      <c r="F1478" s="15"/>
      <c r="G1478" s="15"/>
      <c r="H1478" s="15"/>
      <c r="I1478" s="15"/>
      <c r="J1478" s="15"/>
      <c r="K1478" s="15"/>
      <c r="L1478" s="15"/>
      <c r="M1478" s="15"/>
      <c r="N1478" s="15"/>
      <c r="O1478" s="15"/>
      <c r="P1478" s="15"/>
      <c r="Q1478" s="15"/>
      <c r="R1478" s="15"/>
    </row>
    <row r="1479" spans="1:18" x14ac:dyDescent="0.2">
      <c r="A1479" s="15"/>
      <c r="B1479" s="38"/>
      <c r="C1479" s="15"/>
      <c r="D1479" s="15"/>
      <c r="E1479" s="15"/>
      <c r="F1479" s="15"/>
      <c r="G1479" s="15"/>
      <c r="H1479" s="15"/>
      <c r="I1479" s="15"/>
      <c r="J1479" s="15"/>
      <c r="K1479" s="15"/>
      <c r="L1479" s="15"/>
      <c r="M1479" s="15"/>
      <c r="N1479" s="15"/>
      <c r="O1479" s="15"/>
      <c r="P1479" s="15"/>
      <c r="Q1479" s="15"/>
      <c r="R1479" s="15"/>
    </row>
    <row r="1480" spans="1:18" x14ac:dyDescent="0.2">
      <c r="A1480" s="15"/>
      <c r="B1480" s="38"/>
      <c r="C1480" s="15"/>
      <c r="D1480" s="15"/>
      <c r="E1480" s="15"/>
      <c r="F1480" s="15"/>
      <c r="G1480" s="15"/>
      <c r="H1480" s="15"/>
      <c r="I1480" s="15"/>
      <c r="J1480" s="15"/>
      <c r="K1480" s="15"/>
      <c r="L1480" s="15"/>
      <c r="M1480" s="15"/>
      <c r="N1480" s="15"/>
      <c r="O1480" s="15"/>
      <c r="P1480" s="15"/>
      <c r="Q1480" s="15"/>
      <c r="R1480" s="15"/>
    </row>
    <row r="1481" spans="1:18" x14ac:dyDescent="0.2">
      <c r="A1481" s="15"/>
      <c r="B1481" s="38"/>
      <c r="C1481" s="15"/>
      <c r="D1481" s="15"/>
      <c r="E1481" s="15"/>
      <c r="F1481" s="15"/>
      <c r="G1481" s="15"/>
      <c r="H1481" s="15"/>
      <c r="I1481" s="15"/>
      <c r="J1481" s="15"/>
      <c r="K1481" s="15"/>
      <c r="L1481" s="15"/>
      <c r="M1481" s="15"/>
      <c r="N1481" s="15"/>
      <c r="O1481" s="15"/>
      <c r="P1481" s="15"/>
      <c r="Q1481" s="15"/>
      <c r="R1481" s="15"/>
    </row>
    <row r="1482" spans="1:18" x14ac:dyDescent="0.2">
      <c r="A1482" s="15"/>
      <c r="B1482" s="38"/>
      <c r="C1482" s="15"/>
      <c r="D1482" s="15"/>
      <c r="E1482" s="15"/>
      <c r="F1482" s="15"/>
      <c r="G1482" s="15"/>
      <c r="H1482" s="15"/>
      <c r="I1482" s="15"/>
      <c r="J1482" s="15"/>
      <c r="K1482" s="15"/>
      <c r="L1482" s="15"/>
      <c r="M1482" s="15"/>
      <c r="N1482" s="15"/>
      <c r="O1482" s="15"/>
      <c r="P1482" s="15"/>
      <c r="Q1482" s="15"/>
      <c r="R1482" s="15"/>
    </row>
    <row r="1483" spans="1:18" x14ac:dyDescent="0.2">
      <c r="A1483" s="15"/>
      <c r="B1483" s="38"/>
      <c r="C1483" s="15"/>
      <c r="D1483" s="15"/>
      <c r="E1483" s="15"/>
      <c r="F1483" s="15"/>
      <c r="G1483" s="15"/>
      <c r="H1483" s="15"/>
      <c r="I1483" s="15"/>
      <c r="J1483" s="15"/>
      <c r="K1483" s="15"/>
      <c r="L1483" s="15"/>
      <c r="M1483" s="15"/>
      <c r="N1483" s="15"/>
      <c r="O1483" s="15"/>
      <c r="P1483" s="15"/>
      <c r="Q1483" s="15"/>
      <c r="R1483" s="15"/>
    </row>
    <row r="1484" spans="1:18" x14ac:dyDescent="0.2">
      <c r="A1484" s="15"/>
      <c r="B1484" s="38"/>
      <c r="C1484" s="15"/>
      <c r="D1484" s="15"/>
      <c r="E1484" s="15"/>
      <c r="F1484" s="15"/>
      <c r="G1484" s="15"/>
      <c r="H1484" s="15"/>
      <c r="I1484" s="15"/>
      <c r="J1484" s="15"/>
      <c r="K1484" s="15"/>
      <c r="L1484" s="15"/>
      <c r="M1484" s="15"/>
      <c r="N1484" s="15"/>
      <c r="O1484" s="15"/>
      <c r="P1484" s="15"/>
      <c r="Q1484" s="15"/>
      <c r="R1484" s="15"/>
    </row>
    <row r="1485" spans="1:18" x14ac:dyDescent="0.2">
      <c r="A1485" s="15"/>
      <c r="B1485" s="38"/>
      <c r="C1485" s="15"/>
      <c r="D1485" s="15"/>
      <c r="E1485" s="15"/>
      <c r="F1485" s="15"/>
      <c r="G1485" s="15"/>
      <c r="H1485" s="15"/>
      <c r="I1485" s="15"/>
      <c r="J1485" s="15"/>
      <c r="K1485" s="15"/>
      <c r="L1485" s="15"/>
      <c r="M1485" s="15"/>
      <c r="N1485" s="15"/>
      <c r="O1485" s="15"/>
      <c r="P1485" s="15"/>
      <c r="Q1485" s="15"/>
      <c r="R1485" s="15"/>
    </row>
    <row r="1486" spans="1:18" x14ac:dyDescent="0.2">
      <c r="A1486" s="15"/>
      <c r="B1486" s="38"/>
      <c r="C1486" s="15"/>
      <c r="D1486" s="15"/>
      <c r="E1486" s="15"/>
      <c r="F1486" s="15"/>
      <c r="G1486" s="15"/>
      <c r="H1486" s="15"/>
      <c r="I1486" s="15"/>
      <c r="J1486" s="15"/>
      <c r="K1486" s="15"/>
      <c r="L1486" s="15"/>
      <c r="M1486" s="15"/>
      <c r="N1486" s="15"/>
      <c r="O1486" s="15"/>
      <c r="P1486" s="15"/>
      <c r="Q1486" s="15"/>
      <c r="R1486" s="15"/>
    </row>
    <row r="1487" spans="1:18" x14ac:dyDescent="0.2">
      <c r="A1487" s="15"/>
      <c r="B1487" s="38"/>
      <c r="C1487" s="15"/>
      <c r="D1487" s="15"/>
      <c r="E1487" s="15"/>
      <c r="F1487" s="15"/>
      <c r="G1487" s="15"/>
      <c r="H1487" s="15"/>
      <c r="I1487" s="15"/>
      <c r="J1487" s="15"/>
      <c r="K1487" s="15"/>
      <c r="L1487" s="15"/>
      <c r="M1487" s="15"/>
      <c r="N1487" s="15"/>
      <c r="O1487" s="15"/>
      <c r="P1487" s="15"/>
      <c r="Q1487" s="15"/>
      <c r="R1487" s="15"/>
    </row>
    <row r="1488" spans="1:18" x14ac:dyDescent="0.2">
      <c r="A1488" s="15"/>
      <c r="B1488" s="38"/>
      <c r="C1488" s="15"/>
      <c r="D1488" s="15"/>
      <c r="E1488" s="15"/>
      <c r="F1488" s="15"/>
      <c r="G1488" s="15"/>
      <c r="H1488" s="15"/>
      <c r="I1488" s="15"/>
      <c r="J1488" s="15"/>
      <c r="K1488" s="15"/>
      <c r="L1488" s="15"/>
      <c r="M1488" s="15"/>
      <c r="N1488" s="15"/>
      <c r="O1488" s="15"/>
      <c r="P1488" s="15"/>
      <c r="Q1488" s="15"/>
      <c r="R1488" s="15"/>
    </row>
    <row r="1489" spans="1:18" x14ac:dyDescent="0.2">
      <c r="A1489" s="15"/>
      <c r="B1489" s="38"/>
      <c r="C1489" s="15"/>
      <c r="D1489" s="15"/>
      <c r="E1489" s="15"/>
      <c r="F1489" s="15"/>
      <c r="G1489" s="15"/>
      <c r="H1489" s="15"/>
      <c r="I1489" s="15"/>
      <c r="J1489" s="15"/>
      <c r="K1489" s="15"/>
      <c r="L1489" s="15"/>
      <c r="M1489" s="15"/>
      <c r="N1489" s="15"/>
      <c r="O1489" s="15"/>
      <c r="P1489" s="15"/>
      <c r="Q1489" s="15"/>
      <c r="R1489" s="15"/>
    </row>
    <row r="1490" spans="1:18" x14ac:dyDescent="0.2">
      <c r="A1490" s="15"/>
      <c r="B1490" s="38"/>
      <c r="C1490" s="15"/>
      <c r="D1490" s="15"/>
      <c r="E1490" s="15"/>
      <c r="F1490" s="15"/>
      <c r="G1490" s="15"/>
      <c r="H1490" s="15"/>
      <c r="I1490" s="15"/>
      <c r="J1490" s="15"/>
      <c r="K1490" s="15"/>
      <c r="L1490" s="15"/>
      <c r="M1490" s="15"/>
      <c r="N1490" s="15"/>
      <c r="O1490" s="15"/>
      <c r="P1490" s="15"/>
      <c r="Q1490" s="15"/>
      <c r="R1490" s="15"/>
    </row>
    <row r="1491" spans="1:18" x14ac:dyDescent="0.2">
      <c r="A1491" s="15"/>
      <c r="B1491" s="38"/>
      <c r="C1491" s="15"/>
      <c r="D1491" s="15"/>
      <c r="E1491" s="15"/>
      <c r="F1491" s="15"/>
      <c r="G1491" s="15"/>
      <c r="H1491" s="15"/>
      <c r="I1491" s="15"/>
      <c r="J1491" s="15"/>
      <c r="K1491" s="15"/>
      <c r="L1491" s="15"/>
      <c r="M1491" s="15"/>
      <c r="N1491" s="15"/>
      <c r="O1491" s="15"/>
      <c r="P1491" s="15"/>
      <c r="Q1491" s="15"/>
      <c r="R1491" s="15"/>
    </row>
    <row r="1492" spans="1:18" x14ac:dyDescent="0.2">
      <c r="A1492" s="15"/>
      <c r="B1492" s="38"/>
      <c r="C1492" s="15"/>
      <c r="D1492" s="15"/>
      <c r="E1492" s="15"/>
      <c r="F1492" s="15"/>
      <c r="G1492" s="15"/>
      <c r="H1492" s="15"/>
      <c r="I1492" s="15"/>
      <c r="J1492" s="15"/>
      <c r="K1492" s="15"/>
      <c r="L1492" s="15"/>
      <c r="M1492" s="15"/>
      <c r="N1492" s="15"/>
      <c r="O1492" s="15"/>
      <c r="P1492" s="15"/>
      <c r="Q1492" s="15"/>
      <c r="R1492" s="15"/>
    </row>
    <row r="1493" spans="1:18" x14ac:dyDescent="0.2">
      <c r="A1493" s="15"/>
      <c r="B1493" s="38"/>
      <c r="C1493" s="15"/>
      <c r="D1493" s="15"/>
      <c r="E1493" s="15"/>
      <c r="F1493" s="15"/>
      <c r="G1493" s="15"/>
      <c r="H1493" s="15"/>
      <c r="I1493" s="15"/>
      <c r="J1493" s="15"/>
      <c r="K1493" s="15"/>
      <c r="L1493" s="15"/>
      <c r="M1493" s="15"/>
      <c r="N1493" s="15"/>
      <c r="O1493" s="15"/>
      <c r="P1493" s="15"/>
      <c r="Q1493" s="15"/>
      <c r="R1493" s="15"/>
    </row>
    <row r="1494" spans="1:18" x14ac:dyDescent="0.2">
      <c r="A1494" s="15"/>
      <c r="B1494" s="38"/>
      <c r="C1494" s="15"/>
      <c r="D1494" s="15"/>
      <c r="E1494" s="15"/>
      <c r="F1494" s="15"/>
      <c r="G1494" s="15"/>
      <c r="H1494" s="15"/>
      <c r="I1494" s="15"/>
      <c r="J1494" s="15"/>
      <c r="K1494" s="15"/>
      <c r="L1494" s="15"/>
      <c r="M1494" s="15"/>
      <c r="N1494" s="15"/>
      <c r="O1494" s="15"/>
      <c r="P1494" s="15"/>
      <c r="Q1494" s="15"/>
      <c r="R1494" s="15"/>
    </row>
    <row r="1495" spans="1:18" x14ac:dyDescent="0.2">
      <c r="A1495" s="15"/>
      <c r="B1495" s="38"/>
      <c r="C1495" s="15"/>
      <c r="D1495" s="15"/>
      <c r="E1495" s="15"/>
      <c r="F1495" s="15"/>
      <c r="G1495" s="15"/>
      <c r="H1495" s="15"/>
      <c r="I1495" s="15"/>
      <c r="J1495" s="15"/>
      <c r="K1495" s="15"/>
      <c r="L1495" s="15"/>
      <c r="M1495" s="15"/>
      <c r="N1495" s="15"/>
      <c r="O1495" s="15"/>
      <c r="P1495" s="15"/>
      <c r="Q1495" s="15"/>
      <c r="R1495" s="15"/>
    </row>
    <row r="1496" spans="1:18" x14ac:dyDescent="0.2">
      <c r="A1496" s="15"/>
      <c r="B1496" s="38"/>
      <c r="C1496" s="15"/>
      <c r="D1496" s="15"/>
      <c r="E1496" s="15"/>
      <c r="F1496" s="15"/>
      <c r="G1496" s="15"/>
      <c r="H1496" s="15"/>
      <c r="I1496" s="15"/>
      <c r="J1496" s="15"/>
      <c r="K1496" s="15"/>
      <c r="L1496" s="15"/>
      <c r="M1496" s="15"/>
      <c r="N1496" s="15"/>
      <c r="O1496" s="15"/>
      <c r="P1496" s="15"/>
      <c r="Q1496" s="15"/>
      <c r="R1496" s="15"/>
    </row>
    <row r="1497" spans="1:18" x14ac:dyDescent="0.2">
      <c r="A1497" s="15"/>
      <c r="B1497" s="38"/>
      <c r="C1497" s="15"/>
      <c r="D1497" s="15"/>
      <c r="E1497" s="15"/>
      <c r="F1497" s="15"/>
      <c r="G1497" s="15"/>
      <c r="H1497" s="15"/>
      <c r="I1497" s="15"/>
      <c r="J1497" s="15"/>
      <c r="K1497" s="15"/>
      <c r="L1497" s="15"/>
      <c r="M1497" s="15"/>
      <c r="N1497" s="15"/>
      <c r="O1497" s="15"/>
      <c r="P1497" s="15"/>
      <c r="Q1497" s="15"/>
      <c r="R1497" s="15"/>
    </row>
    <row r="1498" spans="1:18" x14ac:dyDescent="0.2">
      <c r="A1498" s="15"/>
      <c r="B1498" s="38"/>
      <c r="C1498" s="15"/>
      <c r="D1498" s="15"/>
      <c r="E1498" s="15"/>
      <c r="F1498" s="15"/>
      <c r="G1498" s="15"/>
      <c r="H1498" s="15"/>
      <c r="I1498" s="15"/>
      <c r="J1498" s="15"/>
      <c r="K1498" s="15"/>
      <c r="L1498" s="15"/>
      <c r="M1498" s="15"/>
      <c r="N1498" s="15"/>
      <c r="O1498" s="15"/>
      <c r="P1498" s="15"/>
      <c r="Q1498" s="15"/>
      <c r="R1498" s="15"/>
    </row>
    <row r="1499" spans="1:18" x14ac:dyDescent="0.2">
      <c r="A1499" s="15"/>
      <c r="B1499" s="38"/>
      <c r="C1499" s="15"/>
      <c r="D1499" s="15"/>
      <c r="E1499" s="15"/>
      <c r="F1499" s="15"/>
      <c r="G1499" s="15"/>
      <c r="H1499" s="15"/>
      <c r="I1499" s="15"/>
      <c r="J1499" s="15"/>
      <c r="K1499" s="15"/>
      <c r="L1499" s="15"/>
      <c r="M1499" s="15"/>
      <c r="N1499" s="15"/>
      <c r="O1499" s="15"/>
      <c r="P1499" s="15"/>
      <c r="Q1499" s="15"/>
      <c r="R1499" s="15"/>
    </row>
    <row r="1500" spans="1:18" x14ac:dyDescent="0.2">
      <c r="A1500" s="15"/>
      <c r="B1500" s="38"/>
      <c r="C1500" s="15"/>
      <c r="D1500" s="15"/>
      <c r="E1500" s="15"/>
      <c r="F1500" s="15"/>
      <c r="G1500" s="15"/>
      <c r="H1500" s="15"/>
      <c r="I1500" s="15"/>
      <c r="J1500" s="15"/>
      <c r="K1500" s="15"/>
      <c r="L1500" s="15"/>
      <c r="M1500" s="15"/>
      <c r="N1500" s="15"/>
      <c r="O1500" s="15"/>
      <c r="P1500" s="15"/>
      <c r="Q1500" s="15"/>
      <c r="R1500" s="15"/>
    </row>
    <row r="1501" spans="1:18" x14ac:dyDescent="0.2">
      <c r="A1501" s="15"/>
      <c r="B1501" s="38"/>
      <c r="C1501" s="15"/>
      <c r="D1501" s="15"/>
      <c r="E1501" s="15"/>
      <c r="F1501" s="15"/>
      <c r="G1501" s="15"/>
      <c r="H1501" s="15"/>
      <c r="I1501" s="15"/>
      <c r="J1501" s="15"/>
      <c r="K1501" s="15"/>
      <c r="L1501" s="15"/>
      <c r="M1501" s="15"/>
      <c r="N1501" s="15"/>
      <c r="O1501" s="15"/>
      <c r="P1501" s="15"/>
      <c r="Q1501" s="15"/>
      <c r="R1501" s="15"/>
    </row>
    <row r="1502" spans="1:18" x14ac:dyDescent="0.2">
      <c r="A1502" s="15"/>
      <c r="B1502" s="38"/>
      <c r="C1502" s="15"/>
      <c r="D1502" s="15"/>
      <c r="E1502" s="15"/>
      <c r="F1502" s="15"/>
      <c r="G1502" s="15"/>
      <c r="H1502" s="15"/>
      <c r="I1502" s="15"/>
      <c r="J1502" s="15"/>
      <c r="K1502" s="15"/>
      <c r="L1502" s="15"/>
      <c r="M1502" s="15"/>
      <c r="N1502" s="15"/>
      <c r="O1502" s="15"/>
      <c r="P1502" s="15"/>
      <c r="Q1502" s="15"/>
      <c r="R1502" s="15"/>
    </row>
    <row r="1503" spans="1:18" x14ac:dyDescent="0.2">
      <c r="A1503" s="15"/>
      <c r="B1503" s="38"/>
      <c r="C1503" s="15"/>
      <c r="D1503" s="15"/>
      <c r="E1503" s="15"/>
      <c r="F1503" s="15"/>
      <c r="G1503" s="15"/>
      <c r="H1503" s="15"/>
      <c r="I1503" s="15"/>
      <c r="J1503" s="15"/>
      <c r="K1503" s="15"/>
      <c r="L1503" s="15"/>
      <c r="M1503" s="15"/>
      <c r="N1503" s="15"/>
      <c r="O1503" s="15"/>
      <c r="P1503" s="15"/>
      <c r="Q1503" s="15"/>
      <c r="R1503" s="15"/>
    </row>
    <row r="1504" spans="1:18" x14ac:dyDescent="0.2">
      <c r="A1504" s="15"/>
      <c r="B1504" s="38"/>
      <c r="C1504" s="15"/>
      <c r="D1504" s="15"/>
      <c r="E1504" s="15"/>
      <c r="F1504" s="15"/>
      <c r="G1504" s="15"/>
      <c r="H1504" s="15"/>
      <c r="I1504" s="15"/>
      <c r="J1504" s="15"/>
      <c r="K1504" s="15"/>
      <c r="L1504" s="15"/>
      <c r="M1504" s="15"/>
      <c r="N1504" s="15"/>
      <c r="O1504" s="15"/>
      <c r="P1504" s="15"/>
      <c r="Q1504" s="15"/>
      <c r="R1504" s="15"/>
    </row>
    <row r="1505" spans="1:18" x14ac:dyDescent="0.2">
      <c r="A1505" s="15"/>
      <c r="B1505" s="38"/>
      <c r="C1505" s="15"/>
      <c r="D1505" s="15"/>
      <c r="E1505" s="15"/>
      <c r="F1505" s="15"/>
      <c r="G1505" s="15"/>
      <c r="H1505" s="15"/>
      <c r="I1505" s="15"/>
      <c r="J1505" s="15"/>
      <c r="K1505" s="15"/>
      <c r="L1505" s="15"/>
      <c r="M1505" s="15"/>
      <c r="N1505" s="15"/>
      <c r="O1505" s="15"/>
      <c r="P1505" s="15"/>
      <c r="Q1505" s="15"/>
      <c r="R1505" s="15"/>
    </row>
    <row r="1506" spans="1:18" x14ac:dyDescent="0.2">
      <c r="A1506" s="15"/>
      <c r="B1506" s="38"/>
      <c r="C1506" s="15"/>
      <c r="D1506" s="15"/>
      <c r="E1506" s="15"/>
      <c r="F1506" s="15"/>
      <c r="G1506" s="15"/>
      <c r="H1506" s="15"/>
      <c r="I1506" s="15"/>
      <c r="J1506" s="15"/>
      <c r="K1506" s="15"/>
      <c r="L1506" s="15"/>
      <c r="M1506" s="15"/>
      <c r="N1506" s="15"/>
      <c r="O1506" s="15"/>
      <c r="P1506" s="15"/>
      <c r="Q1506" s="15"/>
      <c r="R1506" s="15"/>
    </row>
    <row r="1507" spans="1:18" x14ac:dyDescent="0.2">
      <c r="A1507" s="15"/>
      <c r="B1507" s="38"/>
      <c r="C1507" s="15"/>
      <c r="D1507" s="15"/>
      <c r="E1507" s="15"/>
      <c r="F1507" s="15"/>
      <c r="G1507" s="15"/>
      <c r="H1507" s="15"/>
      <c r="I1507" s="15"/>
      <c r="J1507" s="15"/>
      <c r="K1507" s="15"/>
      <c r="L1507" s="15"/>
      <c r="M1507" s="15"/>
      <c r="N1507" s="15"/>
      <c r="O1507" s="15"/>
      <c r="P1507" s="15"/>
      <c r="Q1507" s="15"/>
      <c r="R1507" s="15"/>
    </row>
    <row r="1508" spans="1:18" x14ac:dyDescent="0.2">
      <c r="A1508" s="15"/>
      <c r="B1508" s="38"/>
      <c r="C1508" s="15"/>
      <c r="D1508" s="15"/>
      <c r="E1508" s="15"/>
      <c r="F1508" s="15"/>
      <c r="G1508" s="15"/>
      <c r="H1508" s="15"/>
      <c r="I1508" s="15"/>
      <c r="J1508" s="15"/>
      <c r="K1508" s="15"/>
      <c r="L1508" s="15"/>
      <c r="M1508" s="15"/>
      <c r="N1508" s="15"/>
      <c r="O1508" s="15"/>
      <c r="P1508" s="15"/>
      <c r="Q1508" s="15"/>
      <c r="R1508" s="15"/>
    </row>
    <row r="1509" spans="1:18" x14ac:dyDescent="0.2">
      <c r="A1509" s="15"/>
      <c r="B1509" s="38"/>
      <c r="C1509" s="15"/>
      <c r="D1509" s="15"/>
      <c r="E1509" s="15"/>
      <c r="F1509" s="15"/>
      <c r="G1509" s="15"/>
      <c r="H1509" s="15"/>
      <c r="I1509" s="15"/>
      <c r="J1509" s="15"/>
      <c r="K1509" s="15"/>
      <c r="L1509" s="15"/>
      <c r="M1509" s="15"/>
      <c r="N1509" s="15"/>
      <c r="O1509" s="15"/>
      <c r="P1509" s="15"/>
      <c r="Q1509" s="15"/>
      <c r="R1509" s="15"/>
    </row>
    <row r="1510" spans="1:18" x14ac:dyDescent="0.2">
      <c r="A1510" s="15"/>
      <c r="B1510" s="38"/>
      <c r="C1510" s="15"/>
      <c r="D1510" s="15"/>
      <c r="E1510" s="15"/>
      <c r="F1510" s="15"/>
      <c r="G1510" s="15"/>
      <c r="H1510" s="15"/>
      <c r="I1510" s="15"/>
      <c r="J1510" s="15"/>
      <c r="K1510" s="15"/>
      <c r="L1510" s="15"/>
      <c r="M1510" s="15"/>
      <c r="N1510" s="15"/>
      <c r="O1510" s="15"/>
      <c r="P1510" s="15"/>
      <c r="Q1510" s="15"/>
      <c r="R1510" s="15"/>
    </row>
    <row r="1511" spans="1:18" x14ac:dyDescent="0.2">
      <c r="A1511" s="15"/>
      <c r="B1511" s="38"/>
      <c r="C1511" s="15"/>
      <c r="D1511" s="15"/>
      <c r="E1511" s="15"/>
      <c r="F1511" s="15"/>
      <c r="G1511" s="15"/>
      <c r="H1511" s="15"/>
      <c r="I1511" s="15"/>
      <c r="J1511" s="15"/>
      <c r="K1511" s="15"/>
      <c r="L1511" s="15"/>
      <c r="M1511" s="15"/>
      <c r="N1511" s="15"/>
      <c r="O1511" s="15"/>
      <c r="P1511" s="15"/>
      <c r="Q1511" s="15"/>
      <c r="R1511" s="15"/>
    </row>
    <row r="1512" spans="1:18" x14ac:dyDescent="0.2">
      <c r="A1512" s="15"/>
      <c r="B1512" s="38"/>
      <c r="C1512" s="15"/>
      <c r="D1512" s="15"/>
      <c r="E1512" s="15"/>
      <c r="F1512" s="15"/>
      <c r="G1512" s="15"/>
      <c r="H1512" s="15"/>
      <c r="I1512" s="15"/>
      <c r="J1512" s="15"/>
      <c r="K1512" s="15"/>
      <c r="L1512" s="15"/>
      <c r="M1512" s="15"/>
      <c r="N1512" s="15"/>
      <c r="O1512" s="15"/>
      <c r="P1512" s="15"/>
      <c r="Q1512" s="15"/>
      <c r="R1512" s="15"/>
    </row>
    <row r="1513" spans="1:18" x14ac:dyDescent="0.2">
      <c r="A1513" s="15"/>
      <c r="B1513" s="38"/>
      <c r="C1513" s="15"/>
      <c r="D1513" s="15"/>
      <c r="E1513" s="15"/>
      <c r="F1513" s="15"/>
      <c r="G1513" s="15"/>
      <c r="H1513" s="15"/>
      <c r="I1513" s="15"/>
      <c r="J1513" s="15"/>
      <c r="K1513" s="15"/>
      <c r="L1513" s="15"/>
      <c r="M1513" s="15"/>
      <c r="N1513" s="15"/>
      <c r="O1513" s="15"/>
      <c r="P1513" s="15"/>
      <c r="Q1513" s="15"/>
      <c r="R1513" s="15"/>
    </row>
    <row r="1514" spans="1:18" x14ac:dyDescent="0.2">
      <c r="A1514" s="15"/>
      <c r="B1514" s="38"/>
      <c r="C1514" s="15"/>
      <c r="D1514" s="15"/>
      <c r="E1514" s="15"/>
      <c r="F1514" s="15"/>
      <c r="G1514" s="15"/>
      <c r="H1514" s="15"/>
      <c r="I1514" s="15"/>
      <c r="J1514" s="15"/>
      <c r="K1514" s="15"/>
      <c r="L1514" s="15"/>
      <c r="M1514" s="15"/>
      <c r="N1514" s="15"/>
      <c r="O1514" s="15"/>
      <c r="P1514" s="15"/>
      <c r="Q1514" s="15"/>
      <c r="R1514" s="15"/>
    </row>
    <row r="1515" spans="1:18" x14ac:dyDescent="0.2">
      <c r="A1515" s="15"/>
      <c r="B1515" s="38"/>
      <c r="C1515" s="15"/>
      <c r="D1515" s="15"/>
      <c r="E1515" s="15"/>
      <c r="F1515" s="15"/>
      <c r="G1515" s="15"/>
      <c r="H1515" s="15"/>
      <c r="I1515" s="15"/>
      <c r="J1515" s="15"/>
      <c r="K1515" s="15"/>
      <c r="L1515" s="15"/>
      <c r="M1515" s="15"/>
      <c r="N1515" s="15"/>
      <c r="O1515" s="15"/>
      <c r="P1515" s="15"/>
      <c r="Q1515" s="15"/>
      <c r="R1515" s="15"/>
    </row>
    <row r="1516" spans="1:18" x14ac:dyDescent="0.2">
      <c r="A1516" s="15"/>
      <c r="B1516" s="38"/>
      <c r="C1516" s="15"/>
      <c r="D1516" s="15"/>
      <c r="E1516" s="15"/>
      <c r="F1516" s="15"/>
      <c r="G1516" s="15"/>
      <c r="H1516" s="15"/>
      <c r="I1516" s="15"/>
      <c r="J1516" s="15"/>
      <c r="K1516" s="15"/>
      <c r="L1516" s="15"/>
      <c r="M1516" s="15"/>
      <c r="N1516" s="15"/>
      <c r="O1516" s="15"/>
      <c r="P1516" s="15"/>
      <c r="Q1516" s="15"/>
      <c r="R1516" s="15"/>
    </row>
    <row r="1517" spans="1:18" x14ac:dyDescent="0.2">
      <c r="A1517" s="15"/>
      <c r="B1517" s="38"/>
      <c r="C1517" s="15"/>
      <c r="D1517" s="15"/>
      <c r="E1517" s="15"/>
      <c r="F1517" s="15"/>
      <c r="G1517" s="15"/>
      <c r="H1517" s="15"/>
      <c r="I1517" s="15"/>
      <c r="J1517" s="15"/>
      <c r="K1517" s="15"/>
      <c r="L1517" s="15"/>
      <c r="M1517" s="15"/>
      <c r="N1517" s="15"/>
      <c r="O1517" s="15"/>
      <c r="P1517" s="15"/>
      <c r="Q1517" s="15"/>
      <c r="R1517" s="15"/>
    </row>
    <row r="1518" spans="1:18" x14ac:dyDescent="0.2">
      <c r="A1518" s="15"/>
      <c r="B1518" s="38"/>
      <c r="C1518" s="15"/>
      <c r="D1518" s="15"/>
      <c r="E1518" s="15"/>
      <c r="F1518" s="15"/>
      <c r="G1518" s="15"/>
      <c r="H1518" s="15"/>
      <c r="I1518" s="15"/>
      <c r="J1518" s="15"/>
      <c r="K1518" s="15"/>
      <c r="L1518" s="15"/>
      <c r="M1518" s="15"/>
      <c r="N1518" s="15"/>
      <c r="O1518" s="15"/>
      <c r="P1518" s="15"/>
      <c r="Q1518" s="15"/>
      <c r="R1518" s="15"/>
    </row>
    <row r="1519" spans="1:18" x14ac:dyDescent="0.2">
      <c r="A1519" s="15"/>
      <c r="B1519" s="38"/>
      <c r="C1519" s="15"/>
      <c r="D1519" s="15"/>
      <c r="E1519" s="15"/>
      <c r="F1519" s="15"/>
      <c r="G1519" s="15"/>
      <c r="H1519" s="15"/>
      <c r="I1519" s="15"/>
      <c r="J1519" s="15"/>
      <c r="K1519" s="15"/>
      <c r="L1519" s="15"/>
      <c r="M1519" s="15"/>
      <c r="N1519" s="15"/>
      <c r="O1519" s="15"/>
      <c r="P1519" s="15"/>
      <c r="Q1519" s="15"/>
      <c r="R1519" s="15"/>
    </row>
    <row r="1520" spans="1:18" x14ac:dyDescent="0.2">
      <c r="A1520" s="15"/>
      <c r="B1520" s="38"/>
      <c r="C1520" s="15"/>
      <c r="D1520" s="15"/>
      <c r="E1520" s="15"/>
      <c r="F1520" s="15"/>
      <c r="G1520" s="15"/>
      <c r="H1520" s="15"/>
      <c r="I1520" s="15"/>
      <c r="J1520" s="15"/>
      <c r="K1520" s="15"/>
      <c r="L1520" s="15"/>
      <c r="M1520" s="15"/>
      <c r="N1520" s="15"/>
      <c r="O1520" s="15"/>
      <c r="P1520" s="15"/>
      <c r="Q1520" s="15"/>
      <c r="R1520" s="15"/>
    </row>
    <row r="1521" spans="1:18" x14ac:dyDescent="0.2">
      <c r="A1521" s="15"/>
      <c r="B1521" s="38"/>
      <c r="C1521" s="15"/>
      <c r="D1521" s="15"/>
      <c r="E1521" s="15"/>
      <c r="F1521" s="15"/>
      <c r="G1521" s="15"/>
      <c r="H1521" s="15"/>
      <c r="I1521" s="15"/>
      <c r="J1521" s="15"/>
      <c r="K1521" s="15"/>
      <c r="L1521" s="15"/>
      <c r="M1521" s="15"/>
      <c r="N1521" s="15"/>
      <c r="O1521" s="15"/>
      <c r="P1521" s="15"/>
      <c r="Q1521" s="15"/>
      <c r="R1521" s="15"/>
    </row>
    <row r="1522" spans="1:18" x14ac:dyDescent="0.2">
      <c r="A1522" s="15"/>
      <c r="B1522" s="38"/>
      <c r="C1522" s="15"/>
      <c r="D1522" s="15"/>
      <c r="E1522" s="15"/>
      <c r="F1522" s="15"/>
      <c r="G1522" s="15"/>
      <c r="H1522" s="15"/>
      <c r="I1522" s="15"/>
      <c r="J1522" s="15"/>
      <c r="K1522" s="15"/>
      <c r="L1522" s="15"/>
      <c r="M1522" s="15"/>
      <c r="N1522" s="15"/>
      <c r="O1522" s="15"/>
      <c r="P1522" s="15"/>
      <c r="Q1522" s="15"/>
      <c r="R1522" s="15"/>
    </row>
    <row r="1523" spans="1:18" x14ac:dyDescent="0.2">
      <c r="A1523" s="15"/>
      <c r="B1523" s="38"/>
      <c r="C1523" s="15"/>
      <c r="D1523" s="15"/>
      <c r="E1523" s="15"/>
      <c r="F1523" s="15"/>
      <c r="G1523" s="15"/>
      <c r="H1523" s="15"/>
      <c r="I1523" s="15"/>
      <c r="J1523" s="15"/>
      <c r="K1523" s="15"/>
      <c r="L1523" s="15"/>
      <c r="M1523" s="15"/>
      <c r="N1523" s="15"/>
      <c r="O1523" s="15"/>
      <c r="P1523" s="15"/>
      <c r="Q1523" s="15"/>
      <c r="R1523" s="15"/>
    </row>
    <row r="1524" spans="1:18" x14ac:dyDescent="0.2">
      <c r="A1524" s="15"/>
      <c r="B1524" s="38"/>
      <c r="C1524" s="15"/>
      <c r="D1524" s="15"/>
      <c r="E1524" s="15"/>
      <c r="F1524" s="15"/>
      <c r="G1524" s="15"/>
      <c r="H1524" s="15"/>
      <c r="I1524" s="15"/>
      <c r="J1524" s="15"/>
      <c r="K1524" s="15"/>
      <c r="L1524" s="15"/>
      <c r="M1524" s="15"/>
      <c r="N1524" s="15"/>
      <c r="O1524" s="15"/>
      <c r="P1524" s="15"/>
      <c r="Q1524" s="15"/>
      <c r="R1524" s="15"/>
    </row>
    <row r="1525" spans="1:18" x14ac:dyDescent="0.2">
      <c r="A1525" s="15"/>
      <c r="B1525" s="38"/>
      <c r="C1525" s="15"/>
      <c r="D1525" s="15"/>
      <c r="E1525" s="15"/>
      <c r="F1525" s="15"/>
      <c r="G1525" s="15"/>
      <c r="H1525" s="15"/>
      <c r="I1525" s="15"/>
      <c r="J1525" s="15"/>
      <c r="K1525" s="15"/>
      <c r="L1525" s="15"/>
      <c r="M1525" s="15"/>
      <c r="N1525" s="15"/>
      <c r="O1525" s="15"/>
      <c r="P1525" s="15"/>
      <c r="Q1525" s="15"/>
      <c r="R1525" s="15"/>
    </row>
    <row r="1526" spans="1:18" x14ac:dyDescent="0.2">
      <c r="A1526" s="15"/>
      <c r="B1526" s="38"/>
      <c r="C1526" s="15"/>
      <c r="D1526" s="15"/>
      <c r="E1526" s="15"/>
      <c r="F1526" s="15"/>
      <c r="G1526" s="15"/>
      <c r="H1526" s="15"/>
      <c r="I1526" s="15"/>
      <c r="J1526" s="15"/>
      <c r="K1526" s="15"/>
      <c r="L1526" s="15"/>
      <c r="M1526" s="15"/>
      <c r="N1526" s="15"/>
      <c r="O1526" s="15"/>
      <c r="P1526" s="15"/>
      <c r="Q1526" s="15"/>
      <c r="R1526" s="15"/>
    </row>
    <row r="1527" spans="1:18" x14ac:dyDescent="0.2">
      <c r="A1527" s="15"/>
      <c r="B1527" s="38"/>
      <c r="C1527" s="15"/>
      <c r="D1527" s="15"/>
      <c r="E1527" s="15"/>
      <c r="F1527" s="15"/>
      <c r="G1527" s="15"/>
      <c r="H1527" s="15"/>
      <c r="I1527" s="15"/>
      <c r="J1527" s="15"/>
      <c r="K1527" s="15"/>
      <c r="L1527" s="15"/>
      <c r="M1527" s="15"/>
      <c r="N1527" s="15"/>
      <c r="O1527" s="15"/>
      <c r="P1527" s="15"/>
      <c r="Q1527" s="15"/>
      <c r="R1527" s="15"/>
    </row>
    <row r="1528" spans="1:18" x14ac:dyDescent="0.2">
      <c r="A1528" s="15"/>
      <c r="B1528" s="38"/>
      <c r="C1528" s="15"/>
      <c r="D1528" s="15"/>
      <c r="E1528" s="15"/>
      <c r="F1528" s="15"/>
      <c r="G1528" s="15"/>
      <c r="H1528" s="15"/>
      <c r="I1528" s="15"/>
      <c r="J1528" s="15"/>
      <c r="K1528" s="15"/>
      <c r="L1528" s="15"/>
      <c r="M1528" s="15"/>
      <c r="N1528" s="15"/>
      <c r="O1528" s="15"/>
      <c r="P1528" s="15"/>
      <c r="Q1528" s="15"/>
      <c r="R1528" s="15"/>
    </row>
    <row r="1529" spans="1:18" x14ac:dyDescent="0.2">
      <c r="A1529" s="15"/>
      <c r="B1529" s="38"/>
      <c r="C1529" s="15"/>
      <c r="D1529" s="15"/>
      <c r="E1529" s="15"/>
      <c r="F1529" s="15"/>
      <c r="G1529" s="15"/>
      <c r="H1529" s="15"/>
      <c r="I1529" s="15"/>
      <c r="J1529" s="15"/>
      <c r="K1529" s="15"/>
      <c r="L1529" s="15"/>
      <c r="M1529" s="15"/>
      <c r="N1529" s="15"/>
      <c r="O1529" s="15"/>
      <c r="P1529" s="15"/>
      <c r="Q1529" s="15"/>
      <c r="R1529" s="15"/>
    </row>
    <row r="1530" spans="1:18" x14ac:dyDescent="0.2">
      <c r="A1530" s="15"/>
      <c r="B1530" s="38"/>
      <c r="C1530" s="15"/>
      <c r="D1530" s="15"/>
      <c r="E1530" s="15"/>
      <c r="F1530" s="15"/>
      <c r="G1530" s="15"/>
      <c r="H1530" s="15"/>
      <c r="I1530" s="15"/>
      <c r="J1530" s="15"/>
      <c r="K1530" s="15"/>
      <c r="L1530" s="15"/>
      <c r="M1530" s="15"/>
      <c r="N1530" s="15"/>
      <c r="O1530" s="15"/>
      <c r="P1530" s="15"/>
      <c r="Q1530" s="15"/>
      <c r="R1530" s="15"/>
    </row>
    <row r="1531" spans="1:18" x14ac:dyDescent="0.2">
      <c r="A1531" s="15"/>
      <c r="B1531" s="38"/>
      <c r="C1531" s="15"/>
      <c r="D1531" s="15"/>
      <c r="E1531" s="15"/>
      <c r="F1531" s="15"/>
      <c r="G1531" s="15"/>
      <c r="H1531" s="15"/>
      <c r="I1531" s="15"/>
      <c r="J1531" s="15"/>
      <c r="K1531" s="15"/>
      <c r="L1531" s="15"/>
      <c r="M1531" s="15"/>
      <c r="N1531" s="15"/>
      <c r="O1531" s="15"/>
      <c r="P1531" s="15"/>
      <c r="Q1531" s="15"/>
      <c r="R1531" s="15"/>
    </row>
    <row r="1532" spans="1:18" x14ac:dyDescent="0.2">
      <c r="A1532" s="15"/>
      <c r="B1532" s="38"/>
      <c r="C1532" s="15"/>
      <c r="D1532" s="15"/>
      <c r="E1532" s="15"/>
      <c r="F1532" s="15"/>
      <c r="G1532" s="15"/>
      <c r="H1532" s="15"/>
      <c r="I1532" s="15"/>
      <c r="J1532" s="15"/>
      <c r="K1532" s="15"/>
      <c r="L1532" s="15"/>
      <c r="M1532" s="15"/>
      <c r="N1532" s="15"/>
      <c r="O1532" s="15"/>
      <c r="P1532" s="15"/>
      <c r="Q1532" s="15"/>
      <c r="R1532" s="15"/>
    </row>
    <row r="1533" spans="1:18" x14ac:dyDescent="0.2">
      <c r="A1533" s="15"/>
      <c r="B1533" s="38"/>
      <c r="C1533" s="15"/>
      <c r="D1533" s="15"/>
      <c r="E1533" s="15"/>
      <c r="F1533" s="15"/>
      <c r="G1533" s="15"/>
      <c r="H1533" s="15"/>
      <c r="I1533" s="15"/>
      <c r="J1533" s="15"/>
      <c r="K1533" s="15"/>
      <c r="L1533" s="15"/>
      <c r="M1533" s="15"/>
      <c r="N1533" s="15"/>
      <c r="O1533" s="15"/>
      <c r="P1533" s="15"/>
      <c r="Q1533" s="15"/>
      <c r="R1533" s="15"/>
    </row>
    <row r="1534" spans="1:18" x14ac:dyDescent="0.2">
      <c r="A1534" s="15"/>
      <c r="B1534" s="38"/>
      <c r="C1534" s="15"/>
      <c r="D1534" s="15"/>
      <c r="E1534" s="15"/>
      <c r="F1534" s="15"/>
      <c r="G1534" s="15"/>
      <c r="H1534" s="15"/>
      <c r="I1534" s="15"/>
      <c r="J1534" s="15"/>
      <c r="K1534" s="15"/>
      <c r="L1534" s="15"/>
      <c r="M1534" s="15"/>
      <c r="N1534" s="15"/>
      <c r="O1534" s="15"/>
      <c r="P1534" s="15"/>
      <c r="Q1534" s="15"/>
      <c r="R1534" s="15"/>
    </row>
    <row r="1535" spans="1:18" x14ac:dyDescent="0.2">
      <c r="A1535" s="15"/>
      <c r="B1535" s="38"/>
      <c r="C1535" s="15"/>
      <c r="D1535" s="15"/>
      <c r="E1535" s="15"/>
      <c r="F1535" s="15"/>
      <c r="G1535" s="15"/>
      <c r="H1535" s="15"/>
      <c r="I1535" s="15"/>
      <c r="J1535" s="15"/>
      <c r="K1535" s="15"/>
      <c r="L1535" s="15"/>
      <c r="M1535" s="15"/>
      <c r="N1535" s="15"/>
      <c r="O1535" s="15"/>
      <c r="P1535" s="15"/>
      <c r="Q1535" s="15"/>
      <c r="R1535" s="15"/>
    </row>
    <row r="1536" spans="1:18" x14ac:dyDescent="0.2">
      <c r="A1536" s="15"/>
      <c r="B1536" s="38"/>
      <c r="C1536" s="15"/>
      <c r="D1536" s="15"/>
      <c r="E1536" s="15"/>
      <c r="F1536" s="15"/>
      <c r="G1536" s="15"/>
      <c r="H1536" s="15"/>
      <c r="I1536" s="15"/>
      <c r="J1536" s="15"/>
      <c r="K1536" s="15"/>
      <c r="L1536" s="15"/>
      <c r="M1536" s="15"/>
      <c r="N1536" s="15"/>
      <c r="O1536" s="15"/>
      <c r="P1536" s="15"/>
      <c r="Q1536" s="15"/>
      <c r="R1536" s="15"/>
    </row>
    <row r="1537" spans="1:18" x14ac:dyDescent="0.2">
      <c r="A1537" s="15"/>
      <c r="B1537" s="38"/>
      <c r="C1537" s="15"/>
      <c r="D1537" s="15"/>
      <c r="E1537" s="15"/>
      <c r="F1537" s="15"/>
      <c r="G1537" s="15"/>
      <c r="H1537" s="15"/>
      <c r="I1537" s="15"/>
      <c r="J1537" s="15"/>
      <c r="K1537" s="15"/>
      <c r="L1537" s="15"/>
      <c r="M1537" s="15"/>
      <c r="N1537" s="15"/>
      <c r="O1537" s="15"/>
      <c r="P1537" s="15"/>
      <c r="Q1537" s="15"/>
      <c r="R1537" s="15"/>
    </row>
    <row r="1538" spans="1:18" x14ac:dyDescent="0.2">
      <c r="A1538" s="15"/>
      <c r="B1538" s="38"/>
      <c r="C1538" s="15"/>
      <c r="D1538" s="15"/>
      <c r="E1538" s="15"/>
      <c r="F1538" s="15"/>
      <c r="G1538" s="15"/>
      <c r="H1538" s="15"/>
      <c r="I1538" s="15"/>
      <c r="J1538" s="15"/>
      <c r="K1538" s="15"/>
      <c r="L1538" s="15"/>
      <c r="M1538" s="15"/>
      <c r="N1538" s="15"/>
      <c r="O1538" s="15"/>
      <c r="P1538" s="15"/>
      <c r="Q1538" s="15"/>
      <c r="R1538" s="15"/>
    </row>
    <row r="1539" spans="1:18" x14ac:dyDescent="0.2">
      <c r="A1539" s="15"/>
      <c r="B1539" s="38"/>
      <c r="C1539" s="15"/>
      <c r="D1539" s="15"/>
      <c r="E1539" s="15"/>
      <c r="F1539" s="15"/>
      <c r="G1539" s="15"/>
      <c r="H1539" s="15"/>
      <c r="I1539" s="15"/>
      <c r="J1539" s="15"/>
      <c r="K1539" s="15"/>
      <c r="L1539" s="15"/>
      <c r="M1539" s="15"/>
      <c r="N1539" s="15"/>
      <c r="O1539" s="15"/>
      <c r="P1539" s="15"/>
      <c r="Q1539" s="15"/>
      <c r="R1539" s="15"/>
    </row>
    <row r="1540" spans="1:18" x14ac:dyDescent="0.2">
      <c r="A1540" s="15"/>
      <c r="B1540" s="38"/>
      <c r="C1540" s="15"/>
      <c r="D1540" s="15"/>
      <c r="E1540" s="15"/>
      <c r="F1540" s="15"/>
      <c r="G1540" s="15"/>
      <c r="H1540" s="15"/>
      <c r="I1540" s="15"/>
      <c r="J1540" s="15"/>
      <c r="K1540" s="15"/>
      <c r="L1540" s="15"/>
      <c r="M1540" s="15"/>
      <c r="N1540" s="15"/>
      <c r="O1540" s="15"/>
      <c r="P1540" s="15"/>
      <c r="Q1540" s="15"/>
      <c r="R1540" s="15"/>
    </row>
    <row r="1541" spans="1:18" x14ac:dyDescent="0.2">
      <c r="A1541" s="15"/>
      <c r="B1541" s="38"/>
      <c r="C1541" s="15"/>
      <c r="D1541" s="15"/>
      <c r="E1541" s="15"/>
      <c r="F1541" s="15"/>
      <c r="G1541" s="15"/>
      <c r="H1541" s="15"/>
      <c r="I1541" s="15"/>
      <c r="J1541" s="15"/>
      <c r="K1541" s="15"/>
      <c r="L1541" s="15"/>
      <c r="M1541" s="15"/>
      <c r="N1541" s="15"/>
      <c r="O1541" s="15"/>
      <c r="P1541" s="15"/>
      <c r="Q1541" s="15"/>
      <c r="R1541" s="15"/>
    </row>
    <row r="1542" spans="1:18" x14ac:dyDescent="0.2">
      <c r="A1542" s="15"/>
      <c r="B1542" s="38"/>
      <c r="C1542" s="15"/>
      <c r="D1542" s="15"/>
      <c r="E1542" s="15"/>
      <c r="F1542" s="15"/>
      <c r="G1542" s="15"/>
      <c r="H1542" s="15"/>
      <c r="I1542" s="15"/>
      <c r="J1542" s="15"/>
      <c r="K1542" s="15"/>
      <c r="L1542" s="15"/>
      <c r="M1542" s="15"/>
      <c r="N1542" s="15"/>
      <c r="O1542" s="15"/>
      <c r="P1542" s="15"/>
      <c r="Q1542" s="15"/>
      <c r="R1542" s="15"/>
    </row>
    <row r="1543" spans="1:18" x14ac:dyDescent="0.2">
      <c r="A1543" s="15"/>
      <c r="B1543" s="38"/>
      <c r="C1543" s="15"/>
      <c r="D1543" s="15"/>
      <c r="E1543" s="15"/>
      <c r="F1543" s="15"/>
      <c r="G1543" s="15"/>
      <c r="H1543" s="15"/>
      <c r="I1543" s="15"/>
      <c r="J1543" s="15"/>
      <c r="K1543" s="15"/>
      <c r="L1543" s="15"/>
      <c r="M1543" s="15"/>
      <c r="N1543" s="15"/>
      <c r="O1543" s="15"/>
      <c r="P1543" s="15"/>
      <c r="Q1543" s="15"/>
      <c r="R1543" s="15"/>
    </row>
    <row r="1544" spans="1:18" x14ac:dyDescent="0.2">
      <c r="A1544" s="15"/>
      <c r="B1544" s="38"/>
      <c r="C1544" s="15"/>
      <c r="D1544" s="15"/>
      <c r="E1544" s="15"/>
      <c r="F1544" s="15"/>
      <c r="G1544" s="15"/>
      <c r="H1544" s="15"/>
      <c r="I1544" s="15"/>
      <c r="J1544" s="15"/>
      <c r="K1544" s="15"/>
      <c r="L1544" s="15"/>
      <c r="M1544" s="15"/>
      <c r="N1544" s="15"/>
      <c r="O1544" s="15"/>
      <c r="P1544" s="15"/>
      <c r="Q1544" s="15"/>
      <c r="R1544" s="15"/>
    </row>
    <row r="1545" spans="1:18" x14ac:dyDescent="0.2">
      <c r="A1545" s="15"/>
      <c r="B1545" s="38"/>
      <c r="C1545" s="15"/>
      <c r="D1545" s="15"/>
      <c r="E1545" s="15"/>
      <c r="F1545" s="15"/>
      <c r="G1545" s="15"/>
      <c r="H1545" s="15"/>
      <c r="I1545" s="15"/>
      <c r="J1545" s="15"/>
      <c r="K1545" s="15"/>
      <c r="L1545" s="15"/>
      <c r="M1545" s="15"/>
      <c r="N1545" s="15"/>
      <c r="O1545" s="15"/>
      <c r="P1545" s="15"/>
      <c r="Q1545" s="15"/>
      <c r="R1545" s="15"/>
    </row>
    <row r="1546" spans="1:18" x14ac:dyDescent="0.2">
      <c r="A1546" s="15"/>
      <c r="B1546" s="38"/>
      <c r="C1546" s="15"/>
      <c r="D1546" s="15"/>
      <c r="E1546" s="15"/>
      <c r="F1546" s="15"/>
      <c r="G1546" s="15"/>
      <c r="H1546" s="15"/>
      <c r="I1546" s="15"/>
      <c r="J1546" s="15"/>
      <c r="K1546" s="15"/>
      <c r="L1546" s="15"/>
      <c r="M1546" s="15"/>
      <c r="N1546" s="15"/>
      <c r="O1546" s="15"/>
      <c r="P1546" s="15"/>
      <c r="Q1546" s="15"/>
      <c r="R1546" s="15"/>
    </row>
    <row r="1547" spans="1:18" x14ac:dyDescent="0.2">
      <c r="A1547" s="15"/>
      <c r="B1547" s="38"/>
      <c r="C1547" s="15"/>
      <c r="D1547" s="15"/>
      <c r="E1547" s="15"/>
      <c r="F1547" s="15"/>
      <c r="G1547" s="15"/>
      <c r="H1547" s="15"/>
      <c r="I1547" s="15"/>
      <c r="J1547" s="15"/>
      <c r="K1547" s="15"/>
      <c r="L1547" s="15"/>
      <c r="M1547" s="15"/>
      <c r="N1547" s="15"/>
      <c r="O1547" s="15"/>
      <c r="P1547" s="15"/>
      <c r="Q1547" s="15"/>
      <c r="R1547" s="15"/>
    </row>
    <row r="1548" spans="1:18" x14ac:dyDescent="0.2">
      <c r="A1548" s="15"/>
      <c r="B1548" s="38"/>
      <c r="C1548" s="15"/>
      <c r="D1548" s="15"/>
      <c r="E1548" s="15"/>
      <c r="F1548" s="15"/>
      <c r="G1548" s="15"/>
      <c r="H1548" s="15"/>
      <c r="I1548" s="15"/>
      <c r="J1548" s="15"/>
      <c r="K1548" s="15"/>
      <c r="L1548" s="15"/>
      <c r="M1548" s="15"/>
      <c r="N1548" s="15"/>
      <c r="O1548" s="15"/>
      <c r="P1548" s="15"/>
      <c r="Q1548" s="15"/>
      <c r="R1548" s="15"/>
    </row>
    <row r="1549" spans="1:18" x14ac:dyDescent="0.2">
      <c r="A1549" s="15"/>
      <c r="B1549" s="38"/>
      <c r="C1549" s="15"/>
      <c r="D1549" s="15"/>
      <c r="E1549" s="15"/>
      <c r="F1549" s="15"/>
      <c r="G1549" s="15"/>
      <c r="H1549" s="15"/>
      <c r="I1549" s="15"/>
      <c r="J1549" s="15"/>
      <c r="K1549" s="15"/>
      <c r="L1549" s="15"/>
      <c r="M1549" s="15"/>
      <c r="N1549" s="15"/>
      <c r="O1549" s="15"/>
      <c r="P1549" s="15"/>
      <c r="Q1549" s="15"/>
      <c r="R1549" s="15"/>
    </row>
    <row r="1550" spans="1:18" x14ac:dyDescent="0.2">
      <c r="A1550" s="15"/>
      <c r="B1550" s="38"/>
      <c r="C1550" s="15"/>
      <c r="D1550" s="15"/>
      <c r="E1550" s="15"/>
      <c r="F1550" s="15"/>
      <c r="G1550" s="15"/>
      <c r="H1550" s="15"/>
      <c r="I1550" s="15"/>
      <c r="J1550" s="15"/>
      <c r="K1550" s="15"/>
      <c r="L1550" s="15"/>
      <c r="M1550" s="15"/>
      <c r="N1550" s="15"/>
      <c r="O1550" s="15"/>
      <c r="P1550" s="15"/>
      <c r="Q1550" s="15"/>
      <c r="R1550" s="15"/>
    </row>
    <row r="1551" spans="1:18" x14ac:dyDescent="0.2">
      <c r="A1551" s="15"/>
      <c r="B1551" s="38"/>
      <c r="C1551" s="15"/>
      <c r="D1551" s="15"/>
      <c r="E1551" s="15"/>
      <c r="F1551" s="15"/>
      <c r="G1551" s="15"/>
      <c r="H1551" s="15"/>
      <c r="I1551" s="15"/>
      <c r="J1551" s="15"/>
      <c r="K1551" s="15"/>
      <c r="L1551" s="15"/>
      <c r="M1551" s="15"/>
      <c r="N1551" s="15"/>
      <c r="O1551" s="15"/>
      <c r="P1551" s="15"/>
      <c r="Q1551" s="15"/>
      <c r="R1551" s="15"/>
    </row>
    <row r="1552" spans="1:18" x14ac:dyDescent="0.2">
      <c r="A1552" s="15"/>
      <c r="B1552" s="38"/>
      <c r="C1552" s="15"/>
      <c r="D1552" s="15"/>
      <c r="E1552" s="15"/>
      <c r="F1552" s="15"/>
      <c r="G1552" s="15"/>
      <c r="H1552" s="15"/>
      <c r="I1552" s="15"/>
      <c r="J1552" s="15"/>
      <c r="K1552" s="15"/>
      <c r="L1552" s="15"/>
      <c r="M1552" s="15"/>
      <c r="N1552" s="15"/>
      <c r="O1552" s="15"/>
      <c r="P1552" s="15"/>
      <c r="Q1552" s="15"/>
      <c r="R1552" s="15"/>
    </row>
    <row r="1553" spans="1:18" x14ac:dyDescent="0.2">
      <c r="A1553" s="15"/>
      <c r="B1553" s="38"/>
      <c r="C1553" s="15"/>
      <c r="D1553" s="15"/>
      <c r="E1553" s="15"/>
      <c r="F1553" s="15"/>
      <c r="G1553" s="15"/>
      <c r="H1553" s="15"/>
      <c r="I1553" s="15"/>
      <c r="J1553" s="15"/>
      <c r="K1553" s="15"/>
      <c r="L1553" s="15"/>
      <c r="M1553" s="15"/>
      <c r="N1553" s="15"/>
      <c r="O1553" s="15"/>
      <c r="P1553" s="15"/>
      <c r="Q1553" s="15"/>
      <c r="R1553" s="15"/>
    </row>
    <row r="1554" spans="1:18" x14ac:dyDescent="0.2">
      <c r="A1554" s="15"/>
      <c r="B1554" s="38"/>
      <c r="C1554" s="15"/>
      <c r="D1554" s="15"/>
      <c r="E1554" s="15"/>
      <c r="F1554" s="15"/>
      <c r="G1554" s="15"/>
      <c r="H1554" s="15"/>
      <c r="I1554" s="15"/>
      <c r="J1554" s="15"/>
      <c r="K1554" s="15"/>
      <c r="L1554" s="15"/>
      <c r="M1554" s="15"/>
      <c r="N1554" s="15"/>
      <c r="O1554" s="15"/>
      <c r="P1554" s="15"/>
      <c r="Q1554" s="15"/>
      <c r="R1554" s="15"/>
    </row>
    <row r="1555" spans="1:18" x14ac:dyDescent="0.2">
      <c r="A1555" s="15"/>
      <c r="B1555" s="38"/>
      <c r="C1555" s="15"/>
      <c r="D1555" s="15"/>
      <c r="E1555" s="15"/>
      <c r="F1555" s="15"/>
      <c r="G1555" s="15"/>
      <c r="H1555" s="15"/>
      <c r="I1555" s="15"/>
      <c r="J1555" s="15"/>
      <c r="K1555" s="15"/>
      <c r="L1555" s="15"/>
      <c r="M1555" s="15"/>
      <c r="N1555" s="15"/>
      <c r="O1555" s="15"/>
      <c r="P1555" s="15"/>
      <c r="Q1555" s="15"/>
      <c r="R1555" s="15"/>
    </row>
    <row r="1556" spans="1:18" x14ac:dyDescent="0.2">
      <c r="A1556" s="15"/>
      <c r="B1556" s="38"/>
      <c r="C1556" s="15"/>
      <c r="D1556" s="15"/>
      <c r="E1556" s="15"/>
      <c r="F1556" s="15"/>
      <c r="G1556" s="15"/>
      <c r="H1556" s="15"/>
      <c r="I1556" s="15"/>
      <c r="J1556" s="15"/>
      <c r="K1556" s="15"/>
      <c r="L1556" s="15"/>
      <c r="M1556" s="15"/>
      <c r="N1556" s="15"/>
      <c r="O1556" s="15"/>
      <c r="P1556" s="15"/>
      <c r="Q1556" s="15"/>
      <c r="R1556" s="15"/>
    </row>
    <row r="1557" spans="1:18" x14ac:dyDescent="0.2">
      <c r="A1557" s="15"/>
      <c r="B1557" s="38"/>
      <c r="C1557" s="15"/>
      <c r="D1557" s="15"/>
      <c r="E1557" s="15"/>
      <c r="F1557" s="15"/>
      <c r="G1557" s="15"/>
      <c r="H1557" s="15"/>
      <c r="I1557" s="15"/>
      <c r="J1557" s="15"/>
      <c r="K1557" s="15"/>
      <c r="L1557" s="15"/>
      <c r="M1557" s="15"/>
      <c r="N1557" s="15"/>
      <c r="O1557" s="15"/>
      <c r="P1557" s="15"/>
      <c r="Q1557" s="15"/>
      <c r="R1557" s="15"/>
    </row>
    <row r="1558" spans="1:18" x14ac:dyDescent="0.2">
      <c r="A1558" s="15"/>
      <c r="B1558" s="38"/>
      <c r="C1558" s="15"/>
      <c r="D1558" s="15"/>
      <c r="E1558" s="15"/>
      <c r="F1558" s="15"/>
      <c r="G1558" s="15"/>
      <c r="H1558" s="15"/>
      <c r="I1558" s="15"/>
      <c r="J1558" s="15"/>
      <c r="K1558" s="15"/>
      <c r="L1558" s="15"/>
      <c r="M1558" s="15"/>
      <c r="N1558" s="15"/>
      <c r="O1558" s="15"/>
      <c r="P1558" s="15"/>
      <c r="Q1558" s="15"/>
      <c r="R1558" s="15"/>
    </row>
    <row r="1559" spans="1:18" x14ac:dyDescent="0.2">
      <c r="A1559" s="15"/>
      <c r="B1559" s="38"/>
      <c r="C1559" s="15"/>
      <c r="D1559" s="15"/>
      <c r="E1559" s="15"/>
      <c r="F1559" s="15"/>
      <c r="G1559" s="15"/>
      <c r="H1559" s="15"/>
      <c r="I1559" s="15"/>
      <c r="J1559" s="15"/>
      <c r="K1559" s="15"/>
      <c r="L1559" s="15"/>
      <c r="M1559" s="15"/>
      <c r="N1559" s="15"/>
      <c r="O1559" s="15"/>
      <c r="P1559" s="15"/>
      <c r="Q1559" s="15"/>
      <c r="R1559" s="15"/>
    </row>
    <row r="1560" spans="1:18" x14ac:dyDescent="0.2">
      <c r="A1560" s="15"/>
      <c r="B1560" s="38"/>
      <c r="C1560" s="15"/>
      <c r="D1560" s="15"/>
      <c r="E1560" s="15"/>
      <c r="F1560" s="15"/>
      <c r="G1560" s="15"/>
      <c r="H1560" s="15"/>
      <c r="I1560" s="15"/>
      <c r="J1560" s="15"/>
      <c r="K1560" s="15"/>
      <c r="L1560" s="15"/>
      <c r="M1560" s="15"/>
      <c r="N1560" s="15"/>
      <c r="O1560" s="15"/>
      <c r="P1560" s="15"/>
      <c r="Q1560" s="15"/>
      <c r="R1560" s="15"/>
    </row>
    <row r="1561" spans="1:18" x14ac:dyDescent="0.2">
      <c r="A1561" s="15"/>
      <c r="B1561" s="38"/>
      <c r="C1561" s="15"/>
      <c r="D1561" s="15"/>
      <c r="E1561" s="15"/>
      <c r="F1561" s="15"/>
      <c r="G1561" s="15"/>
      <c r="H1561" s="15"/>
      <c r="I1561" s="15"/>
      <c r="J1561" s="15"/>
      <c r="K1561" s="15"/>
      <c r="L1561" s="15"/>
      <c r="M1561" s="15"/>
      <c r="N1561" s="15"/>
      <c r="O1561" s="15"/>
      <c r="P1561" s="15"/>
      <c r="Q1561" s="15"/>
      <c r="R1561" s="15"/>
    </row>
    <row r="1562" spans="1:18" x14ac:dyDescent="0.2">
      <c r="A1562" s="15"/>
      <c r="B1562" s="38"/>
      <c r="C1562" s="15"/>
      <c r="D1562" s="15"/>
      <c r="E1562" s="15"/>
      <c r="F1562" s="15"/>
      <c r="G1562" s="15"/>
      <c r="H1562" s="15"/>
      <c r="I1562" s="15"/>
      <c r="J1562" s="15"/>
      <c r="K1562" s="15"/>
      <c r="L1562" s="15"/>
      <c r="M1562" s="15"/>
      <c r="N1562" s="15"/>
      <c r="O1562" s="15"/>
      <c r="P1562" s="15"/>
      <c r="Q1562" s="15"/>
      <c r="R1562" s="15"/>
    </row>
    <row r="1563" spans="1:18" x14ac:dyDescent="0.2">
      <c r="A1563" s="15"/>
      <c r="B1563" s="38"/>
      <c r="C1563" s="15"/>
      <c r="D1563" s="15"/>
      <c r="E1563" s="15"/>
      <c r="F1563" s="15"/>
      <c r="G1563" s="15"/>
      <c r="H1563" s="15"/>
      <c r="I1563" s="15"/>
      <c r="J1563" s="15"/>
      <c r="K1563" s="15"/>
      <c r="L1563" s="15"/>
      <c r="M1563" s="15"/>
      <c r="N1563" s="15"/>
      <c r="O1563" s="15"/>
      <c r="P1563" s="15"/>
      <c r="Q1563" s="15"/>
      <c r="R1563" s="15"/>
    </row>
    <row r="1564" spans="1:18" x14ac:dyDescent="0.2">
      <c r="A1564" s="15"/>
      <c r="B1564" s="38"/>
      <c r="C1564" s="15"/>
      <c r="D1564" s="15"/>
      <c r="E1564" s="15"/>
      <c r="F1564" s="15"/>
      <c r="G1564" s="15"/>
      <c r="H1564" s="15"/>
      <c r="I1564" s="15"/>
      <c r="J1564" s="15"/>
      <c r="K1564" s="15"/>
      <c r="L1564" s="15"/>
      <c r="M1564" s="15"/>
      <c r="N1564" s="15"/>
      <c r="O1564" s="15"/>
      <c r="P1564" s="15"/>
      <c r="Q1564" s="15"/>
      <c r="R1564" s="15"/>
    </row>
    <row r="1565" spans="1:18" x14ac:dyDescent="0.2">
      <c r="A1565" s="15"/>
      <c r="B1565" s="38"/>
      <c r="C1565" s="15"/>
      <c r="D1565" s="15"/>
      <c r="E1565" s="15"/>
      <c r="F1565" s="15"/>
      <c r="G1565" s="15"/>
      <c r="H1565" s="15"/>
      <c r="I1565" s="15"/>
      <c r="J1565" s="15"/>
      <c r="K1565" s="15"/>
      <c r="L1565" s="15"/>
      <c r="M1565" s="15"/>
      <c r="N1565" s="15"/>
      <c r="O1565" s="15"/>
      <c r="P1565" s="15"/>
      <c r="Q1565" s="15"/>
      <c r="R1565" s="15"/>
    </row>
    <row r="1566" spans="1:18" x14ac:dyDescent="0.2">
      <c r="A1566" s="15"/>
      <c r="B1566" s="38"/>
      <c r="C1566" s="15"/>
      <c r="D1566" s="15"/>
      <c r="E1566" s="15"/>
      <c r="F1566" s="15"/>
      <c r="G1566" s="15"/>
      <c r="H1566" s="15"/>
      <c r="I1566" s="15"/>
      <c r="J1566" s="15"/>
      <c r="K1566" s="15"/>
      <c r="L1566" s="15"/>
      <c r="M1566" s="15"/>
      <c r="N1566" s="15"/>
      <c r="O1566" s="15"/>
      <c r="P1566" s="15"/>
      <c r="Q1566" s="15"/>
      <c r="R1566" s="15"/>
    </row>
    <row r="1567" spans="1:18" x14ac:dyDescent="0.2">
      <c r="A1567" s="15"/>
      <c r="B1567" s="38"/>
      <c r="C1567" s="15"/>
      <c r="D1567" s="15"/>
      <c r="E1567" s="15"/>
      <c r="F1567" s="15"/>
      <c r="G1567" s="15"/>
      <c r="H1567" s="15"/>
      <c r="I1567" s="15"/>
      <c r="J1567" s="15"/>
      <c r="K1567" s="15"/>
      <c r="L1567" s="15"/>
      <c r="M1567" s="15"/>
      <c r="N1567" s="15"/>
      <c r="O1567" s="15"/>
      <c r="P1567" s="15"/>
      <c r="Q1567" s="15"/>
      <c r="R1567" s="15"/>
    </row>
    <row r="1568" spans="1:18" x14ac:dyDescent="0.2">
      <c r="A1568" s="15"/>
      <c r="B1568" s="38"/>
      <c r="C1568" s="15"/>
      <c r="D1568" s="15"/>
      <c r="E1568" s="15"/>
      <c r="F1568" s="15"/>
      <c r="G1568" s="15"/>
      <c r="H1568" s="15"/>
      <c r="I1568" s="15"/>
      <c r="J1568" s="15"/>
      <c r="K1568" s="15"/>
      <c r="L1568" s="15"/>
      <c r="M1568" s="15"/>
      <c r="N1568" s="15"/>
      <c r="O1568" s="15"/>
      <c r="P1568" s="15"/>
      <c r="Q1568" s="15"/>
      <c r="R1568" s="15"/>
    </row>
    <row r="1569" spans="1:18" x14ac:dyDescent="0.2">
      <c r="A1569" s="15"/>
      <c r="B1569" s="38"/>
      <c r="C1569" s="15"/>
      <c r="D1569" s="15"/>
      <c r="E1569" s="15"/>
      <c r="F1569" s="15"/>
      <c r="G1569" s="15"/>
      <c r="H1569" s="15"/>
      <c r="I1569" s="15"/>
      <c r="J1569" s="15"/>
      <c r="K1569" s="15"/>
      <c r="L1569" s="15"/>
      <c r="M1569" s="15"/>
      <c r="N1569" s="15"/>
      <c r="O1569" s="15"/>
      <c r="P1569" s="15"/>
      <c r="Q1569" s="15"/>
      <c r="R1569" s="15"/>
    </row>
    <row r="1570" spans="1:18" x14ac:dyDescent="0.2">
      <c r="A1570" s="15"/>
      <c r="B1570" s="38"/>
      <c r="C1570" s="15"/>
      <c r="D1570" s="15"/>
      <c r="E1570" s="15"/>
      <c r="F1570" s="15"/>
      <c r="G1570" s="15"/>
      <c r="H1570" s="15"/>
      <c r="I1570" s="15"/>
      <c r="J1570" s="15"/>
      <c r="K1570" s="15"/>
      <c r="L1570" s="15"/>
      <c r="M1570" s="15"/>
      <c r="N1570" s="15"/>
      <c r="O1570" s="15"/>
      <c r="P1570" s="15"/>
      <c r="Q1570" s="15"/>
      <c r="R1570" s="15"/>
    </row>
    <row r="1571" spans="1:18" x14ac:dyDescent="0.2">
      <c r="A1571" s="15"/>
      <c r="B1571" s="38"/>
      <c r="C1571" s="15"/>
      <c r="D1571" s="15"/>
      <c r="E1571" s="15"/>
      <c r="F1571" s="15"/>
      <c r="G1571" s="15"/>
      <c r="H1571" s="15"/>
      <c r="I1571" s="15"/>
      <c r="J1571" s="15"/>
      <c r="K1571" s="15"/>
      <c r="L1571" s="15"/>
      <c r="M1571" s="15"/>
      <c r="N1571" s="15"/>
      <c r="O1571" s="15"/>
      <c r="P1571" s="15"/>
      <c r="Q1571" s="15"/>
      <c r="R1571" s="15"/>
    </row>
    <row r="1572" spans="1:18" x14ac:dyDescent="0.2">
      <c r="A1572" s="15"/>
      <c r="B1572" s="38"/>
      <c r="C1572" s="15"/>
      <c r="D1572" s="15"/>
      <c r="E1572" s="15"/>
      <c r="F1572" s="15"/>
      <c r="G1572" s="15"/>
      <c r="H1572" s="15"/>
      <c r="I1572" s="15"/>
      <c r="J1572" s="15"/>
      <c r="K1572" s="15"/>
      <c r="L1572" s="15"/>
      <c r="M1572" s="15"/>
      <c r="N1572" s="15"/>
      <c r="O1572" s="15"/>
      <c r="P1572" s="15"/>
      <c r="Q1572" s="15"/>
      <c r="R1572" s="15"/>
    </row>
    <row r="1573" spans="1:18" x14ac:dyDescent="0.2">
      <c r="A1573" s="15"/>
      <c r="B1573" s="38"/>
      <c r="C1573" s="15"/>
      <c r="D1573" s="15"/>
      <c r="E1573" s="15"/>
      <c r="F1573" s="15"/>
      <c r="G1573" s="15"/>
      <c r="H1573" s="15"/>
      <c r="I1573" s="15"/>
      <c r="J1573" s="15"/>
      <c r="K1573" s="15"/>
      <c r="L1573" s="15"/>
      <c r="M1573" s="15"/>
      <c r="N1573" s="15"/>
      <c r="O1573" s="15"/>
      <c r="P1573" s="15"/>
      <c r="Q1573" s="15"/>
      <c r="R1573" s="15"/>
    </row>
    <row r="1574" spans="1:18" x14ac:dyDescent="0.2">
      <c r="A1574" s="15"/>
      <c r="B1574" s="38"/>
      <c r="C1574" s="15"/>
      <c r="D1574" s="15"/>
      <c r="E1574" s="15"/>
      <c r="F1574" s="15"/>
      <c r="G1574" s="15"/>
      <c r="H1574" s="15"/>
      <c r="I1574" s="15"/>
      <c r="J1574" s="15"/>
      <c r="K1574" s="15"/>
      <c r="L1574" s="15"/>
      <c r="M1574" s="15"/>
      <c r="N1574" s="15"/>
      <c r="O1574" s="15"/>
      <c r="P1574" s="15"/>
      <c r="Q1574" s="15"/>
      <c r="R1574" s="15"/>
    </row>
    <row r="1575" spans="1:18" x14ac:dyDescent="0.2">
      <c r="A1575" s="15"/>
      <c r="B1575" s="38"/>
      <c r="C1575" s="15"/>
      <c r="D1575" s="15"/>
      <c r="E1575" s="15"/>
      <c r="F1575" s="15"/>
      <c r="G1575" s="15"/>
      <c r="H1575" s="15"/>
      <c r="I1575" s="15"/>
      <c r="J1575" s="15"/>
      <c r="K1575" s="15"/>
      <c r="L1575" s="15"/>
      <c r="M1575" s="15"/>
      <c r="N1575" s="15"/>
      <c r="O1575" s="15"/>
      <c r="P1575" s="15"/>
      <c r="Q1575" s="15"/>
      <c r="R1575" s="15"/>
    </row>
    <row r="1576" spans="1:18" x14ac:dyDescent="0.2">
      <c r="A1576" s="15"/>
      <c r="B1576" s="38"/>
      <c r="C1576" s="15"/>
      <c r="D1576" s="15"/>
      <c r="E1576" s="15"/>
      <c r="F1576" s="15"/>
      <c r="G1576" s="15"/>
      <c r="H1576" s="15"/>
      <c r="I1576" s="15"/>
      <c r="J1576" s="15"/>
      <c r="K1576" s="15"/>
      <c r="L1576" s="15"/>
      <c r="M1576" s="15"/>
      <c r="N1576" s="15"/>
      <c r="O1576" s="15"/>
      <c r="P1576" s="15"/>
      <c r="Q1576" s="15"/>
      <c r="R1576" s="15"/>
    </row>
    <row r="1577" spans="1:18" x14ac:dyDescent="0.2">
      <c r="A1577" s="15"/>
      <c r="B1577" s="38"/>
      <c r="C1577" s="15"/>
      <c r="D1577" s="15"/>
      <c r="E1577" s="15"/>
      <c r="F1577" s="15"/>
      <c r="G1577" s="15"/>
      <c r="H1577" s="15"/>
      <c r="I1577" s="15"/>
      <c r="J1577" s="15"/>
      <c r="K1577" s="15"/>
      <c r="L1577" s="15"/>
      <c r="M1577" s="15"/>
      <c r="N1577" s="15"/>
      <c r="O1577" s="15"/>
      <c r="P1577" s="15"/>
      <c r="Q1577" s="15"/>
      <c r="R1577" s="15"/>
    </row>
    <row r="1578" spans="1:18" x14ac:dyDescent="0.2">
      <c r="A1578" s="15"/>
      <c r="B1578" s="38"/>
      <c r="C1578" s="15"/>
      <c r="D1578" s="15"/>
      <c r="E1578" s="15"/>
      <c r="F1578" s="15"/>
      <c r="G1578" s="15"/>
      <c r="H1578" s="15"/>
      <c r="I1578" s="15"/>
      <c r="J1578" s="15"/>
      <c r="K1578" s="15"/>
      <c r="L1578" s="15"/>
      <c r="M1578" s="15"/>
      <c r="N1578" s="15"/>
      <c r="O1578" s="15"/>
      <c r="P1578" s="15"/>
      <c r="Q1578" s="15"/>
      <c r="R1578" s="15"/>
    </row>
    <row r="1579" spans="1:18" x14ac:dyDescent="0.2">
      <c r="A1579" s="15"/>
      <c r="B1579" s="38"/>
      <c r="C1579" s="15"/>
      <c r="D1579" s="15"/>
      <c r="E1579" s="15"/>
      <c r="F1579" s="15"/>
      <c r="G1579" s="15"/>
      <c r="H1579" s="15"/>
      <c r="I1579" s="15"/>
      <c r="J1579" s="15"/>
      <c r="K1579" s="15"/>
      <c r="L1579" s="15"/>
      <c r="M1579" s="15"/>
      <c r="N1579" s="15"/>
      <c r="O1579" s="15"/>
      <c r="P1579" s="15"/>
      <c r="Q1579" s="15"/>
      <c r="R1579" s="15"/>
    </row>
    <row r="1580" spans="1:18" x14ac:dyDescent="0.2">
      <c r="A1580" s="15"/>
      <c r="B1580" s="38"/>
      <c r="C1580" s="15"/>
      <c r="D1580" s="15"/>
      <c r="E1580" s="15"/>
      <c r="F1580" s="15"/>
      <c r="G1580" s="15"/>
      <c r="H1580" s="15"/>
      <c r="I1580" s="15"/>
      <c r="J1580" s="15"/>
      <c r="K1580" s="15"/>
      <c r="L1580" s="15"/>
      <c r="M1580" s="15"/>
      <c r="N1580" s="15"/>
      <c r="O1580" s="15"/>
      <c r="P1580" s="15"/>
      <c r="Q1580" s="15"/>
      <c r="R1580" s="15"/>
    </row>
    <row r="1581" spans="1:18" x14ac:dyDescent="0.2">
      <c r="A1581" s="15"/>
      <c r="B1581" s="38"/>
      <c r="C1581" s="15"/>
      <c r="D1581" s="15"/>
      <c r="E1581" s="15"/>
      <c r="F1581" s="15"/>
      <c r="G1581" s="15"/>
      <c r="H1581" s="15"/>
      <c r="I1581" s="15"/>
      <c r="J1581" s="15"/>
      <c r="K1581" s="15"/>
      <c r="L1581" s="15"/>
      <c r="M1581" s="15"/>
      <c r="N1581" s="15"/>
      <c r="O1581" s="15"/>
      <c r="P1581" s="15"/>
      <c r="Q1581" s="15"/>
      <c r="R1581" s="15"/>
    </row>
    <row r="1582" spans="1:18" x14ac:dyDescent="0.2">
      <c r="A1582" s="15"/>
      <c r="B1582" s="38"/>
      <c r="C1582" s="15"/>
      <c r="D1582" s="15"/>
      <c r="E1582" s="15"/>
      <c r="F1582" s="15"/>
      <c r="G1582" s="15"/>
      <c r="H1582" s="15"/>
      <c r="I1582" s="15"/>
      <c r="J1582" s="15"/>
      <c r="K1582" s="15"/>
      <c r="L1582" s="15"/>
      <c r="M1582" s="15"/>
      <c r="N1582" s="15"/>
      <c r="O1582" s="15"/>
      <c r="P1582" s="15"/>
      <c r="Q1582" s="15"/>
      <c r="R1582" s="15"/>
    </row>
    <row r="1583" spans="1:18" x14ac:dyDescent="0.2">
      <c r="A1583" s="15"/>
      <c r="B1583" s="38"/>
      <c r="C1583" s="15"/>
      <c r="D1583" s="15"/>
      <c r="E1583" s="15"/>
      <c r="F1583" s="15"/>
      <c r="G1583" s="15"/>
      <c r="H1583" s="15"/>
      <c r="I1583" s="15"/>
      <c r="J1583" s="15"/>
      <c r="K1583" s="15"/>
      <c r="L1583" s="15"/>
      <c r="M1583" s="15"/>
      <c r="N1583" s="15"/>
      <c r="O1583" s="15"/>
      <c r="P1583" s="15"/>
      <c r="Q1583" s="15"/>
      <c r="R1583" s="15"/>
    </row>
    <row r="1584" spans="1:18" x14ac:dyDescent="0.2">
      <c r="A1584" s="15"/>
      <c r="B1584" s="38"/>
      <c r="C1584" s="15"/>
      <c r="D1584" s="15"/>
      <c r="E1584" s="15"/>
      <c r="F1584" s="15"/>
      <c r="G1584" s="15"/>
      <c r="H1584" s="15"/>
      <c r="I1584" s="15"/>
      <c r="J1584" s="15"/>
      <c r="K1584" s="15"/>
      <c r="L1584" s="15"/>
      <c r="M1584" s="15"/>
      <c r="N1584" s="15"/>
      <c r="O1584" s="15"/>
      <c r="P1584" s="15"/>
      <c r="Q1584" s="15"/>
      <c r="R1584" s="15"/>
    </row>
    <row r="1585" spans="1:18" x14ac:dyDescent="0.2">
      <c r="A1585" s="15"/>
      <c r="B1585" s="38"/>
      <c r="C1585" s="15"/>
      <c r="D1585" s="15"/>
      <c r="E1585" s="15"/>
      <c r="F1585" s="15"/>
      <c r="G1585" s="15"/>
      <c r="H1585" s="15"/>
      <c r="I1585" s="15"/>
      <c r="J1585" s="15"/>
      <c r="K1585" s="15"/>
      <c r="L1585" s="15"/>
      <c r="M1585" s="15"/>
      <c r="N1585" s="15"/>
      <c r="O1585" s="15"/>
      <c r="P1585" s="15"/>
      <c r="Q1585" s="15"/>
      <c r="R1585" s="15"/>
    </row>
    <row r="1586" spans="1:18" x14ac:dyDescent="0.2">
      <c r="A1586" s="15"/>
      <c r="B1586" s="38"/>
      <c r="C1586" s="15"/>
      <c r="D1586" s="15"/>
      <c r="E1586" s="15"/>
      <c r="F1586" s="15"/>
      <c r="G1586" s="15"/>
      <c r="H1586" s="15"/>
      <c r="I1586" s="15"/>
      <c r="J1586" s="15"/>
      <c r="K1586" s="15"/>
      <c r="L1586" s="15"/>
      <c r="M1586" s="15"/>
      <c r="N1586" s="15"/>
      <c r="O1586" s="15"/>
      <c r="P1586" s="15"/>
      <c r="Q1586" s="15"/>
      <c r="R1586" s="15"/>
    </row>
    <row r="1587" spans="1:18" x14ac:dyDescent="0.2">
      <c r="A1587" s="15"/>
      <c r="B1587" s="38"/>
      <c r="C1587" s="15"/>
      <c r="D1587" s="15"/>
      <c r="E1587" s="15"/>
      <c r="F1587" s="15"/>
      <c r="G1587" s="15"/>
      <c r="H1587" s="15"/>
      <c r="I1587" s="15"/>
      <c r="J1587" s="15"/>
      <c r="K1587" s="15"/>
      <c r="L1587" s="15"/>
      <c r="M1587" s="15"/>
      <c r="N1587" s="15"/>
      <c r="O1587" s="15"/>
      <c r="P1587" s="15"/>
      <c r="Q1587" s="15"/>
      <c r="R1587" s="15"/>
    </row>
    <row r="1588" spans="1:18" x14ac:dyDescent="0.2">
      <c r="A1588" s="15"/>
      <c r="B1588" s="38"/>
      <c r="C1588" s="15"/>
      <c r="D1588" s="15"/>
      <c r="E1588" s="15"/>
      <c r="F1588" s="15"/>
      <c r="G1588" s="15"/>
      <c r="H1588" s="15"/>
      <c r="I1588" s="15"/>
      <c r="J1588" s="15"/>
      <c r="K1588" s="15"/>
      <c r="L1588" s="15"/>
      <c r="M1588" s="15"/>
      <c r="N1588" s="15"/>
      <c r="O1588" s="15"/>
      <c r="P1588" s="15"/>
      <c r="Q1588" s="15"/>
      <c r="R1588" s="15"/>
    </row>
    <row r="1589" spans="1:18" x14ac:dyDescent="0.2">
      <c r="A1589" s="15"/>
      <c r="B1589" s="38"/>
      <c r="C1589" s="15"/>
      <c r="D1589" s="15"/>
      <c r="E1589" s="15"/>
      <c r="F1589" s="15"/>
      <c r="G1589" s="15"/>
      <c r="H1589" s="15"/>
      <c r="I1589" s="15"/>
      <c r="J1589" s="15"/>
      <c r="K1589" s="15"/>
      <c r="L1589" s="15"/>
      <c r="M1589" s="15"/>
      <c r="N1589" s="15"/>
      <c r="O1589" s="15"/>
      <c r="P1589" s="15"/>
      <c r="Q1589" s="15"/>
      <c r="R1589" s="15"/>
    </row>
    <row r="1590" spans="1:18" x14ac:dyDescent="0.2">
      <c r="A1590" s="15"/>
      <c r="B1590" s="38"/>
      <c r="C1590" s="15"/>
      <c r="D1590" s="15"/>
      <c r="E1590" s="15"/>
      <c r="F1590" s="15"/>
      <c r="G1590" s="15"/>
      <c r="H1590" s="15"/>
      <c r="I1590" s="15"/>
      <c r="J1590" s="15"/>
      <c r="K1590" s="15"/>
      <c r="L1590" s="15"/>
      <c r="M1590" s="15"/>
      <c r="N1590" s="15"/>
      <c r="O1590" s="15"/>
      <c r="P1590" s="15"/>
      <c r="Q1590" s="15"/>
      <c r="R1590" s="15"/>
    </row>
    <row r="1591" spans="1:18" x14ac:dyDescent="0.2">
      <c r="A1591" s="15"/>
      <c r="B1591" s="38"/>
      <c r="C1591" s="15"/>
      <c r="D1591" s="15"/>
      <c r="E1591" s="15"/>
      <c r="F1591" s="15"/>
      <c r="G1591" s="15"/>
      <c r="H1591" s="15"/>
      <c r="I1591" s="15"/>
      <c r="J1591" s="15"/>
      <c r="K1591" s="15"/>
      <c r="L1591" s="15"/>
      <c r="M1591" s="15"/>
      <c r="N1591" s="15"/>
      <c r="O1591" s="15"/>
      <c r="P1591" s="15"/>
      <c r="Q1591" s="15"/>
      <c r="R1591" s="15"/>
    </row>
    <row r="1592" spans="1:18" x14ac:dyDescent="0.2">
      <c r="A1592" s="15"/>
      <c r="B1592" s="38"/>
      <c r="C1592" s="15"/>
      <c r="D1592" s="15"/>
      <c r="E1592" s="15"/>
      <c r="F1592" s="15"/>
      <c r="G1592" s="15"/>
      <c r="H1592" s="15"/>
      <c r="I1592" s="15"/>
      <c r="J1592" s="15"/>
      <c r="K1592" s="15"/>
      <c r="L1592" s="15"/>
      <c r="M1592" s="15"/>
      <c r="N1592" s="15"/>
      <c r="O1592" s="15"/>
      <c r="P1592" s="15"/>
      <c r="Q1592" s="15"/>
      <c r="R1592" s="15"/>
    </row>
    <row r="1593" spans="1:18" x14ac:dyDescent="0.2">
      <c r="A1593" s="15"/>
      <c r="B1593" s="38"/>
      <c r="C1593" s="15"/>
      <c r="D1593" s="15"/>
      <c r="E1593" s="15"/>
      <c r="F1593" s="15"/>
      <c r="G1593" s="15"/>
      <c r="H1593" s="15"/>
      <c r="I1593" s="15"/>
      <c r="J1593" s="15"/>
      <c r="K1593" s="15"/>
      <c r="L1593" s="15"/>
      <c r="M1593" s="15"/>
      <c r="N1593" s="15"/>
      <c r="O1593" s="15"/>
      <c r="P1593" s="15"/>
      <c r="Q1593" s="15"/>
      <c r="R1593" s="15"/>
    </row>
    <row r="1594" spans="1:18" x14ac:dyDescent="0.2">
      <c r="A1594" s="15"/>
      <c r="B1594" s="38"/>
      <c r="C1594" s="15"/>
      <c r="D1594" s="15"/>
      <c r="E1594" s="15"/>
      <c r="F1594" s="15"/>
      <c r="G1594" s="15"/>
      <c r="H1594" s="15"/>
      <c r="I1594" s="15"/>
      <c r="J1594" s="15"/>
      <c r="K1594" s="15"/>
      <c r="L1594" s="15"/>
      <c r="M1594" s="15"/>
      <c r="N1594" s="15"/>
      <c r="O1594" s="15"/>
      <c r="P1594" s="15"/>
      <c r="Q1594" s="15"/>
      <c r="R1594" s="15"/>
    </row>
    <row r="1595" spans="1:18" x14ac:dyDescent="0.2">
      <c r="A1595" s="15"/>
      <c r="B1595" s="38"/>
      <c r="C1595" s="15"/>
      <c r="D1595" s="15"/>
      <c r="E1595" s="15"/>
      <c r="F1595" s="15"/>
      <c r="G1595" s="15"/>
      <c r="H1595" s="15"/>
      <c r="I1595" s="15"/>
      <c r="J1595" s="15"/>
      <c r="K1595" s="15"/>
      <c r="L1595" s="15"/>
      <c r="M1595" s="15"/>
      <c r="N1595" s="15"/>
      <c r="O1595" s="15"/>
      <c r="P1595" s="15"/>
      <c r="Q1595" s="15"/>
      <c r="R1595" s="15"/>
    </row>
    <row r="1596" spans="1:18" x14ac:dyDescent="0.2">
      <c r="A1596" s="15"/>
      <c r="B1596" s="38"/>
      <c r="C1596" s="15"/>
      <c r="D1596" s="15"/>
      <c r="E1596" s="15"/>
      <c r="F1596" s="15"/>
      <c r="G1596" s="15"/>
      <c r="H1596" s="15"/>
      <c r="I1596" s="15"/>
      <c r="J1596" s="15"/>
      <c r="K1596" s="15"/>
      <c r="L1596" s="15"/>
      <c r="M1596" s="15"/>
      <c r="N1596" s="15"/>
      <c r="O1596" s="15"/>
      <c r="P1596" s="15"/>
      <c r="Q1596" s="15"/>
      <c r="R1596" s="15"/>
    </row>
    <row r="1597" spans="1:18" x14ac:dyDescent="0.2">
      <c r="A1597" s="15"/>
      <c r="B1597" s="38"/>
      <c r="C1597" s="15"/>
      <c r="D1597" s="15"/>
      <c r="E1597" s="15"/>
      <c r="F1597" s="15"/>
      <c r="G1597" s="15"/>
      <c r="H1597" s="15"/>
      <c r="I1597" s="15"/>
      <c r="J1597" s="15"/>
      <c r="K1597" s="15"/>
      <c r="L1597" s="15"/>
      <c r="M1597" s="15"/>
      <c r="N1597" s="15"/>
      <c r="O1597" s="15"/>
      <c r="P1597" s="15"/>
      <c r="Q1597" s="15"/>
      <c r="R1597" s="15"/>
    </row>
    <row r="1598" spans="1:18" x14ac:dyDescent="0.2">
      <c r="A1598" s="15"/>
      <c r="B1598" s="38"/>
      <c r="C1598" s="15"/>
      <c r="D1598" s="15"/>
      <c r="E1598" s="15"/>
      <c r="F1598" s="15"/>
      <c r="G1598" s="15"/>
      <c r="H1598" s="15"/>
      <c r="I1598" s="15"/>
      <c r="J1598" s="15"/>
      <c r="K1598" s="15"/>
      <c r="L1598" s="15"/>
      <c r="M1598" s="15"/>
      <c r="N1598" s="15"/>
      <c r="O1598" s="15"/>
      <c r="P1598" s="15"/>
      <c r="Q1598" s="15"/>
      <c r="R1598" s="15"/>
    </row>
    <row r="1599" spans="1:18" x14ac:dyDescent="0.2">
      <c r="A1599" s="15"/>
      <c r="B1599" s="38"/>
      <c r="C1599" s="15"/>
      <c r="D1599" s="15"/>
      <c r="E1599" s="15"/>
      <c r="F1599" s="15"/>
      <c r="G1599" s="15"/>
      <c r="H1599" s="15"/>
      <c r="I1599" s="15"/>
      <c r="J1599" s="15"/>
      <c r="K1599" s="15"/>
      <c r="L1599" s="15"/>
      <c r="M1599" s="15"/>
      <c r="N1599" s="15"/>
      <c r="O1599" s="15"/>
      <c r="P1599" s="15"/>
      <c r="Q1599" s="15"/>
      <c r="R1599" s="15"/>
    </row>
    <row r="1600" spans="1:18" x14ac:dyDescent="0.2">
      <c r="A1600" s="15"/>
      <c r="B1600" s="38"/>
      <c r="C1600" s="15"/>
      <c r="D1600" s="15"/>
      <c r="E1600" s="15"/>
      <c r="F1600" s="15"/>
      <c r="G1600" s="15"/>
      <c r="H1600" s="15"/>
      <c r="I1600" s="15"/>
      <c r="J1600" s="15"/>
      <c r="K1600" s="15"/>
      <c r="L1600" s="15"/>
      <c r="M1600" s="15"/>
      <c r="N1600" s="15"/>
      <c r="O1600" s="15"/>
      <c r="P1600" s="15"/>
      <c r="Q1600" s="15"/>
      <c r="R1600" s="15"/>
    </row>
    <row r="1601" spans="1:18" x14ac:dyDescent="0.2">
      <c r="A1601" s="15"/>
      <c r="B1601" s="38"/>
      <c r="C1601" s="15"/>
      <c r="D1601" s="15"/>
      <c r="E1601" s="15"/>
      <c r="F1601" s="15"/>
      <c r="G1601" s="15"/>
      <c r="H1601" s="15"/>
      <c r="I1601" s="15"/>
      <c r="J1601" s="15"/>
      <c r="K1601" s="15"/>
      <c r="L1601" s="15"/>
      <c r="M1601" s="15"/>
      <c r="N1601" s="15"/>
      <c r="O1601" s="15"/>
      <c r="P1601" s="15"/>
      <c r="Q1601" s="15"/>
      <c r="R1601" s="15"/>
    </row>
    <row r="1602" spans="1:18" x14ac:dyDescent="0.2">
      <c r="A1602" s="15"/>
      <c r="B1602" s="38"/>
      <c r="C1602" s="15"/>
      <c r="D1602" s="15"/>
      <c r="E1602" s="15"/>
      <c r="F1602" s="15"/>
      <c r="G1602" s="15"/>
      <c r="H1602" s="15"/>
      <c r="I1602" s="15"/>
      <c r="J1602" s="15"/>
      <c r="K1602" s="15"/>
      <c r="L1602" s="15"/>
      <c r="M1602" s="15"/>
      <c r="N1602" s="15"/>
      <c r="O1602" s="15"/>
      <c r="P1602" s="15"/>
      <c r="Q1602" s="15"/>
      <c r="R1602" s="15"/>
    </row>
    <row r="1603" spans="1:18" x14ac:dyDescent="0.2">
      <c r="A1603" s="15"/>
      <c r="B1603" s="38"/>
      <c r="C1603" s="15"/>
      <c r="D1603" s="15"/>
      <c r="E1603" s="15"/>
      <c r="F1603" s="15"/>
      <c r="G1603" s="15"/>
      <c r="H1603" s="15"/>
      <c r="I1603" s="15"/>
      <c r="J1603" s="15"/>
      <c r="K1603" s="15"/>
      <c r="L1603" s="15"/>
      <c r="M1603" s="15"/>
      <c r="N1603" s="15"/>
      <c r="O1603" s="15"/>
      <c r="P1603" s="15"/>
      <c r="Q1603" s="15"/>
      <c r="R1603" s="15"/>
    </row>
    <row r="1604" spans="1:18" x14ac:dyDescent="0.2">
      <c r="A1604" s="15"/>
      <c r="B1604" s="38"/>
      <c r="C1604" s="15"/>
      <c r="D1604" s="15"/>
      <c r="E1604" s="15"/>
      <c r="F1604" s="15"/>
      <c r="G1604" s="15"/>
      <c r="H1604" s="15"/>
      <c r="I1604" s="15"/>
      <c r="J1604" s="15"/>
      <c r="K1604" s="15"/>
      <c r="L1604" s="15"/>
      <c r="M1604" s="15"/>
      <c r="N1604" s="15"/>
      <c r="O1604" s="15"/>
      <c r="P1604" s="15"/>
      <c r="Q1604" s="15"/>
      <c r="R1604" s="15"/>
    </row>
    <row r="1605" spans="1:18" x14ac:dyDescent="0.2">
      <c r="A1605" s="15"/>
      <c r="B1605" s="38"/>
      <c r="C1605" s="15"/>
      <c r="D1605" s="15"/>
      <c r="E1605" s="15"/>
      <c r="F1605" s="15"/>
      <c r="G1605" s="15"/>
      <c r="H1605" s="15"/>
      <c r="I1605" s="15"/>
      <c r="J1605" s="15"/>
      <c r="K1605" s="15"/>
      <c r="L1605" s="15"/>
      <c r="M1605" s="15"/>
      <c r="N1605" s="15"/>
      <c r="O1605" s="15"/>
      <c r="P1605" s="15"/>
      <c r="Q1605" s="15"/>
      <c r="R1605" s="15"/>
    </row>
    <row r="1606" spans="1:18" x14ac:dyDescent="0.2">
      <c r="A1606" s="15"/>
      <c r="B1606" s="38"/>
      <c r="C1606" s="15"/>
      <c r="D1606" s="15"/>
      <c r="E1606" s="15"/>
      <c r="F1606" s="15"/>
      <c r="G1606" s="15"/>
      <c r="H1606" s="15"/>
      <c r="I1606" s="15"/>
      <c r="J1606" s="15"/>
      <c r="K1606" s="15"/>
      <c r="L1606" s="15"/>
      <c r="M1606" s="15"/>
      <c r="N1606" s="15"/>
      <c r="O1606" s="15"/>
      <c r="P1606" s="15"/>
      <c r="Q1606" s="15"/>
      <c r="R1606" s="15"/>
    </row>
    <row r="1607" spans="1:18" x14ac:dyDescent="0.2">
      <c r="A1607" s="15"/>
      <c r="B1607" s="38"/>
      <c r="C1607" s="15"/>
      <c r="D1607" s="15"/>
      <c r="E1607" s="15"/>
      <c r="F1607" s="15"/>
      <c r="G1607" s="15"/>
      <c r="H1607" s="15"/>
      <c r="I1607" s="15"/>
      <c r="J1607" s="15"/>
      <c r="K1607" s="15"/>
      <c r="L1607" s="15"/>
      <c r="M1607" s="15"/>
      <c r="N1607" s="15"/>
      <c r="O1607" s="15"/>
      <c r="P1607" s="15"/>
      <c r="Q1607" s="15"/>
      <c r="R1607" s="15"/>
    </row>
    <row r="1608" spans="1:18" x14ac:dyDescent="0.2">
      <c r="A1608" s="15"/>
      <c r="B1608" s="38"/>
      <c r="C1608" s="15"/>
      <c r="D1608" s="15"/>
      <c r="E1608" s="15"/>
      <c r="F1608" s="15"/>
      <c r="G1608" s="15"/>
      <c r="H1608" s="15"/>
      <c r="I1608" s="15"/>
      <c r="J1608" s="15"/>
      <c r="K1608" s="15"/>
      <c r="L1608" s="15"/>
      <c r="M1608" s="15"/>
      <c r="N1608" s="15"/>
      <c r="O1608" s="15"/>
      <c r="P1608" s="15"/>
      <c r="Q1608" s="15"/>
      <c r="R1608" s="15"/>
    </row>
    <row r="1609" spans="1:18" x14ac:dyDescent="0.2">
      <c r="A1609" s="15"/>
      <c r="B1609" s="38"/>
      <c r="C1609" s="15"/>
      <c r="D1609" s="15"/>
      <c r="E1609" s="15"/>
      <c r="F1609" s="15"/>
      <c r="G1609" s="15"/>
      <c r="H1609" s="15"/>
      <c r="I1609" s="15"/>
      <c r="J1609" s="15"/>
      <c r="K1609" s="15"/>
      <c r="L1609" s="15"/>
      <c r="M1609" s="15"/>
      <c r="N1609" s="15"/>
      <c r="O1609" s="15"/>
      <c r="P1609" s="15"/>
      <c r="Q1609" s="15"/>
      <c r="R1609" s="15"/>
    </row>
    <row r="1610" spans="1:18" x14ac:dyDescent="0.2">
      <c r="A1610" s="15"/>
      <c r="B1610" s="38"/>
      <c r="C1610" s="15"/>
      <c r="D1610" s="15"/>
      <c r="E1610" s="15"/>
      <c r="F1610" s="15"/>
      <c r="G1610" s="15"/>
      <c r="H1610" s="15"/>
      <c r="I1610" s="15"/>
      <c r="J1610" s="15"/>
      <c r="K1610" s="15"/>
      <c r="L1610" s="15"/>
      <c r="M1610" s="15"/>
      <c r="N1610" s="15"/>
      <c r="O1610" s="15"/>
      <c r="P1610" s="15"/>
      <c r="Q1610" s="15"/>
      <c r="R1610" s="15"/>
    </row>
    <row r="1611" spans="1:18" x14ac:dyDescent="0.2">
      <c r="A1611" s="15"/>
      <c r="B1611" s="38"/>
      <c r="C1611" s="15"/>
      <c r="D1611" s="15"/>
      <c r="E1611" s="15"/>
      <c r="F1611" s="15"/>
      <c r="G1611" s="15"/>
      <c r="H1611" s="15"/>
      <c r="I1611" s="15"/>
      <c r="J1611" s="15"/>
      <c r="K1611" s="15"/>
      <c r="L1611" s="15"/>
      <c r="M1611" s="15"/>
      <c r="N1611" s="15"/>
      <c r="O1611" s="15"/>
      <c r="P1611" s="15"/>
      <c r="Q1611" s="15"/>
      <c r="R1611" s="15"/>
    </row>
    <row r="1612" spans="1:18" x14ac:dyDescent="0.2">
      <c r="A1612" s="15"/>
      <c r="B1612" s="38"/>
      <c r="C1612" s="15"/>
      <c r="D1612" s="15"/>
      <c r="E1612" s="15"/>
      <c r="F1612" s="15"/>
      <c r="G1612" s="15"/>
      <c r="H1612" s="15"/>
      <c r="I1612" s="15"/>
      <c r="J1612" s="15"/>
      <c r="K1612" s="15"/>
      <c r="L1612" s="15"/>
      <c r="M1612" s="15"/>
      <c r="N1612" s="15"/>
      <c r="O1612" s="15"/>
      <c r="P1612" s="15"/>
      <c r="Q1612" s="15"/>
      <c r="R1612" s="15"/>
    </row>
    <row r="1613" spans="1:18" x14ac:dyDescent="0.2">
      <c r="A1613" s="15"/>
      <c r="B1613" s="38"/>
      <c r="C1613" s="15"/>
      <c r="D1613" s="15"/>
      <c r="E1613" s="15"/>
      <c r="F1613" s="15"/>
      <c r="G1613" s="15"/>
      <c r="H1613" s="15"/>
      <c r="I1613" s="15"/>
      <c r="J1613" s="15"/>
      <c r="K1613" s="15"/>
      <c r="L1613" s="15"/>
      <c r="M1613" s="15"/>
      <c r="N1613" s="15"/>
      <c r="O1613" s="15"/>
      <c r="P1613" s="15"/>
      <c r="Q1613" s="15"/>
      <c r="R1613" s="15"/>
    </row>
    <row r="1614" spans="1:18" x14ac:dyDescent="0.2">
      <c r="A1614" s="15"/>
      <c r="B1614" s="38"/>
      <c r="C1614" s="15"/>
      <c r="D1614" s="15"/>
      <c r="E1614" s="15"/>
      <c r="F1614" s="15"/>
      <c r="G1614" s="15"/>
      <c r="H1614" s="15"/>
      <c r="I1614" s="15"/>
      <c r="J1614" s="15"/>
      <c r="K1614" s="15"/>
      <c r="L1614" s="15"/>
      <c r="M1614" s="15"/>
      <c r="N1614" s="15"/>
      <c r="O1614" s="15"/>
      <c r="P1614" s="15"/>
      <c r="Q1614" s="15"/>
      <c r="R1614" s="15"/>
    </row>
    <row r="1615" spans="1:18" x14ac:dyDescent="0.2">
      <c r="A1615" s="15"/>
      <c r="B1615" s="38"/>
      <c r="C1615" s="15"/>
      <c r="D1615" s="15"/>
      <c r="E1615" s="15"/>
      <c r="F1615" s="15"/>
      <c r="G1615" s="15"/>
      <c r="H1615" s="15"/>
      <c r="I1615" s="15"/>
      <c r="J1615" s="15"/>
      <c r="K1615" s="15"/>
      <c r="L1615" s="15"/>
      <c r="M1615" s="15"/>
      <c r="N1615" s="15"/>
      <c r="O1615" s="15"/>
      <c r="P1615" s="15"/>
      <c r="Q1615" s="15"/>
      <c r="R1615" s="15"/>
    </row>
    <row r="1616" spans="1:18" x14ac:dyDescent="0.2">
      <c r="A1616" s="15"/>
      <c r="B1616" s="38"/>
      <c r="C1616" s="15"/>
      <c r="D1616" s="15"/>
      <c r="E1616" s="15"/>
      <c r="F1616" s="15"/>
      <c r="G1616" s="15"/>
      <c r="H1616" s="15"/>
      <c r="I1616" s="15"/>
      <c r="J1616" s="15"/>
      <c r="K1616" s="15"/>
      <c r="L1616" s="15"/>
      <c r="M1616" s="15"/>
      <c r="N1616" s="15"/>
      <c r="O1616" s="15"/>
      <c r="P1616" s="15"/>
      <c r="Q1616" s="15"/>
      <c r="R1616" s="15"/>
    </row>
    <row r="1617" spans="1:18" x14ac:dyDescent="0.2">
      <c r="A1617" s="15"/>
      <c r="B1617" s="38"/>
      <c r="C1617" s="15"/>
      <c r="D1617" s="15"/>
      <c r="E1617" s="15"/>
      <c r="F1617" s="15"/>
      <c r="G1617" s="15"/>
      <c r="H1617" s="15"/>
      <c r="I1617" s="15"/>
      <c r="J1617" s="15"/>
      <c r="K1617" s="15"/>
      <c r="L1617" s="15"/>
      <c r="M1617" s="15"/>
      <c r="N1617" s="15"/>
      <c r="O1617" s="15"/>
      <c r="P1617" s="15"/>
      <c r="Q1617" s="15"/>
      <c r="R1617" s="15"/>
    </row>
    <row r="1618" spans="1:18" x14ac:dyDescent="0.2">
      <c r="A1618" s="15"/>
      <c r="B1618" s="38"/>
      <c r="C1618" s="15"/>
      <c r="D1618" s="15"/>
      <c r="E1618" s="15"/>
      <c r="F1618" s="15"/>
      <c r="G1618" s="15"/>
      <c r="H1618" s="15"/>
      <c r="I1618" s="15"/>
      <c r="J1618" s="15"/>
      <c r="K1618" s="15"/>
      <c r="L1618" s="15"/>
      <c r="M1618" s="15"/>
      <c r="N1618" s="15"/>
      <c r="O1618" s="15"/>
      <c r="P1618" s="15"/>
      <c r="Q1618" s="15"/>
      <c r="R1618" s="15"/>
    </row>
    <row r="1619" spans="1:18" x14ac:dyDescent="0.2">
      <c r="A1619" s="15"/>
      <c r="B1619" s="38"/>
      <c r="C1619" s="15"/>
      <c r="D1619" s="15"/>
      <c r="E1619" s="15"/>
      <c r="F1619" s="15"/>
      <c r="G1619" s="15"/>
      <c r="H1619" s="15"/>
      <c r="I1619" s="15"/>
      <c r="J1619" s="15"/>
      <c r="K1619" s="15"/>
      <c r="L1619" s="15"/>
      <c r="M1619" s="15"/>
      <c r="N1619" s="15"/>
      <c r="O1619" s="15"/>
      <c r="P1619" s="15"/>
      <c r="Q1619" s="15"/>
      <c r="R1619" s="15"/>
    </row>
    <row r="1620" spans="1:18" x14ac:dyDescent="0.2">
      <c r="A1620" s="15"/>
      <c r="B1620" s="38"/>
      <c r="C1620" s="15"/>
      <c r="D1620" s="15"/>
      <c r="E1620" s="15"/>
      <c r="F1620" s="15"/>
      <c r="G1620" s="15"/>
      <c r="H1620" s="15"/>
      <c r="I1620" s="15"/>
      <c r="J1620" s="15"/>
      <c r="K1620" s="15"/>
      <c r="L1620" s="15"/>
      <c r="M1620" s="15"/>
      <c r="N1620" s="15"/>
      <c r="O1620" s="15"/>
      <c r="P1620" s="15"/>
      <c r="Q1620" s="15"/>
      <c r="R1620" s="15"/>
    </row>
    <row r="1621" spans="1:18" x14ac:dyDescent="0.2">
      <c r="A1621" s="15"/>
      <c r="B1621" s="38"/>
      <c r="C1621" s="15"/>
      <c r="D1621" s="15"/>
      <c r="E1621" s="15"/>
      <c r="F1621" s="15"/>
      <c r="G1621" s="15"/>
      <c r="H1621" s="15"/>
      <c r="I1621" s="15"/>
      <c r="J1621" s="15"/>
      <c r="K1621" s="15"/>
      <c r="L1621" s="15"/>
      <c r="M1621" s="15"/>
      <c r="N1621" s="15"/>
      <c r="O1621" s="15"/>
      <c r="P1621" s="15"/>
      <c r="Q1621" s="15"/>
      <c r="R1621" s="15"/>
    </row>
    <row r="1622" spans="1:18" x14ac:dyDescent="0.2">
      <c r="A1622" s="15"/>
      <c r="B1622" s="38"/>
      <c r="C1622" s="15"/>
      <c r="D1622" s="15"/>
      <c r="E1622" s="15"/>
      <c r="F1622" s="15"/>
      <c r="G1622" s="15"/>
      <c r="H1622" s="15"/>
      <c r="I1622" s="15"/>
      <c r="J1622" s="15"/>
      <c r="K1622" s="15"/>
      <c r="L1622" s="15"/>
      <c r="M1622" s="15"/>
      <c r="N1622" s="15"/>
      <c r="O1622" s="15"/>
      <c r="P1622" s="15"/>
      <c r="Q1622" s="15"/>
      <c r="R1622" s="15"/>
    </row>
    <row r="1623" spans="1:18" x14ac:dyDescent="0.2">
      <c r="A1623" s="15"/>
      <c r="B1623" s="38"/>
      <c r="C1623" s="15"/>
      <c r="D1623" s="15"/>
      <c r="E1623" s="15"/>
      <c r="F1623" s="15"/>
      <c r="G1623" s="15"/>
      <c r="H1623" s="15"/>
      <c r="I1623" s="15"/>
      <c r="J1623" s="15"/>
      <c r="K1623" s="15"/>
      <c r="L1623" s="15"/>
      <c r="M1623" s="15"/>
      <c r="N1623" s="15"/>
      <c r="O1623" s="15"/>
      <c r="P1623" s="15"/>
      <c r="Q1623" s="15"/>
      <c r="R1623" s="15"/>
    </row>
    <row r="1624" spans="1:18" x14ac:dyDescent="0.2">
      <c r="A1624" s="15"/>
      <c r="B1624" s="38"/>
      <c r="C1624" s="15"/>
      <c r="D1624" s="15"/>
      <c r="E1624" s="15"/>
      <c r="F1624" s="15"/>
      <c r="G1624" s="15"/>
      <c r="H1624" s="15"/>
      <c r="I1624" s="15"/>
      <c r="J1624" s="15"/>
      <c r="K1624" s="15"/>
      <c r="L1624" s="15"/>
      <c r="M1624" s="15"/>
      <c r="N1624" s="15"/>
      <c r="O1624" s="15"/>
      <c r="P1624" s="15"/>
      <c r="Q1624" s="15"/>
      <c r="R1624" s="15"/>
    </row>
    <row r="1625" spans="1:18" x14ac:dyDescent="0.2">
      <c r="A1625" s="15"/>
      <c r="B1625" s="38"/>
      <c r="C1625" s="15"/>
      <c r="D1625" s="15"/>
      <c r="E1625" s="15"/>
      <c r="F1625" s="15"/>
      <c r="G1625" s="15"/>
      <c r="H1625" s="15"/>
      <c r="I1625" s="15"/>
      <c r="J1625" s="15"/>
      <c r="K1625" s="15"/>
      <c r="L1625" s="15"/>
      <c r="M1625" s="15"/>
      <c r="N1625" s="15"/>
      <c r="O1625" s="15"/>
      <c r="P1625" s="15"/>
      <c r="Q1625" s="15"/>
      <c r="R1625" s="15"/>
    </row>
    <row r="1626" spans="1:18" x14ac:dyDescent="0.2">
      <c r="A1626" s="15"/>
      <c r="B1626" s="38"/>
      <c r="C1626" s="15"/>
      <c r="D1626" s="15"/>
      <c r="E1626" s="15"/>
      <c r="F1626" s="15"/>
      <c r="G1626" s="15"/>
      <c r="H1626" s="15"/>
      <c r="I1626" s="15"/>
      <c r="J1626" s="15"/>
      <c r="K1626" s="15"/>
      <c r="L1626" s="15"/>
      <c r="M1626" s="15"/>
      <c r="N1626" s="15"/>
      <c r="O1626" s="15"/>
      <c r="P1626" s="15"/>
      <c r="Q1626" s="15"/>
      <c r="R1626" s="15"/>
    </row>
    <row r="1627" spans="1:18" x14ac:dyDescent="0.2">
      <c r="A1627" s="15"/>
      <c r="B1627" s="38"/>
      <c r="C1627" s="15"/>
      <c r="D1627" s="15"/>
      <c r="E1627" s="15"/>
      <c r="F1627" s="15"/>
      <c r="G1627" s="15"/>
      <c r="H1627" s="15"/>
      <c r="I1627" s="15"/>
      <c r="J1627" s="15"/>
      <c r="K1627" s="15"/>
      <c r="L1627" s="15"/>
      <c r="M1627" s="15"/>
      <c r="N1627" s="15"/>
      <c r="O1627" s="15"/>
      <c r="P1627" s="15"/>
      <c r="Q1627" s="15"/>
      <c r="R1627" s="15"/>
    </row>
    <row r="1628" spans="1:18" x14ac:dyDescent="0.2">
      <c r="A1628" s="15"/>
      <c r="B1628" s="38"/>
      <c r="C1628" s="15"/>
      <c r="D1628" s="15"/>
      <c r="E1628" s="15"/>
      <c r="F1628" s="15"/>
      <c r="G1628" s="15"/>
      <c r="H1628" s="15"/>
      <c r="I1628" s="15"/>
      <c r="J1628" s="15"/>
      <c r="K1628" s="15"/>
      <c r="L1628" s="15"/>
      <c r="M1628" s="15"/>
      <c r="N1628" s="15"/>
      <c r="O1628" s="15"/>
      <c r="P1628" s="15"/>
      <c r="Q1628" s="15"/>
      <c r="R1628" s="15"/>
    </row>
    <row r="1629" spans="1:18" x14ac:dyDescent="0.2">
      <c r="A1629" s="15"/>
      <c r="B1629" s="38"/>
      <c r="C1629" s="15"/>
      <c r="D1629" s="15"/>
      <c r="E1629" s="15"/>
      <c r="F1629" s="15"/>
      <c r="G1629" s="15"/>
      <c r="H1629" s="15"/>
      <c r="I1629" s="15"/>
      <c r="J1629" s="15"/>
      <c r="K1629" s="15"/>
      <c r="L1629" s="15"/>
      <c r="M1629" s="15"/>
      <c r="N1629" s="15"/>
      <c r="O1629" s="15"/>
      <c r="P1629" s="15"/>
      <c r="Q1629" s="15"/>
      <c r="R1629" s="15"/>
    </row>
    <row r="1630" spans="1:18" x14ac:dyDescent="0.2">
      <c r="A1630" s="15"/>
      <c r="B1630" s="38"/>
      <c r="C1630" s="15"/>
      <c r="D1630" s="15"/>
      <c r="E1630" s="15"/>
      <c r="F1630" s="15"/>
      <c r="G1630" s="15"/>
      <c r="H1630" s="15"/>
      <c r="I1630" s="15"/>
      <c r="J1630" s="15"/>
      <c r="K1630" s="15"/>
      <c r="L1630" s="15"/>
      <c r="M1630" s="15"/>
      <c r="N1630" s="15"/>
      <c r="O1630" s="15"/>
      <c r="P1630" s="15"/>
      <c r="Q1630" s="15"/>
      <c r="R1630" s="15"/>
    </row>
    <row r="1631" spans="1:18" x14ac:dyDescent="0.2">
      <c r="A1631" s="15"/>
      <c r="B1631" s="38"/>
      <c r="C1631" s="15"/>
      <c r="D1631" s="15"/>
      <c r="E1631" s="15"/>
      <c r="F1631" s="15"/>
      <c r="G1631" s="15"/>
      <c r="H1631" s="15"/>
      <c r="I1631" s="15"/>
      <c r="J1631" s="15"/>
      <c r="K1631" s="15"/>
      <c r="L1631" s="15"/>
      <c r="M1631" s="15"/>
      <c r="N1631" s="15"/>
      <c r="O1631" s="15"/>
      <c r="P1631" s="15"/>
      <c r="Q1631" s="15"/>
      <c r="R1631" s="15"/>
    </row>
    <row r="1632" spans="1:18" x14ac:dyDescent="0.2">
      <c r="A1632" s="15"/>
      <c r="B1632" s="38"/>
      <c r="C1632" s="15"/>
      <c r="D1632" s="15"/>
      <c r="E1632" s="15"/>
      <c r="F1632" s="15"/>
      <c r="G1632" s="15"/>
      <c r="H1632" s="15"/>
      <c r="I1632" s="15"/>
      <c r="J1632" s="15"/>
      <c r="K1632" s="15"/>
      <c r="L1632" s="15"/>
      <c r="M1632" s="15"/>
      <c r="N1632" s="15"/>
      <c r="O1632" s="15"/>
      <c r="P1632" s="15"/>
      <c r="Q1632" s="15"/>
      <c r="R1632" s="15"/>
    </row>
    <row r="1633" spans="1:18" x14ac:dyDescent="0.2">
      <c r="A1633" s="15"/>
      <c r="B1633" s="38"/>
      <c r="C1633" s="15"/>
      <c r="D1633" s="15"/>
      <c r="E1633" s="15"/>
      <c r="F1633" s="15"/>
      <c r="G1633" s="15"/>
      <c r="H1633" s="15"/>
      <c r="I1633" s="15"/>
      <c r="J1633" s="15"/>
      <c r="K1633" s="15"/>
      <c r="L1633" s="15"/>
      <c r="M1633" s="15"/>
      <c r="N1633" s="15"/>
      <c r="O1633" s="15"/>
      <c r="P1633" s="15"/>
      <c r="Q1633" s="15"/>
      <c r="R1633" s="15"/>
    </row>
    <row r="1634" spans="1:18" x14ac:dyDescent="0.2">
      <c r="A1634" s="15"/>
      <c r="B1634" s="38"/>
      <c r="C1634" s="15"/>
      <c r="D1634" s="15"/>
      <c r="E1634" s="15"/>
      <c r="F1634" s="15"/>
      <c r="G1634" s="15"/>
      <c r="H1634" s="15"/>
      <c r="I1634" s="15"/>
      <c r="J1634" s="15"/>
      <c r="K1634" s="15"/>
      <c r="L1634" s="15"/>
      <c r="M1634" s="15"/>
      <c r="N1634" s="15"/>
      <c r="O1634" s="15"/>
      <c r="P1634" s="15"/>
      <c r="Q1634" s="15"/>
      <c r="R1634" s="15"/>
    </row>
    <row r="1635" spans="1:18" x14ac:dyDescent="0.2">
      <c r="A1635" s="15"/>
      <c r="B1635" s="38"/>
      <c r="C1635" s="15"/>
      <c r="D1635" s="15"/>
      <c r="E1635" s="15"/>
      <c r="F1635" s="15"/>
      <c r="G1635" s="15"/>
      <c r="H1635" s="15"/>
      <c r="I1635" s="15"/>
      <c r="J1635" s="15"/>
      <c r="K1635" s="15"/>
      <c r="L1635" s="15"/>
      <c r="M1635" s="15"/>
      <c r="N1635" s="15"/>
      <c r="O1635" s="15"/>
      <c r="P1635" s="15"/>
      <c r="Q1635" s="15"/>
      <c r="R1635" s="15"/>
    </row>
    <row r="1636" spans="1:18" x14ac:dyDescent="0.2">
      <c r="A1636" s="15"/>
      <c r="B1636" s="38"/>
      <c r="C1636" s="15"/>
      <c r="D1636" s="15"/>
      <c r="E1636" s="15"/>
      <c r="F1636" s="15"/>
      <c r="G1636" s="15"/>
      <c r="H1636" s="15"/>
      <c r="I1636" s="15"/>
      <c r="J1636" s="15"/>
      <c r="K1636" s="15"/>
      <c r="L1636" s="15"/>
      <c r="M1636" s="15"/>
      <c r="N1636" s="15"/>
      <c r="O1636" s="15"/>
      <c r="P1636" s="15"/>
      <c r="Q1636" s="15"/>
      <c r="R1636" s="15"/>
    </row>
    <row r="1637" spans="1:18" x14ac:dyDescent="0.2">
      <c r="A1637" s="15"/>
      <c r="B1637" s="38"/>
      <c r="C1637" s="15"/>
      <c r="D1637" s="15"/>
      <c r="E1637" s="15"/>
      <c r="F1637" s="15"/>
      <c r="G1637" s="15"/>
      <c r="H1637" s="15"/>
      <c r="I1637" s="15"/>
      <c r="J1637" s="15"/>
      <c r="K1637" s="15"/>
      <c r="L1637" s="15"/>
      <c r="M1637" s="15"/>
      <c r="N1637" s="15"/>
      <c r="O1637" s="15"/>
      <c r="P1637" s="15"/>
      <c r="Q1637" s="15"/>
      <c r="R1637" s="15"/>
    </row>
    <row r="1638" spans="1:18" x14ac:dyDescent="0.2">
      <c r="A1638" s="15"/>
      <c r="B1638" s="38"/>
      <c r="C1638" s="15"/>
      <c r="D1638" s="15"/>
      <c r="E1638" s="15"/>
      <c r="F1638" s="15"/>
      <c r="G1638" s="15"/>
      <c r="H1638" s="15"/>
      <c r="I1638" s="15"/>
      <c r="J1638" s="15"/>
      <c r="K1638" s="15"/>
      <c r="L1638" s="15"/>
      <c r="M1638" s="15"/>
      <c r="N1638" s="15"/>
      <c r="O1638" s="15"/>
      <c r="P1638" s="15"/>
      <c r="Q1638" s="15"/>
      <c r="R1638" s="15"/>
    </row>
    <row r="1639" spans="1:18" x14ac:dyDescent="0.2">
      <c r="A1639" s="15"/>
      <c r="B1639" s="38"/>
      <c r="C1639" s="15"/>
      <c r="D1639" s="15"/>
      <c r="E1639" s="15"/>
      <c r="F1639" s="15"/>
      <c r="G1639" s="15"/>
      <c r="H1639" s="15"/>
      <c r="I1639" s="15"/>
      <c r="J1639" s="15"/>
      <c r="K1639" s="15"/>
      <c r="L1639" s="15"/>
      <c r="M1639" s="15"/>
      <c r="N1639" s="15"/>
      <c r="O1639" s="15"/>
      <c r="P1639" s="15"/>
      <c r="Q1639" s="15"/>
      <c r="R1639" s="15"/>
    </row>
    <row r="1640" spans="1:18" x14ac:dyDescent="0.2">
      <c r="A1640" s="15"/>
      <c r="B1640" s="38"/>
      <c r="C1640" s="15"/>
      <c r="D1640" s="15"/>
      <c r="E1640" s="15"/>
      <c r="F1640" s="15"/>
      <c r="G1640" s="15"/>
      <c r="H1640" s="15"/>
      <c r="I1640" s="15"/>
      <c r="J1640" s="15"/>
      <c r="K1640" s="15"/>
      <c r="L1640" s="15"/>
      <c r="M1640" s="15"/>
      <c r="N1640" s="15"/>
      <c r="O1640" s="15"/>
      <c r="P1640" s="15"/>
      <c r="Q1640" s="15"/>
      <c r="R1640" s="15"/>
    </row>
    <row r="1641" spans="1:18" x14ac:dyDescent="0.2">
      <c r="A1641" s="15"/>
      <c r="B1641" s="38"/>
      <c r="C1641" s="15"/>
      <c r="D1641" s="15"/>
      <c r="E1641" s="15"/>
      <c r="F1641" s="15"/>
      <c r="G1641" s="15"/>
      <c r="H1641" s="15"/>
      <c r="I1641" s="15"/>
      <c r="J1641" s="15"/>
      <c r="K1641" s="15"/>
      <c r="L1641" s="15"/>
      <c r="M1641" s="15"/>
      <c r="N1641" s="15"/>
      <c r="O1641" s="15"/>
      <c r="P1641" s="15"/>
      <c r="Q1641" s="15"/>
      <c r="R1641" s="15"/>
    </row>
    <row r="1642" spans="1:18" x14ac:dyDescent="0.2">
      <c r="A1642" s="15"/>
      <c r="B1642" s="38"/>
      <c r="C1642" s="15"/>
      <c r="D1642" s="15"/>
      <c r="E1642" s="15"/>
      <c r="F1642" s="15"/>
      <c r="G1642" s="15"/>
      <c r="H1642" s="15"/>
      <c r="I1642" s="15"/>
      <c r="J1642" s="15"/>
      <c r="K1642" s="15"/>
      <c r="L1642" s="15"/>
      <c r="M1642" s="15"/>
      <c r="N1642" s="15"/>
      <c r="O1642" s="15"/>
      <c r="P1642" s="15"/>
      <c r="Q1642" s="15"/>
      <c r="R1642" s="15"/>
    </row>
    <row r="1643" spans="1:18" x14ac:dyDescent="0.2">
      <c r="A1643" s="15"/>
      <c r="B1643" s="38"/>
      <c r="C1643" s="15"/>
      <c r="D1643" s="15"/>
      <c r="E1643" s="15"/>
      <c r="F1643" s="15"/>
      <c r="G1643" s="15"/>
      <c r="H1643" s="15"/>
      <c r="I1643" s="15"/>
      <c r="J1643" s="15"/>
      <c r="K1643" s="15"/>
      <c r="L1643" s="15"/>
      <c r="M1643" s="15"/>
      <c r="N1643" s="15"/>
      <c r="O1643" s="15"/>
      <c r="P1643" s="15"/>
      <c r="Q1643" s="15"/>
      <c r="R1643" s="15"/>
    </row>
    <row r="1644" spans="1:18" x14ac:dyDescent="0.2">
      <c r="A1644" s="15"/>
      <c r="B1644" s="38"/>
      <c r="C1644" s="15"/>
      <c r="D1644" s="15"/>
      <c r="E1644" s="15"/>
      <c r="F1644" s="15"/>
      <c r="G1644" s="15"/>
      <c r="H1644" s="15"/>
      <c r="I1644" s="15"/>
      <c r="J1644" s="15"/>
      <c r="K1644" s="15"/>
      <c r="L1644" s="15"/>
      <c r="M1644" s="15"/>
      <c r="N1644" s="15"/>
      <c r="O1644" s="15"/>
      <c r="P1644" s="15"/>
      <c r="Q1644" s="15"/>
      <c r="R1644" s="15"/>
    </row>
    <row r="1645" spans="1:18" x14ac:dyDescent="0.2">
      <c r="A1645" s="15"/>
      <c r="B1645" s="38"/>
      <c r="C1645" s="15"/>
      <c r="D1645" s="15"/>
      <c r="E1645" s="15"/>
      <c r="F1645" s="15"/>
      <c r="G1645" s="15"/>
      <c r="H1645" s="15"/>
      <c r="I1645" s="15"/>
      <c r="J1645" s="15"/>
      <c r="K1645" s="15"/>
      <c r="L1645" s="15"/>
      <c r="M1645" s="15"/>
      <c r="N1645" s="15"/>
      <c r="O1645" s="15"/>
      <c r="P1645" s="15"/>
      <c r="Q1645" s="15"/>
      <c r="R1645" s="15"/>
    </row>
    <row r="1646" spans="1:18" x14ac:dyDescent="0.2">
      <c r="A1646" s="15"/>
      <c r="B1646" s="38"/>
      <c r="C1646" s="15"/>
      <c r="D1646" s="15"/>
      <c r="E1646" s="15"/>
      <c r="F1646" s="15"/>
      <c r="G1646" s="15"/>
      <c r="H1646" s="15"/>
      <c r="I1646" s="15"/>
      <c r="J1646" s="15"/>
      <c r="K1646" s="15"/>
      <c r="L1646" s="15"/>
      <c r="M1646" s="15"/>
      <c r="N1646" s="15"/>
      <c r="O1646" s="15"/>
      <c r="P1646" s="15"/>
      <c r="Q1646" s="15"/>
      <c r="R1646" s="15"/>
    </row>
    <row r="1647" spans="1:18" x14ac:dyDescent="0.2">
      <c r="A1647" s="15"/>
      <c r="B1647" s="38"/>
      <c r="C1647" s="15"/>
      <c r="D1647" s="15"/>
      <c r="E1647" s="15"/>
      <c r="F1647" s="15"/>
      <c r="G1647" s="15"/>
      <c r="H1647" s="15"/>
      <c r="I1647" s="15"/>
      <c r="J1647" s="15"/>
      <c r="K1647" s="15"/>
      <c r="L1647" s="15"/>
      <c r="M1647" s="15"/>
      <c r="N1647" s="15"/>
      <c r="O1647" s="15"/>
      <c r="P1647" s="15"/>
      <c r="Q1647" s="15"/>
      <c r="R1647" s="15"/>
    </row>
    <row r="1648" spans="1:18" x14ac:dyDescent="0.2">
      <c r="A1648" s="15"/>
      <c r="B1648" s="38"/>
      <c r="C1648" s="15"/>
      <c r="D1648" s="15"/>
      <c r="E1648" s="15"/>
      <c r="F1648" s="15"/>
      <c r="G1648" s="15"/>
      <c r="H1648" s="15"/>
      <c r="I1648" s="15"/>
      <c r="J1648" s="15"/>
      <c r="K1648" s="15"/>
      <c r="L1648" s="15"/>
      <c r="M1648" s="15"/>
      <c r="N1648" s="15"/>
      <c r="O1648" s="15"/>
      <c r="P1648" s="15"/>
      <c r="Q1648" s="15"/>
      <c r="R1648" s="15"/>
    </row>
    <row r="1649" spans="1:18" x14ac:dyDescent="0.2">
      <c r="A1649" s="15"/>
      <c r="B1649" s="38"/>
      <c r="C1649" s="15"/>
      <c r="D1649" s="15"/>
      <c r="E1649" s="15"/>
      <c r="F1649" s="15"/>
      <c r="G1649" s="15"/>
      <c r="H1649" s="15"/>
      <c r="I1649" s="15"/>
      <c r="J1649" s="15"/>
      <c r="K1649" s="15"/>
      <c r="L1649" s="15"/>
      <c r="M1649" s="15"/>
      <c r="N1649" s="15"/>
      <c r="O1649" s="15"/>
      <c r="P1649" s="15"/>
      <c r="Q1649" s="15"/>
      <c r="R1649" s="15"/>
    </row>
    <row r="1650" spans="1:18" x14ac:dyDescent="0.2">
      <c r="A1650" s="15"/>
      <c r="B1650" s="38"/>
      <c r="C1650" s="15"/>
      <c r="D1650" s="15"/>
      <c r="E1650" s="15"/>
      <c r="F1650" s="15"/>
      <c r="G1650" s="15"/>
      <c r="H1650" s="15"/>
      <c r="I1650" s="15"/>
      <c r="J1650" s="15"/>
      <c r="K1650" s="15"/>
      <c r="L1650" s="15"/>
      <c r="M1650" s="15"/>
      <c r="N1650" s="15"/>
      <c r="O1650" s="15"/>
      <c r="P1650" s="15"/>
      <c r="Q1650" s="15"/>
      <c r="R1650" s="15"/>
    </row>
    <row r="1651" spans="1:18" x14ac:dyDescent="0.2">
      <c r="A1651" s="15"/>
      <c r="B1651" s="38"/>
      <c r="C1651" s="15"/>
      <c r="D1651" s="15"/>
      <c r="E1651" s="15"/>
      <c r="F1651" s="15"/>
      <c r="G1651" s="15"/>
      <c r="H1651" s="15"/>
      <c r="I1651" s="15"/>
      <c r="J1651" s="15"/>
      <c r="K1651" s="15"/>
      <c r="L1651" s="15"/>
      <c r="M1651" s="15"/>
      <c r="N1651" s="15"/>
      <c r="O1651" s="15"/>
      <c r="P1651" s="15"/>
      <c r="Q1651" s="15"/>
      <c r="R1651" s="15"/>
    </row>
    <row r="1652" spans="1:18" x14ac:dyDescent="0.2">
      <c r="A1652" s="15"/>
      <c r="B1652" s="38"/>
      <c r="C1652" s="15"/>
      <c r="D1652" s="15"/>
      <c r="E1652" s="15"/>
      <c r="F1652" s="15"/>
      <c r="G1652" s="15"/>
      <c r="H1652" s="15"/>
      <c r="I1652" s="15"/>
      <c r="J1652" s="15"/>
      <c r="K1652" s="15"/>
      <c r="L1652" s="15"/>
      <c r="M1652" s="15"/>
      <c r="N1652" s="15"/>
      <c r="O1652" s="15"/>
      <c r="P1652" s="15"/>
      <c r="Q1652" s="15"/>
      <c r="R1652" s="15"/>
    </row>
    <row r="1653" spans="1:18" x14ac:dyDescent="0.2">
      <c r="A1653" s="15"/>
      <c r="B1653" s="38"/>
      <c r="C1653" s="15"/>
      <c r="D1653" s="15"/>
      <c r="E1653" s="15"/>
      <c r="F1653" s="15"/>
      <c r="G1653" s="15"/>
      <c r="H1653" s="15"/>
      <c r="I1653" s="15"/>
      <c r="J1653" s="15"/>
      <c r="K1653" s="15"/>
      <c r="L1653" s="15"/>
      <c r="M1653" s="15"/>
      <c r="N1653" s="15"/>
      <c r="O1653" s="15"/>
      <c r="P1653" s="15"/>
      <c r="Q1653" s="15"/>
      <c r="R1653" s="15"/>
    </row>
    <row r="1654" spans="1:18" x14ac:dyDescent="0.2">
      <c r="A1654" s="15"/>
      <c r="B1654" s="38"/>
      <c r="C1654" s="15"/>
      <c r="D1654" s="15"/>
      <c r="E1654" s="15"/>
      <c r="F1654" s="15"/>
      <c r="G1654" s="15"/>
      <c r="H1654" s="15"/>
      <c r="I1654" s="15"/>
      <c r="J1654" s="15"/>
      <c r="K1654" s="15"/>
      <c r="L1654" s="15"/>
      <c r="M1654" s="15"/>
      <c r="N1654" s="15"/>
      <c r="O1654" s="15"/>
      <c r="P1654" s="15"/>
      <c r="Q1654" s="15"/>
      <c r="R1654" s="15"/>
    </row>
    <row r="1655" spans="1:18" x14ac:dyDescent="0.2">
      <c r="A1655" s="15"/>
      <c r="B1655" s="38"/>
      <c r="C1655" s="15"/>
      <c r="D1655" s="15"/>
      <c r="E1655" s="15"/>
      <c r="F1655" s="15"/>
      <c r="G1655" s="15"/>
      <c r="H1655" s="15"/>
      <c r="I1655" s="15"/>
      <c r="J1655" s="15"/>
      <c r="K1655" s="15"/>
      <c r="L1655" s="15"/>
      <c r="M1655" s="15"/>
      <c r="N1655" s="15"/>
      <c r="O1655" s="15"/>
      <c r="P1655" s="15"/>
      <c r="Q1655" s="15"/>
      <c r="R1655" s="15"/>
    </row>
    <row r="1656" spans="1:18" x14ac:dyDescent="0.2">
      <c r="A1656" s="15"/>
      <c r="B1656" s="38"/>
      <c r="C1656" s="15"/>
      <c r="D1656" s="15"/>
      <c r="E1656" s="15"/>
      <c r="F1656" s="15"/>
      <c r="G1656" s="15"/>
      <c r="H1656" s="15"/>
      <c r="I1656" s="15"/>
      <c r="J1656" s="15"/>
      <c r="K1656" s="15"/>
      <c r="L1656" s="15"/>
      <c r="M1656" s="15"/>
      <c r="N1656" s="15"/>
      <c r="O1656" s="15"/>
      <c r="P1656" s="15"/>
      <c r="Q1656" s="15"/>
      <c r="R1656" s="15"/>
    </row>
    <row r="1657" spans="1:18" x14ac:dyDescent="0.2">
      <c r="A1657" s="15"/>
      <c r="B1657" s="38"/>
      <c r="C1657" s="15"/>
      <c r="D1657" s="15"/>
      <c r="E1657" s="15"/>
      <c r="F1657" s="15"/>
      <c r="G1657" s="15"/>
      <c r="H1657" s="15"/>
      <c r="I1657" s="15"/>
      <c r="J1657" s="15"/>
      <c r="K1657" s="15"/>
      <c r="L1657" s="15"/>
      <c r="M1657" s="15"/>
      <c r="N1657" s="15"/>
      <c r="O1657" s="15"/>
      <c r="P1657" s="15"/>
      <c r="Q1657" s="15"/>
      <c r="R1657" s="15"/>
    </row>
    <row r="1658" spans="1:18" x14ac:dyDescent="0.2">
      <c r="A1658" s="15"/>
      <c r="B1658" s="38"/>
      <c r="C1658" s="15"/>
      <c r="D1658" s="15"/>
      <c r="E1658" s="15"/>
      <c r="F1658" s="15"/>
      <c r="G1658" s="15"/>
      <c r="H1658" s="15"/>
      <c r="I1658" s="15"/>
      <c r="J1658" s="15"/>
      <c r="K1658" s="15"/>
      <c r="L1658" s="15"/>
      <c r="M1658" s="15"/>
      <c r="N1658" s="15"/>
      <c r="O1658" s="15"/>
      <c r="P1658" s="15"/>
      <c r="Q1658" s="15"/>
      <c r="R1658" s="15"/>
    </row>
    <row r="1659" spans="1:18" x14ac:dyDescent="0.2">
      <c r="A1659" s="15"/>
      <c r="B1659" s="38"/>
      <c r="C1659" s="15"/>
      <c r="D1659" s="15"/>
      <c r="E1659" s="15"/>
      <c r="F1659" s="15"/>
      <c r="G1659" s="15"/>
      <c r="H1659" s="15"/>
      <c r="I1659" s="15"/>
      <c r="J1659" s="15"/>
      <c r="K1659" s="15"/>
      <c r="L1659" s="15"/>
      <c r="M1659" s="15"/>
      <c r="N1659" s="15"/>
      <c r="O1659" s="15"/>
      <c r="P1659" s="15"/>
      <c r="Q1659" s="15"/>
      <c r="R1659" s="15"/>
    </row>
    <row r="1660" spans="1:18" x14ac:dyDescent="0.2">
      <c r="A1660" s="15"/>
      <c r="B1660" s="38"/>
      <c r="C1660" s="15"/>
      <c r="D1660" s="15"/>
      <c r="E1660" s="15"/>
      <c r="F1660" s="15"/>
      <c r="G1660" s="15"/>
      <c r="H1660" s="15"/>
      <c r="I1660" s="15"/>
      <c r="J1660" s="15"/>
      <c r="K1660" s="15"/>
      <c r="L1660" s="15"/>
      <c r="M1660" s="15"/>
      <c r="N1660" s="15"/>
      <c r="O1660" s="15"/>
      <c r="P1660" s="15"/>
      <c r="Q1660" s="15"/>
      <c r="R1660" s="15"/>
    </row>
    <row r="1661" spans="1:18" x14ac:dyDescent="0.2">
      <c r="A1661" s="15"/>
      <c r="B1661" s="38"/>
      <c r="C1661" s="15"/>
      <c r="D1661" s="15"/>
      <c r="E1661" s="15"/>
      <c r="F1661" s="15"/>
      <c r="G1661" s="15"/>
      <c r="H1661" s="15"/>
      <c r="I1661" s="15"/>
      <c r="J1661" s="15"/>
      <c r="K1661" s="15"/>
      <c r="L1661" s="15"/>
      <c r="M1661" s="15"/>
      <c r="N1661" s="15"/>
      <c r="O1661" s="15"/>
      <c r="P1661" s="15"/>
      <c r="Q1661" s="15"/>
      <c r="R1661" s="15"/>
    </row>
    <row r="1662" spans="1:18" x14ac:dyDescent="0.2">
      <c r="A1662" s="15"/>
      <c r="B1662" s="38"/>
      <c r="C1662" s="15"/>
      <c r="D1662" s="15"/>
      <c r="E1662" s="15"/>
      <c r="F1662" s="15"/>
      <c r="G1662" s="15"/>
      <c r="H1662" s="15"/>
      <c r="I1662" s="15"/>
      <c r="J1662" s="15"/>
      <c r="K1662" s="15"/>
      <c r="L1662" s="15"/>
      <c r="M1662" s="15"/>
      <c r="N1662" s="15"/>
      <c r="O1662" s="15"/>
      <c r="P1662" s="15"/>
      <c r="Q1662" s="15"/>
      <c r="R1662" s="15"/>
    </row>
    <row r="1663" spans="1:18" x14ac:dyDescent="0.2">
      <c r="A1663" s="15"/>
      <c r="B1663" s="38"/>
      <c r="C1663" s="15"/>
      <c r="D1663" s="15"/>
      <c r="E1663" s="15"/>
      <c r="F1663" s="15"/>
      <c r="G1663" s="15"/>
      <c r="H1663" s="15"/>
      <c r="I1663" s="15"/>
      <c r="J1663" s="15"/>
      <c r="K1663" s="15"/>
      <c r="L1663" s="15"/>
      <c r="M1663" s="15"/>
      <c r="N1663" s="15"/>
      <c r="O1663" s="15"/>
      <c r="P1663" s="15"/>
      <c r="Q1663" s="15"/>
      <c r="R1663" s="15"/>
    </row>
    <row r="1664" spans="1:18" x14ac:dyDescent="0.2">
      <c r="A1664" s="15"/>
      <c r="B1664" s="38"/>
      <c r="C1664" s="15"/>
      <c r="D1664" s="15"/>
      <c r="E1664" s="15"/>
      <c r="F1664" s="15"/>
      <c r="G1664" s="15"/>
      <c r="H1664" s="15"/>
      <c r="I1664" s="15"/>
      <c r="J1664" s="15"/>
      <c r="K1664" s="15"/>
      <c r="L1664" s="15"/>
      <c r="M1664" s="15"/>
      <c r="N1664" s="15"/>
      <c r="O1664" s="15"/>
      <c r="P1664" s="15"/>
      <c r="Q1664" s="15"/>
      <c r="R1664" s="15"/>
    </row>
    <row r="1665" spans="1:18" x14ac:dyDescent="0.2">
      <c r="A1665" s="15"/>
      <c r="B1665" s="38"/>
      <c r="C1665" s="15"/>
      <c r="D1665" s="15"/>
      <c r="E1665" s="15"/>
      <c r="F1665" s="15"/>
      <c r="G1665" s="15"/>
      <c r="H1665" s="15"/>
      <c r="I1665" s="15"/>
      <c r="J1665" s="15"/>
      <c r="K1665" s="15"/>
      <c r="L1665" s="15"/>
      <c r="M1665" s="15"/>
      <c r="N1665" s="15"/>
      <c r="O1665" s="15"/>
      <c r="P1665" s="15"/>
      <c r="Q1665" s="15"/>
      <c r="R1665" s="15"/>
    </row>
    <row r="1666" spans="1:18" x14ac:dyDescent="0.2">
      <c r="A1666" s="15"/>
      <c r="B1666" s="38"/>
      <c r="C1666" s="15"/>
      <c r="D1666" s="15"/>
      <c r="E1666" s="15"/>
      <c r="F1666" s="15"/>
      <c r="G1666" s="15"/>
      <c r="H1666" s="15"/>
      <c r="I1666" s="15"/>
      <c r="J1666" s="15"/>
      <c r="K1666" s="15"/>
      <c r="L1666" s="15"/>
      <c r="M1666" s="15"/>
      <c r="N1666" s="15"/>
      <c r="O1666" s="15"/>
      <c r="P1666" s="15"/>
      <c r="Q1666" s="15"/>
      <c r="R1666" s="15"/>
    </row>
    <row r="1667" spans="1:18" x14ac:dyDescent="0.2">
      <c r="A1667" s="15"/>
      <c r="B1667" s="38"/>
      <c r="C1667" s="15"/>
      <c r="D1667" s="15"/>
      <c r="E1667" s="15"/>
      <c r="F1667" s="15"/>
      <c r="G1667" s="15"/>
      <c r="H1667" s="15"/>
      <c r="I1667" s="15"/>
      <c r="J1667" s="15"/>
      <c r="K1667" s="15"/>
      <c r="L1667" s="15"/>
      <c r="M1667" s="15"/>
      <c r="N1667" s="15"/>
      <c r="O1667" s="15"/>
      <c r="P1667" s="15"/>
      <c r="Q1667" s="15"/>
      <c r="R1667" s="15"/>
    </row>
    <row r="1668" spans="1:18" x14ac:dyDescent="0.2">
      <c r="A1668" s="15"/>
      <c r="B1668" s="38"/>
      <c r="C1668" s="15"/>
      <c r="D1668" s="15"/>
      <c r="E1668" s="15"/>
      <c r="F1668" s="15"/>
      <c r="G1668" s="15"/>
      <c r="H1668" s="15"/>
      <c r="I1668" s="15"/>
      <c r="J1668" s="15"/>
      <c r="K1668" s="15"/>
      <c r="L1668" s="15"/>
      <c r="M1668" s="15"/>
      <c r="N1668" s="15"/>
      <c r="O1668" s="15"/>
      <c r="P1668" s="15"/>
      <c r="Q1668" s="15"/>
      <c r="R1668" s="15"/>
    </row>
    <row r="1669" spans="1:18" x14ac:dyDescent="0.2">
      <c r="A1669" s="15"/>
      <c r="B1669" s="38"/>
      <c r="C1669" s="15"/>
      <c r="D1669" s="15"/>
      <c r="E1669" s="15"/>
      <c r="F1669" s="15"/>
      <c r="G1669" s="15"/>
      <c r="H1669" s="15"/>
      <c r="I1669" s="15"/>
      <c r="J1669" s="15"/>
      <c r="K1669" s="15"/>
      <c r="L1669" s="15"/>
      <c r="M1669" s="15"/>
      <c r="N1669" s="15"/>
      <c r="O1669" s="15"/>
      <c r="P1669" s="15"/>
      <c r="Q1669" s="15"/>
      <c r="R1669" s="15"/>
    </row>
    <row r="1670" spans="1:18" x14ac:dyDescent="0.2">
      <c r="A1670" s="15"/>
      <c r="B1670" s="38"/>
      <c r="C1670" s="15"/>
      <c r="D1670" s="15"/>
      <c r="E1670" s="15"/>
      <c r="F1670" s="15"/>
      <c r="G1670" s="15"/>
      <c r="H1670" s="15"/>
      <c r="I1670" s="15"/>
      <c r="J1670" s="15"/>
      <c r="K1670" s="15"/>
      <c r="L1670" s="15"/>
      <c r="M1670" s="15"/>
      <c r="N1670" s="15"/>
      <c r="O1670" s="15"/>
      <c r="P1670" s="15"/>
      <c r="Q1670" s="15"/>
      <c r="R1670" s="15"/>
    </row>
    <row r="1671" spans="1:18" x14ac:dyDescent="0.2">
      <c r="A1671" s="15"/>
      <c r="B1671" s="38"/>
      <c r="C1671" s="15"/>
      <c r="D1671" s="15"/>
      <c r="E1671" s="15"/>
      <c r="F1671" s="15"/>
      <c r="G1671" s="15"/>
      <c r="H1671" s="15"/>
      <c r="I1671" s="15"/>
      <c r="J1671" s="15"/>
      <c r="K1671" s="15"/>
      <c r="L1671" s="15"/>
      <c r="M1671" s="15"/>
      <c r="N1671" s="15"/>
      <c r="O1671" s="15"/>
      <c r="P1671" s="15"/>
      <c r="Q1671" s="15"/>
      <c r="R1671" s="15"/>
    </row>
    <row r="1672" spans="1:18" x14ac:dyDescent="0.2">
      <c r="A1672" s="15"/>
      <c r="B1672" s="38"/>
      <c r="C1672" s="15"/>
      <c r="D1672" s="15"/>
      <c r="E1672" s="15"/>
      <c r="F1672" s="15"/>
      <c r="G1672" s="15"/>
      <c r="H1672" s="15"/>
      <c r="I1672" s="15"/>
      <c r="J1672" s="15"/>
      <c r="K1672" s="15"/>
      <c r="L1672" s="15"/>
      <c r="M1672" s="15"/>
      <c r="N1672" s="15"/>
      <c r="O1672" s="15"/>
      <c r="P1672" s="15"/>
      <c r="Q1672" s="15"/>
      <c r="R1672" s="15"/>
    </row>
    <row r="1673" spans="1:18" x14ac:dyDescent="0.2">
      <c r="A1673" s="15"/>
      <c r="B1673" s="38"/>
      <c r="C1673" s="15"/>
      <c r="D1673" s="15"/>
      <c r="E1673" s="15"/>
      <c r="F1673" s="15"/>
      <c r="G1673" s="15"/>
      <c r="H1673" s="15"/>
      <c r="I1673" s="15"/>
      <c r="J1673" s="15"/>
      <c r="K1673" s="15"/>
      <c r="L1673" s="15"/>
      <c r="M1673" s="15"/>
      <c r="N1673" s="15"/>
      <c r="O1673" s="15"/>
      <c r="P1673" s="15"/>
      <c r="Q1673" s="15"/>
      <c r="R1673" s="15"/>
    </row>
    <row r="1674" spans="1:18" x14ac:dyDescent="0.2">
      <c r="A1674" s="15"/>
      <c r="B1674" s="38"/>
      <c r="C1674" s="15"/>
      <c r="D1674" s="15"/>
      <c r="E1674" s="15"/>
      <c r="F1674" s="15"/>
      <c r="G1674" s="15"/>
      <c r="H1674" s="15"/>
      <c r="I1674" s="15"/>
      <c r="J1674" s="15"/>
      <c r="K1674" s="15"/>
      <c r="L1674" s="15"/>
      <c r="M1674" s="15"/>
      <c r="N1674" s="15"/>
      <c r="O1674" s="15"/>
      <c r="P1674" s="15"/>
      <c r="Q1674" s="15"/>
      <c r="R1674" s="15"/>
    </row>
    <row r="1675" spans="1:18" x14ac:dyDescent="0.2">
      <c r="A1675" s="15"/>
      <c r="B1675" s="38"/>
      <c r="C1675" s="15"/>
      <c r="D1675" s="15"/>
      <c r="E1675" s="15"/>
      <c r="F1675" s="15"/>
      <c r="G1675" s="15"/>
      <c r="H1675" s="15"/>
      <c r="I1675" s="15"/>
      <c r="J1675" s="15"/>
      <c r="K1675" s="15"/>
      <c r="L1675" s="15"/>
      <c r="M1675" s="15"/>
      <c r="N1675" s="15"/>
      <c r="O1675" s="15"/>
      <c r="P1675" s="15"/>
      <c r="Q1675" s="15"/>
      <c r="R1675" s="15"/>
    </row>
    <row r="1676" spans="1:18" x14ac:dyDescent="0.2">
      <c r="A1676" s="15"/>
      <c r="B1676" s="38"/>
      <c r="C1676" s="15"/>
      <c r="D1676" s="15"/>
      <c r="E1676" s="15"/>
      <c r="F1676" s="15"/>
      <c r="G1676" s="15"/>
      <c r="H1676" s="15"/>
      <c r="I1676" s="15"/>
      <c r="J1676" s="15"/>
      <c r="K1676" s="15"/>
      <c r="L1676" s="15"/>
      <c r="M1676" s="15"/>
      <c r="N1676" s="15"/>
      <c r="O1676" s="15"/>
      <c r="P1676" s="15"/>
      <c r="Q1676" s="15"/>
      <c r="R1676" s="15"/>
    </row>
    <row r="1677" spans="1:18" x14ac:dyDescent="0.2">
      <c r="A1677" s="15"/>
      <c r="B1677" s="38"/>
      <c r="C1677" s="15"/>
      <c r="D1677" s="15"/>
      <c r="E1677" s="15"/>
      <c r="F1677" s="15"/>
      <c r="G1677" s="15"/>
      <c r="H1677" s="15"/>
      <c r="I1677" s="15"/>
      <c r="J1677" s="15"/>
      <c r="K1677" s="15"/>
      <c r="L1677" s="15"/>
      <c r="M1677" s="15"/>
      <c r="N1677" s="15"/>
      <c r="O1677" s="15"/>
      <c r="P1677" s="15"/>
      <c r="Q1677" s="15"/>
      <c r="R1677" s="15"/>
    </row>
    <row r="1678" spans="1:18" x14ac:dyDescent="0.2">
      <c r="A1678" s="15"/>
      <c r="B1678" s="38"/>
      <c r="C1678" s="15"/>
      <c r="D1678" s="15"/>
      <c r="E1678" s="15"/>
      <c r="F1678" s="15"/>
      <c r="G1678" s="15"/>
      <c r="H1678" s="15"/>
      <c r="I1678" s="15"/>
      <c r="J1678" s="15"/>
      <c r="K1678" s="15"/>
      <c r="L1678" s="15"/>
      <c r="M1678" s="15"/>
      <c r="N1678" s="15"/>
      <c r="O1678" s="15"/>
      <c r="P1678" s="15"/>
      <c r="Q1678" s="15"/>
      <c r="R1678" s="15"/>
    </row>
    <row r="1679" spans="1:18" x14ac:dyDescent="0.2">
      <c r="A1679" s="15"/>
      <c r="B1679" s="38"/>
      <c r="C1679" s="15"/>
      <c r="D1679" s="15"/>
      <c r="E1679" s="15"/>
      <c r="F1679" s="15"/>
      <c r="G1679" s="15"/>
      <c r="H1679" s="15"/>
      <c r="I1679" s="15"/>
      <c r="J1679" s="15"/>
      <c r="K1679" s="15"/>
      <c r="L1679" s="15"/>
      <c r="M1679" s="15"/>
      <c r="N1679" s="15"/>
      <c r="O1679" s="15"/>
      <c r="P1679" s="15"/>
      <c r="Q1679" s="15"/>
      <c r="R1679" s="15"/>
    </row>
    <row r="1680" spans="1:18" x14ac:dyDescent="0.2">
      <c r="A1680" s="15"/>
      <c r="B1680" s="38"/>
      <c r="C1680" s="15"/>
      <c r="D1680" s="15"/>
      <c r="E1680" s="15"/>
      <c r="F1680" s="15"/>
      <c r="G1680" s="15"/>
      <c r="H1680" s="15"/>
      <c r="I1680" s="15"/>
      <c r="J1680" s="15"/>
      <c r="K1680" s="15"/>
      <c r="L1680" s="15"/>
      <c r="M1680" s="15"/>
      <c r="N1680" s="15"/>
      <c r="O1680" s="15"/>
      <c r="P1680" s="15"/>
      <c r="Q1680" s="15"/>
      <c r="R1680" s="15"/>
    </row>
    <row r="1681" spans="1:18" x14ac:dyDescent="0.2">
      <c r="A1681" s="15"/>
      <c r="B1681" s="38"/>
      <c r="C1681" s="15"/>
      <c r="D1681" s="15"/>
      <c r="E1681" s="15"/>
      <c r="F1681" s="15"/>
      <c r="G1681" s="15"/>
      <c r="H1681" s="15"/>
      <c r="I1681" s="15"/>
      <c r="J1681" s="15"/>
      <c r="K1681" s="15"/>
      <c r="L1681" s="15"/>
      <c r="M1681" s="15"/>
      <c r="N1681" s="15"/>
      <c r="O1681" s="15"/>
      <c r="P1681" s="15"/>
      <c r="Q1681" s="15"/>
      <c r="R1681" s="15"/>
    </row>
    <row r="1682" spans="1:18" x14ac:dyDescent="0.2">
      <c r="A1682" s="15"/>
      <c r="B1682" s="38"/>
      <c r="C1682" s="15"/>
      <c r="D1682" s="15"/>
      <c r="E1682" s="15"/>
      <c r="F1682" s="15"/>
      <c r="G1682" s="15"/>
      <c r="H1682" s="15"/>
      <c r="I1682" s="15"/>
      <c r="J1682" s="15"/>
      <c r="K1682" s="15"/>
      <c r="L1682" s="15"/>
      <c r="M1682" s="15"/>
      <c r="N1682" s="15"/>
      <c r="O1682" s="15"/>
      <c r="P1682" s="15"/>
      <c r="Q1682" s="15"/>
      <c r="R1682" s="15"/>
    </row>
    <row r="1683" spans="1:18" x14ac:dyDescent="0.2">
      <c r="A1683" s="15"/>
      <c r="B1683" s="38"/>
      <c r="C1683" s="15"/>
      <c r="D1683" s="15"/>
      <c r="E1683" s="15"/>
      <c r="F1683" s="15"/>
      <c r="G1683" s="15"/>
      <c r="H1683" s="15"/>
      <c r="I1683" s="15"/>
      <c r="J1683" s="15"/>
      <c r="K1683" s="15"/>
      <c r="L1683" s="15"/>
      <c r="M1683" s="15"/>
      <c r="N1683" s="15"/>
      <c r="O1683" s="15"/>
      <c r="P1683" s="15"/>
      <c r="Q1683" s="15"/>
      <c r="R1683" s="15"/>
    </row>
    <row r="1684" spans="1:18" x14ac:dyDescent="0.2">
      <c r="A1684" s="15"/>
      <c r="B1684" s="38"/>
      <c r="C1684" s="15"/>
      <c r="D1684" s="15"/>
      <c r="E1684" s="15"/>
      <c r="F1684" s="15"/>
      <c r="G1684" s="15"/>
      <c r="H1684" s="15"/>
      <c r="I1684" s="15"/>
      <c r="J1684" s="15"/>
      <c r="K1684" s="15"/>
      <c r="L1684" s="15"/>
      <c r="M1684" s="15"/>
      <c r="N1684" s="15"/>
      <c r="O1684" s="15"/>
      <c r="P1684" s="15"/>
      <c r="Q1684" s="15"/>
      <c r="R1684" s="15"/>
    </row>
    <row r="1685" spans="1:18" x14ac:dyDescent="0.2">
      <c r="A1685" s="15"/>
      <c r="B1685" s="38"/>
      <c r="C1685" s="15"/>
      <c r="D1685" s="15"/>
      <c r="E1685" s="15"/>
      <c r="F1685" s="15"/>
      <c r="G1685" s="15"/>
      <c r="H1685" s="15"/>
      <c r="I1685" s="15"/>
      <c r="J1685" s="15"/>
      <c r="K1685" s="15"/>
      <c r="L1685" s="15"/>
      <c r="M1685" s="15"/>
      <c r="N1685" s="15"/>
      <c r="O1685" s="15"/>
      <c r="P1685" s="15"/>
      <c r="Q1685" s="15"/>
      <c r="R1685" s="15"/>
    </row>
    <row r="1686" spans="1:18" x14ac:dyDescent="0.2">
      <c r="A1686" s="15"/>
      <c r="B1686" s="38"/>
      <c r="C1686" s="15"/>
      <c r="D1686" s="15"/>
      <c r="E1686" s="15"/>
      <c r="F1686" s="15"/>
      <c r="G1686" s="15"/>
      <c r="H1686" s="15"/>
      <c r="I1686" s="15"/>
      <c r="J1686" s="15"/>
      <c r="K1686" s="15"/>
      <c r="L1686" s="15"/>
      <c r="M1686" s="15"/>
      <c r="N1686" s="15"/>
      <c r="O1686" s="15"/>
      <c r="P1686" s="15"/>
      <c r="Q1686" s="15"/>
      <c r="R1686" s="15"/>
    </row>
    <row r="1687" spans="1:18" x14ac:dyDescent="0.2">
      <c r="A1687" s="15"/>
      <c r="B1687" s="38"/>
      <c r="C1687" s="15"/>
      <c r="D1687" s="15"/>
      <c r="E1687" s="15"/>
      <c r="F1687" s="15"/>
      <c r="G1687" s="15"/>
      <c r="H1687" s="15"/>
      <c r="I1687" s="15"/>
      <c r="J1687" s="15"/>
      <c r="K1687" s="15"/>
      <c r="L1687" s="15"/>
      <c r="M1687" s="15"/>
      <c r="N1687" s="15"/>
      <c r="O1687" s="15"/>
      <c r="P1687" s="15"/>
      <c r="Q1687" s="15"/>
      <c r="R1687" s="15"/>
    </row>
    <row r="1688" spans="1:18" x14ac:dyDescent="0.2">
      <c r="A1688" s="15"/>
      <c r="B1688" s="38"/>
      <c r="C1688" s="15"/>
      <c r="D1688" s="15"/>
      <c r="E1688" s="15"/>
      <c r="F1688" s="15"/>
      <c r="G1688" s="15"/>
      <c r="H1688" s="15"/>
      <c r="I1688" s="15"/>
      <c r="J1688" s="15"/>
      <c r="K1688" s="15"/>
      <c r="L1688" s="15"/>
      <c r="M1688" s="15"/>
      <c r="N1688" s="15"/>
      <c r="O1688" s="15"/>
      <c r="P1688" s="15"/>
      <c r="Q1688" s="15"/>
      <c r="R1688" s="15"/>
    </row>
    <row r="1689" spans="1:18" x14ac:dyDescent="0.2">
      <c r="A1689" s="15"/>
      <c r="B1689" s="38"/>
      <c r="C1689" s="15"/>
      <c r="D1689" s="15"/>
      <c r="E1689" s="15"/>
      <c r="F1689" s="15"/>
      <c r="G1689" s="15"/>
      <c r="H1689" s="15"/>
      <c r="I1689" s="15"/>
      <c r="J1689" s="15"/>
      <c r="K1689" s="15"/>
      <c r="L1689" s="15"/>
      <c r="M1689" s="15"/>
      <c r="N1689" s="15"/>
      <c r="O1689" s="15"/>
      <c r="P1689" s="15"/>
      <c r="Q1689" s="15"/>
      <c r="R1689" s="15"/>
    </row>
    <row r="1690" spans="1:18" x14ac:dyDescent="0.2">
      <c r="A1690" s="15"/>
      <c r="B1690" s="38"/>
      <c r="C1690" s="15"/>
      <c r="D1690" s="15"/>
      <c r="E1690" s="15"/>
      <c r="F1690" s="15"/>
      <c r="G1690" s="15"/>
      <c r="H1690" s="15"/>
      <c r="I1690" s="15"/>
      <c r="J1690" s="15"/>
      <c r="K1690" s="15"/>
      <c r="L1690" s="15"/>
      <c r="M1690" s="15"/>
      <c r="N1690" s="15"/>
      <c r="O1690" s="15"/>
      <c r="P1690" s="15"/>
      <c r="Q1690" s="15"/>
      <c r="R1690" s="15"/>
    </row>
    <row r="1691" spans="1:18" x14ac:dyDescent="0.2">
      <c r="A1691" s="15"/>
      <c r="B1691" s="38"/>
      <c r="C1691" s="15"/>
      <c r="D1691" s="15"/>
      <c r="E1691" s="15"/>
      <c r="F1691" s="15"/>
      <c r="G1691" s="15"/>
      <c r="H1691" s="15"/>
      <c r="I1691" s="15"/>
      <c r="J1691" s="15"/>
      <c r="K1691" s="15"/>
      <c r="L1691" s="15"/>
      <c r="M1691" s="15"/>
      <c r="N1691" s="15"/>
      <c r="O1691" s="15"/>
      <c r="P1691" s="15"/>
      <c r="Q1691" s="15"/>
      <c r="R1691" s="15"/>
    </row>
    <row r="1692" spans="1:18" x14ac:dyDescent="0.2">
      <c r="A1692" s="15"/>
      <c r="B1692" s="38"/>
      <c r="C1692" s="15"/>
      <c r="D1692" s="15"/>
      <c r="E1692" s="15"/>
      <c r="F1692" s="15"/>
      <c r="G1692" s="15"/>
      <c r="H1692" s="15"/>
      <c r="I1692" s="15"/>
      <c r="J1692" s="15"/>
      <c r="K1692" s="15"/>
      <c r="L1692" s="15"/>
      <c r="M1692" s="15"/>
      <c r="N1692" s="15"/>
      <c r="O1692" s="15"/>
      <c r="P1692" s="15"/>
      <c r="Q1692" s="15"/>
      <c r="R1692" s="15"/>
    </row>
    <row r="1693" spans="1:18" x14ac:dyDescent="0.2">
      <c r="A1693" s="15"/>
      <c r="B1693" s="38"/>
      <c r="C1693" s="15"/>
      <c r="D1693" s="15"/>
      <c r="E1693" s="15"/>
      <c r="F1693" s="15"/>
      <c r="G1693" s="15"/>
      <c r="H1693" s="15"/>
      <c r="I1693" s="15"/>
      <c r="J1693" s="15"/>
      <c r="K1693" s="15"/>
      <c r="L1693" s="15"/>
      <c r="M1693" s="15"/>
      <c r="N1693" s="15"/>
      <c r="O1693" s="15"/>
      <c r="P1693" s="15"/>
      <c r="Q1693" s="15"/>
      <c r="R1693" s="15"/>
    </row>
    <row r="1694" spans="1:18" x14ac:dyDescent="0.2">
      <c r="A1694" s="15"/>
      <c r="B1694" s="38"/>
      <c r="C1694" s="15"/>
      <c r="D1694" s="15"/>
      <c r="E1694" s="15"/>
      <c r="F1694" s="15"/>
      <c r="G1694" s="15"/>
      <c r="H1694" s="15"/>
      <c r="I1694" s="15"/>
      <c r="J1694" s="15"/>
      <c r="K1694" s="15"/>
      <c r="L1694" s="15"/>
      <c r="M1694" s="15"/>
      <c r="N1694" s="15"/>
      <c r="O1694" s="15"/>
      <c r="P1694" s="15"/>
      <c r="Q1694" s="15"/>
      <c r="R1694" s="15"/>
    </row>
    <row r="1695" spans="1:18" x14ac:dyDescent="0.2">
      <c r="A1695" s="15"/>
      <c r="B1695" s="38"/>
      <c r="C1695" s="15"/>
      <c r="D1695" s="15"/>
      <c r="E1695" s="15"/>
      <c r="F1695" s="15"/>
      <c r="G1695" s="15"/>
      <c r="H1695" s="15"/>
      <c r="I1695" s="15"/>
      <c r="J1695" s="15"/>
      <c r="K1695" s="15"/>
      <c r="L1695" s="15"/>
      <c r="M1695" s="15"/>
      <c r="N1695" s="15"/>
      <c r="O1695" s="15"/>
      <c r="P1695" s="15"/>
      <c r="Q1695" s="15"/>
      <c r="R1695" s="15"/>
    </row>
    <row r="1696" spans="1:18" x14ac:dyDescent="0.2">
      <c r="A1696" s="15"/>
      <c r="B1696" s="38"/>
      <c r="C1696" s="15"/>
      <c r="D1696" s="15"/>
      <c r="E1696" s="15"/>
      <c r="F1696" s="15"/>
      <c r="G1696" s="15"/>
      <c r="H1696" s="15"/>
      <c r="I1696" s="15"/>
      <c r="J1696" s="15"/>
      <c r="K1696" s="15"/>
      <c r="L1696" s="15"/>
      <c r="M1696" s="15"/>
      <c r="N1696" s="15"/>
      <c r="O1696" s="15"/>
      <c r="P1696" s="15"/>
      <c r="Q1696" s="15"/>
      <c r="R1696" s="15"/>
    </row>
    <row r="1697" spans="1:18" x14ac:dyDescent="0.2">
      <c r="A1697" s="15"/>
      <c r="B1697" s="38"/>
      <c r="C1697" s="15"/>
      <c r="D1697" s="15"/>
      <c r="E1697" s="15"/>
      <c r="F1697" s="15"/>
      <c r="G1697" s="15"/>
      <c r="H1697" s="15"/>
      <c r="I1697" s="15"/>
      <c r="J1697" s="15"/>
      <c r="K1697" s="15"/>
      <c r="L1697" s="15"/>
      <c r="M1697" s="15"/>
      <c r="N1697" s="15"/>
      <c r="O1697" s="15"/>
      <c r="P1697" s="15"/>
      <c r="Q1697" s="15"/>
      <c r="R1697" s="15"/>
    </row>
    <row r="1698" spans="1:18" x14ac:dyDescent="0.2">
      <c r="A1698" s="15"/>
      <c r="B1698" s="38"/>
      <c r="C1698" s="15"/>
      <c r="D1698" s="15"/>
      <c r="E1698" s="15"/>
      <c r="F1698" s="15"/>
      <c r="G1698" s="15"/>
      <c r="H1698" s="15"/>
      <c r="I1698" s="15"/>
      <c r="J1698" s="15"/>
      <c r="K1698" s="15"/>
      <c r="L1698" s="15"/>
      <c r="M1698" s="15"/>
      <c r="N1698" s="15"/>
      <c r="O1698" s="15"/>
      <c r="P1698" s="15"/>
      <c r="Q1698" s="15"/>
      <c r="R1698" s="15"/>
    </row>
    <row r="1699" spans="1:18" x14ac:dyDescent="0.2">
      <c r="A1699" s="15"/>
      <c r="B1699" s="38"/>
      <c r="C1699" s="15"/>
      <c r="D1699" s="15"/>
      <c r="E1699" s="15"/>
      <c r="F1699" s="15"/>
      <c r="G1699" s="15"/>
      <c r="H1699" s="15"/>
      <c r="I1699" s="15"/>
      <c r="J1699" s="15"/>
      <c r="K1699" s="15"/>
      <c r="L1699" s="15"/>
      <c r="M1699" s="15"/>
      <c r="N1699" s="15"/>
      <c r="O1699" s="15"/>
      <c r="P1699" s="15"/>
      <c r="Q1699" s="15"/>
      <c r="R1699" s="15"/>
    </row>
    <row r="1700" spans="1:18" x14ac:dyDescent="0.2">
      <c r="A1700" s="15"/>
      <c r="B1700" s="38"/>
      <c r="C1700" s="15"/>
      <c r="D1700" s="15"/>
      <c r="E1700" s="15"/>
      <c r="F1700" s="15"/>
      <c r="G1700" s="15"/>
      <c r="H1700" s="15"/>
      <c r="I1700" s="15"/>
      <c r="J1700" s="15"/>
      <c r="K1700" s="15"/>
      <c r="L1700" s="15"/>
      <c r="M1700" s="15"/>
      <c r="N1700" s="15"/>
      <c r="O1700" s="15"/>
      <c r="P1700" s="15"/>
      <c r="Q1700" s="15"/>
      <c r="R1700" s="15"/>
    </row>
    <row r="1701" spans="1:18" x14ac:dyDescent="0.2">
      <c r="A1701" s="15"/>
      <c r="B1701" s="38"/>
      <c r="C1701" s="15"/>
      <c r="D1701" s="15"/>
      <c r="E1701" s="15"/>
      <c r="F1701" s="15"/>
      <c r="G1701" s="15"/>
      <c r="H1701" s="15"/>
      <c r="I1701" s="15"/>
      <c r="J1701" s="15"/>
      <c r="K1701" s="15"/>
      <c r="L1701" s="15"/>
      <c r="M1701" s="15"/>
      <c r="N1701" s="15"/>
      <c r="O1701" s="15"/>
      <c r="P1701" s="15"/>
      <c r="Q1701" s="15"/>
      <c r="R1701" s="15"/>
    </row>
    <row r="1702" spans="1:18" x14ac:dyDescent="0.2">
      <c r="A1702" s="15"/>
      <c r="B1702" s="38"/>
      <c r="C1702" s="15"/>
      <c r="D1702" s="15"/>
      <c r="E1702" s="15"/>
      <c r="F1702" s="15"/>
      <c r="G1702" s="15"/>
      <c r="H1702" s="15"/>
      <c r="I1702" s="15"/>
      <c r="J1702" s="15"/>
      <c r="K1702" s="15"/>
      <c r="L1702" s="15"/>
      <c r="M1702" s="15"/>
      <c r="N1702" s="15"/>
      <c r="O1702" s="15"/>
      <c r="P1702" s="15"/>
      <c r="Q1702" s="15"/>
      <c r="R1702" s="15"/>
    </row>
    <row r="1703" spans="1:18" x14ac:dyDescent="0.2">
      <c r="A1703" s="15"/>
      <c r="B1703" s="38"/>
      <c r="C1703" s="15"/>
      <c r="D1703" s="15"/>
      <c r="E1703" s="15"/>
      <c r="F1703" s="15"/>
      <c r="G1703" s="15"/>
      <c r="H1703" s="15"/>
      <c r="I1703" s="15"/>
      <c r="J1703" s="15"/>
      <c r="K1703" s="15"/>
      <c r="L1703" s="15"/>
      <c r="M1703" s="15"/>
      <c r="N1703" s="15"/>
      <c r="O1703" s="15"/>
      <c r="P1703" s="15"/>
      <c r="Q1703" s="15"/>
      <c r="R1703" s="15"/>
    </row>
    <row r="1704" spans="1:18" x14ac:dyDescent="0.2">
      <c r="A1704" s="15"/>
      <c r="B1704" s="38"/>
      <c r="C1704" s="15"/>
      <c r="D1704" s="15"/>
      <c r="E1704" s="15"/>
      <c r="F1704" s="15"/>
      <c r="G1704" s="15"/>
      <c r="H1704" s="15"/>
      <c r="I1704" s="15"/>
      <c r="J1704" s="15"/>
      <c r="K1704" s="15"/>
      <c r="L1704" s="15"/>
      <c r="M1704" s="15"/>
      <c r="N1704" s="15"/>
      <c r="O1704" s="15"/>
      <c r="P1704" s="15"/>
      <c r="Q1704" s="15"/>
      <c r="R1704" s="15"/>
    </row>
    <row r="1705" spans="1:18" x14ac:dyDescent="0.2">
      <c r="A1705" s="15"/>
      <c r="B1705" s="38"/>
      <c r="C1705" s="15"/>
      <c r="D1705" s="15"/>
      <c r="E1705" s="15"/>
      <c r="F1705" s="15"/>
      <c r="G1705" s="15"/>
      <c r="H1705" s="15"/>
      <c r="I1705" s="15"/>
      <c r="J1705" s="15"/>
      <c r="K1705" s="15"/>
      <c r="L1705" s="15"/>
      <c r="M1705" s="15"/>
      <c r="N1705" s="15"/>
      <c r="O1705" s="15"/>
      <c r="P1705" s="15"/>
      <c r="Q1705" s="15"/>
      <c r="R1705" s="15"/>
    </row>
    <row r="1706" spans="1:18" x14ac:dyDescent="0.2">
      <c r="A1706" s="15"/>
      <c r="B1706" s="38"/>
      <c r="C1706" s="15"/>
      <c r="D1706" s="15"/>
      <c r="E1706" s="15"/>
      <c r="F1706" s="15"/>
      <c r="G1706" s="15"/>
      <c r="H1706" s="15"/>
      <c r="I1706" s="15"/>
      <c r="J1706" s="15"/>
      <c r="K1706" s="15"/>
      <c r="L1706" s="15"/>
      <c r="M1706" s="15"/>
      <c r="N1706" s="15"/>
      <c r="O1706" s="15"/>
      <c r="P1706" s="15"/>
      <c r="Q1706" s="15"/>
      <c r="R1706" s="15"/>
    </row>
    <row r="1707" spans="1:18" x14ac:dyDescent="0.2">
      <c r="A1707" s="15"/>
      <c r="B1707" s="38"/>
      <c r="C1707" s="15"/>
      <c r="D1707" s="15"/>
      <c r="E1707" s="15"/>
      <c r="F1707" s="15"/>
      <c r="G1707" s="15"/>
      <c r="H1707" s="15"/>
      <c r="I1707" s="15"/>
      <c r="J1707" s="15"/>
      <c r="K1707" s="15"/>
      <c r="L1707" s="15"/>
      <c r="M1707" s="15"/>
      <c r="N1707" s="15"/>
      <c r="O1707" s="15"/>
      <c r="P1707" s="15"/>
      <c r="Q1707" s="15"/>
      <c r="R1707" s="15"/>
    </row>
    <row r="1708" spans="1:18" x14ac:dyDescent="0.2">
      <c r="A1708" s="15"/>
      <c r="B1708" s="38"/>
      <c r="C1708" s="15"/>
      <c r="D1708" s="15"/>
      <c r="E1708" s="15"/>
      <c r="F1708" s="15"/>
      <c r="G1708" s="15"/>
      <c r="H1708" s="15"/>
      <c r="I1708" s="15"/>
      <c r="J1708" s="15"/>
      <c r="K1708" s="15"/>
      <c r="L1708" s="15"/>
      <c r="M1708" s="15"/>
      <c r="N1708" s="15"/>
      <c r="O1708" s="15"/>
      <c r="P1708" s="15"/>
      <c r="Q1708" s="15"/>
      <c r="R1708" s="15"/>
    </row>
    <row r="1709" spans="1:18" x14ac:dyDescent="0.2">
      <c r="A1709" s="15"/>
      <c r="B1709" s="38"/>
      <c r="C1709" s="15"/>
      <c r="D1709" s="15"/>
      <c r="E1709" s="15"/>
      <c r="F1709" s="15"/>
      <c r="G1709" s="15"/>
      <c r="H1709" s="15"/>
      <c r="I1709" s="15"/>
      <c r="J1709" s="15"/>
      <c r="K1709" s="15"/>
      <c r="L1709" s="15"/>
      <c r="M1709" s="15"/>
      <c r="N1709" s="15"/>
      <c r="O1709" s="15"/>
      <c r="P1709" s="15"/>
      <c r="Q1709" s="15"/>
      <c r="R1709" s="15"/>
    </row>
    <row r="1710" spans="1:18" x14ac:dyDescent="0.2">
      <c r="A1710" s="15"/>
      <c r="B1710" s="38"/>
      <c r="C1710" s="15"/>
      <c r="D1710" s="15"/>
      <c r="E1710" s="15"/>
      <c r="F1710" s="15"/>
      <c r="G1710" s="15"/>
      <c r="H1710" s="15"/>
      <c r="I1710" s="15"/>
      <c r="J1710" s="15"/>
      <c r="K1710" s="15"/>
      <c r="L1710" s="15"/>
      <c r="M1710" s="15"/>
      <c r="N1710" s="15"/>
      <c r="O1710" s="15"/>
      <c r="P1710" s="15"/>
      <c r="Q1710" s="15"/>
      <c r="R1710" s="15"/>
    </row>
    <row r="1711" spans="1:18" x14ac:dyDescent="0.2">
      <c r="A1711" s="15"/>
      <c r="B1711" s="38"/>
      <c r="C1711" s="15"/>
      <c r="D1711" s="15"/>
      <c r="E1711" s="15"/>
      <c r="F1711" s="15"/>
      <c r="G1711" s="15"/>
      <c r="H1711" s="15"/>
      <c r="I1711" s="15"/>
      <c r="J1711" s="15"/>
      <c r="K1711" s="15"/>
      <c r="L1711" s="15"/>
      <c r="M1711" s="15"/>
      <c r="N1711" s="15"/>
      <c r="O1711" s="15"/>
      <c r="P1711" s="15"/>
      <c r="Q1711" s="15"/>
      <c r="R1711" s="15"/>
    </row>
    <row r="1712" spans="1:18" x14ac:dyDescent="0.2">
      <c r="A1712" s="15"/>
      <c r="B1712" s="38"/>
      <c r="C1712" s="15"/>
      <c r="D1712" s="15"/>
      <c r="E1712" s="15"/>
      <c r="F1712" s="15"/>
      <c r="G1712" s="15"/>
      <c r="H1712" s="15"/>
      <c r="I1712" s="15"/>
      <c r="J1712" s="15"/>
      <c r="K1712" s="15"/>
      <c r="L1712" s="15"/>
      <c r="M1712" s="15"/>
      <c r="N1712" s="15"/>
      <c r="O1712" s="15"/>
      <c r="P1712" s="15"/>
      <c r="Q1712" s="15"/>
      <c r="R1712" s="15"/>
    </row>
    <row r="1713" spans="1:18" x14ac:dyDescent="0.2">
      <c r="A1713" s="15"/>
      <c r="B1713" s="38"/>
      <c r="C1713" s="15"/>
      <c r="D1713" s="15"/>
      <c r="E1713" s="15"/>
      <c r="F1713" s="15"/>
      <c r="G1713" s="15"/>
      <c r="H1713" s="15"/>
      <c r="I1713" s="15"/>
      <c r="J1713" s="15"/>
      <c r="K1713" s="15"/>
      <c r="L1713" s="15"/>
      <c r="M1713" s="15"/>
      <c r="N1713" s="15"/>
      <c r="O1713" s="15"/>
      <c r="P1713" s="15"/>
      <c r="Q1713" s="15"/>
      <c r="R1713" s="15"/>
    </row>
    <row r="1714" spans="1:18" x14ac:dyDescent="0.2">
      <c r="A1714" s="15"/>
      <c r="B1714" s="38"/>
      <c r="C1714" s="15"/>
      <c r="D1714" s="15"/>
      <c r="E1714" s="15"/>
      <c r="F1714" s="15"/>
      <c r="G1714" s="15"/>
      <c r="H1714" s="15"/>
      <c r="I1714" s="15"/>
      <c r="J1714" s="15"/>
      <c r="K1714" s="15"/>
      <c r="L1714" s="15"/>
      <c r="M1714" s="15"/>
      <c r="N1714" s="15"/>
      <c r="O1714" s="15"/>
      <c r="P1714" s="15"/>
      <c r="Q1714" s="15"/>
      <c r="R1714" s="15"/>
    </row>
    <row r="1715" spans="1:18" x14ac:dyDescent="0.2">
      <c r="A1715" s="15"/>
      <c r="B1715" s="38"/>
      <c r="C1715" s="15"/>
      <c r="D1715" s="15"/>
      <c r="E1715" s="15"/>
      <c r="F1715" s="15"/>
      <c r="G1715" s="15"/>
      <c r="H1715" s="15"/>
      <c r="I1715" s="15"/>
      <c r="J1715" s="15"/>
      <c r="K1715" s="15"/>
      <c r="L1715" s="15"/>
      <c r="M1715" s="15"/>
      <c r="N1715" s="15"/>
      <c r="O1715" s="15"/>
      <c r="P1715" s="15"/>
      <c r="Q1715" s="15"/>
      <c r="R1715" s="15"/>
    </row>
    <row r="1716" spans="1:18" x14ac:dyDescent="0.2">
      <c r="A1716" s="15"/>
      <c r="B1716" s="38"/>
      <c r="C1716" s="15"/>
      <c r="D1716" s="15"/>
      <c r="E1716" s="15"/>
      <c r="F1716" s="15"/>
      <c r="G1716" s="15"/>
      <c r="H1716" s="15"/>
      <c r="I1716" s="15"/>
      <c r="J1716" s="15"/>
      <c r="K1716" s="15"/>
      <c r="L1716" s="15"/>
      <c r="M1716" s="15"/>
      <c r="N1716" s="15"/>
      <c r="O1716" s="15"/>
      <c r="P1716" s="15"/>
      <c r="Q1716" s="15"/>
      <c r="R1716" s="15"/>
    </row>
    <row r="1717" spans="1:18" x14ac:dyDescent="0.2">
      <c r="A1717" s="15"/>
      <c r="B1717" s="38"/>
      <c r="C1717" s="15"/>
      <c r="D1717" s="15"/>
      <c r="E1717" s="15"/>
      <c r="F1717" s="15"/>
      <c r="G1717" s="15"/>
      <c r="H1717" s="15"/>
      <c r="I1717" s="15"/>
      <c r="J1717" s="15"/>
      <c r="K1717" s="15"/>
      <c r="L1717" s="15"/>
      <c r="M1717" s="15"/>
      <c r="N1717" s="15"/>
      <c r="O1717" s="15"/>
      <c r="P1717" s="15"/>
      <c r="Q1717" s="15"/>
      <c r="R1717" s="15"/>
    </row>
    <row r="1718" spans="1:18" x14ac:dyDescent="0.2">
      <c r="A1718" s="15"/>
      <c r="B1718" s="38"/>
      <c r="C1718" s="15"/>
      <c r="D1718" s="15"/>
      <c r="E1718" s="15"/>
      <c r="F1718" s="15"/>
      <c r="G1718" s="15"/>
      <c r="H1718" s="15"/>
      <c r="I1718" s="15"/>
      <c r="J1718" s="15"/>
      <c r="K1718" s="15"/>
      <c r="L1718" s="15"/>
      <c r="M1718" s="15"/>
      <c r="N1718" s="15"/>
      <c r="O1718" s="15"/>
      <c r="P1718" s="15"/>
      <c r="Q1718" s="15"/>
      <c r="R1718" s="15"/>
    </row>
    <row r="1719" spans="1:18" x14ac:dyDescent="0.2">
      <c r="A1719" s="15"/>
      <c r="B1719" s="38"/>
      <c r="C1719" s="15"/>
      <c r="D1719" s="15"/>
      <c r="E1719" s="15"/>
      <c r="F1719" s="15"/>
      <c r="G1719" s="15"/>
      <c r="H1719" s="15"/>
      <c r="I1719" s="15"/>
      <c r="J1719" s="15"/>
      <c r="K1719" s="15"/>
      <c r="L1719" s="15"/>
      <c r="M1719" s="15"/>
      <c r="N1719" s="15"/>
      <c r="O1719" s="15"/>
      <c r="P1719" s="15"/>
      <c r="Q1719" s="15"/>
      <c r="R1719" s="15"/>
    </row>
    <row r="1720" spans="1:18" x14ac:dyDescent="0.2">
      <c r="A1720" s="15"/>
      <c r="B1720" s="38"/>
      <c r="C1720" s="15"/>
      <c r="D1720" s="15"/>
      <c r="E1720" s="15"/>
      <c r="F1720" s="15"/>
      <c r="G1720" s="15"/>
      <c r="H1720" s="15"/>
      <c r="I1720" s="15"/>
      <c r="J1720" s="15"/>
      <c r="K1720" s="15"/>
      <c r="L1720" s="15"/>
      <c r="M1720" s="15"/>
      <c r="N1720" s="15"/>
      <c r="O1720" s="15"/>
      <c r="P1720" s="15"/>
      <c r="Q1720" s="15"/>
      <c r="R1720" s="15"/>
    </row>
    <row r="1721" spans="1:18" x14ac:dyDescent="0.2">
      <c r="A1721" s="15"/>
      <c r="B1721" s="38"/>
      <c r="C1721" s="15"/>
      <c r="D1721" s="15"/>
      <c r="E1721" s="15"/>
      <c r="F1721" s="15"/>
      <c r="G1721" s="15"/>
      <c r="H1721" s="15"/>
      <c r="I1721" s="15"/>
      <c r="J1721" s="15"/>
      <c r="K1721" s="15"/>
      <c r="L1721" s="15"/>
      <c r="M1721" s="15"/>
      <c r="N1721" s="15"/>
      <c r="O1721" s="15"/>
      <c r="P1721" s="15"/>
      <c r="Q1721" s="15"/>
      <c r="R1721" s="15"/>
    </row>
    <row r="1722" spans="1:18" x14ac:dyDescent="0.2">
      <c r="A1722" s="15"/>
      <c r="B1722" s="38"/>
      <c r="C1722" s="15"/>
      <c r="D1722" s="15"/>
      <c r="E1722" s="15"/>
      <c r="F1722" s="15"/>
      <c r="G1722" s="15"/>
      <c r="H1722" s="15"/>
      <c r="I1722" s="15"/>
      <c r="J1722" s="15"/>
      <c r="K1722" s="15"/>
      <c r="L1722" s="15"/>
      <c r="M1722" s="15"/>
      <c r="N1722" s="15"/>
      <c r="O1722" s="15"/>
      <c r="P1722" s="15"/>
      <c r="Q1722" s="15"/>
      <c r="R1722" s="15"/>
    </row>
    <row r="1723" spans="1:18" x14ac:dyDescent="0.2">
      <c r="A1723" s="15"/>
      <c r="B1723" s="38"/>
      <c r="C1723" s="15"/>
      <c r="D1723" s="15"/>
      <c r="E1723" s="15"/>
      <c r="F1723" s="15"/>
      <c r="G1723" s="15"/>
      <c r="H1723" s="15"/>
      <c r="I1723" s="15"/>
      <c r="J1723" s="15"/>
      <c r="K1723" s="15"/>
      <c r="L1723" s="15"/>
      <c r="M1723" s="15"/>
      <c r="N1723" s="15"/>
      <c r="O1723" s="15"/>
      <c r="P1723" s="15"/>
      <c r="Q1723" s="15"/>
      <c r="R1723" s="15"/>
    </row>
    <row r="1724" spans="1:18" x14ac:dyDescent="0.2">
      <c r="A1724" s="15"/>
      <c r="B1724" s="38"/>
      <c r="C1724" s="15"/>
      <c r="D1724" s="15"/>
      <c r="E1724" s="15"/>
      <c r="F1724" s="15"/>
      <c r="G1724" s="15"/>
      <c r="H1724" s="15"/>
      <c r="I1724" s="15"/>
      <c r="J1724" s="15"/>
      <c r="K1724" s="15"/>
      <c r="L1724" s="15"/>
      <c r="M1724" s="15"/>
      <c r="N1724" s="15"/>
      <c r="O1724" s="15"/>
      <c r="P1724" s="15"/>
      <c r="Q1724" s="15"/>
      <c r="R1724" s="15"/>
    </row>
    <row r="1725" spans="1:18" x14ac:dyDescent="0.2">
      <c r="A1725" s="15"/>
      <c r="B1725" s="38"/>
      <c r="C1725" s="15"/>
      <c r="D1725" s="15"/>
      <c r="E1725" s="15"/>
      <c r="F1725" s="15"/>
      <c r="G1725" s="15"/>
      <c r="H1725" s="15"/>
      <c r="I1725" s="15"/>
      <c r="J1725" s="15"/>
      <c r="K1725" s="15"/>
      <c r="L1725" s="15"/>
      <c r="M1725" s="15"/>
      <c r="N1725" s="15"/>
      <c r="O1725" s="15"/>
      <c r="P1725" s="15"/>
      <c r="Q1725" s="15"/>
      <c r="R1725" s="15"/>
    </row>
    <row r="1726" spans="1:18" x14ac:dyDescent="0.2">
      <c r="A1726" s="15"/>
      <c r="B1726" s="38"/>
      <c r="C1726" s="15"/>
      <c r="D1726" s="15"/>
      <c r="E1726" s="15"/>
      <c r="F1726" s="15"/>
      <c r="G1726" s="15"/>
      <c r="H1726" s="15"/>
      <c r="I1726" s="15"/>
      <c r="J1726" s="15"/>
      <c r="K1726" s="15"/>
      <c r="L1726" s="15"/>
      <c r="M1726" s="15"/>
      <c r="N1726" s="15"/>
      <c r="O1726" s="15"/>
      <c r="P1726" s="15"/>
      <c r="Q1726" s="15"/>
      <c r="R1726" s="15"/>
    </row>
    <row r="1727" spans="1:18" x14ac:dyDescent="0.2">
      <c r="A1727" s="15"/>
      <c r="B1727" s="38"/>
      <c r="C1727" s="15"/>
      <c r="D1727" s="15"/>
      <c r="E1727" s="15"/>
      <c r="F1727" s="15"/>
      <c r="G1727" s="15"/>
      <c r="H1727" s="15"/>
      <c r="I1727" s="15"/>
      <c r="J1727" s="15"/>
      <c r="K1727" s="15"/>
      <c r="L1727" s="15"/>
      <c r="M1727" s="15"/>
      <c r="N1727" s="15"/>
      <c r="O1727" s="15"/>
      <c r="P1727" s="15"/>
      <c r="Q1727" s="15"/>
      <c r="R1727" s="15"/>
    </row>
    <row r="1728" spans="1:18" x14ac:dyDescent="0.2">
      <c r="A1728" s="15"/>
      <c r="B1728" s="38"/>
      <c r="C1728" s="15"/>
      <c r="D1728" s="15"/>
      <c r="E1728" s="15"/>
      <c r="F1728" s="15"/>
      <c r="G1728" s="15"/>
      <c r="H1728" s="15"/>
      <c r="I1728" s="15"/>
      <c r="J1728" s="15"/>
      <c r="K1728" s="15"/>
      <c r="L1728" s="15"/>
      <c r="M1728" s="15"/>
      <c r="N1728" s="15"/>
      <c r="O1728" s="15"/>
      <c r="P1728" s="15"/>
      <c r="Q1728" s="15"/>
      <c r="R1728" s="15"/>
    </row>
    <row r="1729" spans="1:18" x14ac:dyDescent="0.2">
      <c r="A1729" s="15"/>
      <c r="B1729" s="38"/>
      <c r="C1729" s="15"/>
      <c r="D1729" s="15"/>
      <c r="E1729" s="15"/>
      <c r="F1729" s="15"/>
      <c r="G1729" s="15"/>
      <c r="H1729" s="15"/>
      <c r="I1729" s="15"/>
      <c r="J1729" s="15"/>
      <c r="K1729" s="15"/>
      <c r="L1729" s="15"/>
      <c r="M1729" s="15"/>
      <c r="N1729" s="15"/>
      <c r="O1729" s="15"/>
      <c r="P1729" s="15"/>
      <c r="Q1729" s="15"/>
      <c r="R1729" s="15"/>
    </row>
    <row r="1730" spans="1:18" x14ac:dyDescent="0.2">
      <c r="A1730" s="15"/>
      <c r="B1730" s="38"/>
      <c r="C1730" s="15"/>
      <c r="D1730" s="15"/>
      <c r="E1730" s="15"/>
      <c r="F1730" s="15"/>
      <c r="G1730" s="15"/>
      <c r="H1730" s="15"/>
      <c r="I1730" s="15"/>
      <c r="J1730" s="15"/>
      <c r="K1730" s="15"/>
      <c r="L1730" s="15"/>
      <c r="M1730" s="15"/>
      <c r="N1730" s="15"/>
      <c r="O1730" s="15"/>
      <c r="P1730" s="15"/>
      <c r="Q1730" s="15"/>
      <c r="R1730" s="15"/>
    </row>
    <row r="1731" spans="1:18" x14ac:dyDescent="0.2">
      <c r="A1731" s="15"/>
      <c r="B1731" s="38"/>
      <c r="C1731" s="15"/>
      <c r="D1731" s="15"/>
      <c r="E1731" s="15"/>
      <c r="F1731" s="15"/>
      <c r="G1731" s="15"/>
      <c r="H1731" s="15"/>
      <c r="I1731" s="15"/>
      <c r="J1731" s="15"/>
      <c r="K1731" s="15"/>
      <c r="L1731" s="15"/>
      <c r="M1731" s="15"/>
      <c r="N1731" s="15"/>
      <c r="O1731" s="15"/>
      <c r="P1731" s="15"/>
      <c r="Q1731" s="15"/>
      <c r="R1731" s="15"/>
    </row>
    <row r="1732" spans="1:18" x14ac:dyDescent="0.2">
      <c r="A1732" s="15"/>
      <c r="B1732" s="38"/>
      <c r="C1732" s="15"/>
      <c r="D1732" s="15"/>
      <c r="E1732" s="15"/>
      <c r="F1732" s="15"/>
      <c r="G1732" s="15"/>
      <c r="H1732" s="15"/>
      <c r="I1732" s="15"/>
      <c r="J1732" s="15"/>
      <c r="K1732" s="15"/>
      <c r="L1732" s="15"/>
      <c r="M1732" s="15"/>
      <c r="N1732" s="15"/>
      <c r="O1732" s="15"/>
      <c r="P1732" s="15"/>
      <c r="Q1732" s="15"/>
      <c r="R1732" s="15"/>
    </row>
    <row r="1733" spans="1:18" x14ac:dyDescent="0.2">
      <c r="A1733" s="15"/>
      <c r="B1733" s="38"/>
      <c r="C1733" s="15"/>
      <c r="D1733" s="15"/>
      <c r="E1733" s="15"/>
      <c r="F1733" s="15"/>
      <c r="G1733" s="15"/>
      <c r="H1733" s="15"/>
      <c r="I1733" s="15"/>
      <c r="J1733" s="15"/>
      <c r="K1733" s="15"/>
      <c r="L1733" s="15"/>
      <c r="M1733" s="15"/>
      <c r="N1733" s="15"/>
      <c r="O1733" s="15"/>
      <c r="P1733" s="15"/>
      <c r="Q1733" s="15"/>
      <c r="R1733" s="15"/>
    </row>
    <row r="1734" spans="1:18" x14ac:dyDescent="0.2">
      <c r="A1734" s="15"/>
      <c r="B1734" s="38"/>
      <c r="C1734" s="15"/>
      <c r="D1734" s="15"/>
      <c r="E1734" s="15"/>
      <c r="F1734" s="15"/>
      <c r="G1734" s="15"/>
      <c r="H1734" s="15"/>
      <c r="I1734" s="15"/>
      <c r="J1734" s="15"/>
      <c r="K1734" s="15"/>
      <c r="L1734" s="15"/>
      <c r="M1734" s="15"/>
      <c r="N1734" s="15"/>
      <c r="O1734" s="15"/>
      <c r="P1734" s="15"/>
      <c r="Q1734" s="15"/>
      <c r="R1734" s="15"/>
    </row>
    <row r="1735" spans="1:18" x14ac:dyDescent="0.2">
      <c r="A1735" s="15"/>
      <c r="B1735" s="38"/>
      <c r="C1735" s="15"/>
      <c r="D1735" s="15"/>
      <c r="E1735" s="15"/>
      <c r="F1735" s="15"/>
      <c r="G1735" s="15"/>
      <c r="H1735" s="15"/>
      <c r="I1735" s="15"/>
      <c r="J1735" s="15"/>
      <c r="K1735" s="15"/>
      <c r="L1735" s="15"/>
      <c r="M1735" s="15"/>
      <c r="N1735" s="15"/>
      <c r="O1735" s="15"/>
      <c r="P1735" s="15"/>
      <c r="Q1735" s="15"/>
      <c r="R1735" s="15"/>
    </row>
    <row r="1736" spans="1:18" x14ac:dyDescent="0.2">
      <c r="A1736" s="15"/>
      <c r="B1736" s="38"/>
      <c r="C1736" s="15"/>
      <c r="D1736" s="15"/>
      <c r="E1736" s="15"/>
      <c r="F1736" s="15"/>
      <c r="G1736" s="15"/>
      <c r="H1736" s="15"/>
      <c r="I1736" s="15"/>
      <c r="J1736" s="15"/>
      <c r="K1736" s="15"/>
      <c r="L1736" s="15"/>
      <c r="M1736" s="15"/>
      <c r="N1736" s="15"/>
      <c r="O1736" s="15"/>
      <c r="P1736" s="15"/>
      <c r="Q1736" s="15"/>
      <c r="R1736" s="15"/>
    </row>
    <row r="1737" spans="1:18" x14ac:dyDescent="0.2">
      <c r="A1737" s="15"/>
      <c r="B1737" s="38"/>
      <c r="C1737" s="15"/>
      <c r="D1737" s="15"/>
      <c r="E1737" s="15"/>
      <c r="F1737" s="15"/>
      <c r="G1737" s="15"/>
      <c r="H1737" s="15"/>
      <c r="I1737" s="15"/>
      <c r="J1737" s="15"/>
      <c r="K1737" s="15"/>
      <c r="L1737" s="15"/>
      <c r="M1737" s="15"/>
      <c r="N1737" s="15"/>
      <c r="O1737" s="15"/>
      <c r="P1737" s="15"/>
      <c r="Q1737" s="15"/>
      <c r="R1737" s="15"/>
    </row>
    <row r="1738" spans="1:18" x14ac:dyDescent="0.2">
      <c r="A1738" s="15"/>
      <c r="B1738" s="38"/>
      <c r="C1738" s="15"/>
      <c r="D1738" s="15"/>
      <c r="E1738" s="15"/>
      <c r="F1738" s="15"/>
      <c r="G1738" s="15"/>
      <c r="H1738" s="15"/>
      <c r="I1738" s="15"/>
      <c r="J1738" s="15"/>
      <c r="K1738" s="15"/>
      <c r="L1738" s="15"/>
      <c r="M1738" s="15"/>
      <c r="N1738" s="15"/>
      <c r="O1738" s="15"/>
      <c r="P1738" s="15"/>
      <c r="Q1738" s="15"/>
      <c r="R1738" s="15"/>
    </row>
    <row r="1739" spans="1:18" x14ac:dyDescent="0.2">
      <c r="A1739" s="15"/>
      <c r="B1739" s="38"/>
      <c r="C1739" s="15"/>
      <c r="D1739" s="15"/>
      <c r="E1739" s="15"/>
      <c r="F1739" s="15"/>
      <c r="G1739" s="15"/>
      <c r="H1739" s="15"/>
      <c r="I1739" s="15"/>
      <c r="J1739" s="15"/>
      <c r="K1739" s="15"/>
      <c r="L1739" s="15"/>
      <c r="M1739" s="15"/>
      <c r="N1739" s="15"/>
      <c r="O1739" s="15"/>
      <c r="P1739" s="15"/>
      <c r="Q1739" s="15"/>
      <c r="R1739" s="15"/>
    </row>
    <row r="1740" spans="1:18" x14ac:dyDescent="0.2">
      <c r="A1740" s="15"/>
      <c r="B1740" s="38"/>
      <c r="C1740" s="15"/>
      <c r="D1740" s="15"/>
      <c r="E1740" s="15"/>
      <c r="F1740" s="15"/>
      <c r="G1740" s="15"/>
      <c r="H1740" s="15"/>
      <c r="I1740" s="15"/>
      <c r="J1740" s="15"/>
      <c r="K1740" s="15"/>
      <c r="L1740" s="15"/>
      <c r="M1740" s="15"/>
      <c r="N1740" s="15"/>
      <c r="O1740" s="15"/>
      <c r="P1740" s="15"/>
      <c r="Q1740" s="15"/>
      <c r="R1740" s="15"/>
    </row>
    <row r="1741" spans="1:18" x14ac:dyDescent="0.2">
      <c r="A1741" s="15"/>
      <c r="B1741" s="38"/>
      <c r="C1741" s="15"/>
      <c r="D1741" s="15"/>
      <c r="E1741" s="15"/>
      <c r="F1741" s="15"/>
      <c r="G1741" s="15"/>
      <c r="H1741" s="15"/>
      <c r="I1741" s="15"/>
      <c r="J1741" s="15"/>
      <c r="K1741" s="15"/>
      <c r="L1741" s="15"/>
      <c r="M1741" s="15"/>
      <c r="N1741" s="15"/>
      <c r="O1741" s="15"/>
      <c r="P1741" s="15"/>
      <c r="Q1741" s="15"/>
      <c r="R1741" s="15"/>
    </row>
    <row r="1742" spans="1:18" x14ac:dyDescent="0.2">
      <c r="A1742" s="15"/>
      <c r="B1742" s="38"/>
      <c r="C1742" s="15"/>
      <c r="D1742" s="15"/>
      <c r="E1742" s="15"/>
      <c r="F1742" s="15"/>
      <c r="G1742" s="15"/>
      <c r="H1742" s="15"/>
      <c r="I1742" s="15"/>
      <c r="J1742" s="15"/>
      <c r="K1742" s="15"/>
      <c r="L1742" s="15"/>
      <c r="M1742" s="15"/>
      <c r="N1742" s="15"/>
      <c r="O1742" s="15"/>
      <c r="P1742" s="15"/>
      <c r="Q1742" s="15"/>
      <c r="R1742" s="15"/>
    </row>
    <row r="1743" spans="1:18" x14ac:dyDescent="0.2">
      <c r="A1743" s="15"/>
      <c r="B1743" s="38"/>
      <c r="C1743" s="15"/>
      <c r="D1743" s="15"/>
      <c r="E1743" s="15"/>
      <c r="F1743" s="15"/>
      <c r="G1743" s="15"/>
      <c r="H1743" s="15"/>
      <c r="I1743" s="15"/>
      <c r="J1743" s="15"/>
      <c r="K1743" s="15"/>
      <c r="L1743" s="15"/>
      <c r="M1743" s="15"/>
      <c r="N1743" s="15"/>
      <c r="O1743" s="15"/>
      <c r="P1743" s="15"/>
      <c r="Q1743" s="15"/>
      <c r="R1743" s="15"/>
    </row>
    <row r="1744" spans="1:18" x14ac:dyDescent="0.2">
      <c r="A1744" s="15"/>
      <c r="B1744" s="38"/>
      <c r="C1744" s="15"/>
      <c r="D1744" s="15"/>
      <c r="E1744" s="15"/>
      <c r="F1744" s="15"/>
      <c r="G1744" s="15"/>
      <c r="H1744" s="15"/>
      <c r="I1744" s="15"/>
      <c r="J1744" s="15"/>
      <c r="K1744" s="15"/>
      <c r="L1744" s="15"/>
      <c r="M1744" s="15"/>
      <c r="N1744" s="15"/>
      <c r="O1744" s="15"/>
      <c r="P1744" s="15"/>
      <c r="Q1744" s="15"/>
      <c r="R1744" s="15"/>
    </row>
    <row r="1745" spans="1:18" x14ac:dyDescent="0.2">
      <c r="A1745" s="15"/>
      <c r="B1745" s="38"/>
      <c r="C1745" s="15"/>
      <c r="D1745" s="15"/>
      <c r="E1745" s="15"/>
      <c r="F1745" s="15"/>
      <c r="G1745" s="15"/>
      <c r="H1745" s="15"/>
      <c r="I1745" s="15"/>
      <c r="J1745" s="15"/>
      <c r="K1745" s="15"/>
      <c r="L1745" s="15"/>
      <c r="M1745" s="15"/>
      <c r="N1745" s="15"/>
      <c r="O1745" s="15"/>
      <c r="P1745" s="15"/>
      <c r="Q1745" s="15"/>
      <c r="R1745" s="15"/>
    </row>
    <row r="1746" spans="1:18" x14ac:dyDescent="0.2">
      <c r="A1746" s="15"/>
      <c r="B1746" s="38"/>
      <c r="C1746" s="15"/>
      <c r="D1746" s="15"/>
      <c r="E1746" s="15"/>
      <c r="F1746" s="15"/>
      <c r="G1746" s="15"/>
      <c r="H1746" s="15"/>
      <c r="I1746" s="15"/>
      <c r="J1746" s="15"/>
      <c r="K1746" s="15"/>
      <c r="L1746" s="15"/>
      <c r="M1746" s="15"/>
      <c r="N1746" s="15"/>
      <c r="O1746" s="15"/>
      <c r="P1746" s="15"/>
      <c r="Q1746" s="15"/>
      <c r="R1746" s="15"/>
    </row>
    <row r="1747" spans="1:18" x14ac:dyDescent="0.2">
      <c r="A1747" s="15"/>
      <c r="B1747" s="38"/>
      <c r="C1747" s="15"/>
      <c r="D1747" s="15"/>
      <c r="E1747" s="15"/>
      <c r="F1747" s="15"/>
      <c r="G1747" s="15"/>
      <c r="H1747" s="15"/>
      <c r="I1747" s="15"/>
      <c r="J1747" s="15"/>
      <c r="K1747" s="15"/>
      <c r="L1747" s="15"/>
      <c r="M1747" s="15"/>
      <c r="N1747" s="15"/>
      <c r="O1747" s="15"/>
      <c r="P1747" s="15"/>
      <c r="Q1747" s="15"/>
      <c r="R1747" s="15"/>
    </row>
    <row r="1748" spans="1:18" x14ac:dyDescent="0.2">
      <c r="A1748" s="15"/>
      <c r="B1748" s="38"/>
      <c r="C1748" s="15"/>
      <c r="D1748" s="15"/>
      <c r="E1748" s="15"/>
      <c r="F1748" s="15"/>
      <c r="G1748" s="15"/>
      <c r="H1748" s="15"/>
      <c r="I1748" s="15"/>
      <c r="J1748" s="15"/>
      <c r="K1748" s="15"/>
      <c r="L1748" s="15"/>
      <c r="M1748" s="15"/>
      <c r="N1748" s="15"/>
      <c r="O1748" s="15"/>
      <c r="P1748" s="15"/>
      <c r="Q1748" s="15"/>
      <c r="R1748" s="15"/>
    </row>
    <row r="1749" spans="1:18" x14ac:dyDescent="0.2">
      <c r="A1749" s="15"/>
      <c r="B1749" s="38"/>
      <c r="C1749" s="15"/>
      <c r="D1749" s="15"/>
      <c r="E1749" s="15"/>
      <c r="F1749" s="15"/>
      <c r="G1749" s="15"/>
      <c r="H1749" s="15"/>
      <c r="I1749" s="15"/>
      <c r="J1749" s="15"/>
      <c r="K1749" s="15"/>
      <c r="L1749" s="15"/>
      <c r="M1749" s="15"/>
      <c r="N1749" s="15"/>
      <c r="O1749" s="15"/>
      <c r="P1749" s="15"/>
      <c r="Q1749" s="15"/>
      <c r="R1749" s="15"/>
    </row>
    <row r="1750" spans="1:18" x14ac:dyDescent="0.2">
      <c r="A1750" s="15"/>
      <c r="B1750" s="38"/>
      <c r="C1750" s="15"/>
      <c r="D1750" s="15"/>
      <c r="E1750" s="15"/>
      <c r="F1750" s="15"/>
      <c r="G1750" s="15"/>
      <c r="H1750" s="15"/>
      <c r="I1750" s="15"/>
      <c r="J1750" s="15"/>
      <c r="K1750" s="15"/>
      <c r="L1750" s="15"/>
      <c r="M1750" s="15"/>
      <c r="N1750" s="15"/>
      <c r="O1750" s="15"/>
      <c r="P1750" s="15"/>
      <c r="Q1750" s="15"/>
      <c r="R1750" s="15"/>
    </row>
    <row r="1751" spans="1:18" x14ac:dyDescent="0.2">
      <c r="A1751" s="15"/>
      <c r="B1751" s="38"/>
      <c r="C1751" s="15"/>
      <c r="D1751" s="15"/>
      <c r="E1751" s="15"/>
      <c r="F1751" s="15"/>
      <c r="G1751" s="15"/>
      <c r="H1751" s="15"/>
      <c r="I1751" s="15"/>
      <c r="J1751" s="15"/>
      <c r="K1751" s="15"/>
      <c r="L1751" s="15"/>
      <c r="M1751" s="15"/>
      <c r="N1751" s="15"/>
      <c r="O1751" s="15"/>
      <c r="P1751" s="15"/>
      <c r="Q1751" s="15"/>
      <c r="R1751" s="15"/>
    </row>
    <row r="1752" spans="1:18" x14ac:dyDescent="0.2">
      <c r="A1752" s="15"/>
      <c r="B1752" s="38"/>
      <c r="C1752" s="15"/>
      <c r="D1752" s="15"/>
      <c r="E1752" s="15"/>
      <c r="F1752" s="15"/>
      <c r="G1752" s="15"/>
      <c r="H1752" s="15"/>
      <c r="I1752" s="15"/>
      <c r="J1752" s="15"/>
      <c r="K1752" s="15"/>
      <c r="L1752" s="15"/>
      <c r="M1752" s="15"/>
      <c r="N1752" s="15"/>
      <c r="O1752" s="15"/>
      <c r="P1752" s="15"/>
      <c r="Q1752" s="15"/>
      <c r="R1752" s="15"/>
    </row>
    <row r="1753" spans="1:18" x14ac:dyDescent="0.2">
      <c r="A1753" s="15"/>
      <c r="B1753" s="38"/>
      <c r="C1753" s="15"/>
      <c r="D1753" s="15"/>
      <c r="E1753" s="15"/>
      <c r="F1753" s="15"/>
      <c r="G1753" s="15"/>
      <c r="H1753" s="15"/>
      <c r="I1753" s="15"/>
      <c r="J1753" s="15"/>
      <c r="K1753" s="15"/>
      <c r="L1753" s="15"/>
      <c r="M1753" s="15"/>
      <c r="N1753" s="15"/>
      <c r="O1753" s="15"/>
      <c r="P1753" s="15"/>
      <c r="Q1753" s="15"/>
      <c r="R1753" s="15"/>
    </row>
    <row r="1754" spans="1:18" x14ac:dyDescent="0.2">
      <c r="A1754" s="15"/>
      <c r="B1754" s="38"/>
      <c r="C1754" s="15"/>
      <c r="D1754" s="15"/>
      <c r="E1754" s="15"/>
      <c r="F1754" s="15"/>
      <c r="G1754" s="15"/>
      <c r="H1754" s="15"/>
      <c r="I1754" s="15"/>
      <c r="J1754" s="15"/>
      <c r="K1754" s="15"/>
      <c r="L1754" s="15"/>
      <c r="M1754" s="15"/>
      <c r="N1754" s="15"/>
      <c r="O1754" s="15"/>
      <c r="P1754" s="15"/>
      <c r="Q1754" s="15"/>
      <c r="R1754" s="15"/>
    </row>
    <row r="1755" spans="1:18" x14ac:dyDescent="0.2">
      <c r="A1755" s="15"/>
      <c r="B1755" s="38"/>
      <c r="C1755" s="15"/>
      <c r="D1755" s="15"/>
      <c r="E1755" s="15"/>
      <c r="F1755" s="15"/>
      <c r="G1755" s="15"/>
      <c r="H1755" s="15"/>
      <c r="I1755" s="15"/>
      <c r="J1755" s="15"/>
      <c r="K1755" s="15"/>
      <c r="L1755" s="15"/>
      <c r="M1755" s="15"/>
      <c r="N1755" s="15"/>
      <c r="O1755" s="15"/>
      <c r="P1755" s="15"/>
      <c r="Q1755" s="15"/>
      <c r="R1755" s="15"/>
    </row>
    <row r="1756" spans="1:18" x14ac:dyDescent="0.2">
      <c r="A1756" s="15"/>
      <c r="B1756" s="38"/>
      <c r="C1756" s="15"/>
      <c r="D1756" s="15"/>
      <c r="E1756" s="15"/>
      <c r="F1756" s="15"/>
      <c r="G1756" s="15"/>
      <c r="H1756" s="15"/>
      <c r="I1756" s="15"/>
      <c r="J1756" s="15"/>
      <c r="K1756" s="15"/>
      <c r="L1756" s="15"/>
      <c r="M1756" s="15"/>
      <c r="N1756" s="15"/>
      <c r="O1756" s="15"/>
      <c r="P1756" s="15"/>
      <c r="Q1756" s="15"/>
      <c r="R1756" s="15"/>
    </row>
    <row r="1757" spans="1:18" x14ac:dyDescent="0.2">
      <c r="A1757" s="15"/>
      <c r="B1757" s="38"/>
      <c r="C1757" s="15"/>
      <c r="D1757" s="15"/>
      <c r="E1757" s="15"/>
      <c r="F1757" s="15"/>
      <c r="G1757" s="15"/>
      <c r="H1757" s="15"/>
      <c r="I1757" s="15"/>
      <c r="J1757" s="15"/>
      <c r="K1757" s="15"/>
      <c r="L1757" s="15"/>
      <c r="M1757" s="15"/>
      <c r="N1757" s="15"/>
      <c r="O1757" s="15"/>
      <c r="P1757" s="15"/>
      <c r="Q1757" s="15"/>
      <c r="R1757" s="15"/>
    </row>
    <row r="1758" spans="1:18" x14ac:dyDescent="0.2">
      <c r="A1758" s="15"/>
      <c r="B1758" s="38"/>
      <c r="C1758" s="15"/>
      <c r="D1758" s="15"/>
      <c r="E1758" s="15"/>
      <c r="F1758" s="15"/>
      <c r="G1758" s="15"/>
      <c r="H1758" s="15"/>
      <c r="I1758" s="15"/>
      <c r="J1758" s="15"/>
      <c r="K1758" s="15"/>
      <c r="L1758" s="15"/>
      <c r="M1758" s="15"/>
      <c r="N1758" s="15"/>
      <c r="O1758" s="15"/>
      <c r="P1758" s="15"/>
      <c r="Q1758" s="15"/>
      <c r="R1758" s="15"/>
    </row>
    <row r="1759" spans="1:18" x14ac:dyDescent="0.2">
      <c r="A1759" s="15"/>
      <c r="B1759" s="38"/>
      <c r="C1759" s="15"/>
      <c r="D1759" s="15"/>
      <c r="E1759" s="15"/>
      <c r="F1759" s="15"/>
      <c r="G1759" s="15"/>
      <c r="H1759" s="15"/>
      <c r="I1759" s="15"/>
      <c r="J1759" s="15"/>
      <c r="K1759" s="15"/>
      <c r="L1759" s="15"/>
      <c r="M1759" s="15"/>
      <c r="N1759" s="15"/>
      <c r="O1759" s="15"/>
      <c r="P1759" s="15"/>
      <c r="Q1759" s="15"/>
      <c r="R1759" s="15"/>
    </row>
    <row r="1760" spans="1:18" x14ac:dyDescent="0.2">
      <c r="A1760" s="15"/>
      <c r="B1760" s="38"/>
      <c r="C1760" s="15"/>
      <c r="D1760" s="15"/>
      <c r="E1760" s="15"/>
      <c r="F1760" s="15"/>
      <c r="G1760" s="15"/>
      <c r="H1760" s="15"/>
      <c r="I1760" s="15"/>
      <c r="J1760" s="15"/>
      <c r="K1760" s="15"/>
      <c r="L1760" s="15"/>
      <c r="M1760" s="15"/>
      <c r="N1760" s="15"/>
      <c r="O1760" s="15"/>
      <c r="P1760" s="15"/>
      <c r="Q1760" s="15"/>
      <c r="R1760" s="15"/>
    </row>
    <row r="1761" spans="1:18" x14ac:dyDescent="0.2">
      <c r="A1761" s="15"/>
      <c r="B1761" s="38"/>
      <c r="C1761" s="15"/>
      <c r="D1761" s="15"/>
      <c r="E1761" s="15"/>
      <c r="F1761" s="15"/>
      <c r="G1761" s="15"/>
      <c r="H1761" s="15"/>
      <c r="I1761" s="15"/>
      <c r="J1761" s="15"/>
      <c r="K1761" s="15"/>
      <c r="L1761" s="15"/>
      <c r="M1761" s="15"/>
      <c r="N1761" s="15"/>
      <c r="O1761" s="15"/>
      <c r="P1761" s="15"/>
      <c r="Q1761" s="15"/>
      <c r="R1761" s="15"/>
    </row>
    <row r="1762" spans="1:18" x14ac:dyDescent="0.2">
      <c r="A1762" s="15"/>
      <c r="B1762" s="38"/>
      <c r="C1762" s="15"/>
      <c r="D1762" s="15"/>
      <c r="E1762" s="15"/>
      <c r="F1762" s="15"/>
      <c r="G1762" s="15"/>
      <c r="H1762" s="15"/>
      <c r="I1762" s="15"/>
      <c r="J1762" s="15"/>
      <c r="K1762" s="15"/>
      <c r="L1762" s="15"/>
      <c r="M1762" s="15"/>
      <c r="N1762" s="15"/>
      <c r="O1762" s="15"/>
      <c r="P1762" s="15"/>
      <c r="Q1762" s="15"/>
      <c r="R1762" s="15"/>
    </row>
    <row r="1763" spans="1:18" x14ac:dyDescent="0.2">
      <c r="A1763" s="15"/>
      <c r="B1763" s="38"/>
      <c r="C1763" s="15"/>
      <c r="D1763" s="15"/>
      <c r="E1763" s="15"/>
      <c r="F1763" s="15"/>
      <c r="G1763" s="15"/>
      <c r="H1763" s="15"/>
      <c r="I1763" s="15"/>
      <c r="J1763" s="15"/>
      <c r="K1763" s="15"/>
      <c r="L1763" s="15"/>
      <c r="M1763" s="15"/>
      <c r="N1763" s="15"/>
      <c r="O1763" s="15"/>
      <c r="P1763" s="15"/>
      <c r="Q1763" s="15"/>
      <c r="R1763" s="15"/>
    </row>
    <row r="1764" spans="1:18" x14ac:dyDescent="0.2">
      <c r="A1764" s="15"/>
      <c r="B1764" s="38"/>
      <c r="C1764" s="15"/>
      <c r="D1764" s="15"/>
      <c r="E1764" s="15"/>
      <c r="F1764" s="15"/>
      <c r="G1764" s="15"/>
      <c r="H1764" s="15"/>
      <c r="I1764" s="15"/>
      <c r="J1764" s="15"/>
      <c r="K1764" s="15"/>
      <c r="L1764" s="15"/>
      <c r="M1764" s="15"/>
      <c r="N1764" s="15"/>
      <c r="O1764" s="15"/>
      <c r="P1764" s="15"/>
      <c r="Q1764" s="15"/>
      <c r="R1764" s="15"/>
    </row>
    <row r="1765" spans="1:18" x14ac:dyDescent="0.2">
      <c r="A1765" s="15"/>
      <c r="B1765" s="38"/>
      <c r="C1765" s="15"/>
      <c r="D1765" s="15"/>
      <c r="E1765" s="15"/>
      <c r="F1765" s="15"/>
      <c r="G1765" s="15"/>
      <c r="H1765" s="15"/>
      <c r="I1765" s="15"/>
      <c r="J1765" s="15"/>
      <c r="K1765" s="15"/>
      <c r="L1765" s="15"/>
      <c r="M1765" s="15"/>
      <c r="N1765" s="15"/>
      <c r="O1765" s="15"/>
      <c r="P1765" s="15"/>
      <c r="Q1765" s="15"/>
      <c r="R1765" s="15"/>
    </row>
    <row r="1766" spans="1:18" x14ac:dyDescent="0.2">
      <c r="A1766" s="15"/>
      <c r="B1766" s="38"/>
      <c r="C1766" s="15"/>
      <c r="D1766" s="15"/>
      <c r="E1766" s="15"/>
      <c r="F1766" s="15"/>
      <c r="G1766" s="15"/>
      <c r="H1766" s="15"/>
      <c r="I1766" s="15"/>
      <c r="J1766" s="15"/>
      <c r="K1766" s="15"/>
      <c r="L1766" s="15"/>
      <c r="M1766" s="15"/>
      <c r="N1766" s="15"/>
      <c r="O1766" s="15"/>
      <c r="P1766" s="15"/>
      <c r="Q1766" s="15"/>
      <c r="R1766" s="15"/>
    </row>
    <row r="1767" spans="1:18" x14ac:dyDescent="0.2">
      <c r="A1767" s="15"/>
      <c r="B1767" s="38"/>
      <c r="C1767" s="15"/>
      <c r="D1767" s="15"/>
      <c r="E1767" s="15"/>
      <c r="F1767" s="15"/>
      <c r="G1767" s="15"/>
      <c r="H1767" s="15"/>
      <c r="I1767" s="15"/>
      <c r="J1767" s="15"/>
      <c r="K1767" s="15"/>
      <c r="L1767" s="15"/>
      <c r="M1767" s="15"/>
      <c r="N1767" s="15"/>
      <c r="O1767" s="15"/>
      <c r="P1767" s="15"/>
      <c r="Q1767" s="15"/>
      <c r="R1767" s="15"/>
    </row>
    <row r="1768" spans="1:18" x14ac:dyDescent="0.2">
      <c r="A1768" s="15"/>
      <c r="B1768" s="38"/>
      <c r="C1768" s="15"/>
      <c r="D1768" s="15"/>
      <c r="E1768" s="15"/>
      <c r="F1768" s="15"/>
      <c r="G1768" s="15"/>
      <c r="H1768" s="15"/>
      <c r="I1768" s="15"/>
      <c r="J1768" s="15"/>
      <c r="K1768" s="15"/>
      <c r="L1768" s="15"/>
      <c r="M1768" s="15"/>
      <c r="N1768" s="15"/>
      <c r="O1768" s="15"/>
      <c r="P1768" s="15"/>
      <c r="Q1768" s="15"/>
      <c r="R1768" s="15"/>
    </row>
    <row r="1769" spans="1:18" x14ac:dyDescent="0.2">
      <c r="A1769" s="15"/>
      <c r="B1769" s="38"/>
      <c r="C1769" s="15"/>
      <c r="D1769" s="15"/>
      <c r="E1769" s="15"/>
      <c r="F1769" s="15"/>
      <c r="G1769" s="15"/>
      <c r="H1769" s="15"/>
      <c r="I1769" s="15"/>
      <c r="J1769" s="15"/>
      <c r="K1769" s="15"/>
      <c r="L1769" s="15"/>
      <c r="M1769" s="15"/>
      <c r="N1769" s="15"/>
      <c r="O1769" s="15"/>
      <c r="P1769" s="15"/>
      <c r="Q1769" s="15"/>
      <c r="R1769" s="15"/>
    </row>
    <row r="1770" spans="1:18" x14ac:dyDescent="0.2">
      <c r="A1770" s="15"/>
      <c r="B1770" s="38"/>
      <c r="C1770" s="15"/>
      <c r="D1770" s="15"/>
      <c r="E1770" s="15"/>
      <c r="F1770" s="15"/>
      <c r="G1770" s="15"/>
      <c r="H1770" s="15"/>
      <c r="I1770" s="15"/>
      <c r="J1770" s="15"/>
      <c r="K1770" s="15"/>
      <c r="L1770" s="15"/>
      <c r="M1770" s="15"/>
      <c r="N1770" s="15"/>
      <c r="O1770" s="15"/>
      <c r="P1770" s="15"/>
      <c r="Q1770" s="15"/>
      <c r="R1770" s="15"/>
    </row>
    <row r="1771" spans="1:18" x14ac:dyDescent="0.2">
      <c r="A1771" s="15"/>
      <c r="B1771" s="38"/>
      <c r="C1771" s="15"/>
      <c r="D1771" s="15"/>
      <c r="E1771" s="15"/>
      <c r="F1771" s="15"/>
      <c r="G1771" s="15"/>
      <c r="H1771" s="15"/>
      <c r="I1771" s="15"/>
      <c r="J1771" s="15"/>
      <c r="K1771" s="15"/>
      <c r="L1771" s="15"/>
      <c r="M1771" s="15"/>
      <c r="N1771" s="15"/>
      <c r="O1771" s="15"/>
      <c r="P1771" s="15"/>
      <c r="Q1771" s="15"/>
      <c r="R1771" s="15"/>
    </row>
    <row r="1772" spans="1:18" x14ac:dyDescent="0.2">
      <c r="A1772" s="15"/>
      <c r="B1772" s="38"/>
      <c r="C1772" s="15"/>
      <c r="D1772" s="15"/>
      <c r="E1772" s="15"/>
      <c r="F1772" s="15"/>
      <c r="G1772" s="15"/>
      <c r="H1772" s="15"/>
      <c r="I1772" s="15"/>
      <c r="J1772" s="15"/>
      <c r="K1772" s="15"/>
      <c r="L1772" s="15"/>
      <c r="M1772" s="15"/>
      <c r="N1772" s="15"/>
      <c r="O1772" s="15"/>
      <c r="P1772" s="15"/>
      <c r="Q1772" s="15"/>
      <c r="R1772" s="15"/>
    </row>
    <row r="1773" spans="1:18" x14ac:dyDescent="0.2">
      <c r="A1773" s="15"/>
      <c r="B1773" s="38"/>
      <c r="C1773" s="15"/>
      <c r="D1773" s="15"/>
      <c r="E1773" s="15"/>
      <c r="F1773" s="15"/>
      <c r="G1773" s="15"/>
      <c r="H1773" s="15"/>
      <c r="I1773" s="15"/>
      <c r="J1773" s="15"/>
      <c r="K1773" s="15"/>
      <c r="L1773" s="15"/>
      <c r="M1773" s="15"/>
      <c r="N1773" s="15"/>
      <c r="O1773" s="15"/>
      <c r="P1773" s="15"/>
      <c r="Q1773" s="15"/>
      <c r="R1773" s="15"/>
    </row>
    <row r="1774" spans="1:18" x14ac:dyDescent="0.2">
      <c r="A1774" s="15"/>
      <c r="B1774" s="38"/>
      <c r="C1774" s="15"/>
      <c r="D1774" s="15"/>
      <c r="E1774" s="15"/>
      <c r="F1774" s="15"/>
      <c r="G1774" s="15"/>
      <c r="H1774" s="15"/>
      <c r="I1774" s="15"/>
      <c r="J1774" s="15"/>
      <c r="K1774" s="15"/>
      <c r="L1774" s="15"/>
      <c r="M1774" s="15"/>
      <c r="N1774" s="15"/>
      <c r="O1774" s="15"/>
      <c r="P1774" s="15"/>
      <c r="Q1774" s="15"/>
      <c r="R1774" s="15"/>
    </row>
    <row r="1775" spans="1:18" x14ac:dyDescent="0.2">
      <c r="A1775" s="15"/>
      <c r="B1775" s="38"/>
      <c r="C1775" s="15"/>
      <c r="D1775" s="15"/>
      <c r="E1775" s="15"/>
      <c r="F1775" s="15"/>
      <c r="G1775" s="15"/>
      <c r="H1775" s="15"/>
      <c r="I1775" s="15"/>
      <c r="J1775" s="15"/>
      <c r="K1775" s="15"/>
      <c r="L1775" s="15"/>
      <c r="M1775" s="15"/>
      <c r="N1775" s="15"/>
      <c r="O1775" s="15"/>
      <c r="P1775" s="15"/>
      <c r="Q1775" s="15"/>
      <c r="R1775" s="15"/>
    </row>
    <row r="1776" spans="1:18" x14ac:dyDescent="0.2">
      <c r="A1776" s="15"/>
      <c r="B1776" s="38"/>
      <c r="C1776" s="15"/>
      <c r="D1776" s="15"/>
      <c r="E1776" s="15"/>
      <c r="F1776" s="15"/>
      <c r="G1776" s="15"/>
      <c r="H1776" s="15"/>
      <c r="I1776" s="15"/>
      <c r="J1776" s="15"/>
      <c r="K1776" s="15"/>
      <c r="L1776" s="15"/>
      <c r="M1776" s="15"/>
      <c r="N1776" s="15"/>
      <c r="O1776" s="15"/>
      <c r="P1776" s="15"/>
      <c r="Q1776" s="15"/>
      <c r="R1776" s="15"/>
    </row>
    <row r="1777" spans="1:18" x14ac:dyDescent="0.2">
      <c r="A1777" s="15"/>
      <c r="B1777" s="38"/>
      <c r="C1777" s="15"/>
      <c r="D1777" s="15"/>
      <c r="E1777" s="15"/>
      <c r="F1777" s="15"/>
      <c r="G1777" s="15"/>
      <c r="H1777" s="15"/>
      <c r="I1777" s="15"/>
      <c r="J1777" s="15"/>
      <c r="K1777" s="15"/>
      <c r="L1777" s="15"/>
      <c r="M1777" s="15"/>
      <c r="N1777" s="15"/>
      <c r="O1777" s="15"/>
      <c r="P1777" s="15"/>
      <c r="Q1777" s="15"/>
      <c r="R1777" s="15"/>
    </row>
    <row r="1778" spans="1:18" x14ac:dyDescent="0.2">
      <c r="A1778" s="15"/>
      <c r="B1778" s="38"/>
      <c r="C1778" s="15"/>
      <c r="D1778" s="15"/>
      <c r="E1778" s="15"/>
      <c r="F1778" s="15"/>
      <c r="G1778" s="15"/>
      <c r="H1778" s="15"/>
      <c r="I1778" s="15"/>
      <c r="J1778" s="15"/>
      <c r="K1778" s="15"/>
      <c r="L1778" s="15"/>
      <c r="M1778" s="15"/>
      <c r="N1778" s="15"/>
      <c r="O1778" s="15"/>
      <c r="P1778" s="15"/>
      <c r="Q1778" s="15"/>
      <c r="R1778" s="15"/>
    </row>
    <row r="1779" spans="1:18" x14ac:dyDescent="0.2">
      <c r="A1779" s="15"/>
      <c r="B1779" s="38"/>
      <c r="C1779" s="15"/>
      <c r="D1779" s="15"/>
      <c r="E1779" s="15"/>
      <c r="F1779" s="15"/>
      <c r="G1779" s="15"/>
      <c r="H1779" s="15"/>
      <c r="I1779" s="15"/>
      <c r="J1779" s="15"/>
      <c r="K1779" s="15"/>
      <c r="L1779" s="15"/>
      <c r="M1779" s="15"/>
      <c r="N1779" s="15"/>
      <c r="O1779" s="15"/>
      <c r="P1779" s="15"/>
      <c r="Q1779" s="15"/>
      <c r="R1779" s="15"/>
    </row>
    <row r="1780" spans="1:18" x14ac:dyDescent="0.2">
      <c r="A1780" s="15"/>
      <c r="B1780" s="38"/>
      <c r="C1780" s="15"/>
      <c r="D1780" s="15"/>
      <c r="E1780" s="15"/>
      <c r="F1780" s="15"/>
      <c r="G1780" s="15"/>
      <c r="H1780" s="15"/>
      <c r="I1780" s="15"/>
      <c r="J1780" s="15"/>
      <c r="K1780" s="15"/>
      <c r="L1780" s="15"/>
      <c r="M1780" s="15"/>
      <c r="N1780" s="15"/>
      <c r="O1780" s="15"/>
      <c r="P1780" s="15"/>
      <c r="Q1780" s="15"/>
      <c r="R1780" s="15"/>
    </row>
    <row r="1781" spans="1:18" x14ac:dyDescent="0.2">
      <c r="A1781" s="15"/>
      <c r="B1781" s="38"/>
      <c r="C1781" s="15"/>
      <c r="D1781" s="15"/>
      <c r="E1781" s="15"/>
      <c r="F1781" s="15"/>
      <c r="G1781" s="15"/>
      <c r="H1781" s="15"/>
      <c r="I1781" s="15"/>
      <c r="J1781" s="15"/>
      <c r="K1781" s="15"/>
      <c r="L1781" s="15"/>
      <c r="M1781" s="15"/>
      <c r="N1781" s="15"/>
      <c r="O1781" s="15"/>
      <c r="P1781" s="15"/>
      <c r="Q1781" s="15"/>
      <c r="R1781" s="15"/>
    </row>
    <row r="1782" spans="1:18" x14ac:dyDescent="0.2">
      <c r="A1782" s="15"/>
      <c r="B1782" s="38"/>
      <c r="C1782" s="15"/>
      <c r="D1782" s="15"/>
      <c r="E1782" s="15"/>
      <c r="F1782" s="15"/>
      <c r="G1782" s="15"/>
      <c r="H1782" s="15"/>
      <c r="I1782" s="15"/>
      <c r="J1782" s="15"/>
      <c r="K1782" s="15"/>
      <c r="L1782" s="15"/>
      <c r="M1782" s="15"/>
      <c r="N1782" s="15"/>
      <c r="O1782" s="15"/>
      <c r="P1782" s="15"/>
      <c r="Q1782" s="15"/>
      <c r="R1782" s="15"/>
    </row>
    <row r="1783" spans="1:18" x14ac:dyDescent="0.2">
      <c r="A1783" s="15"/>
      <c r="B1783" s="38"/>
      <c r="C1783" s="15"/>
      <c r="D1783" s="15"/>
      <c r="E1783" s="15"/>
      <c r="F1783" s="15"/>
      <c r="G1783" s="15"/>
      <c r="H1783" s="15"/>
      <c r="I1783" s="15"/>
      <c r="J1783" s="15"/>
      <c r="K1783" s="15"/>
      <c r="L1783" s="15"/>
      <c r="M1783" s="15"/>
      <c r="N1783" s="15"/>
      <c r="O1783" s="15"/>
      <c r="P1783" s="15"/>
      <c r="Q1783" s="15"/>
      <c r="R1783" s="15"/>
    </row>
    <row r="1784" spans="1:18" x14ac:dyDescent="0.2">
      <c r="A1784" s="15"/>
      <c r="B1784" s="38"/>
      <c r="C1784" s="15"/>
      <c r="D1784" s="15"/>
      <c r="E1784" s="15"/>
      <c r="F1784" s="15"/>
      <c r="G1784" s="15"/>
      <c r="H1784" s="15"/>
      <c r="I1784" s="15"/>
      <c r="J1784" s="15"/>
      <c r="K1784" s="15"/>
      <c r="L1784" s="15"/>
      <c r="M1784" s="15"/>
      <c r="N1784" s="15"/>
      <c r="O1784" s="15"/>
      <c r="P1784" s="15"/>
      <c r="Q1784" s="15"/>
      <c r="R1784" s="15"/>
    </row>
    <row r="1785" spans="1:18" x14ac:dyDescent="0.2">
      <c r="A1785" s="15"/>
      <c r="B1785" s="38"/>
      <c r="C1785" s="15"/>
      <c r="D1785" s="15"/>
      <c r="E1785" s="15"/>
      <c r="F1785" s="15"/>
      <c r="G1785" s="15"/>
      <c r="H1785" s="15"/>
      <c r="I1785" s="15"/>
      <c r="J1785" s="15"/>
      <c r="K1785" s="15"/>
      <c r="L1785" s="15"/>
      <c r="M1785" s="15"/>
      <c r="N1785" s="15"/>
      <c r="O1785" s="15"/>
      <c r="P1785" s="15"/>
      <c r="Q1785" s="15"/>
      <c r="R1785" s="15"/>
    </row>
    <row r="1786" spans="1:18" x14ac:dyDescent="0.2">
      <c r="A1786" s="15"/>
      <c r="B1786" s="38"/>
      <c r="C1786" s="15"/>
      <c r="D1786" s="15"/>
      <c r="E1786" s="15"/>
      <c r="F1786" s="15"/>
      <c r="G1786" s="15"/>
      <c r="H1786" s="15"/>
      <c r="I1786" s="15"/>
      <c r="J1786" s="15"/>
      <c r="K1786" s="15"/>
      <c r="L1786" s="15"/>
      <c r="M1786" s="15"/>
      <c r="N1786" s="15"/>
      <c r="O1786" s="15"/>
      <c r="P1786" s="15"/>
      <c r="Q1786" s="15"/>
      <c r="R1786" s="15"/>
    </row>
    <row r="1787" spans="1:18" x14ac:dyDescent="0.2">
      <c r="A1787" s="15"/>
      <c r="B1787" s="38"/>
      <c r="C1787" s="15"/>
      <c r="D1787" s="15"/>
      <c r="E1787" s="15"/>
      <c r="F1787" s="15"/>
      <c r="G1787" s="15"/>
      <c r="H1787" s="15"/>
      <c r="I1787" s="15"/>
      <c r="J1787" s="15"/>
      <c r="K1787" s="15"/>
      <c r="L1787" s="15"/>
      <c r="M1787" s="15"/>
      <c r="N1787" s="15"/>
      <c r="O1787" s="15"/>
      <c r="P1787" s="15"/>
      <c r="Q1787" s="15"/>
      <c r="R1787" s="15"/>
    </row>
    <row r="1788" spans="1:18" x14ac:dyDescent="0.2">
      <c r="A1788" s="15"/>
      <c r="B1788" s="38"/>
      <c r="C1788" s="15"/>
      <c r="D1788" s="15"/>
      <c r="E1788" s="15"/>
      <c r="F1788" s="15"/>
      <c r="G1788" s="15"/>
      <c r="H1788" s="15"/>
      <c r="I1788" s="15"/>
      <c r="J1788" s="15"/>
      <c r="K1788" s="15"/>
      <c r="L1788" s="15"/>
      <c r="M1788" s="15"/>
      <c r="N1788" s="15"/>
      <c r="O1788" s="15"/>
      <c r="P1788" s="15"/>
      <c r="Q1788" s="15"/>
      <c r="R1788" s="15"/>
    </row>
    <row r="1789" spans="1:18" x14ac:dyDescent="0.2">
      <c r="A1789" s="15"/>
      <c r="B1789" s="38"/>
      <c r="C1789" s="15"/>
      <c r="D1789" s="15"/>
      <c r="E1789" s="15"/>
      <c r="F1789" s="15"/>
      <c r="G1789" s="15"/>
      <c r="H1789" s="15"/>
      <c r="I1789" s="15"/>
      <c r="J1789" s="15"/>
      <c r="K1789" s="15"/>
      <c r="L1789" s="15"/>
      <c r="M1789" s="15"/>
      <c r="N1789" s="15"/>
      <c r="O1789" s="15"/>
      <c r="P1789" s="15"/>
      <c r="Q1789" s="15"/>
      <c r="R1789" s="15"/>
    </row>
    <row r="1790" spans="1:18" x14ac:dyDescent="0.2">
      <c r="A1790" s="15"/>
      <c r="B1790" s="38"/>
      <c r="C1790" s="15"/>
      <c r="D1790" s="15"/>
      <c r="E1790" s="15"/>
      <c r="F1790" s="15"/>
      <c r="G1790" s="15"/>
      <c r="H1790" s="15"/>
      <c r="I1790" s="15"/>
      <c r="J1790" s="15"/>
      <c r="K1790" s="15"/>
      <c r="L1790" s="15"/>
      <c r="M1790" s="15"/>
      <c r="N1790" s="15"/>
      <c r="O1790" s="15"/>
      <c r="P1790" s="15"/>
      <c r="Q1790" s="15"/>
      <c r="R1790" s="15"/>
    </row>
    <row r="1791" spans="1:18" x14ac:dyDescent="0.2">
      <c r="A1791" s="15"/>
      <c r="B1791" s="38"/>
      <c r="C1791" s="15"/>
      <c r="D1791" s="15"/>
      <c r="E1791" s="15"/>
      <c r="F1791" s="15"/>
      <c r="G1791" s="15"/>
      <c r="H1791" s="15"/>
      <c r="I1791" s="15"/>
      <c r="J1791" s="15"/>
      <c r="K1791" s="15"/>
      <c r="L1791" s="15"/>
      <c r="M1791" s="15"/>
      <c r="N1791" s="15"/>
      <c r="O1791" s="15"/>
      <c r="P1791" s="15"/>
      <c r="Q1791" s="15"/>
      <c r="R1791" s="15"/>
    </row>
    <row r="1792" spans="1:18" x14ac:dyDescent="0.2">
      <c r="A1792" s="15"/>
      <c r="B1792" s="38"/>
      <c r="C1792" s="15"/>
      <c r="D1792" s="15"/>
      <c r="E1792" s="15"/>
      <c r="F1792" s="15"/>
      <c r="G1792" s="15"/>
      <c r="H1792" s="15"/>
      <c r="I1792" s="15"/>
      <c r="J1792" s="15"/>
      <c r="K1792" s="15"/>
      <c r="L1792" s="15"/>
      <c r="M1792" s="15"/>
      <c r="N1792" s="15"/>
      <c r="O1792" s="15"/>
      <c r="P1792" s="15"/>
      <c r="Q1792" s="15"/>
      <c r="R1792" s="15"/>
    </row>
    <row r="1793" spans="1:18" x14ac:dyDescent="0.2">
      <c r="A1793" s="15"/>
      <c r="B1793" s="38"/>
      <c r="C1793" s="15"/>
      <c r="D1793" s="15"/>
      <c r="E1793" s="15"/>
      <c r="F1793" s="15"/>
      <c r="G1793" s="15"/>
      <c r="H1793" s="15"/>
      <c r="I1793" s="15"/>
      <c r="J1793" s="15"/>
      <c r="K1793" s="15"/>
      <c r="L1793" s="15"/>
      <c r="M1793" s="15"/>
      <c r="N1793" s="15"/>
      <c r="O1793" s="15"/>
      <c r="P1793" s="15"/>
      <c r="Q1793" s="15"/>
      <c r="R1793" s="15"/>
    </row>
    <row r="1794" spans="1:18" x14ac:dyDescent="0.2">
      <c r="A1794" s="15"/>
      <c r="B1794" s="38"/>
      <c r="C1794" s="15"/>
      <c r="D1794" s="15"/>
      <c r="E1794" s="15"/>
      <c r="F1794" s="15"/>
      <c r="G1794" s="15"/>
      <c r="H1794" s="15"/>
      <c r="I1794" s="15"/>
      <c r="J1794" s="15"/>
      <c r="K1794" s="15"/>
      <c r="L1794" s="15"/>
      <c r="M1794" s="15"/>
      <c r="N1794" s="15"/>
      <c r="O1794" s="15"/>
      <c r="P1794" s="15"/>
      <c r="Q1794" s="15"/>
      <c r="R1794" s="15"/>
    </row>
    <row r="1795" spans="1:18" x14ac:dyDescent="0.2">
      <c r="A1795" s="15"/>
      <c r="B1795" s="38"/>
      <c r="C1795" s="15"/>
      <c r="D1795" s="15"/>
      <c r="E1795" s="15"/>
      <c r="F1795" s="15"/>
      <c r="G1795" s="15"/>
      <c r="H1795" s="15"/>
      <c r="I1795" s="15"/>
      <c r="J1795" s="15"/>
      <c r="K1795" s="15"/>
      <c r="L1795" s="15"/>
      <c r="M1795" s="15"/>
      <c r="N1795" s="15"/>
      <c r="O1795" s="15"/>
      <c r="P1795" s="15"/>
      <c r="Q1795" s="15"/>
      <c r="R1795" s="15"/>
    </row>
    <row r="1796" spans="1:18" x14ac:dyDescent="0.2">
      <c r="A1796" s="15"/>
      <c r="B1796" s="38"/>
      <c r="C1796" s="15"/>
      <c r="D1796" s="15"/>
      <c r="E1796" s="15"/>
      <c r="F1796" s="15"/>
      <c r="G1796" s="15"/>
      <c r="H1796" s="15"/>
      <c r="I1796" s="15"/>
      <c r="J1796" s="15"/>
      <c r="K1796" s="15"/>
      <c r="L1796" s="15"/>
      <c r="M1796" s="15"/>
      <c r="N1796" s="15"/>
      <c r="O1796" s="15"/>
      <c r="P1796" s="15"/>
      <c r="Q1796" s="15"/>
      <c r="R1796" s="15"/>
    </row>
    <row r="1797" spans="1:18" x14ac:dyDescent="0.2">
      <c r="A1797" s="15"/>
      <c r="B1797" s="38"/>
      <c r="C1797" s="15"/>
      <c r="D1797" s="15"/>
      <c r="E1797" s="15"/>
      <c r="F1797" s="15"/>
      <c r="G1797" s="15"/>
      <c r="H1797" s="15"/>
      <c r="I1797" s="15"/>
      <c r="J1797" s="15"/>
      <c r="K1797" s="15"/>
      <c r="L1797" s="15"/>
      <c r="M1797" s="15"/>
      <c r="N1797" s="15"/>
      <c r="O1797" s="15"/>
      <c r="P1797" s="15"/>
      <c r="Q1797" s="15"/>
      <c r="R1797" s="15"/>
    </row>
    <row r="1798" spans="1:18" x14ac:dyDescent="0.2">
      <c r="A1798" s="15"/>
      <c r="B1798" s="38"/>
      <c r="C1798" s="15"/>
      <c r="D1798" s="15"/>
      <c r="E1798" s="15"/>
      <c r="F1798" s="15"/>
      <c r="G1798" s="15"/>
      <c r="H1798" s="15"/>
      <c r="I1798" s="15"/>
      <c r="J1798" s="15"/>
      <c r="K1798" s="15"/>
      <c r="L1798" s="15"/>
      <c r="M1798" s="15"/>
      <c r="N1798" s="15"/>
      <c r="O1798" s="15"/>
      <c r="P1798" s="15"/>
      <c r="Q1798" s="15"/>
      <c r="R1798" s="15"/>
    </row>
    <row r="1799" spans="1:18" x14ac:dyDescent="0.2">
      <c r="A1799" s="15"/>
      <c r="B1799" s="38"/>
      <c r="C1799" s="15"/>
      <c r="D1799" s="15"/>
      <c r="E1799" s="15"/>
      <c r="F1799" s="15"/>
      <c r="G1799" s="15"/>
      <c r="H1799" s="15"/>
      <c r="I1799" s="15"/>
      <c r="J1799" s="15"/>
      <c r="K1799" s="15"/>
      <c r="L1799" s="15"/>
      <c r="M1799" s="15"/>
      <c r="N1799" s="15"/>
      <c r="O1799" s="15"/>
      <c r="P1799" s="15"/>
      <c r="Q1799" s="15"/>
      <c r="R1799" s="15"/>
    </row>
    <row r="1800" spans="1:18" x14ac:dyDescent="0.2">
      <c r="A1800" s="15"/>
      <c r="B1800" s="38"/>
      <c r="C1800" s="15"/>
      <c r="D1800" s="15"/>
      <c r="E1800" s="15"/>
      <c r="F1800" s="15"/>
      <c r="G1800" s="15"/>
      <c r="H1800" s="15"/>
      <c r="I1800" s="15"/>
      <c r="J1800" s="15"/>
      <c r="K1800" s="15"/>
      <c r="L1800" s="15"/>
      <c r="M1800" s="15"/>
      <c r="N1800" s="15"/>
      <c r="O1800" s="15"/>
      <c r="P1800" s="15"/>
      <c r="Q1800" s="15"/>
      <c r="R1800" s="15"/>
    </row>
    <row r="1801" spans="1:18" x14ac:dyDescent="0.2">
      <c r="A1801" s="15"/>
      <c r="B1801" s="38"/>
      <c r="C1801" s="15"/>
      <c r="D1801" s="15"/>
      <c r="E1801" s="15"/>
      <c r="F1801" s="15"/>
      <c r="G1801" s="15"/>
      <c r="H1801" s="15"/>
      <c r="I1801" s="15"/>
      <c r="J1801" s="15"/>
      <c r="K1801" s="15"/>
      <c r="L1801" s="15"/>
      <c r="M1801" s="15"/>
      <c r="N1801" s="15"/>
      <c r="O1801" s="15"/>
      <c r="P1801" s="15"/>
      <c r="Q1801" s="15"/>
      <c r="R1801" s="15"/>
    </row>
    <row r="1802" spans="1:18" x14ac:dyDescent="0.2">
      <c r="A1802" s="15"/>
      <c r="B1802" s="38"/>
      <c r="C1802" s="15"/>
      <c r="D1802" s="15"/>
      <c r="E1802" s="15"/>
      <c r="F1802" s="15"/>
      <c r="G1802" s="15"/>
      <c r="H1802" s="15"/>
      <c r="I1802" s="15"/>
      <c r="J1802" s="15"/>
      <c r="K1802" s="15"/>
      <c r="L1802" s="15"/>
      <c r="M1802" s="15"/>
      <c r="N1802" s="15"/>
      <c r="O1802" s="15"/>
      <c r="P1802" s="15"/>
      <c r="Q1802" s="15"/>
      <c r="R1802" s="15"/>
    </row>
    <row r="1803" spans="1:18" x14ac:dyDescent="0.2">
      <c r="A1803" s="15"/>
      <c r="B1803" s="38"/>
      <c r="C1803" s="15"/>
      <c r="D1803" s="15"/>
      <c r="E1803" s="15"/>
      <c r="F1803" s="15"/>
      <c r="G1803" s="15"/>
      <c r="H1803" s="15"/>
      <c r="I1803" s="15"/>
      <c r="J1803" s="15"/>
      <c r="K1803" s="15"/>
      <c r="L1803" s="15"/>
      <c r="M1803" s="15"/>
      <c r="N1803" s="15"/>
      <c r="O1803" s="15"/>
      <c r="P1803" s="15"/>
      <c r="Q1803" s="15"/>
      <c r="R1803" s="15"/>
    </row>
    <row r="1804" spans="1:18" x14ac:dyDescent="0.2">
      <c r="A1804" s="15"/>
      <c r="B1804" s="38"/>
      <c r="C1804" s="15"/>
      <c r="D1804" s="15"/>
      <c r="E1804" s="15"/>
      <c r="F1804" s="15"/>
      <c r="G1804" s="15"/>
      <c r="H1804" s="15"/>
      <c r="I1804" s="15"/>
      <c r="J1804" s="15"/>
      <c r="K1804" s="15"/>
      <c r="L1804" s="15"/>
      <c r="M1804" s="15"/>
      <c r="N1804" s="15"/>
      <c r="O1804" s="15"/>
      <c r="P1804" s="15"/>
      <c r="Q1804" s="15"/>
      <c r="R1804" s="15"/>
    </row>
    <row r="1805" spans="1:18" x14ac:dyDescent="0.2">
      <c r="A1805" s="15"/>
      <c r="B1805" s="38"/>
      <c r="C1805" s="15"/>
      <c r="D1805" s="15"/>
      <c r="E1805" s="15"/>
      <c r="F1805" s="15"/>
      <c r="G1805" s="15"/>
      <c r="H1805" s="15"/>
      <c r="I1805" s="15"/>
      <c r="J1805" s="15"/>
      <c r="K1805" s="15"/>
      <c r="L1805" s="15"/>
      <c r="M1805" s="15"/>
      <c r="N1805" s="15"/>
      <c r="O1805" s="15"/>
      <c r="P1805" s="15"/>
      <c r="Q1805" s="15"/>
      <c r="R1805" s="15"/>
    </row>
    <row r="1806" spans="1:18" x14ac:dyDescent="0.2">
      <c r="A1806" s="15"/>
      <c r="B1806" s="38"/>
      <c r="C1806" s="15"/>
      <c r="D1806" s="15"/>
      <c r="E1806" s="15"/>
      <c r="F1806" s="15"/>
      <c r="G1806" s="15"/>
      <c r="H1806" s="15"/>
      <c r="I1806" s="15"/>
      <c r="J1806" s="15"/>
      <c r="K1806" s="15"/>
      <c r="L1806" s="15"/>
      <c r="M1806" s="15"/>
      <c r="N1806" s="15"/>
      <c r="O1806" s="15"/>
      <c r="P1806" s="15"/>
      <c r="Q1806" s="15"/>
      <c r="R1806" s="15"/>
    </row>
    <row r="1807" spans="1:18" x14ac:dyDescent="0.2">
      <c r="A1807" s="15"/>
      <c r="B1807" s="38"/>
      <c r="C1807" s="15"/>
      <c r="D1807" s="15"/>
      <c r="E1807" s="15"/>
      <c r="F1807" s="15"/>
      <c r="G1807" s="15"/>
      <c r="H1807" s="15"/>
      <c r="I1807" s="15"/>
      <c r="J1807" s="15"/>
      <c r="K1807" s="15"/>
      <c r="L1807" s="15"/>
      <c r="M1807" s="15"/>
      <c r="N1807" s="15"/>
      <c r="O1807" s="15"/>
      <c r="P1807" s="15"/>
      <c r="Q1807" s="15"/>
      <c r="R1807" s="15"/>
    </row>
    <row r="1808" spans="1:18" x14ac:dyDescent="0.2">
      <c r="A1808" s="15"/>
      <c r="B1808" s="38"/>
      <c r="C1808" s="15"/>
      <c r="D1808" s="15"/>
      <c r="E1808" s="15"/>
      <c r="F1808" s="15"/>
      <c r="G1808" s="15"/>
      <c r="H1808" s="15"/>
      <c r="I1808" s="15"/>
      <c r="J1808" s="15"/>
      <c r="K1808" s="15"/>
      <c r="L1808" s="15"/>
      <c r="M1808" s="15"/>
      <c r="N1808" s="15"/>
      <c r="O1808" s="15"/>
      <c r="P1808" s="15"/>
      <c r="Q1808" s="15"/>
      <c r="R1808" s="15"/>
    </row>
    <row r="1809" spans="1:18" x14ac:dyDescent="0.2">
      <c r="A1809" s="15"/>
      <c r="B1809" s="38"/>
      <c r="C1809" s="15"/>
      <c r="D1809" s="15"/>
      <c r="E1809" s="15"/>
      <c r="F1809" s="15"/>
      <c r="G1809" s="15"/>
      <c r="H1809" s="15"/>
      <c r="I1809" s="15"/>
      <c r="J1809" s="15"/>
      <c r="K1809" s="15"/>
      <c r="L1809" s="15"/>
      <c r="M1809" s="15"/>
      <c r="N1809" s="15"/>
      <c r="O1809" s="15"/>
      <c r="P1809" s="15"/>
      <c r="Q1809" s="15"/>
      <c r="R1809" s="15"/>
    </row>
    <row r="1810" spans="1:18" x14ac:dyDescent="0.2">
      <c r="A1810" s="15"/>
      <c r="B1810" s="38"/>
      <c r="C1810" s="15"/>
      <c r="D1810" s="15"/>
      <c r="E1810" s="15"/>
      <c r="F1810" s="15"/>
      <c r="G1810" s="15"/>
      <c r="H1810" s="15"/>
      <c r="I1810" s="15"/>
      <c r="J1810" s="15"/>
      <c r="K1810" s="15"/>
      <c r="L1810" s="15"/>
      <c r="M1810" s="15"/>
      <c r="N1810" s="15"/>
      <c r="O1810" s="15"/>
      <c r="P1810" s="15"/>
      <c r="Q1810" s="15"/>
      <c r="R1810" s="15"/>
    </row>
    <row r="1811" spans="1:18" x14ac:dyDescent="0.2">
      <c r="A1811" s="15"/>
      <c r="B1811" s="38"/>
      <c r="C1811" s="15"/>
      <c r="D1811" s="15"/>
      <c r="E1811" s="15"/>
      <c r="F1811" s="15"/>
      <c r="G1811" s="15"/>
      <c r="H1811" s="15"/>
      <c r="I1811" s="15"/>
      <c r="J1811" s="15"/>
      <c r="K1811" s="15"/>
      <c r="L1811" s="15"/>
      <c r="M1811" s="15"/>
      <c r="N1811" s="15"/>
      <c r="O1811" s="15"/>
      <c r="P1811" s="15"/>
      <c r="Q1811" s="15"/>
      <c r="R1811" s="15"/>
    </row>
    <row r="1812" spans="1:18" x14ac:dyDescent="0.2">
      <c r="A1812" s="15"/>
      <c r="B1812" s="38"/>
      <c r="C1812" s="15"/>
      <c r="D1812" s="15"/>
      <c r="E1812" s="15"/>
      <c r="F1812" s="15"/>
      <c r="G1812" s="15"/>
      <c r="H1812" s="15"/>
      <c r="I1812" s="15"/>
      <c r="J1812" s="15"/>
      <c r="K1812" s="15"/>
      <c r="L1812" s="15"/>
      <c r="M1812" s="15"/>
      <c r="N1812" s="15"/>
      <c r="O1812" s="15"/>
      <c r="P1812" s="15"/>
      <c r="Q1812" s="15"/>
      <c r="R1812" s="15"/>
    </row>
    <row r="1813" spans="1:18" x14ac:dyDescent="0.2">
      <c r="A1813" s="15"/>
      <c r="B1813" s="38"/>
      <c r="C1813" s="15"/>
      <c r="D1813" s="15"/>
      <c r="E1813" s="15"/>
      <c r="F1813" s="15"/>
      <c r="G1813" s="15"/>
      <c r="H1813" s="15"/>
      <c r="I1813" s="15"/>
      <c r="J1813" s="15"/>
      <c r="K1813" s="15"/>
      <c r="L1813" s="15"/>
      <c r="M1813" s="15"/>
      <c r="N1813" s="15"/>
      <c r="O1813" s="15"/>
      <c r="P1813" s="15"/>
      <c r="Q1813" s="15"/>
      <c r="R1813" s="15"/>
    </row>
    <row r="1814" spans="1:18" x14ac:dyDescent="0.2">
      <c r="A1814" s="15"/>
      <c r="B1814" s="38"/>
      <c r="C1814" s="15"/>
      <c r="D1814" s="15"/>
      <c r="E1814" s="15"/>
      <c r="F1814" s="15"/>
      <c r="G1814" s="15"/>
      <c r="H1814" s="15"/>
      <c r="I1814" s="15"/>
      <c r="J1814" s="15"/>
      <c r="K1814" s="15"/>
      <c r="L1814" s="15"/>
      <c r="M1814" s="15"/>
      <c r="N1814" s="15"/>
      <c r="O1814" s="15"/>
      <c r="P1814" s="15"/>
      <c r="Q1814" s="15"/>
      <c r="R1814" s="15"/>
    </row>
    <row r="1815" spans="1:18" x14ac:dyDescent="0.2">
      <c r="A1815" s="15"/>
      <c r="B1815" s="38"/>
      <c r="C1815" s="15"/>
      <c r="D1815" s="15"/>
      <c r="E1815" s="15"/>
      <c r="F1815" s="15"/>
      <c r="G1815" s="15"/>
      <c r="H1815" s="15"/>
      <c r="I1815" s="15"/>
      <c r="J1815" s="15"/>
      <c r="K1815" s="15"/>
      <c r="L1815" s="15"/>
      <c r="M1815" s="15"/>
      <c r="N1815" s="15"/>
      <c r="O1815" s="15"/>
      <c r="P1815" s="15"/>
      <c r="Q1815" s="15"/>
      <c r="R1815" s="15"/>
    </row>
    <row r="1816" spans="1:18" x14ac:dyDescent="0.2">
      <c r="A1816" s="15"/>
      <c r="B1816" s="38"/>
      <c r="C1816" s="15"/>
      <c r="D1816" s="15"/>
      <c r="E1816" s="15"/>
      <c r="F1816" s="15"/>
      <c r="G1816" s="15"/>
      <c r="H1816" s="15"/>
      <c r="I1816" s="15"/>
      <c r="J1816" s="15"/>
      <c r="K1816" s="15"/>
      <c r="L1816" s="15"/>
      <c r="M1816" s="15"/>
      <c r="N1816" s="15"/>
      <c r="O1816" s="15"/>
      <c r="P1816" s="15"/>
      <c r="Q1816" s="15"/>
      <c r="R1816" s="15"/>
    </row>
    <row r="1817" spans="1:18" x14ac:dyDescent="0.2">
      <c r="A1817" s="15"/>
      <c r="B1817" s="38"/>
      <c r="C1817" s="15"/>
      <c r="D1817" s="15"/>
      <c r="E1817" s="15"/>
      <c r="F1817" s="15"/>
      <c r="G1817" s="15"/>
      <c r="H1817" s="15"/>
      <c r="I1817" s="15"/>
      <c r="J1817" s="15"/>
      <c r="K1817" s="15"/>
      <c r="L1817" s="15"/>
      <c r="M1817" s="15"/>
      <c r="N1817" s="15"/>
      <c r="O1817" s="15"/>
      <c r="P1817" s="15"/>
      <c r="Q1817" s="15"/>
      <c r="R1817" s="15"/>
    </row>
    <row r="1818" spans="1:18" x14ac:dyDescent="0.2">
      <c r="A1818" s="15"/>
      <c r="B1818" s="38"/>
      <c r="C1818" s="15"/>
      <c r="D1818" s="15"/>
      <c r="E1818" s="15"/>
      <c r="F1818" s="15"/>
      <c r="G1818" s="15"/>
      <c r="H1818" s="15"/>
      <c r="I1818" s="15"/>
      <c r="J1818" s="15"/>
      <c r="K1818" s="15"/>
      <c r="L1818" s="15"/>
      <c r="M1818" s="15"/>
      <c r="N1818" s="15"/>
      <c r="O1818" s="15"/>
      <c r="P1818" s="15"/>
      <c r="Q1818" s="15"/>
      <c r="R1818" s="15"/>
    </row>
    <row r="1819" spans="1:18" x14ac:dyDescent="0.2">
      <c r="A1819" s="15"/>
      <c r="B1819" s="38"/>
      <c r="C1819" s="15"/>
      <c r="D1819" s="15"/>
      <c r="E1819" s="15"/>
      <c r="F1819" s="15"/>
      <c r="G1819" s="15"/>
      <c r="H1819" s="15"/>
      <c r="I1819" s="15"/>
      <c r="J1819" s="15"/>
      <c r="K1819" s="15"/>
      <c r="L1819" s="15"/>
      <c r="M1819" s="15"/>
      <c r="N1819" s="15"/>
      <c r="O1819" s="15"/>
      <c r="P1819" s="15"/>
      <c r="Q1819" s="15"/>
      <c r="R1819" s="15"/>
    </row>
    <row r="1820" spans="1:18" x14ac:dyDescent="0.2">
      <c r="A1820" s="15"/>
      <c r="B1820" s="38"/>
      <c r="C1820" s="15"/>
      <c r="D1820" s="15"/>
      <c r="E1820" s="15"/>
      <c r="F1820" s="15"/>
      <c r="G1820" s="15"/>
      <c r="H1820" s="15"/>
      <c r="I1820" s="15"/>
      <c r="J1820" s="15"/>
      <c r="K1820" s="15"/>
      <c r="L1820" s="15"/>
      <c r="M1820" s="15"/>
      <c r="N1820" s="15"/>
      <c r="O1820" s="15"/>
      <c r="P1820" s="15"/>
      <c r="Q1820" s="15"/>
      <c r="R1820" s="15"/>
    </row>
    <row r="1821" spans="1:18" x14ac:dyDescent="0.2">
      <c r="A1821" s="15"/>
      <c r="B1821" s="38"/>
      <c r="C1821" s="15"/>
      <c r="D1821" s="15"/>
      <c r="E1821" s="15"/>
      <c r="F1821" s="15"/>
      <c r="G1821" s="15"/>
      <c r="H1821" s="15"/>
      <c r="I1821" s="15"/>
      <c r="J1821" s="15"/>
      <c r="K1821" s="15"/>
      <c r="L1821" s="15"/>
      <c r="M1821" s="15"/>
      <c r="N1821" s="15"/>
      <c r="O1821" s="15"/>
      <c r="P1821" s="15"/>
      <c r="Q1821" s="15"/>
      <c r="R1821" s="15"/>
    </row>
    <row r="1822" spans="1:18" x14ac:dyDescent="0.2">
      <c r="A1822" s="15"/>
      <c r="B1822" s="38"/>
      <c r="C1822" s="15"/>
      <c r="D1822" s="15"/>
      <c r="E1822" s="15"/>
      <c r="F1822" s="15"/>
      <c r="G1822" s="15"/>
      <c r="H1822" s="15"/>
      <c r="I1822" s="15"/>
      <c r="J1822" s="15"/>
      <c r="K1822" s="15"/>
      <c r="L1822" s="15"/>
      <c r="M1822" s="15"/>
      <c r="N1822" s="15"/>
      <c r="O1822" s="15"/>
      <c r="P1822" s="15"/>
      <c r="Q1822" s="15"/>
      <c r="R1822" s="15"/>
    </row>
    <row r="1823" spans="1:18" x14ac:dyDescent="0.2">
      <c r="A1823" s="15"/>
      <c r="B1823" s="38"/>
      <c r="C1823" s="15"/>
      <c r="D1823" s="15"/>
      <c r="E1823" s="15"/>
      <c r="F1823" s="15"/>
      <c r="G1823" s="15"/>
      <c r="H1823" s="15"/>
      <c r="I1823" s="15"/>
      <c r="J1823" s="15"/>
      <c r="K1823" s="15"/>
      <c r="L1823" s="15"/>
      <c r="M1823" s="15"/>
      <c r="N1823" s="15"/>
      <c r="O1823" s="15"/>
      <c r="P1823" s="15"/>
      <c r="Q1823" s="15"/>
      <c r="R1823" s="15"/>
    </row>
    <row r="1824" spans="1:18" x14ac:dyDescent="0.2">
      <c r="A1824" s="15"/>
      <c r="B1824" s="38"/>
      <c r="C1824" s="15"/>
      <c r="D1824" s="15"/>
      <c r="E1824" s="15"/>
      <c r="F1824" s="15"/>
      <c r="G1824" s="15"/>
      <c r="H1824" s="15"/>
      <c r="I1824" s="15"/>
      <c r="J1824" s="15"/>
      <c r="K1824" s="15"/>
      <c r="L1824" s="15"/>
      <c r="M1824" s="15"/>
      <c r="N1824" s="15"/>
      <c r="O1824" s="15"/>
      <c r="P1824" s="15"/>
      <c r="Q1824" s="15"/>
      <c r="R1824" s="15"/>
    </row>
    <row r="1825" spans="1:18" x14ac:dyDescent="0.2">
      <c r="A1825" s="15"/>
      <c r="B1825" s="38"/>
      <c r="C1825" s="15"/>
      <c r="D1825" s="15"/>
      <c r="E1825" s="15"/>
      <c r="F1825" s="15"/>
      <c r="G1825" s="15"/>
      <c r="H1825" s="15"/>
      <c r="I1825" s="15"/>
      <c r="J1825" s="15"/>
      <c r="K1825" s="15"/>
      <c r="L1825" s="15"/>
      <c r="M1825" s="15"/>
      <c r="N1825" s="15"/>
      <c r="O1825" s="15"/>
      <c r="P1825" s="15"/>
      <c r="Q1825" s="15"/>
      <c r="R1825" s="15"/>
    </row>
    <row r="1826" spans="1:18" x14ac:dyDescent="0.2">
      <c r="A1826" s="15"/>
      <c r="B1826" s="38"/>
      <c r="C1826" s="15"/>
      <c r="D1826" s="15"/>
      <c r="E1826" s="15"/>
      <c r="F1826" s="15"/>
      <c r="G1826" s="15"/>
      <c r="H1826" s="15"/>
      <c r="I1826" s="15"/>
      <c r="J1826" s="15"/>
      <c r="K1826" s="15"/>
      <c r="L1826" s="15"/>
      <c r="M1826" s="15"/>
      <c r="N1826" s="15"/>
      <c r="O1826" s="15"/>
      <c r="P1826" s="15"/>
      <c r="Q1826" s="15"/>
      <c r="R1826" s="15"/>
    </row>
    <row r="1827" spans="1:18" x14ac:dyDescent="0.2">
      <c r="A1827" s="15"/>
      <c r="B1827" s="38"/>
      <c r="C1827" s="15"/>
      <c r="D1827" s="15"/>
      <c r="E1827" s="15"/>
      <c r="F1827" s="15"/>
      <c r="G1827" s="15"/>
      <c r="H1827" s="15"/>
      <c r="I1827" s="15"/>
      <c r="J1827" s="15"/>
      <c r="K1827" s="15"/>
      <c r="L1827" s="15"/>
      <c r="M1827" s="15"/>
      <c r="N1827" s="15"/>
      <c r="O1827" s="15"/>
      <c r="P1827" s="15"/>
      <c r="Q1827" s="15"/>
      <c r="R1827" s="15"/>
    </row>
    <row r="1828" spans="1:18" x14ac:dyDescent="0.2">
      <c r="A1828" s="15"/>
      <c r="B1828" s="38"/>
      <c r="C1828" s="15"/>
      <c r="D1828" s="15"/>
      <c r="E1828" s="15"/>
      <c r="F1828" s="15"/>
      <c r="G1828" s="15"/>
      <c r="H1828" s="15"/>
      <c r="I1828" s="15"/>
      <c r="J1828" s="15"/>
      <c r="K1828" s="15"/>
      <c r="L1828" s="15"/>
      <c r="M1828" s="15"/>
      <c r="N1828" s="15"/>
      <c r="O1828" s="15"/>
      <c r="P1828" s="15"/>
      <c r="Q1828" s="15"/>
      <c r="R1828" s="15"/>
    </row>
    <row r="1829" spans="1:18" x14ac:dyDescent="0.2">
      <c r="A1829" s="15"/>
      <c r="B1829" s="38"/>
      <c r="C1829" s="15"/>
      <c r="D1829" s="15"/>
      <c r="E1829" s="15"/>
      <c r="F1829" s="15"/>
      <c r="G1829" s="15"/>
      <c r="H1829" s="15"/>
      <c r="I1829" s="15"/>
      <c r="J1829" s="15"/>
      <c r="K1829" s="15"/>
      <c r="L1829" s="15"/>
      <c r="M1829" s="15"/>
      <c r="N1829" s="15"/>
      <c r="O1829" s="15"/>
      <c r="P1829" s="15"/>
      <c r="Q1829" s="15"/>
      <c r="R1829" s="15"/>
    </row>
    <row r="1830" spans="1:18" x14ac:dyDescent="0.2">
      <c r="A1830" s="15"/>
      <c r="B1830" s="38"/>
      <c r="C1830" s="15"/>
      <c r="D1830" s="15"/>
      <c r="E1830" s="15"/>
      <c r="F1830" s="15"/>
      <c r="G1830" s="15"/>
      <c r="H1830" s="15"/>
      <c r="I1830" s="15"/>
      <c r="J1830" s="15"/>
      <c r="K1830" s="15"/>
      <c r="L1830" s="15"/>
      <c r="M1830" s="15"/>
      <c r="N1830" s="15"/>
      <c r="O1830" s="15"/>
      <c r="P1830" s="15"/>
      <c r="Q1830" s="15"/>
      <c r="R1830" s="15"/>
    </row>
    <row r="1831" spans="1:18" x14ac:dyDescent="0.2">
      <c r="A1831" s="15"/>
      <c r="B1831" s="38"/>
      <c r="C1831" s="15"/>
      <c r="D1831" s="15"/>
      <c r="E1831" s="15"/>
      <c r="F1831" s="15"/>
      <c r="G1831" s="15"/>
      <c r="H1831" s="15"/>
      <c r="I1831" s="15"/>
      <c r="J1831" s="15"/>
      <c r="K1831" s="15"/>
      <c r="L1831" s="15"/>
      <c r="M1831" s="15"/>
      <c r="N1831" s="15"/>
      <c r="O1831" s="15"/>
      <c r="P1831" s="15"/>
      <c r="Q1831" s="15"/>
      <c r="R1831" s="15"/>
    </row>
    <row r="1832" spans="1:18" x14ac:dyDescent="0.2">
      <c r="A1832" s="15"/>
      <c r="B1832" s="38"/>
      <c r="C1832" s="15"/>
      <c r="D1832" s="15"/>
      <c r="E1832" s="15"/>
      <c r="F1832" s="15"/>
      <c r="G1832" s="15"/>
      <c r="H1832" s="15"/>
      <c r="I1832" s="15"/>
      <c r="J1832" s="15"/>
      <c r="K1832" s="15"/>
      <c r="L1832" s="15"/>
      <c r="M1832" s="15"/>
      <c r="N1832" s="15"/>
      <c r="O1832" s="15"/>
      <c r="P1832" s="15"/>
      <c r="Q1832" s="15"/>
      <c r="R1832" s="15"/>
    </row>
    <row r="1833" spans="1:18" x14ac:dyDescent="0.2">
      <c r="A1833" s="15"/>
      <c r="B1833" s="38"/>
      <c r="C1833" s="15"/>
      <c r="D1833" s="15"/>
      <c r="E1833" s="15"/>
      <c r="F1833" s="15"/>
      <c r="G1833" s="15"/>
      <c r="H1833" s="15"/>
      <c r="I1833" s="15"/>
      <c r="J1833" s="15"/>
      <c r="K1833" s="15"/>
      <c r="L1833" s="15"/>
      <c r="M1833" s="15"/>
      <c r="N1833" s="15"/>
      <c r="O1833" s="15"/>
      <c r="P1833" s="15"/>
      <c r="Q1833" s="15"/>
      <c r="R1833" s="15"/>
    </row>
    <row r="1834" spans="1:18" x14ac:dyDescent="0.2">
      <c r="A1834" s="15"/>
      <c r="B1834" s="38"/>
      <c r="C1834" s="15"/>
      <c r="D1834" s="15"/>
      <c r="E1834" s="15"/>
      <c r="F1834" s="15"/>
      <c r="G1834" s="15"/>
      <c r="H1834" s="15"/>
      <c r="I1834" s="15"/>
      <c r="J1834" s="15"/>
      <c r="K1834" s="15"/>
      <c r="L1834" s="15"/>
      <c r="M1834" s="15"/>
      <c r="N1834" s="15"/>
      <c r="O1834" s="15"/>
      <c r="P1834" s="15"/>
      <c r="Q1834" s="15"/>
      <c r="R1834" s="15"/>
    </row>
    <row r="1835" spans="1:18" x14ac:dyDescent="0.2">
      <c r="A1835" s="15"/>
      <c r="B1835" s="38"/>
      <c r="C1835" s="15"/>
      <c r="D1835" s="15"/>
      <c r="E1835" s="15"/>
      <c r="F1835" s="15"/>
      <c r="G1835" s="15"/>
      <c r="H1835" s="15"/>
      <c r="I1835" s="15"/>
      <c r="J1835" s="15"/>
      <c r="K1835" s="15"/>
      <c r="L1835" s="15"/>
      <c r="M1835" s="15"/>
      <c r="N1835" s="15"/>
      <c r="O1835" s="15"/>
      <c r="P1835" s="15"/>
      <c r="Q1835" s="15"/>
      <c r="R1835" s="15"/>
    </row>
    <row r="1836" spans="1:18" x14ac:dyDescent="0.2">
      <c r="A1836" s="15"/>
      <c r="B1836" s="38"/>
      <c r="C1836" s="15"/>
      <c r="D1836" s="15"/>
      <c r="E1836" s="15"/>
      <c r="F1836" s="15"/>
      <c r="G1836" s="15"/>
      <c r="H1836" s="15"/>
      <c r="I1836" s="15"/>
      <c r="J1836" s="15"/>
      <c r="K1836" s="15"/>
      <c r="L1836" s="15"/>
      <c r="M1836" s="15"/>
      <c r="N1836" s="15"/>
      <c r="O1836" s="15"/>
      <c r="P1836" s="15"/>
      <c r="Q1836" s="15"/>
      <c r="R1836" s="15"/>
    </row>
    <row r="1837" spans="1:18" x14ac:dyDescent="0.2">
      <c r="A1837" s="15"/>
      <c r="B1837" s="38"/>
      <c r="C1837" s="15"/>
      <c r="D1837" s="15"/>
      <c r="E1837" s="15"/>
      <c r="F1837" s="15"/>
      <c r="G1837" s="15"/>
      <c r="H1837" s="15"/>
      <c r="I1837" s="15"/>
      <c r="J1837" s="15"/>
      <c r="K1837" s="15"/>
      <c r="L1837" s="15"/>
      <c r="M1837" s="15"/>
      <c r="N1837" s="15"/>
      <c r="O1837" s="15"/>
      <c r="P1837" s="15"/>
      <c r="Q1837" s="15"/>
      <c r="R1837" s="15"/>
    </row>
    <row r="1838" spans="1:18" x14ac:dyDescent="0.2">
      <c r="A1838" s="15"/>
      <c r="B1838" s="38"/>
      <c r="C1838" s="15"/>
      <c r="D1838" s="15"/>
      <c r="E1838" s="15"/>
      <c r="F1838" s="15"/>
      <c r="G1838" s="15"/>
      <c r="H1838" s="15"/>
      <c r="I1838" s="15"/>
      <c r="J1838" s="15"/>
      <c r="K1838" s="15"/>
      <c r="L1838" s="15"/>
      <c r="M1838" s="15"/>
      <c r="N1838" s="15"/>
      <c r="O1838" s="15"/>
      <c r="P1838" s="15"/>
      <c r="Q1838" s="15"/>
      <c r="R1838" s="15"/>
    </row>
    <row r="1839" spans="1:18" x14ac:dyDescent="0.2">
      <c r="A1839" s="15"/>
      <c r="B1839" s="38"/>
      <c r="C1839" s="15"/>
      <c r="D1839" s="15"/>
      <c r="E1839" s="15"/>
      <c r="F1839" s="15"/>
      <c r="G1839" s="15"/>
      <c r="H1839" s="15"/>
      <c r="I1839" s="15"/>
      <c r="J1839" s="15"/>
      <c r="K1839" s="15"/>
      <c r="L1839" s="15"/>
      <c r="M1839" s="15"/>
      <c r="N1839" s="15"/>
      <c r="O1839" s="15"/>
      <c r="P1839" s="15"/>
      <c r="Q1839" s="15"/>
      <c r="R1839" s="15"/>
    </row>
    <row r="1840" spans="1:18" x14ac:dyDescent="0.2">
      <c r="A1840" s="15"/>
      <c r="B1840" s="38"/>
      <c r="C1840" s="15"/>
      <c r="D1840" s="15"/>
      <c r="E1840" s="15"/>
      <c r="F1840" s="15"/>
      <c r="G1840" s="15"/>
      <c r="H1840" s="15"/>
      <c r="I1840" s="15"/>
      <c r="J1840" s="15"/>
      <c r="K1840" s="15"/>
      <c r="L1840" s="15"/>
      <c r="M1840" s="15"/>
      <c r="N1840" s="15"/>
      <c r="O1840" s="15"/>
      <c r="P1840" s="15"/>
      <c r="Q1840" s="15"/>
      <c r="R1840" s="15"/>
    </row>
    <row r="1841" spans="1:18" x14ac:dyDescent="0.2">
      <c r="A1841" s="15"/>
      <c r="B1841" s="38"/>
      <c r="C1841" s="15"/>
      <c r="D1841" s="15"/>
      <c r="E1841" s="15"/>
      <c r="F1841" s="15"/>
      <c r="G1841" s="15"/>
      <c r="H1841" s="15"/>
      <c r="I1841" s="15"/>
      <c r="J1841" s="15"/>
      <c r="K1841" s="15"/>
      <c r="L1841" s="15"/>
      <c r="M1841" s="15"/>
      <c r="N1841" s="15"/>
      <c r="O1841" s="15"/>
      <c r="P1841" s="15"/>
      <c r="Q1841" s="15"/>
      <c r="R1841" s="15"/>
    </row>
    <row r="1842" spans="1:18" x14ac:dyDescent="0.2">
      <c r="A1842" s="15"/>
      <c r="B1842" s="38"/>
      <c r="C1842" s="15"/>
      <c r="D1842" s="15"/>
      <c r="E1842" s="15"/>
      <c r="F1842" s="15"/>
      <c r="G1842" s="15"/>
      <c r="H1842" s="15"/>
      <c r="I1842" s="15"/>
      <c r="J1842" s="15"/>
      <c r="K1842" s="15"/>
      <c r="L1842" s="15"/>
      <c r="M1842" s="15"/>
      <c r="N1842" s="15"/>
      <c r="O1842" s="15"/>
      <c r="P1842" s="15"/>
      <c r="Q1842" s="15"/>
      <c r="R1842" s="15"/>
    </row>
    <row r="1843" spans="1:18" x14ac:dyDescent="0.2">
      <c r="A1843" s="15"/>
      <c r="B1843" s="38"/>
      <c r="C1843" s="15"/>
      <c r="D1843" s="15"/>
      <c r="E1843" s="15"/>
      <c r="F1843" s="15"/>
      <c r="G1843" s="15"/>
      <c r="H1843" s="15"/>
      <c r="I1843" s="15"/>
      <c r="J1843" s="15"/>
      <c r="K1843" s="15"/>
      <c r="L1843" s="15"/>
      <c r="M1843" s="15"/>
      <c r="N1843" s="15"/>
      <c r="O1843" s="15"/>
      <c r="P1843" s="15"/>
      <c r="Q1843" s="15"/>
      <c r="R1843" s="15"/>
    </row>
    <row r="1844" spans="1:18" x14ac:dyDescent="0.2">
      <c r="A1844" s="15"/>
      <c r="B1844" s="38"/>
      <c r="C1844" s="15"/>
      <c r="D1844" s="15"/>
      <c r="E1844" s="15"/>
      <c r="F1844" s="15"/>
      <c r="G1844" s="15"/>
      <c r="H1844" s="15"/>
      <c r="I1844" s="15"/>
      <c r="J1844" s="15"/>
      <c r="K1844" s="15"/>
      <c r="L1844" s="15"/>
      <c r="M1844" s="15"/>
      <c r="N1844" s="15"/>
      <c r="O1844" s="15"/>
      <c r="P1844" s="15"/>
      <c r="Q1844" s="15"/>
      <c r="R1844" s="15"/>
    </row>
    <row r="1845" spans="1:18" x14ac:dyDescent="0.2">
      <c r="A1845" s="15"/>
      <c r="B1845" s="38"/>
      <c r="C1845" s="15"/>
      <c r="D1845" s="15"/>
      <c r="E1845" s="15"/>
      <c r="F1845" s="15"/>
      <c r="G1845" s="15"/>
      <c r="H1845" s="15"/>
      <c r="I1845" s="15"/>
      <c r="J1845" s="15"/>
      <c r="K1845" s="15"/>
      <c r="L1845" s="15"/>
      <c r="M1845" s="15"/>
      <c r="N1845" s="15"/>
      <c r="O1845" s="15"/>
      <c r="P1845" s="15"/>
      <c r="Q1845" s="15"/>
      <c r="R1845" s="15"/>
    </row>
    <row r="1846" spans="1:18" x14ac:dyDescent="0.2">
      <c r="A1846" s="15"/>
      <c r="B1846" s="38"/>
      <c r="C1846" s="15"/>
      <c r="D1846" s="15"/>
      <c r="E1846" s="15"/>
      <c r="F1846" s="15"/>
      <c r="G1846" s="15"/>
      <c r="H1846" s="15"/>
      <c r="I1846" s="15"/>
      <c r="J1846" s="15"/>
      <c r="K1846" s="15"/>
      <c r="L1846" s="15"/>
      <c r="M1846" s="15"/>
      <c r="N1846" s="15"/>
      <c r="O1846" s="15"/>
      <c r="P1846" s="15"/>
      <c r="Q1846" s="15"/>
      <c r="R1846" s="15"/>
    </row>
    <row r="1847" spans="1:18" x14ac:dyDescent="0.2">
      <c r="A1847" s="15"/>
      <c r="B1847" s="38"/>
      <c r="C1847" s="15"/>
      <c r="D1847" s="15"/>
      <c r="E1847" s="15"/>
      <c r="F1847" s="15"/>
      <c r="G1847" s="15"/>
      <c r="H1847" s="15"/>
      <c r="I1847" s="15"/>
      <c r="J1847" s="15"/>
      <c r="K1847" s="15"/>
      <c r="L1847" s="15"/>
      <c r="M1847" s="15"/>
      <c r="N1847" s="15"/>
      <c r="O1847" s="15"/>
      <c r="P1847" s="15"/>
      <c r="Q1847" s="15"/>
      <c r="R1847" s="15"/>
    </row>
    <row r="1848" spans="1:18" x14ac:dyDescent="0.2">
      <c r="A1848" s="15"/>
      <c r="B1848" s="38"/>
      <c r="C1848" s="15"/>
      <c r="D1848" s="15"/>
      <c r="E1848" s="15"/>
      <c r="F1848" s="15"/>
      <c r="G1848" s="15"/>
      <c r="H1848" s="15"/>
      <c r="I1848" s="15"/>
      <c r="J1848" s="15"/>
      <c r="K1848" s="15"/>
      <c r="L1848" s="15"/>
      <c r="M1848" s="15"/>
      <c r="N1848" s="15"/>
      <c r="O1848" s="15"/>
      <c r="P1848" s="15"/>
      <c r="Q1848" s="15"/>
      <c r="R1848" s="15"/>
    </row>
    <row r="1849" spans="1:18" x14ac:dyDescent="0.2">
      <c r="A1849" s="15"/>
      <c r="B1849" s="38"/>
      <c r="C1849" s="15"/>
      <c r="D1849" s="15"/>
      <c r="E1849" s="15"/>
      <c r="F1849" s="15"/>
      <c r="G1849" s="15"/>
      <c r="H1849" s="15"/>
      <c r="I1849" s="15"/>
      <c r="J1849" s="15"/>
      <c r="K1849" s="15"/>
      <c r="L1849" s="15"/>
      <c r="M1849" s="15"/>
      <c r="N1849" s="15"/>
      <c r="O1849" s="15"/>
      <c r="P1849" s="15"/>
      <c r="Q1849" s="15"/>
      <c r="R1849" s="15"/>
    </row>
    <row r="1850" spans="1:18" x14ac:dyDescent="0.2">
      <c r="A1850" s="15"/>
      <c r="B1850" s="38"/>
      <c r="C1850" s="15"/>
      <c r="D1850" s="15"/>
      <c r="E1850" s="15"/>
      <c r="F1850" s="15"/>
      <c r="G1850" s="15"/>
      <c r="H1850" s="15"/>
      <c r="I1850" s="15"/>
      <c r="J1850" s="15"/>
      <c r="K1850" s="15"/>
      <c r="L1850" s="15"/>
      <c r="M1850" s="15"/>
      <c r="N1850" s="15"/>
      <c r="O1850" s="15"/>
      <c r="P1850" s="15"/>
      <c r="Q1850" s="15"/>
      <c r="R1850" s="15"/>
    </row>
    <row r="1851" spans="1:18" x14ac:dyDescent="0.2">
      <c r="A1851" s="15"/>
      <c r="B1851" s="38"/>
      <c r="C1851" s="15"/>
      <c r="D1851" s="15"/>
      <c r="E1851" s="15"/>
      <c r="F1851" s="15"/>
      <c r="G1851" s="15"/>
      <c r="H1851" s="15"/>
      <c r="I1851" s="15"/>
      <c r="J1851" s="15"/>
      <c r="K1851" s="15"/>
      <c r="L1851" s="15"/>
      <c r="M1851" s="15"/>
      <c r="N1851" s="15"/>
      <c r="O1851" s="15"/>
      <c r="P1851" s="15"/>
      <c r="Q1851" s="15"/>
      <c r="R1851" s="15"/>
    </row>
    <row r="1852" spans="1:18" x14ac:dyDescent="0.2">
      <c r="A1852" s="15"/>
      <c r="B1852" s="38"/>
      <c r="C1852" s="15"/>
      <c r="D1852" s="15"/>
      <c r="E1852" s="15"/>
      <c r="F1852" s="15"/>
      <c r="G1852" s="15"/>
      <c r="H1852" s="15"/>
      <c r="I1852" s="15"/>
      <c r="J1852" s="15"/>
      <c r="K1852" s="15"/>
      <c r="L1852" s="15"/>
      <c r="M1852" s="15"/>
      <c r="N1852" s="15"/>
      <c r="O1852" s="15"/>
      <c r="P1852" s="15"/>
      <c r="Q1852" s="15"/>
      <c r="R1852" s="15"/>
    </row>
    <row r="1853" spans="1:18" x14ac:dyDescent="0.2">
      <c r="A1853" s="15"/>
      <c r="B1853" s="38"/>
      <c r="C1853" s="15"/>
      <c r="D1853" s="15"/>
      <c r="E1853" s="15"/>
      <c r="F1853" s="15"/>
      <c r="G1853" s="15"/>
      <c r="H1853" s="15"/>
      <c r="I1853" s="15"/>
      <c r="J1853" s="15"/>
      <c r="K1853" s="15"/>
      <c r="L1853" s="15"/>
      <c r="M1853" s="15"/>
      <c r="N1853" s="15"/>
      <c r="O1853" s="15"/>
      <c r="P1853" s="15"/>
      <c r="Q1853" s="15"/>
      <c r="R1853" s="15"/>
    </row>
    <row r="1854" spans="1:18" x14ac:dyDescent="0.2">
      <c r="A1854" s="15"/>
      <c r="B1854" s="38"/>
      <c r="C1854" s="15"/>
      <c r="D1854" s="15"/>
      <c r="E1854" s="15"/>
      <c r="F1854" s="15"/>
      <c r="G1854" s="15"/>
      <c r="H1854" s="15"/>
      <c r="I1854" s="15"/>
      <c r="J1854" s="15"/>
      <c r="K1854" s="15"/>
      <c r="L1854" s="15"/>
      <c r="M1854" s="15"/>
      <c r="N1854" s="15"/>
      <c r="O1854" s="15"/>
      <c r="P1854" s="15"/>
      <c r="Q1854" s="15"/>
      <c r="R1854" s="15"/>
    </row>
    <row r="1855" spans="1:18" x14ac:dyDescent="0.2">
      <c r="A1855" s="15"/>
      <c r="B1855" s="38"/>
      <c r="C1855" s="15"/>
      <c r="D1855" s="15"/>
      <c r="E1855" s="15"/>
      <c r="F1855" s="15"/>
      <c r="G1855" s="15"/>
      <c r="H1855" s="15"/>
      <c r="I1855" s="15"/>
      <c r="J1855" s="15"/>
      <c r="K1855" s="15"/>
      <c r="L1855" s="15"/>
      <c r="M1855" s="15"/>
      <c r="N1855" s="15"/>
      <c r="O1855" s="15"/>
      <c r="P1855" s="15"/>
      <c r="Q1855" s="15"/>
      <c r="R1855" s="15"/>
    </row>
    <row r="1856" spans="1:18" x14ac:dyDescent="0.2">
      <c r="A1856" s="15"/>
      <c r="B1856" s="38"/>
      <c r="C1856" s="15"/>
      <c r="D1856" s="15"/>
      <c r="E1856" s="15"/>
      <c r="F1856" s="15"/>
      <c r="G1856" s="15"/>
      <c r="H1856" s="15"/>
      <c r="I1856" s="15"/>
      <c r="J1856" s="15"/>
      <c r="K1856" s="15"/>
      <c r="L1856" s="15"/>
      <c r="M1856" s="15"/>
      <c r="N1856" s="15"/>
      <c r="O1856" s="15"/>
      <c r="P1856" s="15"/>
      <c r="Q1856" s="15"/>
      <c r="R1856" s="15"/>
    </row>
    <row r="1857" spans="1:18" x14ac:dyDescent="0.2">
      <c r="A1857" s="15"/>
      <c r="B1857" s="38"/>
      <c r="C1857" s="15"/>
      <c r="D1857" s="15"/>
      <c r="E1857" s="15"/>
      <c r="F1857" s="15"/>
      <c r="G1857" s="15"/>
      <c r="H1857" s="15"/>
      <c r="I1857" s="15"/>
      <c r="J1857" s="15"/>
      <c r="K1857" s="15"/>
      <c r="L1857" s="15"/>
      <c r="M1857" s="15"/>
      <c r="N1857" s="15"/>
      <c r="O1857" s="15"/>
      <c r="P1857" s="15"/>
      <c r="Q1857" s="15"/>
      <c r="R1857" s="15"/>
    </row>
    <row r="1858" spans="1:18" x14ac:dyDescent="0.2">
      <c r="A1858" s="15"/>
      <c r="B1858" s="38"/>
      <c r="C1858" s="15"/>
      <c r="D1858" s="15"/>
      <c r="E1858" s="15"/>
      <c r="F1858" s="15"/>
      <c r="G1858" s="15"/>
      <c r="H1858" s="15"/>
      <c r="I1858" s="15"/>
      <c r="J1858" s="15"/>
      <c r="K1858" s="15"/>
      <c r="L1858" s="15"/>
      <c r="M1858" s="15"/>
      <c r="N1858" s="15"/>
      <c r="O1858" s="15"/>
      <c r="P1858" s="15"/>
      <c r="Q1858" s="15"/>
      <c r="R1858" s="15"/>
    </row>
    <row r="1859" spans="1:18" x14ac:dyDescent="0.2">
      <c r="A1859" s="15"/>
      <c r="B1859" s="38"/>
      <c r="C1859" s="15"/>
      <c r="D1859" s="15"/>
      <c r="E1859" s="15"/>
      <c r="F1859" s="15"/>
      <c r="G1859" s="15"/>
      <c r="H1859" s="15"/>
      <c r="I1859" s="15"/>
      <c r="J1859" s="15"/>
      <c r="K1859" s="15"/>
      <c r="L1859" s="15"/>
      <c r="M1859" s="15"/>
      <c r="N1859" s="15"/>
      <c r="O1859" s="15"/>
      <c r="P1859" s="15"/>
      <c r="Q1859" s="15"/>
      <c r="R1859" s="15"/>
    </row>
    <row r="1860" spans="1:18" x14ac:dyDescent="0.2">
      <c r="A1860" s="15"/>
      <c r="B1860" s="38"/>
      <c r="C1860" s="15"/>
      <c r="D1860" s="15"/>
      <c r="E1860" s="15"/>
      <c r="F1860" s="15"/>
      <c r="G1860" s="15"/>
      <c r="H1860" s="15"/>
      <c r="I1860" s="15"/>
      <c r="J1860" s="15"/>
      <c r="K1860" s="15"/>
      <c r="L1860" s="15"/>
      <c r="M1860" s="15"/>
      <c r="N1860" s="15"/>
      <c r="O1860" s="15"/>
      <c r="P1860" s="15"/>
      <c r="Q1860" s="15"/>
      <c r="R1860" s="15"/>
    </row>
    <row r="1861" spans="1:18" x14ac:dyDescent="0.2">
      <c r="A1861" s="15"/>
      <c r="B1861" s="38"/>
      <c r="C1861" s="15"/>
      <c r="D1861" s="15"/>
      <c r="E1861" s="15"/>
      <c r="F1861" s="15"/>
      <c r="G1861" s="15"/>
      <c r="H1861" s="15"/>
      <c r="I1861" s="15"/>
      <c r="J1861" s="15"/>
      <c r="K1861" s="15"/>
      <c r="L1861" s="15"/>
      <c r="M1861" s="15"/>
      <c r="N1861" s="15"/>
      <c r="O1861" s="15"/>
      <c r="P1861" s="15"/>
      <c r="Q1861" s="15"/>
      <c r="R1861" s="15"/>
    </row>
    <row r="1862" spans="1:18" x14ac:dyDescent="0.2">
      <c r="A1862" s="15"/>
      <c r="B1862" s="38"/>
      <c r="C1862" s="15"/>
      <c r="D1862" s="15"/>
      <c r="E1862" s="15"/>
      <c r="F1862" s="15"/>
      <c r="G1862" s="15"/>
      <c r="H1862" s="15"/>
      <c r="I1862" s="15"/>
      <c r="J1862" s="15"/>
      <c r="K1862" s="15"/>
      <c r="L1862" s="15"/>
      <c r="M1862" s="15"/>
      <c r="N1862" s="15"/>
      <c r="O1862" s="15"/>
      <c r="P1862" s="15"/>
      <c r="Q1862" s="15"/>
      <c r="R1862" s="15"/>
    </row>
    <row r="1863" spans="1:18" x14ac:dyDescent="0.2">
      <c r="A1863" s="15"/>
      <c r="B1863" s="38"/>
      <c r="C1863" s="15"/>
      <c r="D1863" s="15"/>
      <c r="E1863" s="15"/>
      <c r="F1863" s="15"/>
      <c r="G1863" s="15"/>
      <c r="H1863" s="15"/>
      <c r="I1863" s="15"/>
      <c r="J1863" s="15"/>
      <c r="K1863" s="15"/>
      <c r="L1863" s="15"/>
      <c r="M1863" s="15"/>
      <c r="N1863" s="15"/>
      <c r="O1863" s="15"/>
      <c r="P1863" s="15"/>
      <c r="Q1863" s="15"/>
      <c r="R1863" s="15"/>
    </row>
    <row r="1864" spans="1:18" x14ac:dyDescent="0.2">
      <c r="A1864" s="15"/>
      <c r="B1864" s="38"/>
      <c r="C1864" s="15"/>
      <c r="D1864" s="15"/>
      <c r="E1864" s="15"/>
      <c r="F1864" s="15"/>
      <c r="G1864" s="15"/>
      <c r="H1864" s="15"/>
      <c r="I1864" s="15"/>
      <c r="J1864" s="15"/>
      <c r="K1864" s="15"/>
      <c r="L1864" s="15"/>
      <c r="M1864" s="15"/>
      <c r="N1864" s="15"/>
      <c r="O1864" s="15"/>
      <c r="P1864" s="15"/>
      <c r="Q1864" s="15"/>
      <c r="R1864" s="15"/>
    </row>
    <row r="1865" spans="1:18" x14ac:dyDescent="0.2">
      <c r="A1865" s="15"/>
      <c r="B1865" s="38"/>
      <c r="C1865" s="15"/>
      <c r="D1865" s="15"/>
      <c r="E1865" s="15"/>
      <c r="F1865" s="15"/>
      <c r="G1865" s="15"/>
      <c r="H1865" s="15"/>
      <c r="I1865" s="15"/>
      <c r="J1865" s="15"/>
      <c r="K1865" s="15"/>
      <c r="L1865" s="15"/>
      <c r="M1865" s="15"/>
      <c r="N1865" s="15"/>
      <c r="O1865" s="15"/>
      <c r="P1865" s="15"/>
      <c r="Q1865" s="15"/>
      <c r="R1865" s="15"/>
    </row>
    <row r="1866" spans="1:18" x14ac:dyDescent="0.2">
      <c r="A1866" s="15"/>
      <c r="B1866" s="38"/>
      <c r="C1866" s="15"/>
      <c r="D1866" s="15"/>
      <c r="E1866" s="15"/>
      <c r="F1866" s="15"/>
      <c r="G1866" s="15"/>
      <c r="H1866" s="15"/>
      <c r="I1866" s="15"/>
      <c r="J1866" s="15"/>
      <c r="K1866" s="15"/>
      <c r="L1866" s="15"/>
      <c r="M1866" s="15"/>
      <c r="N1866" s="15"/>
      <c r="O1866" s="15"/>
      <c r="P1866" s="15"/>
      <c r="Q1866" s="15"/>
      <c r="R1866" s="15"/>
    </row>
    <row r="1867" spans="1:18" x14ac:dyDescent="0.2">
      <c r="A1867" s="15"/>
      <c r="B1867" s="38"/>
      <c r="C1867" s="15"/>
      <c r="D1867" s="15"/>
      <c r="E1867" s="15"/>
      <c r="F1867" s="15"/>
      <c r="G1867" s="15"/>
      <c r="H1867" s="15"/>
      <c r="I1867" s="15"/>
      <c r="J1867" s="15"/>
      <c r="K1867" s="15"/>
      <c r="L1867" s="15"/>
      <c r="M1867" s="15"/>
      <c r="N1867" s="15"/>
      <c r="O1867" s="15"/>
      <c r="P1867" s="15"/>
      <c r="Q1867" s="15"/>
      <c r="R1867" s="15"/>
    </row>
    <row r="1868" spans="1:18" x14ac:dyDescent="0.2">
      <c r="A1868" s="15"/>
      <c r="B1868" s="38"/>
      <c r="C1868" s="15"/>
      <c r="D1868" s="15"/>
      <c r="E1868" s="15"/>
      <c r="F1868" s="15"/>
      <c r="G1868" s="15"/>
      <c r="H1868" s="15"/>
      <c r="I1868" s="15"/>
      <c r="J1868" s="15"/>
      <c r="K1868" s="15"/>
      <c r="L1868" s="15"/>
      <c r="M1868" s="15"/>
      <c r="N1868" s="15"/>
      <c r="O1868" s="15"/>
      <c r="P1868" s="15"/>
      <c r="Q1868" s="15"/>
      <c r="R1868" s="15"/>
    </row>
    <row r="1869" spans="1:18" x14ac:dyDescent="0.2">
      <c r="A1869" s="15"/>
      <c r="B1869" s="38"/>
      <c r="C1869" s="15"/>
      <c r="D1869" s="15"/>
      <c r="E1869" s="15"/>
      <c r="F1869" s="15"/>
      <c r="G1869" s="15"/>
      <c r="H1869" s="15"/>
      <c r="I1869" s="15"/>
      <c r="J1869" s="15"/>
      <c r="K1869" s="15"/>
      <c r="L1869" s="15"/>
      <c r="M1869" s="15"/>
      <c r="N1869" s="15"/>
      <c r="O1869" s="15"/>
      <c r="P1869" s="15"/>
      <c r="Q1869" s="15"/>
      <c r="R1869" s="15"/>
    </row>
    <row r="1870" spans="1:18" x14ac:dyDescent="0.2">
      <c r="A1870" s="15"/>
      <c r="B1870" s="38"/>
      <c r="C1870" s="15"/>
      <c r="D1870" s="15"/>
      <c r="E1870" s="15"/>
      <c r="F1870" s="15"/>
      <c r="G1870" s="15"/>
      <c r="H1870" s="15"/>
      <c r="I1870" s="15"/>
      <c r="J1870" s="15"/>
      <c r="K1870" s="15"/>
      <c r="L1870" s="15"/>
      <c r="M1870" s="15"/>
      <c r="N1870" s="15"/>
      <c r="O1870" s="15"/>
      <c r="P1870" s="15"/>
      <c r="Q1870" s="15"/>
      <c r="R1870" s="15"/>
    </row>
    <row r="1871" spans="1:18" x14ac:dyDescent="0.2">
      <c r="A1871" s="15"/>
      <c r="B1871" s="38"/>
      <c r="C1871" s="15"/>
      <c r="D1871" s="15"/>
      <c r="E1871" s="15"/>
      <c r="F1871" s="15"/>
      <c r="G1871" s="15"/>
      <c r="H1871" s="15"/>
      <c r="I1871" s="15"/>
      <c r="J1871" s="15"/>
      <c r="K1871" s="15"/>
      <c r="L1871" s="15"/>
      <c r="M1871" s="15"/>
      <c r="N1871" s="15"/>
      <c r="O1871" s="15"/>
      <c r="P1871" s="15"/>
      <c r="Q1871" s="15"/>
      <c r="R1871" s="15"/>
    </row>
    <row r="1872" spans="1:18" x14ac:dyDescent="0.2">
      <c r="A1872" s="15"/>
      <c r="B1872" s="38"/>
      <c r="C1872" s="15"/>
      <c r="D1872" s="15"/>
      <c r="E1872" s="15"/>
      <c r="F1872" s="15"/>
      <c r="G1872" s="15"/>
      <c r="H1872" s="15"/>
      <c r="I1872" s="15"/>
      <c r="J1872" s="15"/>
      <c r="K1872" s="15"/>
      <c r="L1872" s="15"/>
      <c r="M1872" s="15"/>
      <c r="N1872" s="15"/>
      <c r="O1872" s="15"/>
      <c r="P1872" s="15"/>
      <c r="Q1872" s="15"/>
      <c r="R1872" s="15"/>
    </row>
    <row r="1873" spans="1:18" x14ac:dyDescent="0.2">
      <c r="A1873" s="15"/>
      <c r="B1873" s="38"/>
      <c r="C1873" s="15"/>
      <c r="D1873" s="15"/>
      <c r="E1873" s="15"/>
      <c r="F1873" s="15"/>
      <c r="G1873" s="15"/>
      <c r="H1873" s="15"/>
      <c r="I1873" s="15"/>
      <c r="J1873" s="15"/>
      <c r="K1873" s="15"/>
      <c r="L1873" s="15"/>
      <c r="M1873" s="15"/>
      <c r="N1873" s="15"/>
      <c r="O1873" s="15"/>
      <c r="P1873" s="15"/>
      <c r="Q1873" s="15"/>
      <c r="R1873" s="15"/>
    </row>
    <row r="1874" spans="1:18" x14ac:dyDescent="0.2">
      <c r="A1874" s="15"/>
      <c r="B1874" s="38"/>
      <c r="C1874" s="15"/>
      <c r="D1874" s="15"/>
      <c r="E1874" s="15"/>
      <c r="F1874" s="15"/>
      <c r="G1874" s="15"/>
      <c r="H1874" s="15"/>
      <c r="I1874" s="15"/>
      <c r="J1874" s="15"/>
      <c r="K1874" s="15"/>
      <c r="L1874" s="15"/>
      <c r="M1874" s="15"/>
      <c r="N1874" s="15"/>
      <c r="O1874" s="15"/>
      <c r="P1874" s="15"/>
      <c r="Q1874" s="15"/>
      <c r="R1874" s="15"/>
    </row>
    <row r="1875" spans="1:18" x14ac:dyDescent="0.2">
      <c r="A1875" s="15"/>
      <c r="B1875" s="38"/>
      <c r="C1875" s="15"/>
      <c r="D1875" s="15"/>
      <c r="E1875" s="15"/>
      <c r="F1875" s="15"/>
      <c r="G1875" s="15"/>
      <c r="H1875" s="15"/>
      <c r="I1875" s="15"/>
      <c r="J1875" s="15"/>
      <c r="K1875" s="15"/>
      <c r="L1875" s="15"/>
      <c r="M1875" s="15"/>
      <c r="N1875" s="15"/>
      <c r="O1875" s="15"/>
      <c r="P1875" s="15"/>
      <c r="Q1875" s="15"/>
      <c r="R1875" s="15"/>
    </row>
    <row r="1876" spans="1:18" x14ac:dyDescent="0.2">
      <c r="A1876" s="15"/>
      <c r="B1876" s="38"/>
      <c r="C1876" s="15"/>
      <c r="D1876" s="15"/>
      <c r="E1876" s="15"/>
      <c r="F1876" s="15"/>
      <c r="G1876" s="15"/>
      <c r="H1876" s="15"/>
      <c r="I1876" s="15"/>
      <c r="J1876" s="15"/>
      <c r="K1876" s="15"/>
      <c r="L1876" s="15"/>
      <c r="M1876" s="15"/>
      <c r="N1876" s="15"/>
      <c r="O1876" s="15"/>
      <c r="P1876" s="15"/>
      <c r="Q1876" s="15"/>
      <c r="R1876" s="15"/>
    </row>
    <row r="1877" spans="1:18" x14ac:dyDescent="0.2">
      <c r="A1877" s="15"/>
      <c r="B1877" s="38"/>
      <c r="C1877" s="15"/>
      <c r="D1877" s="15"/>
      <c r="E1877" s="15"/>
      <c r="F1877" s="15"/>
      <c r="G1877" s="15"/>
      <c r="H1877" s="15"/>
      <c r="I1877" s="15"/>
      <c r="J1877" s="15"/>
      <c r="K1877" s="15"/>
      <c r="L1877" s="15"/>
      <c r="M1877" s="15"/>
      <c r="N1877" s="15"/>
      <c r="O1877" s="15"/>
      <c r="P1877" s="15"/>
      <c r="Q1877" s="15"/>
      <c r="R1877" s="15"/>
    </row>
    <row r="1878" spans="1:18" x14ac:dyDescent="0.2">
      <c r="A1878" s="15"/>
      <c r="B1878" s="38"/>
      <c r="C1878" s="15"/>
      <c r="D1878" s="15"/>
      <c r="E1878" s="15"/>
      <c r="F1878" s="15"/>
      <c r="G1878" s="15"/>
      <c r="H1878" s="15"/>
      <c r="I1878" s="15"/>
      <c r="J1878" s="15"/>
      <c r="K1878" s="15"/>
      <c r="L1878" s="15"/>
      <c r="M1878" s="15"/>
      <c r="N1878" s="15"/>
      <c r="O1878" s="15"/>
      <c r="P1878" s="15"/>
      <c r="Q1878" s="15"/>
      <c r="R1878" s="15"/>
    </row>
    <row r="1879" spans="1:18" x14ac:dyDescent="0.2">
      <c r="A1879" s="15"/>
      <c r="B1879" s="38"/>
      <c r="C1879" s="15"/>
      <c r="D1879" s="15"/>
      <c r="E1879" s="15"/>
      <c r="F1879" s="15"/>
      <c r="G1879" s="15"/>
      <c r="H1879" s="15"/>
      <c r="I1879" s="15"/>
      <c r="J1879" s="15"/>
      <c r="K1879" s="15"/>
      <c r="L1879" s="15"/>
      <c r="M1879" s="15"/>
      <c r="N1879" s="15"/>
      <c r="O1879" s="15"/>
      <c r="P1879" s="15"/>
      <c r="Q1879" s="15"/>
      <c r="R1879" s="15"/>
    </row>
    <row r="1880" spans="1:18" x14ac:dyDescent="0.2">
      <c r="A1880" s="15"/>
      <c r="B1880" s="38"/>
      <c r="C1880" s="15"/>
      <c r="D1880" s="15"/>
      <c r="E1880" s="15"/>
      <c r="F1880" s="15"/>
      <c r="G1880" s="15"/>
      <c r="H1880" s="15"/>
      <c r="I1880" s="15"/>
      <c r="J1880" s="15"/>
      <c r="K1880" s="15"/>
      <c r="L1880" s="15"/>
      <c r="M1880" s="15"/>
      <c r="N1880" s="15"/>
      <c r="O1880" s="15"/>
      <c r="P1880" s="15"/>
      <c r="Q1880" s="15"/>
      <c r="R1880" s="15"/>
    </row>
    <row r="1881" spans="1:18" x14ac:dyDescent="0.2">
      <c r="A1881" s="15"/>
      <c r="B1881" s="38"/>
      <c r="C1881" s="15"/>
      <c r="D1881" s="15"/>
      <c r="E1881" s="15"/>
      <c r="F1881" s="15"/>
      <c r="G1881" s="15"/>
      <c r="H1881" s="15"/>
      <c r="I1881" s="15"/>
      <c r="J1881" s="15"/>
      <c r="K1881" s="15"/>
      <c r="L1881" s="15"/>
      <c r="M1881" s="15"/>
      <c r="N1881" s="15"/>
      <c r="O1881" s="15"/>
      <c r="P1881" s="15"/>
      <c r="Q1881" s="15"/>
      <c r="R1881" s="15"/>
    </row>
    <row r="1882" spans="1:18" x14ac:dyDescent="0.2">
      <c r="A1882" s="15"/>
      <c r="B1882" s="38"/>
      <c r="C1882" s="15"/>
      <c r="D1882" s="15"/>
      <c r="E1882" s="15"/>
      <c r="F1882" s="15"/>
      <c r="G1882" s="15"/>
      <c r="H1882" s="15"/>
      <c r="I1882" s="15"/>
      <c r="J1882" s="15"/>
      <c r="K1882" s="15"/>
      <c r="L1882" s="15"/>
      <c r="M1882" s="15"/>
      <c r="N1882" s="15"/>
      <c r="O1882" s="15"/>
      <c r="P1882" s="15"/>
      <c r="Q1882" s="15"/>
      <c r="R1882" s="15"/>
    </row>
    <row r="1883" spans="1:18" x14ac:dyDescent="0.2">
      <c r="A1883" s="15"/>
      <c r="B1883" s="38"/>
      <c r="C1883" s="15"/>
      <c r="D1883" s="15"/>
      <c r="E1883" s="15"/>
      <c r="F1883" s="15"/>
      <c r="G1883" s="15"/>
      <c r="H1883" s="15"/>
      <c r="I1883" s="15"/>
      <c r="J1883" s="15"/>
      <c r="K1883" s="15"/>
      <c r="L1883" s="15"/>
      <c r="M1883" s="15"/>
      <c r="N1883" s="15"/>
      <c r="O1883" s="15"/>
      <c r="P1883" s="15"/>
      <c r="Q1883" s="15"/>
      <c r="R1883" s="15"/>
    </row>
    <row r="1884" spans="1:18" x14ac:dyDescent="0.2">
      <c r="A1884" s="15"/>
      <c r="B1884" s="38"/>
      <c r="C1884" s="15"/>
      <c r="D1884" s="15"/>
      <c r="E1884" s="15"/>
      <c r="F1884" s="15"/>
      <c r="G1884" s="15"/>
      <c r="H1884" s="15"/>
      <c r="I1884" s="15"/>
      <c r="J1884" s="15"/>
      <c r="K1884" s="15"/>
      <c r="L1884" s="15"/>
      <c r="M1884" s="15"/>
      <c r="N1884" s="15"/>
      <c r="O1884" s="15"/>
      <c r="P1884" s="15"/>
      <c r="Q1884" s="15"/>
      <c r="R1884" s="15"/>
    </row>
    <row r="1885" spans="1:18" x14ac:dyDescent="0.2">
      <c r="A1885" s="15"/>
      <c r="B1885" s="38"/>
      <c r="C1885" s="15"/>
      <c r="D1885" s="15"/>
      <c r="E1885" s="15"/>
      <c r="F1885" s="15"/>
      <c r="G1885" s="15"/>
      <c r="H1885" s="15"/>
      <c r="I1885" s="15"/>
      <c r="J1885" s="15"/>
      <c r="K1885" s="15"/>
      <c r="L1885" s="15"/>
      <c r="M1885" s="15"/>
      <c r="N1885" s="15"/>
      <c r="O1885" s="15"/>
      <c r="P1885" s="15"/>
      <c r="Q1885" s="15"/>
      <c r="R1885" s="15"/>
    </row>
    <row r="1886" spans="1:18" x14ac:dyDescent="0.2">
      <c r="A1886" s="15"/>
      <c r="B1886" s="38"/>
      <c r="C1886" s="15"/>
      <c r="D1886" s="15"/>
      <c r="E1886" s="15"/>
      <c r="F1886" s="15"/>
      <c r="G1886" s="15"/>
      <c r="H1886" s="15"/>
      <c r="I1886" s="15"/>
      <c r="J1886" s="15"/>
      <c r="K1886" s="15"/>
      <c r="L1886" s="15"/>
      <c r="M1886" s="15"/>
      <c r="N1886" s="15"/>
      <c r="O1886" s="15"/>
      <c r="P1886" s="15"/>
      <c r="Q1886" s="15"/>
      <c r="R1886" s="15"/>
    </row>
    <row r="1887" spans="1:18" x14ac:dyDescent="0.2">
      <c r="A1887" s="15"/>
      <c r="B1887" s="38"/>
      <c r="C1887" s="15"/>
      <c r="D1887" s="15"/>
      <c r="E1887" s="15"/>
      <c r="F1887" s="15"/>
      <c r="G1887" s="15"/>
      <c r="H1887" s="15"/>
      <c r="I1887" s="15"/>
      <c r="J1887" s="15"/>
      <c r="K1887" s="15"/>
      <c r="L1887" s="15"/>
      <c r="M1887" s="15"/>
      <c r="N1887" s="15"/>
      <c r="O1887" s="15"/>
      <c r="P1887" s="15"/>
      <c r="Q1887" s="15"/>
      <c r="R1887" s="15"/>
    </row>
    <row r="1888" spans="1:18" x14ac:dyDescent="0.2">
      <c r="A1888" s="15"/>
      <c r="B1888" s="38"/>
      <c r="C1888" s="15"/>
      <c r="D1888" s="15"/>
      <c r="E1888" s="15"/>
      <c r="F1888" s="15"/>
      <c r="G1888" s="15"/>
      <c r="H1888" s="15"/>
      <c r="I1888" s="15"/>
      <c r="J1888" s="15"/>
      <c r="K1888" s="15"/>
      <c r="L1888" s="15"/>
      <c r="M1888" s="15"/>
      <c r="N1888" s="15"/>
      <c r="O1888" s="15"/>
      <c r="P1888" s="15"/>
      <c r="Q1888" s="15"/>
      <c r="R1888" s="15"/>
    </row>
    <row r="1889" spans="1:18" x14ac:dyDescent="0.2">
      <c r="A1889" s="15"/>
      <c r="B1889" s="38"/>
      <c r="C1889" s="15"/>
      <c r="D1889" s="15"/>
      <c r="E1889" s="15"/>
      <c r="F1889" s="15"/>
      <c r="G1889" s="15"/>
      <c r="H1889" s="15"/>
      <c r="I1889" s="15"/>
      <c r="J1889" s="15"/>
      <c r="K1889" s="15"/>
      <c r="L1889" s="15"/>
      <c r="M1889" s="15"/>
      <c r="N1889" s="15"/>
      <c r="O1889" s="15"/>
      <c r="P1889" s="15"/>
      <c r="Q1889" s="15"/>
      <c r="R1889" s="15"/>
    </row>
    <row r="1890" spans="1:18" x14ac:dyDescent="0.2">
      <c r="A1890" s="15"/>
      <c r="B1890" s="38"/>
      <c r="C1890" s="15"/>
      <c r="D1890" s="15"/>
      <c r="E1890" s="15"/>
      <c r="F1890" s="15"/>
      <c r="G1890" s="15"/>
      <c r="H1890" s="15"/>
      <c r="I1890" s="15"/>
      <c r="J1890" s="15"/>
      <c r="K1890" s="15"/>
      <c r="L1890" s="15"/>
      <c r="M1890" s="15"/>
      <c r="N1890" s="15"/>
      <c r="O1890" s="15"/>
      <c r="P1890" s="15"/>
      <c r="Q1890" s="15"/>
      <c r="R1890" s="15"/>
    </row>
    <row r="1891" spans="1:18" x14ac:dyDescent="0.2">
      <c r="A1891" s="15"/>
      <c r="B1891" s="38"/>
      <c r="C1891" s="15"/>
      <c r="D1891" s="15"/>
      <c r="E1891" s="15"/>
      <c r="F1891" s="15"/>
      <c r="G1891" s="15"/>
      <c r="H1891" s="15"/>
      <c r="I1891" s="15"/>
      <c r="J1891" s="15"/>
      <c r="K1891" s="15"/>
      <c r="L1891" s="15"/>
      <c r="M1891" s="15"/>
      <c r="N1891" s="15"/>
      <c r="O1891" s="15"/>
      <c r="P1891" s="15"/>
      <c r="Q1891" s="15"/>
      <c r="R1891" s="15"/>
    </row>
    <row r="1892" spans="1:18" x14ac:dyDescent="0.2">
      <c r="A1892" s="15"/>
      <c r="B1892" s="38"/>
      <c r="C1892" s="15"/>
      <c r="D1892" s="15"/>
      <c r="E1892" s="15"/>
      <c r="F1892" s="15"/>
      <c r="G1892" s="15"/>
      <c r="H1892" s="15"/>
      <c r="I1892" s="15"/>
      <c r="J1892" s="15"/>
      <c r="K1892" s="15"/>
      <c r="L1892" s="15"/>
      <c r="M1892" s="15"/>
      <c r="N1892" s="15"/>
      <c r="O1892" s="15"/>
      <c r="P1892" s="15"/>
      <c r="Q1892" s="15"/>
      <c r="R1892" s="15"/>
    </row>
    <row r="1893" spans="1:18" x14ac:dyDescent="0.2">
      <c r="A1893" s="15"/>
      <c r="B1893" s="38"/>
      <c r="C1893" s="15"/>
      <c r="D1893" s="15"/>
      <c r="E1893" s="15"/>
      <c r="F1893" s="15"/>
      <c r="G1893" s="15"/>
      <c r="H1893" s="15"/>
      <c r="I1893" s="15"/>
      <c r="J1893" s="15"/>
      <c r="K1893" s="15"/>
      <c r="L1893" s="15"/>
      <c r="M1893" s="15"/>
      <c r="N1893" s="15"/>
      <c r="O1893" s="15"/>
      <c r="P1893" s="15"/>
      <c r="Q1893" s="15"/>
      <c r="R1893" s="15"/>
    </row>
    <row r="1894" spans="1:18" x14ac:dyDescent="0.2">
      <c r="A1894" s="15"/>
      <c r="B1894" s="38"/>
      <c r="C1894" s="15"/>
      <c r="D1894" s="15"/>
      <c r="E1894" s="15"/>
      <c r="F1894" s="15"/>
      <c r="G1894" s="15"/>
      <c r="H1894" s="15"/>
      <c r="I1894" s="15"/>
      <c r="J1894" s="15"/>
      <c r="K1894" s="15"/>
      <c r="L1894" s="15"/>
      <c r="M1894" s="15"/>
      <c r="N1894" s="15"/>
      <c r="O1894" s="15"/>
      <c r="P1894" s="15"/>
      <c r="Q1894" s="15"/>
      <c r="R1894" s="15"/>
    </row>
    <row r="1895" spans="1:18" x14ac:dyDescent="0.2">
      <c r="A1895" s="15"/>
      <c r="B1895" s="38"/>
      <c r="C1895" s="15"/>
      <c r="D1895" s="15"/>
      <c r="E1895" s="15"/>
      <c r="F1895" s="15"/>
      <c r="G1895" s="15"/>
      <c r="H1895" s="15"/>
      <c r="I1895" s="15"/>
      <c r="J1895" s="15"/>
      <c r="K1895" s="15"/>
      <c r="L1895" s="15"/>
      <c r="M1895" s="15"/>
      <c r="N1895" s="15"/>
      <c r="O1895" s="15"/>
      <c r="P1895" s="15"/>
      <c r="Q1895" s="15"/>
      <c r="R1895" s="15"/>
    </row>
    <row r="1896" spans="1:18" x14ac:dyDescent="0.2">
      <c r="A1896" s="15"/>
      <c r="B1896" s="38"/>
      <c r="C1896" s="15"/>
      <c r="D1896" s="15"/>
      <c r="E1896" s="15"/>
      <c r="F1896" s="15"/>
      <c r="G1896" s="15"/>
      <c r="H1896" s="15"/>
      <c r="I1896" s="15"/>
      <c r="J1896" s="15"/>
      <c r="K1896" s="15"/>
      <c r="L1896" s="15"/>
      <c r="M1896" s="15"/>
      <c r="N1896" s="15"/>
      <c r="O1896" s="15"/>
      <c r="P1896" s="15"/>
      <c r="Q1896" s="15"/>
      <c r="R1896" s="15"/>
    </row>
    <row r="1897" spans="1:18" x14ac:dyDescent="0.2">
      <c r="A1897" s="15"/>
      <c r="B1897" s="38"/>
      <c r="C1897" s="15"/>
      <c r="D1897" s="15"/>
      <c r="E1897" s="15"/>
      <c r="F1897" s="15"/>
      <c r="G1897" s="15"/>
      <c r="H1897" s="15"/>
      <c r="I1897" s="15"/>
      <c r="J1897" s="15"/>
      <c r="K1897" s="15"/>
      <c r="L1897" s="15"/>
      <c r="M1897" s="15"/>
      <c r="N1897" s="15"/>
      <c r="O1897" s="15"/>
      <c r="P1897" s="15"/>
      <c r="Q1897" s="15"/>
      <c r="R1897" s="15"/>
    </row>
    <row r="1898" spans="1:18" x14ac:dyDescent="0.2">
      <c r="A1898" s="15"/>
      <c r="B1898" s="38"/>
      <c r="C1898" s="15"/>
      <c r="D1898" s="15"/>
      <c r="E1898" s="15"/>
      <c r="F1898" s="15"/>
      <c r="G1898" s="15"/>
      <c r="H1898" s="15"/>
      <c r="I1898" s="15"/>
      <c r="J1898" s="15"/>
      <c r="K1898" s="15"/>
      <c r="L1898" s="15"/>
      <c r="M1898" s="15"/>
      <c r="N1898" s="15"/>
      <c r="O1898" s="15"/>
      <c r="P1898" s="15"/>
      <c r="Q1898" s="15"/>
      <c r="R1898" s="15"/>
    </row>
    <row r="1899" spans="1:18" x14ac:dyDescent="0.2">
      <c r="A1899" s="15"/>
      <c r="B1899" s="38"/>
      <c r="C1899" s="15"/>
      <c r="D1899" s="15"/>
      <c r="E1899" s="15"/>
      <c r="F1899" s="15"/>
      <c r="G1899" s="15"/>
      <c r="H1899" s="15"/>
      <c r="I1899" s="15"/>
      <c r="J1899" s="15"/>
      <c r="K1899" s="15"/>
      <c r="L1899" s="15"/>
      <c r="M1899" s="15"/>
      <c r="N1899" s="15"/>
      <c r="O1899" s="15"/>
      <c r="P1899" s="15"/>
      <c r="Q1899" s="15"/>
      <c r="R1899" s="15"/>
    </row>
    <row r="1900" spans="1:18" x14ac:dyDescent="0.2">
      <c r="A1900" s="15"/>
      <c r="B1900" s="38"/>
      <c r="C1900" s="15"/>
      <c r="D1900" s="15"/>
      <c r="E1900" s="15"/>
      <c r="F1900" s="15"/>
      <c r="G1900" s="15"/>
      <c r="H1900" s="15"/>
      <c r="I1900" s="15"/>
      <c r="J1900" s="15"/>
      <c r="K1900" s="15"/>
      <c r="L1900" s="15"/>
      <c r="M1900" s="15"/>
      <c r="N1900" s="15"/>
      <c r="O1900" s="15"/>
      <c r="P1900" s="15"/>
      <c r="Q1900" s="15"/>
      <c r="R1900" s="15"/>
    </row>
    <row r="1901" spans="1:18" x14ac:dyDescent="0.2">
      <c r="A1901" s="15"/>
      <c r="B1901" s="38"/>
      <c r="C1901" s="15"/>
      <c r="D1901" s="15"/>
      <c r="E1901" s="15"/>
      <c r="F1901" s="15"/>
      <c r="G1901" s="15"/>
      <c r="H1901" s="15"/>
      <c r="I1901" s="15"/>
      <c r="J1901" s="15"/>
      <c r="K1901" s="15"/>
      <c r="L1901" s="15"/>
      <c r="M1901" s="15"/>
      <c r="N1901" s="15"/>
      <c r="O1901" s="15"/>
      <c r="P1901" s="15"/>
      <c r="Q1901" s="15"/>
      <c r="R1901" s="15"/>
    </row>
    <row r="1902" spans="1:18" x14ac:dyDescent="0.2">
      <c r="A1902" s="15"/>
      <c r="B1902" s="38"/>
      <c r="C1902" s="15"/>
      <c r="D1902" s="15"/>
      <c r="E1902" s="15"/>
      <c r="F1902" s="15"/>
      <c r="G1902" s="15"/>
      <c r="H1902" s="15"/>
      <c r="I1902" s="15"/>
      <c r="J1902" s="15"/>
      <c r="K1902" s="15"/>
      <c r="L1902" s="15"/>
      <c r="M1902" s="15"/>
      <c r="N1902" s="15"/>
      <c r="O1902" s="15"/>
      <c r="P1902" s="15"/>
      <c r="Q1902" s="15"/>
      <c r="R1902" s="15"/>
    </row>
    <row r="1903" spans="1:18" x14ac:dyDescent="0.2">
      <c r="A1903" s="15"/>
      <c r="B1903" s="38"/>
      <c r="C1903" s="15"/>
      <c r="D1903" s="15"/>
      <c r="E1903" s="15"/>
      <c r="F1903" s="15"/>
      <c r="G1903" s="15"/>
      <c r="H1903" s="15"/>
      <c r="I1903" s="15"/>
      <c r="J1903" s="15"/>
      <c r="K1903" s="15"/>
      <c r="L1903" s="15"/>
      <c r="M1903" s="15"/>
      <c r="N1903" s="15"/>
      <c r="O1903" s="15"/>
      <c r="P1903" s="15"/>
      <c r="Q1903" s="15"/>
      <c r="R1903" s="15"/>
    </row>
    <row r="1904" spans="1:18" x14ac:dyDescent="0.2">
      <c r="A1904" s="15"/>
      <c r="B1904" s="38"/>
      <c r="C1904" s="15"/>
      <c r="D1904" s="15"/>
      <c r="E1904" s="15"/>
      <c r="F1904" s="15"/>
      <c r="G1904" s="15"/>
      <c r="H1904" s="15"/>
      <c r="I1904" s="15"/>
      <c r="J1904" s="15"/>
      <c r="K1904" s="15"/>
      <c r="L1904" s="15"/>
      <c r="M1904" s="15"/>
      <c r="N1904" s="15"/>
      <c r="O1904" s="15"/>
      <c r="P1904" s="15"/>
      <c r="Q1904" s="15"/>
      <c r="R1904" s="15"/>
    </row>
    <row r="1905" spans="1:18" x14ac:dyDescent="0.2">
      <c r="A1905" s="15"/>
      <c r="B1905" s="38"/>
      <c r="C1905" s="15"/>
      <c r="D1905" s="15"/>
      <c r="E1905" s="15"/>
      <c r="F1905" s="15"/>
      <c r="G1905" s="15"/>
      <c r="H1905" s="15"/>
      <c r="I1905" s="15"/>
      <c r="J1905" s="15"/>
      <c r="K1905" s="15"/>
      <c r="L1905" s="15"/>
      <c r="M1905" s="15"/>
      <c r="N1905" s="15"/>
      <c r="O1905" s="15"/>
      <c r="P1905" s="15"/>
      <c r="Q1905" s="15"/>
      <c r="R1905" s="15"/>
    </row>
    <row r="1906" spans="1:18" x14ac:dyDescent="0.2">
      <c r="A1906" s="15"/>
      <c r="B1906" s="38"/>
      <c r="C1906" s="15"/>
      <c r="D1906" s="15"/>
      <c r="E1906" s="15"/>
      <c r="F1906" s="15"/>
      <c r="G1906" s="15"/>
      <c r="H1906" s="15"/>
      <c r="I1906" s="15"/>
      <c r="J1906" s="15"/>
      <c r="K1906" s="15"/>
      <c r="L1906" s="15"/>
      <c r="M1906" s="15"/>
      <c r="N1906" s="15"/>
      <c r="O1906" s="15"/>
      <c r="P1906" s="15"/>
      <c r="Q1906" s="15"/>
      <c r="R1906" s="15"/>
    </row>
    <row r="1907" spans="1:18" x14ac:dyDescent="0.2">
      <c r="A1907" s="15"/>
      <c r="B1907" s="38"/>
      <c r="C1907" s="15"/>
      <c r="D1907" s="15"/>
      <c r="E1907" s="15"/>
      <c r="F1907" s="15"/>
      <c r="G1907" s="15"/>
      <c r="H1907" s="15"/>
      <c r="I1907" s="15"/>
      <c r="J1907" s="15"/>
      <c r="K1907" s="15"/>
      <c r="L1907" s="15"/>
      <c r="M1907" s="15"/>
      <c r="N1907" s="15"/>
      <c r="O1907" s="15"/>
      <c r="P1907" s="15"/>
      <c r="Q1907" s="15"/>
      <c r="R1907" s="15"/>
    </row>
    <row r="1908" spans="1:18" x14ac:dyDescent="0.2">
      <c r="A1908" s="15"/>
      <c r="B1908" s="38"/>
      <c r="C1908" s="15"/>
      <c r="D1908" s="15"/>
      <c r="E1908" s="15"/>
      <c r="F1908" s="15"/>
      <c r="G1908" s="15"/>
      <c r="H1908" s="15"/>
      <c r="I1908" s="15"/>
      <c r="J1908" s="15"/>
      <c r="K1908" s="15"/>
      <c r="L1908" s="15"/>
      <c r="M1908" s="15"/>
      <c r="N1908" s="15"/>
      <c r="O1908" s="15"/>
      <c r="P1908" s="15"/>
      <c r="Q1908" s="15"/>
      <c r="R1908" s="15"/>
    </row>
    <row r="1909" spans="1:18" x14ac:dyDescent="0.2">
      <c r="A1909" s="15"/>
      <c r="B1909" s="38"/>
      <c r="C1909" s="15"/>
      <c r="D1909" s="15"/>
      <c r="E1909" s="15"/>
      <c r="F1909" s="15"/>
      <c r="G1909" s="15"/>
      <c r="H1909" s="15"/>
      <c r="I1909" s="15"/>
      <c r="J1909" s="15"/>
      <c r="K1909" s="15"/>
      <c r="L1909" s="15"/>
      <c r="M1909" s="15"/>
      <c r="N1909" s="15"/>
      <c r="O1909" s="15"/>
      <c r="P1909" s="15"/>
      <c r="Q1909" s="15"/>
      <c r="R1909" s="15"/>
    </row>
    <row r="1910" spans="1:18" x14ac:dyDescent="0.2">
      <c r="A1910" s="15"/>
      <c r="B1910" s="38"/>
      <c r="C1910" s="15"/>
      <c r="D1910" s="15"/>
      <c r="E1910" s="15"/>
      <c r="F1910" s="15"/>
      <c r="G1910" s="15"/>
      <c r="H1910" s="15"/>
      <c r="I1910" s="15"/>
      <c r="J1910" s="15"/>
      <c r="K1910" s="15"/>
      <c r="L1910" s="15"/>
      <c r="M1910" s="15"/>
      <c r="N1910" s="15"/>
      <c r="O1910" s="15"/>
      <c r="P1910" s="15"/>
      <c r="Q1910" s="15"/>
      <c r="R1910" s="15"/>
    </row>
    <row r="1911" spans="1:18" x14ac:dyDescent="0.2">
      <c r="A1911" s="15"/>
      <c r="B1911" s="38"/>
      <c r="C1911" s="15"/>
      <c r="D1911" s="15"/>
      <c r="E1911" s="15"/>
      <c r="F1911" s="15"/>
      <c r="G1911" s="15"/>
      <c r="H1911" s="15"/>
      <c r="I1911" s="15"/>
      <c r="J1911" s="15"/>
      <c r="K1911" s="15"/>
      <c r="L1911" s="15"/>
      <c r="M1911" s="15"/>
      <c r="N1911" s="15"/>
      <c r="O1911" s="15"/>
      <c r="P1911" s="15"/>
      <c r="Q1911" s="15"/>
      <c r="R1911" s="15"/>
    </row>
    <row r="1912" spans="1:18" x14ac:dyDescent="0.2">
      <c r="A1912" s="15"/>
      <c r="B1912" s="38"/>
      <c r="C1912" s="15"/>
      <c r="D1912" s="15"/>
      <c r="E1912" s="15"/>
      <c r="F1912" s="15"/>
      <c r="G1912" s="15"/>
      <c r="H1912" s="15"/>
      <c r="I1912" s="15"/>
      <c r="J1912" s="15"/>
      <c r="K1912" s="15"/>
      <c r="L1912" s="15"/>
      <c r="M1912" s="15"/>
      <c r="N1912" s="15"/>
      <c r="O1912" s="15"/>
      <c r="P1912" s="15"/>
      <c r="Q1912" s="15"/>
      <c r="R1912" s="15"/>
    </row>
    <row r="1913" spans="1:18" x14ac:dyDescent="0.2">
      <c r="A1913" s="15"/>
      <c r="B1913" s="38"/>
      <c r="C1913" s="15"/>
      <c r="D1913" s="15"/>
      <c r="E1913" s="15"/>
      <c r="F1913" s="15"/>
      <c r="G1913" s="15"/>
      <c r="H1913" s="15"/>
      <c r="I1913" s="15"/>
      <c r="J1913" s="15"/>
      <c r="K1913" s="15"/>
      <c r="L1913" s="15"/>
      <c r="M1913" s="15"/>
      <c r="N1913" s="15"/>
      <c r="O1913" s="15"/>
      <c r="P1913" s="15"/>
      <c r="Q1913" s="15"/>
      <c r="R1913" s="15"/>
    </row>
    <row r="1914" spans="1:18" x14ac:dyDescent="0.2">
      <c r="A1914" s="15"/>
      <c r="B1914" s="38"/>
      <c r="C1914" s="15"/>
      <c r="D1914" s="15"/>
      <c r="E1914" s="15"/>
      <c r="F1914" s="15"/>
      <c r="G1914" s="15"/>
      <c r="H1914" s="15"/>
      <c r="I1914" s="15"/>
      <c r="J1914" s="15"/>
      <c r="K1914" s="15"/>
      <c r="L1914" s="15"/>
      <c r="M1914" s="15"/>
      <c r="N1914" s="15"/>
      <c r="O1914" s="15"/>
      <c r="P1914" s="15"/>
      <c r="Q1914" s="15"/>
      <c r="R1914" s="15"/>
    </row>
    <row r="1915" spans="1:18" x14ac:dyDescent="0.2">
      <c r="A1915" s="15"/>
      <c r="B1915" s="38"/>
      <c r="C1915" s="15"/>
      <c r="D1915" s="15"/>
      <c r="E1915" s="15"/>
      <c r="F1915" s="15"/>
      <c r="G1915" s="15"/>
      <c r="H1915" s="15"/>
      <c r="I1915" s="15"/>
      <c r="J1915" s="15"/>
      <c r="K1915" s="15"/>
      <c r="L1915" s="15"/>
      <c r="M1915" s="15"/>
      <c r="N1915" s="15"/>
      <c r="O1915" s="15"/>
      <c r="P1915" s="15"/>
      <c r="Q1915" s="15"/>
      <c r="R1915" s="15"/>
    </row>
    <row r="1916" spans="1:18" x14ac:dyDescent="0.2">
      <c r="A1916" s="15"/>
      <c r="B1916" s="38"/>
      <c r="C1916" s="15"/>
      <c r="D1916" s="15"/>
      <c r="E1916" s="15"/>
      <c r="F1916" s="15"/>
      <c r="G1916" s="15"/>
      <c r="H1916" s="15"/>
      <c r="I1916" s="15"/>
      <c r="J1916" s="15"/>
      <c r="K1916" s="15"/>
      <c r="L1916" s="15"/>
      <c r="M1916" s="15"/>
      <c r="N1916" s="15"/>
      <c r="O1916" s="15"/>
      <c r="P1916" s="15"/>
      <c r="Q1916" s="15"/>
      <c r="R1916" s="15"/>
    </row>
    <row r="1917" spans="1:18" x14ac:dyDescent="0.2">
      <c r="A1917" s="15"/>
      <c r="B1917" s="38"/>
      <c r="C1917" s="15"/>
      <c r="D1917" s="15"/>
      <c r="E1917" s="15"/>
      <c r="F1917" s="15"/>
      <c r="G1917" s="15"/>
      <c r="H1917" s="15"/>
      <c r="I1917" s="15"/>
      <c r="J1917" s="15"/>
      <c r="K1917" s="15"/>
      <c r="L1917" s="15"/>
      <c r="M1917" s="15"/>
      <c r="N1917" s="15"/>
      <c r="O1917" s="15"/>
      <c r="P1917" s="15"/>
      <c r="Q1917" s="15"/>
      <c r="R1917" s="15"/>
    </row>
    <row r="1918" spans="1:18" x14ac:dyDescent="0.2">
      <c r="A1918" s="15"/>
      <c r="B1918" s="38"/>
      <c r="C1918" s="15"/>
      <c r="D1918" s="15"/>
      <c r="E1918" s="15"/>
      <c r="F1918" s="15"/>
      <c r="G1918" s="15"/>
      <c r="H1918" s="15"/>
      <c r="I1918" s="15"/>
      <c r="J1918" s="15"/>
      <c r="K1918" s="15"/>
      <c r="L1918" s="15"/>
      <c r="M1918" s="15"/>
      <c r="N1918" s="15"/>
      <c r="O1918" s="15"/>
      <c r="P1918" s="15"/>
      <c r="Q1918" s="15"/>
      <c r="R1918" s="15"/>
    </row>
    <row r="1919" spans="1:18" x14ac:dyDescent="0.2">
      <c r="A1919" s="15"/>
      <c r="B1919" s="38"/>
      <c r="C1919" s="15"/>
      <c r="D1919" s="15"/>
      <c r="E1919" s="15"/>
      <c r="F1919" s="15"/>
      <c r="G1919" s="15"/>
      <c r="H1919" s="15"/>
      <c r="I1919" s="15"/>
      <c r="J1919" s="15"/>
      <c r="K1919" s="15"/>
      <c r="L1919" s="15"/>
      <c r="M1919" s="15"/>
      <c r="N1919" s="15"/>
      <c r="O1919" s="15"/>
      <c r="P1919" s="15"/>
      <c r="Q1919" s="15"/>
      <c r="R1919" s="15"/>
    </row>
    <row r="1920" spans="1:18" x14ac:dyDescent="0.2">
      <c r="A1920" s="15"/>
      <c r="B1920" s="38"/>
      <c r="C1920" s="15"/>
      <c r="D1920" s="15"/>
      <c r="E1920" s="15"/>
      <c r="F1920" s="15"/>
      <c r="G1920" s="15"/>
      <c r="H1920" s="15"/>
      <c r="I1920" s="15"/>
      <c r="J1920" s="15"/>
      <c r="K1920" s="15"/>
      <c r="L1920" s="15"/>
      <c r="M1920" s="15"/>
      <c r="N1920" s="15"/>
      <c r="O1920" s="15"/>
      <c r="P1920" s="15"/>
      <c r="Q1920" s="15"/>
      <c r="R1920" s="15"/>
    </row>
    <row r="1921" spans="1:18" x14ac:dyDescent="0.2">
      <c r="A1921" s="15"/>
      <c r="B1921" s="38"/>
      <c r="C1921" s="15"/>
      <c r="D1921" s="15"/>
      <c r="E1921" s="15"/>
      <c r="F1921" s="15"/>
      <c r="G1921" s="15"/>
      <c r="H1921" s="15"/>
      <c r="I1921" s="15"/>
      <c r="J1921" s="15"/>
      <c r="K1921" s="15"/>
      <c r="L1921" s="15"/>
      <c r="M1921" s="15"/>
      <c r="N1921" s="15"/>
      <c r="O1921" s="15"/>
      <c r="P1921" s="15"/>
      <c r="Q1921" s="15"/>
      <c r="R1921" s="15"/>
    </row>
    <row r="1922" spans="1:18" x14ac:dyDescent="0.2">
      <c r="A1922" s="15"/>
      <c r="B1922" s="38"/>
      <c r="C1922" s="15"/>
      <c r="D1922" s="15"/>
      <c r="E1922" s="15"/>
      <c r="F1922" s="15"/>
      <c r="G1922" s="15"/>
      <c r="H1922" s="15"/>
      <c r="I1922" s="15"/>
      <c r="J1922" s="15"/>
      <c r="K1922" s="15"/>
      <c r="L1922" s="15"/>
      <c r="M1922" s="15"/>
      <c r="N1922" s="15"/>
      <c r="O1922" s="15"/>
      <c r="P1922" s="15"/>
      <c r="Q1922" s="15"/>
      <c r="R1922" s="15"/>
    </row>
    <row r="1923" spans="1:18" x14ac:dyDescent="0.2">
      <c r="A1923" s="15"/>
      <c r="B1923" s="38"/>
      <c r="C1923" s="15"/>
      <c r="D1923" s="15"/>
      <c r="E1923" s="15"/>
      <c r="F1923" s="15"/>
      <c r="G1923" s="15"/>
      <c r="H1923" s="15"/>
      <c r="I1923" s="15"/>
      <c r="J1923" s="15"/>
      <c r="K1923" s="15"/>
      <c r="L1923" s="15"/>
      <c r="M1923" s="15"/>
      <c r="N1923" s="15"/>
      <c r="O1923" s="15"/>
      <c r="P1923" s="15"/>
      <c r="Q1923" s="15"/>
      <c r="R1923" s="15"/>
    </row>
    <row r="1924" spans="1:18" x14ac:dyDescent="0.2">
      <c r="A1924" s="15"/>
      <c r="B1924" s="38"/>
      <c r="C1924" s="15"/>
      <c r="D1924" s="15"/>
      <c r="E1924" s="15"/>
      <c r="F1924" s="15"/>
      <c r="G1924" s="15"/>
      <c r="H1924" s="15"/>
      <c r="I1924" s="15"/>
      <c r="J1924" s="15"/>
      <c r="K1924" s="15"/>
      <c r="L1924" s="15"/>
      <c r="M1924" s="15"/>
      <c r="N1924" s="15"/>
      <c r="O1924" s="15"/>
      <c r="P1924" s="15"/>
      <c r="Q1924" s="15"/>
      <c r="R1924" s="15"/>
    </row>
    <row r="1925" spans="1:18" x14ac:dyDescent="0.2">
      <c r="A1925" s="15"/>
      <c r="B1925" s="38"/>
      <c r="C1925" s="15"/>
      <c r="D1925" s="15"/>
      <c r="E1925" s="15"/>
      <c r="F1925" s="15"/>
      <c r="G1925" s="15"/>
      <c r="H1925" s="15"/>
      <c r="I1925" s="15"/>
      <c r="J1925" s="15"/>
      <c r="K1925" s="15"/>
      <c r="L1925" s="15"/>
      <c r="M1925" s="15"/>
      <c r="N1925" s="15"/>
      <c r="O1925" s="15"/>
      <c r="P1925" s="15"/>
      <c r="Q1925" s="15"/>
      <c r="R1925" s="15"/>
    </row>
    <row r="1926" spans="1:18" x14ac:dyDescent="0.2">
      <c r="A1926" s="15"/>
      <c r="B1926" s="38"/>
      <c r="C1926" s="15"/>
      <c r="D1926" s="15"/>
      <c r="E1926" s="15"/>
      <c r="F1926" s="15"/>
      <c r="G1926" s="15"/>
      <c r="H1926" s="15"/>
      <c r="I1926" s="15"/>
      <c r="J1926" s="15"/>
      <c r="K1926" s="15"/>
      <c r="L1926" s="15"/>
      <c r="M1926" s="15"/>
      <c r="N1926" s="15"/>
      <c r="O1926" s="15"/>
      <c r="P1926" s="15"/>
      <c r="Q1926" s="15"/>
      <c r="R1926" s="15"/>
    </row>
    <row r="1927" spans="1:18" x14ac:dyDescent="0.2">
      <c r="A1927" s="15"/>
      <c r="B1927" s="38"/>
      <c r="C1927" s="15"/>
      <c r="D1927" s="15"/>
      <c r="E1927" s="15"/>
      <c r="F1927" s="15"/>
      <c r="G1927" s="15"/>
      <c r="H1927" s="15"/>
      <c r="I1927" s="15"/>
      <c r="J1927" s="15"/>
      <c r="K1927" s="15"/>
      <c r="L1927" s="15"/>
      <c r="M1927" s="15"/>
      <c r="N1927" s="15"/>
      <c r="O1927" s="15"/>
      <c r="P1927" s="15"/>
      <c r="Q1927" s="15"/>
      <c r="R1927" s="15"/>
    </row>
    <row r="1928" spans="1:18" x14ac:dyDescent="0.2">
      <c r="A1928" s="15"/>
      <c r="B1928" s="38"/>
      <c r="C1928" s="15"/>
      <c r="D1928" s="15"/>
      <c r="E1928" s="15"/>
      <c r="F1928" s="15"/>
      <c r="G1928" s="15"/>
      <c r="H1928" s="15"/>
      <c r="I1928" s="15"/>
      <c r="J1928" s="15"/>
      <c r="K1928" s="15"/>
      <c r="L1928" s="15"/>
      <c r="M1928" s="15"/>
      <c r="N1928" s="15"/>
      <c r="O1928" s="15"/>
      <c r="P1928" s="15"/>
      <c r="Q1928" s="15"/>
      <c r="R1928" s="15"/>
    </row>
    <row r="1929" spans="1:18" x14ac:dyDescent="0.2">
      <c r="A1929" s="15"/>
      <c r="B1929" s="38"/>
      <c r="C1929" s="15"/>
      <c r="D1929" s="15"/>
      <c r="E1929" s="15"/>
      <c r="F1929" s="15"/>
      <c r="G1929" s="15"/>
      <c r="H1929" s="15"/>
      <c r="I1929" s="15"/>
      <c r="J1929" s="15"/>
      <c r="K1929" s="15"/>
      <c r="L1929" s="15"/>
      <c r="M1929" s="15"/>
      <c r="N1929" s="15"/>
      <c r="O1929" s="15"/>
      <c r="P1929" s="15"/>
      <c r="Q1929" s="15"/>
      <c r="R1929" s="15"/>
    </row>
    <row r="1930" spans="1:18" x14ac:dyDescent="0.2">
      <c r="A1930" s="15"/>
      <c r="B1930" s="38"/>
      <c r="C1930" s="15"/>
      <c r="D1930" s="15"/>
      <c r="E1930" s="15"/>
      <c r="F1930" s="15"/>
      <c r="G1930" s="15"/>
      <c r="H1930" s="15"/>
      <c r="I1930" s="15"/>
      <c r="J1930" s="15"/>
      <c r="K1930" s="15"/>
      <c r="L1930" s="15"/>
      <c r="M1930" s="15"/>
      <c r="N1930" s="15"/>
      <c r="O1930" s="15"/>
      <c r="P1930" s="15"/>
      <c r="Q1930" s="15"/>
      <c r="R1930" s="15"/>
    </row>
    <row r="1931" spans="1:18" x14ac:dyDescent="0.2">
      <c r="A1931" s="15"/>
      <c r="B1931" s="38"/>
      <c r="C1931" s="15"/>
      <c r="D1931" s="15"/>
      <c r="E1931" s="15"/>
      <c r="F1931" s="15"/>
      <c r="G1931" s="15"/>
      <c r="H1931" s="15"/>
      <c r="I1931" s="15"/>
      <c r="J1931" s="15"/>
      <c r="K1931" s="15"/>
      <c r="L1931" s="15"/>
      <c r="M1931" s="15"/>
      <c r="N1931" s="15"/>
      <c r="O1931" s="15"/>
      <c r="P1931" s="15"/>
      <c r="Q1931" s="15"/>
      <c r="R1931" s="15"/>
    </row>
    <row r="1932" spans="1:18" x14ac:dyDescent="0.2">
      <c r="A1932" s="15"/>
      <c r="B1932" s="38"/>
      <c r="C1932" s="15"/>
      <c r="D1932" s="15"/>
      <c r="E1932" s="15"/>
      <c r="F1932" s="15"/>
      <c r="G1932" s="15"/>
      <c r="H1932" s="15"/>
      <c r="I1932" s="15"/>
      <c r="J1932" s="15"/>
      <c r="K1932" s="15"/>
      <c r="L1932" s="15"/>
      <c r="M1932" s="15"/>
      <c r="N1932" s="15"/>
      <c r="O1932" s="15"/>
      <c r="P1932" s="15"/>
      <c r="Q1932" s="15"/>
      <c r="R1932" s="15"/>
    </row>
    <row r="1933" spans="1:18" x14ac:dyDescent="0.2">
      <c r="A1933" s="15"/>
      <c r="B1933" s="38"/>
      <c r="C1933" s="15"/>
      <c r="D1933" s="15"/>
      <c r="E1933" s="15"/>
      <c r="F1933" s="15"/>
      <c r="G1933" s="15"/>
      <c r="H1933" s="15"/>
      <c r="I1933" s="15"/>
      <c r="J1933" s="15"/>
      <c r="K1933" s="15"/>
      <c r="L1933" s="15"/>
      <c r="M1933" s="15"/>
      <c r="N1933" s="15"/>
      <c r="O1933" s="15"/>
      <c r="P1933" s="15"/>
      <c r="Q1933" s="15"/>
      <c r="R1933" s="15"/>
    </row>
    <row r="1934" spans="1:18" x14ac:dyDescent="0.2">
      <c r="A1934" s="15"/>
      <c r="B1934" s="38"/>
      <c r="C1934" s="15"/>
      <c r="D1934" s="15"/>
      <c r="E1934" s="15"/>
      <c r="F1934" s="15"/>
      <c r="G1934" s="15"/>
      <c r="H1934" s="15"/>
      <c r="I1934" s="15"/>
      <c r="J1934" s="15"/>
      <c r="K1934" s="15"/>
      <c r="L1934" s="15"/>
      <c r="M1934" s="15"/>
      <c r="N1934" s="15"/>
      <c r="O1934" s="15"/>
      <c r="P1934" s="15"/>
      <c r="Q1934" s="15"/>
      <c r="R1934" s="15"/>
    </row>
    <row r="1935" spans="1:18" x14ac:dyDescent="0.2">
      <c r="A1935" s="15"/>
      <c r="B1935" s="38"/>
      <c r="C1935" s="15"/>
      <c r="D1935" s="15"/>
      <c r="E1935" s="15"/>
      <c r="F1935" s="15"/>
      <c r="G1935" s="15"/>
      <c r="H1935" s="15"/>
      <c r="I1935" s="15"/>
      <c r="J1935" s="15"/>
      <c r="K1935" s="15"/>
      <c r="L1935" s="15"/>
      <c r="M1935" s="15"/>
      <c r="N1935" s="15"/>
      <c r="O1935" s="15"/>
      <c r="P1935" s="15"/>
      <c r="Q1935" s="15"/>
      <c r="R1935" s="15"/>
    </row>
    <row r="1936" spans="1:18" x14ac:dyDescent="0.2">
      <c r="A1936" s="15"/>
      <c r="B1936" s="38"/>
      <c r="C1936" s="15"/>
      <c r="D1936" s="15"/>
      <c r="E1936" s="15"/>
      <c r="F1936" s="15"/>
      <c r="G1936" s="15"/>
      <c r="H1936" s="15"/>
      <c r="I1936" s="15"/>
      <c r="J1936" s="15"/>
      <c r="K1936" s="15"/>
      <c r="L1936" s="15"/>
      <c r="M1936" s="15"/>
      <c r="N1936" s="15"/>
      <c r="O1936" s="15"/>
      <c r="P1936" s="15"/>
      <c r="Q1936" s="15"/>
      <c r="R1936" s="15"/>
    </row>
    <row r="1937" spans="1:18" x14ac:dyDescent="0.2">
      <c r="A1937" s="15"/>
      <c r="B1937" s="38"/>
      <c r="C1937" s="15"/>
      <c r="D1937" s="15"/>
      <c r="E1937" s="15"/>
      <c r="F1937" s="15"/>
      <c r="G1937" s="15"/>
      <c r="H1937" s="15"/>
      <c r="I1937" s="15"/>
      <c r="J1937" s="15"/>
      <c r="K1937" s="15"/>
      <c r="L1937" s="15"/>
      <c r="M1937" s="15"/>
      <c r="N1937" s="15"/>
      <c r="O1937" s="15"/>
      <c r="P1937" s="15"/>
      <c r="Q1937" s="15"/>
      <c r="R1937" s="15"/>
    </row>
    <row r="1938" spans="1:18" x14ac:dyDescent="0.2">
      <c r="A1938" s="15"/>
      <c r="B1938" s="38"/>
      <c r="C1938" s="15"/>
      <c r="D1938" s="15"/>
      <c r="E1938" s="15"/>
      <c r="F1938" s="15"/>
      <c r="G1938" s="15"/>
      <c r="H1938" s="15"/>
      <c r="I1938" s="15"/>
      <c r="J1938" s="15"/>
      <c r="K1938" s="15"/>
      <c r="L1938" s="15"/>
      <c r="M1938" s="15"/>
      <c r="N1938" s="15"/>
      <c r="O1938" s="15"/>
      <c r="P1938" s="15"/>
      <c r="Q1938" s="15"/>
      <c r="R1938" s="15"/>
    </row>
    <row r="1939" spans="1:18" x14ac:dyDescent="0.2">
      <c r="A1939" s="15"/>
      <c r="B1939" s="38"/>
      <c r="C1939" s="15"/>
      <c r="D1939" s="15"/>
      <c r="E1939" s="15"/>
      <c r="F1939" s="15"/>
      <c r="G1939" s="15"/>
      <c r="H1939" s="15"/>
      <c r="I1939" s="15"/>
      <c r="J1939" s="15"/>
      <c r="K1939" s="15"/>
      <c r="L1939" s="15"/>
      <c r="M1939" s="15"/>
      <c r="N1939" s="15"/>
      <c r="O1939" s="15"/>
      <c r="P1939" s="15"/>
      <c r="Q1939" s="15"/>
      <c r="R1939" s="15"/>
    </row>
    <row r="1940" spans="1:18" x14ac:dyDescent="0.2">
      <c r="A1940" s="15"/>
      <c r="B1940" s="38"/>
      <c r="C1940" s="15"/>
      <c r="D1940" s="15"/>
      <c r="E1940" s="15"/>
      <c r="F1940" s="15"/>
      <c r="G1940" s="15"/>
      <c r="H1940" s="15"/>
      <c r="I1940" s="15"/>
      <c r="J1940" s="15"/>
      <c r="K1940" s="15"/>
      <c r="L1940" s="15"/>
      <c r="M1940" s="15"/>
      <c r="N1940" s="15"/>
      <c r="O1940" s="15"/>
      <c r="P1940" s="15"/>
      <c r="Q1940" s="15"/>
      <c r="R1940" s="15"/>
    </row>
    <row r="1941" spans="1:18" x14ac:dyDescent="0.2">
      <c r="A1941" s="15"/>
      <c r="B1941" s="38"/>
      <c r="C1941" s="15"/>
      <c r="D1941" s="15"/>
      <c r="E1941" s="15"/>
      <c r="F1941" s="15"/>
      <c r="G1941" s="15"/>
      <c r="H1941" s="15"/>
      <c r="I1941" s="15"/>
      <c r="J1941" s="15"/>
      <c r="K1941" s="15"/>
      <c r="L1941" s="15"/>
      <c r="M1941" s="15"/>
      <c r="N1941" s="15"/>
      <c r="O1941" s="15"/>
      <c r="P1941" s="15"/>
      <c r="Q1941" s="15"/>
      <c r="R1941" s="15"/>
    </row>
    <row r="1942" spans="1:18" x14ac:dyDescent="0.2">
      <c r="A1942" s="15"/>
      <c r="B1942" s="38"/>
      <c r="C1942" s="15"/>
      <c r="D1942" s="15"/>
      <c r="E1942" s="15"/>
      <c r="F1942" s="15"/>
      <c r="G1942" s="15"/>
      <c r="H1942" s="15"/>
      <c r="I1942" s="15"/>
      <c r="J1942" s="15"/>
      <c r="K1942" s="15"/>
      <c r="L1942" s="15"/>
      <c r="M1942" s="15"/>
      <c r="N1942" s="15"/>
      <c r="O1942" s="15"/>
      <c r="P1942" s="15"/>
      <c r="Q1942" s="15"/>
      <c r="R1942" s="15"/>
    </row>
    <row r="1943" spans="1:18" x14ac:dyDescent="0.2">
      <c r="A1943" s="15"/>
      <c r="B1943" s="38"/>
      <c r="C1943" s="15"/>
      <c r="D1943" s="15"/>
      <c r="E1943" s="15"/>
      <c r="F1943" s="15"/>
      <c r="G1943" s="15"/>
      <c r="H1943" s="15"/>
      <c r="I1943" s="15"/>
      <c r="J1943" s="15"/>
      <c r="K1943" s="15"/>
      <c r="L1943" s="15"/>
      <c r="M1943" s="15"/>
      <c r="N1943" s="15"/>
      <c r="O1943" s="15"/>
      <c r="P1943" s="15"/>
      <c r="Q1943" s="15"/>
      <c r="R1943" s="15"/>
    </row>
    <row r="1944" spans="1:18" x14ac:dyDescent="0.2">
      <c r="A1944" s="15"/>
      <c r="B1944" s="38"/>
      <c r="C1944" s="15"/>
      <c r="D1944" s="15"/>
      <c r="E1944" s="15"/>
      <c r="F1944" s="15"/>
      <c r="G1944" s="15"/>
      <c r="H1944" s="15"/>
      <c r="I1944" s="15"/>
      <c r="J1944" s="15"/>
      <c r="K1944" s="15"/>
      <c r="L1944" s="15"/>
      <c r="M1944" s="15"/>
      <c r="N1944" s="15"/>
      <c r="O1944" s="15"/>
      <c r="P1944" s="15"/>
      <c r="Q1944" s="15"/>
      <c r="R1944" s="15"/>
    </row>
    <row r="1945" spans="1:18" x14ac:dyDescent="0.2">
      <c r="A1945" s="15"/>
      <c r="B1945" s="38"/>
      <c r="C1945" s="15"/>
      <c r="D1945" s="15"/>
      <c r="E1945" s="15"/>
      <c r="F1945" s="15"/>
      <c r="G1945" s="15"/>
      <c r="H1945" s="15"/>
      <c r="I1945" s="15"/>
      <c r="J1945" s="15"/>
      <c r="K1945" s="15"/>
      <c r="L1945" s="15"/>
      <c r="M1945" s="15"/>
      <c r="N1945" s="15"/>
      <c r="O1945" s="15"/>
      <c r="P1945" s="15"/>
      <c r="Q1945" s="15"/>
      <c r="R1945" s="15"/>
    </row>
    <row r="1946" spans="1:18" x14ac:dyDescent="0.2">
      <c r="A1946" s="15"/>
      <c r="B1946" s="38"/>
      <c r="C1946" s="15"/>
      <c r="D1946" s="15"/>
      <c r="E1946" s="15"/>
      <c r="F1946" s="15"/>
      <c r="G1946" s="15"/>
      <c r="H1946" s="15"/>
      <c r="I1946" s="15"/>
      <c r="J1946" s="15"/>
      <c r="K1946" s="15"/>
      <c r="L1946" s="15"/>
      <c r="M1946" s="15"/>
      <c r="N1946" s="15"/>
      <c r="O1946" s="15"/>
      <c r="P1946" s="15"/>
      <c r="Q1946" s="15"/>
      <c r="R1946" s="15"/>
    </row>
    <row r="1947" spans="1:18" x14ac:dyDescent="0.2">
      <c r="A1947" s="15"/>
      <c r="B1947" s="38"/>
      <c r="C1947" s="15"/>
      <c r="D1947" s="15"/>
      <c r="E1947" s="15"/>
      <c r="F1947" s="15"/>
      <c r="G1947" s="15"/>
      <c r="H1947" s="15"/>
      <c r="I1947" s="15"/>
      <c r="J1947" s="15"/>
      <c r="K1947" s="15"/>
      <c r="L1947" s="15"/>
      <c r="M1947" s="15"/>
      <c r="N1947" s="15"/>
      <c r="O1947" s="15"/>
      <c r="P1947" s="15"/>
      <c r="Q1947" s="15"/>
      <c r="R1947" s="15"/>
    </row>
    <row r="1948" spans="1:18" x14ac:dyDescent="0.2">
      <c r="A1948" s="15"/>
      <c r="B1948" s="38"/>
      <c r="C1948" s="15"/>
      <c r="D1948" s="15"/>
      <c r="E1948" s="15"/>
      <c r="F1948" s="15"/>
      <c r="G1948" s="15"/>
      <c r="H1948" s="15"/>
      <c r="I1948" s="15"/>
      <c r="J1948" s="15"/>
      <c r="K1948" s="15"/>
      <c r="L1948" s="15"/>
      <c r="M1948" s="15"/>
      <c r="N1948" s="15"/>
      <c r="O1948" s="15"/>
      <c r="P1948" s="15"/>
      <c r="Q1948" s="15"/>
      <c r="R1948" s="15"/>
    </row>
    <row r="1949" spans="1:18" x14ac:dyDescent="0.2">
      <c r="A1949" s="15"/>
      <c r="B1949" s="38"/>
      <c r="C1949" s="15"/>
      <c r="D1949" s="15"/>
      <c r="E1949" s="15"/>
      <c r="F1949" s="15"/>
      <c r="G1949" s="15"/>
      <c r="H1949" s="15"/>
      <c r="I1949" s="15"/>
      <c r="J1949" s="15"/>
      <c r="K1949" s="15"/>
      <c r="L1949" s="15"/>
      <c r="M1949" s="15"/>
      <c r="N1949" s="15"/>
      <c r="O1949" s="15"/>
      <c r="P1949" s="15"/>
      <c r="Q1949" s="15"/>
      <c r="R1949" s="15"/>
    </row>
    <row r="1950" spans="1:18" x14ac:dyDescent="0.2">
      <c r="A1950" s="15"/>
      <c r="B1950" s="38"/>
      <c r="C1950" s="15"/>
      <c r="D1950" s="15"/>
      <c r="E1950" s="15"/>
      <c r="F1950" s="15"/>
      <c r="G1950" s="15"/>
      <c r="H1950" s="15"/>
      <c r="I1950" s="15"/>
      <c r="J1950" s="15"/>
      <c r="K1950" s="15"/>
      <c r="L1950" s="15"/>
      <c r="M1950" s="15"/>
      <c r="N1950" s="15"/>
      <c r="O1950" s="15"/>
      <c r="P1950" s="15"/>
      <c r="Q1950" s="15"/>
      <c r="R1950" s="15"/>
    </row>
    <row r="1951" spans="1:18" x14ac:dyDescent="0.2">
      <c r="A1951" s="15"/>
      <c r="B1951" s="38"/>
      <c r="C1951" s="15"/>
      <c r="D1951" s="15"/>
      <c r="E1951" s="15"/>
      <c r="F1951" s="15"/>
      <c r="G1951" s="15"/>
      <c r="H1951" s="15"/>
      <c r="I1951" s="15"/>
      <c r="J1951" s="15"/>
      <c r="K1951" s="15"/>
      <c r="L1951" s="15"/>
      <c r="M1951" s="15"/>
      <c r="N1951" s="15"/>
      <c r="O1951" s="15"/>
      <c r="P1951" s="15"/>
      <c r="Q1951" s="15"/>
      <c r="R1951" s="15"/>
    </row>
    <row r="1952" spans="1:18" x14ac:dyDescent="0.2">
      <c r="A1952" s="15"/>
      <c r="B1952" s="38"/>
      <c r="C1952" s="15"/>
      <c r="D1952" s="15"/>
      <c r="E1952" s="15"/>
      <c r="F1952" s="15"/>
      <c r="G1952" s="15"/>
      <c r="H1952" s="15"/>
      <c r="I1952" s="15"/>
      <c r="J1952" s="15"/>
      <c r="K1952" s="15"/>
      <c r="L1952" s="15"/>
      <c r="M1952" s="15"/>
      <c r="N1952" s="15"/>
      <c r="O1952" s="15"/>
      <c r="P1952" s="15"/>
      <c r="Q1952" s="15"/>
      <c r="R1952" s="15"/>
    </row>
    <row r="1953" spans="1:18" x14ac:dyDescent="0.2">
      <c r="A1953" s="15"/>
      <c r="B1953" s="38"/>
      <c r="C1953" s="15"/>
      <c r="D1953" s="15"/>
      <c r="E1953" s="15"/>
      <c r="F1953" s="15"/>
      <c r="G1953" s="15"/>
      <c r="H1953" s="15"/>
      <c r="I1953" s="15"/>
      <c r="J1953" s="15"/>
      <c r="K1953" s="15"/>
      <c r="L1953" s="15"/>
      <c r="M1953" s="15"/>
      <c r="N1953" s="15"/>
      <c r="O1953" s="15"/>
      <c r="P1953" s="15"/>
      <c r="Q1953" s="15"/>
      <c r="R1953" s="15"/>
    </row>
    <row r="1954" spans="1:18" x14ac:dyDescent="0.2">
      <c r="A1954" s="15"/>
      <c r="B1954" s="38"/>
      <c r="C1954" s="15"/>
      <c r="D1954" s="15"/>
      <c r="E1954" s="15"/>
      <c r="F1954" s="15"/>
      <c r="G1954" s="15"/>
      <c r="H1954" s="15"/>
      <c r="I1954" s="15"/>
      <c r="J1954" s="15"/>
      <c r="K1954" s="15"/>
      <c r="L1954" s="15"/>
      <c r="M1954" s="15"/>
      <c r="N1954" s="15"/>
      <c r="O1954" s="15"/>
      <c r="P1954" s="15"/>
      <c r="Q1954" s="15"/>
      <c r="R1954" s="15"/>
    </row>
    <row r="1955" spans="1:18" x14ac:dyDescent="0.2">
      <c r="A1955" s="15"/>
      <c r="B1955" s="38"/>
      <c r="C1955" s="15"/>
      <c r="D1955" s="15"/>
      <c r="E1955" s="15"/>
      <c r="F1955" s="15"/>
      <c r="G1955" s="15"/>
      <c r="H1955" s="15"/>
      <c r="I1955" s="15"/>
      <c r="J1955" s="15"/>
      <c r="K1955" s="15"/>
      <c r="L1955" s="15"/>
      <c r="M1955" s="15"/>
      <c r="N1955" s="15"/>
      <c r="O1955" s="15"/>
      <c r="P1955" s="15"/>
      <c r="Q1955" s="15"/>
      <c r="R1955" s="15"/>
    </row>
    <row r="1956" spans="1:18" x14ac:dyDescent="0.2">
      <c r="A1956" s="15"/>
      <c r="B1956" s="38"/>
      <c r="C1956" s="15"/>
      <c r="D1956" s="15"/>
      <c r="E1956" s="15"/>
      <c r="F1956" s="15"/>
      <c r="G1956" s="15"/>
      <c r="H1956" s="15"/>
      <c r="I1956" s="15"/>
      <c r="J1956" s="15"/>
      <c r="K1956" s="15"/>
      <c r="L1956" s="15"/>
      <c r="M1956" s="15"/>
      <c r="N1956" s="15"/>
      <c r="O1956" s="15"/>
      <c r="P1956" s="15"/>
      <c r="Q1956" s="15"/>
      <c r="R1956" s="15"/>
    </row>
    <row r="1957" spans="1:18" x14ac:dyDescent="0.2">
      <c r="A1957" s="15"/>
      <c r="B1957" s="38"/>
      <c r="C1957" s="15"/>
      <c r="D1957" s="15"/>
      <c r="E1957" s="15"/>
      <c r="F1957" s="15"/>
      <c r="G1957" s="15"/>
      <c r="H1957" s="15"/>
      <c r="I1957" s="15"/>
      <c r="J1957" s="15"/>
      <c r="K1957" s="15"/>
      <c r="L1957" s="15"/>
      <c r="M1957" s="15"/>
      <c r="N1957" s="15"/>
      <c r="O1957" s="15"/>
      <c r="P1957" s="15"/>
      <c r="Q1957" s="15"/>
      <c r="R1957" s="15"/>
    </row>
    <row r="1958" spans="1:18" x14ac:dyDescent="0.2">
      <c r="A1958" s="15"/>
      <c r="B1958" s="38"/>
      <c r="C1958" s="15"/>
      <c r="D1958" s="15"/>
      <c r="E1958" s="15"/>
      <c r="F1958" s="15"/>
      <c r="G1958" s="15"/>
      <c r="H1958" s="15"/>
      <c r="I1958" s="15"/>
      <c r="J1958" s="15"/>
      <c r="K1958" s="15"/>
      <c r="L1958" s="15"/>
      <c r="M1958" s="15"/>
      <c r="N1958" s="15"/>
      <c r="O1958" s="15"/>
      <c r="P1958" s="15"/>
      <c r="Q1958" s="15"/>
      <c r="R1958" s="15"/>
    </row>
    <row r="1959" spans="1:18" x14ac:dyDescent="0.2">
      <c r="A1959" s="15"/>
      <c r="B1959" s="38"/>
      <c r="C1959" s="15"/>
      <c r="D1959" s="15"/>
      <c r="E1959" s="15"/>
      <c r="F1959" s="15"/>
      <c r="G1959" s="15"/>
      <c r="H1959" s="15"/>
      <c r="I1959" s="15"/>
      <c r="J1959" s="15"/>
      <c r="K1959" s="15"/>
      <c r="L1959" s="15"/>
      <c r="M1959" s="15"/>
      <c r="N1959" s="15"/>
      <c r="O1959" s="15"/>
      <c r="P1959" s="15"/>
      <c r="Q1959" s="15"/>
      <c r="R1959" s="15"/>
    </row>
    <row r="1960" spans="1:18" x14ac:dyDescent="0.2">
      <c r="A1960" s="15"/>
      <c r="B1960" s="38"/>
      <c r="C1960" s="15"/>
      <c r="D1960" s="15"/>
      <c r="E1960" s="15"/>
      <c r="F1960" s="15"/>
      <c r="G1960" s="15"/>
      <c r="H1960" s="15"/>
      <c r="I1960" s="15"/>
      <c r="J1960" s="15"/>
      <c r="K1960" s="15"/>
      <c r="L1960" s="15"/>
      <c r="M1960" s="15"/>
      <c r="N1960" s="15"/>
      <c r="O1960" s="15"/>
      <c r="P1960" s="15"/>
      <c r="Q1960" s="15"/>
      <c r="R1960" s="15"/>
    </row>
    <row r="1961" spans="1:18" x14ac:dyDescent="0.2">
      <c r="A1961" s="15"/>
      <c r="B1961" s="38"/>
      <c r="C1961" s="15"/>
      <c r="D1961" s="15"/>
      <c r="E1961" s="15"/>
      <c r="F1961" s="15"/>
      <c r="G1961" s="15"/>
      <c r="H1961" s="15"/>
      <c r="I1961" s="15"/>
      <c r="J1961" s="15"/>
      <c r="K1961" s="15"/>
      <c r="L1961" s="15"/>
      <c r="M1961" s="15"/>
      <c r="N1961" s="15"/>
      <c r="O1961" s="15"/>
      <c r="P1961" s="15"/>
      <c r="Q1961" s="15"/>
      <c r="R1961" s="15"/>
    </row>
    <row r="1962" spans="1:18" x14ac:dyDescent="0.2">
      <c r="A1962" s="15"/>
      <c r="B1962" s="38"/>
      <c r="C1962" s="15"/>
      <c r="D1962" s="15"/>
      <c r="E1962" s="15"/>
      <c r="F1962" s="15"/>
      <c r="G1962" s="15"/>
      <c r="H1962" s="15"/>
      <c r="I1962" s="15"/>
      <c r="J1962" s="15"/>
      <c r="K1962" s="15"/>
      <c r="L1962" s="15"/>
      <c r="M1962" s="15"/>
      <c r="N1962" s="15"/>
      <c r="O1962" s="15"/>
      <c r="P1962" s="15"/>
      <c r="Q1962" s="15"/>
      <c r="R1962" s="15"/>
    </row>
    <row r="1963" spans="1:18" x14ac:dyDescent="0.2">
      <c r="A1963" s="15"/>
      <c r="B1963" s="38"/>
      <c r="C1963" s="15"/>
      <c r="D1963" s="15"/>
      <c r="E1963" s="15"/>
      <c r="F1963" s="15"/>
      <c r="G1963" s="15"/>
      <c r="H1963" s="15"/>
      <c r="I1963" s="15"/>
      <c r="J1963" s="15"/>
      <c r="K1963" s="15"/>
      <c r="L1963" s="15"/>
      <c r="M1963" s="15"/>
      <c r="N1963" s="15"/>
      <c r="O1963" s="15"/>
      <c r="P1963" s="15"/>
      <c r="Q1963" s="15"/>
      <c r="R1963" s="15"/>
    </row>
    <row r="1964" spans="1:18" x14ac:dyDescent="0.2">
      <c r="A1964" s="15"/>
      <c r="B1964" s="38"/>
      <c r="C1964" s="15"/>
      <c r="D1964" s="15"/>
      <c r="E1964" s="15"/>
      <c r="F1964" s="15"/>
      <c r="G1964" s="15"/>
      <c r="H1964" s="15"/>
      <c r="I1964" s="15"/>
      <c r="J1964" s="15"/>
      <c r="K1964" s="15"/>
      <c r="L1964" s="15"/>
      <c r="M1964" s="15"/>
      <c r="N1964" s="15"/>
      <c r="O1964" s="15"/>
      <c r="P1964" s="15"/>
      <c r="Q1964" s="15"/>
      <c r="R1964" s="15"/>
    </row>
    <row r="1965" spans="1:18" x14ac:dyDescent="0.2">
      <c r="A1965" s="15"/>
      <c r="B1965" s="38"/>
      <c r="C1965" s="15"/>
      <c r="D1965" s="15"/>
      <c r="E1965" s="15"/>
      <c r="F1965" s="15"/>
      <c r="G1965" s="15"/>
      <c r="H1965" s="15"/>
      <c r="I1965" s="15"/>
      <c r="J1965" s="15"/>
      <c r="K1965" s="15"/>
      <c r="L1965" s="15"/>
      <c r="M1965" s="15"/>
      <c r="N1965" s="15"/>
      <c r="O1965" s="15"/>
      <c r="P1965" s="15"/>
      <c r="Q1965" s="15"/>
      <c r="R1965" s="15"/>
    </row>
    <row r="1966" spans="1:18" x14ac:dyDescent="0.2">
      <c r="A1966" s="15"/>
      <c r="B1966" s="38"/>
      <c r="C1966" s="15"/>
      <c r="D1966" s="15"/>
      <c r="E1966" s="15"/>
      <c r="F1966" s="15"/>
      <c r="G1966" s="15"/>
      <c r="H1966" s="15"/>
      <c r="I1966" s="15"/>
      <c r="J1966" s="15"/>
      <c r="K1966" s="15"/>
      <c r="L1966" s="15"/>
      <c r="M1966" s="15"/>
      <c r="N1966" s="15"/>
      <c r="O1966" s="15"/>
      <c r="P1966" s="15"/>
      <c r="Q1966" s="15"/>
      <c r="R1966" s="15"/>
    </row>
    <row r="1967" spans="1:18" x14ac:dyDescent="0.2">
      <c r="A1967" s="15"/>
      <c r="B1967" s="38"/>
      <c r="C1967" s="15"/>
      <c r="D1967" s="15"/>
      <c r="E1967" s="15"/>
      <c r="F1967" s="15"/>
      <c r="G1967" s="15"/>
      <c r="H1967" s="15"/>
      <c r="I1967" s="15"/>
      <c r="J1967" s="15"/>
      <c r="K1967" s="15"/>
      <c r="L1967" s="15"/>
      <c r="M1967" s="15"/>
      <c r="N1967" s="15"/>
      <c r="O1967" s="15"/>
      <c r="P1967" s="15"/>
      <c r="Q1967" s="15"/>
      <c r="R1967" s="15"/>
    </row>
    <row r="1968" spans="1:18" x14ac:dyDescent="0.2">
      <c r="A1968" s="15"/>
      <c r="B1968" s="38"/>
      <c r="C1968" s="15"/>
      <c r="D1968" s="15"/>
      <c r="E1968" s="15"/>
      <c r="F1968" s="15"/>
      <c r="G1968" s="15"/>
      <c r="H1968" s="15"/>
      <c r="I1968" s="15"/>
      <c r="J1968" s="15"/>
      <c r="K1968" s="15"/>
      <c r="L1968" s="15"/>
      <c r="M1968" s="15"/>
      <c r="N1968" s="15"/>
      <c r="O1968" s="15"/>
      <c r="P1968" s="15"/>
      <c r="Q1968" s="15"/>
      <c r="R1968" s="15"/>
    </row>
    <row r="1969" spans="1:18" x14ac:dyDescent="0.2">
      <c r="A1969" s="15"/>
      <c r="B1969" s="38"/>
      <c r="C1969" s="15"/>
      <c r="D1969" s="15"/>
      <c r="E1969" s="15"/>
      <c r="F1969" s="15"/>
      <c r="G1969" s="15"/>
      <c r="H1969" s="15"/>
      <c r="I1969" s="15"/>
      <c r="J1969" s="15"/>
      <c r="K1969" s="15"/>
      <c r="L1969" s="15"/>
      <c r="M1969" s="15"/>
      <c r="N1969" s="15"/>
      <c r="O1969" s="15"/>
      <c r="P1969" s="15"/>
      <c r="Q1969" s="15"/>
      <c r="R1969" s="15"/>
    </row>
    <row r="1970" spans="1:18" x14ac:dyDescent="0.2">
      <c r="A1970" s="15"/>
      <c r="B1970" s="38"/>
      <c r="C1970" s="15"/>
      <c r="D1970" s="15"/>
      <c r="E1970" s="15"/>
      <c r="F1970" s="15"/>
      <c r="G1970" s="15"/>
      <c r="H1970" s="15"/>
      <c r="I1970" s="15"/>
      <c r="J1970" s="15"/>
      <c r="K1970" s="15"/>
      <c r="L1970" s="15"/>
      <c r="M1970" s="15"/>
      <c r="N1970" s="15"/>
      <c r="O1970" s="15"/>
      <c r="P1970" s="15"/>
      <c r="Q1970" s="15"/>
      <c r="R1970" s="15"/>
    </row>
    <row r="1971" spans="1:18" x14ac:dyDescent="0.2">
      <c r="A1971" s="15"/>
      <c r="B1971" s="38"/>
      <c r="C1971" s="15"/>
      <c r="D1971" s="15"/>
      <c r="E1971" s="15"/>
      <c r="F1971" s="15"/>
      <c r="G1971" s="15"/>
      <c r="H1971" s="15"/>
      <c r="I1971" s="15"/>
      <c r="J1971" s="15"/>
      <c r="K1971" s="15"/>
      <c r="L1971" s="15"/>
      <c r="M1971" s="15"/>
      <c r="N1971" s="15"/>
      <c r="O1971" s="15"/>
      <c r="P1971" s="15"/>
      <c r="Q1971" s="15"/>
      <c r="R1971" s="15"/>
    </row>
    <row r="1972" spans="1:18" x14ac:dyDescent="0.2">
      <c r="A1972" s="15"/>
      <c r="B1972" s="38"/>
      <c r="C1972" s="15"/>
      <c r="D1972" s="15"/>
      <c r="E1972" s="15"/>
      <c r="F1972" s="15"/>
      <c r="G1972" s="15"/>
      <c r="H1972" s="15"/>
      <c r="I1972" s="15"/>
      <c r="J1972" s="15"/>
      <c r="K1972" s="15"/>
      <c r="L1972" s="15"/>
      <c r="M1972" s="15"/>
      <c r="N1972" s="15"/>
      <c r="O1972" s="15"/>
      <c r="P1972" s="15"/>
      <c r="Q1972" s="15"/>
      <c r="R1972" s="15"/>
    </row>
    <row r="1973" spans="1:18" x14ac:dyDescent="0.2">
      <c r="A1973" s="15"/>
      <c r="B1973" s="38"/>
      <c r="C1973" s="15"/>
      <c r="D1973" s="15"/>
      <c r="E1973" s="15"/>
      <c r="F1973" s="15"/>
      <c r="G1973" s="15"/>
      <c r="H1973" s="15"/>
      <c r="I1973" s="15"/>
      <c r="J1973" s="15"/>
      <c r="K1973" s="15"/>
      <c r="L1973" s="15"/>
      <c r="M1973" s="15"/>
      <c r="N1973" s="15"/>
      <c r="O1973" s="15"/>
      <c r="P1973" s="15"/>
      <c r="Q1973" s="15"/>
      <c r="R1973" s="15"/>
    </row>
    <row r="1974" spans="1:18" x14ac:dyDescent="0.2">
      <c r="A1974" s="15"/>
      <c r="B1974" s="38"/>
      <c r="C1974" s="15"/>
      <c r="D1974" s="15"/>
      <c r="E1974" s="15"/>
      <c r="F1974" s="15"/>
      <c r="G1974" s="15"/>
      <c r="H1974" s="15"/>
      <c r="I1974" s="15"/>
      <c r="J1974" s="15"/>
      <c r="K1974" s="15"/>
      <c r="L1974" s="15"/>
      <c r="M1974" s="15"/>
      <c r="N1974" s="15"/>
      <c r="O1974" s="15"/>
      <c r="P1974" s="15"/>
      <c r="Q1974" s="15"/>
      <c r="R1974" s="15"/>
    </row>
    <row r="1975" spans="1:18" x14ac:dyDescent="0.2">
      <c r="A1975" s="15"/>
      <c r="B1975" s="38"/>
      <c r="C1975" s="15"/>
      <c r="D1975" s="15"/>
      <c r="E1975" s="15"/>
      <c r="F1975" s="15"/>
      <c r="G1975" s="15"/>
      <c r="H1975" s="15"/>
      <c r="I1975" s="15"/>
      <c r="J1975" s="15"/>
      <c r="K1975" s="15"/>
      <c r="L1975" s="15"/>
      <c r="M1975" s="15"/>
      <c r="N1975" s="15"/>
      <c r="O1975" s="15"/>
      <c r="P1975" s="15"/>
      <c r="Q1975" s="15"/>
      <c r="R1975" s="15"/>
    </row>
    <row r="1976" spans="1:18" x14ac:dyDescent="0.2">
      <c r="A1976" s="15"/>
      <c r="B1976" s="38"/>
      <c r="C1976" s="15"/>
      <c r="D1976" s="15"/>
      <c r="E1976" s="15"/>
      <c r="F1976" s="15"/>
      <c r="G1976" s="15"/>
      <c r="H1976" s="15"/>
      <c r="I1976" s="15"/>
      <c r="J1976" s="15"/>
      <c r="K1976" s="15"/>
      <c r="L1976" s="15"/>
      <c r="M1976" s="15"/>
      <c r="N1976" s="15"/>
      <c r="O1976" s="15"/>
      <c r="P1976" s="15"/>
      <c r="Q1976" s="15"/>
      <c r="R1976" s="15"/>
    </row>
    <row r="1977" spans="1:18" x14ac:dyDescent="0.2">
      <c r="A1977" s="15"/>
      <c r="B1977" s="38"/>
      <c r="C1977" s="15"/>
      <c r="D1977" s="15"/>
      <c r="E1977" s="15"/>
      <c r="F1977" s="15"/>
      <c r="G1977" s="15"/>
      <c r="H1977" s="15"/>
      <c r="I1977" s="15"/>
      <c r="J1977" s="15"/>
      <c r="K1977" s="15"/>
      <c r="L1977" s="15"/>
      <c r="M1977" s="15"/>
      <c r="N1977" s="15"/>
      <c r="O1977" s="15"/>
      <c r="P1977" s="15"/>
      <c r="Q1977" s="15"/>
      <c r="R1977" s="15"/>
    </row>
    <row r="1978" spans="1:18" x14ac:dyDescent="0.2">
      <c r="A1978" s="15"/>
      <c r="B1978" s="38"/>
      <c r="C1978" s="15"/>
      <c r="D1978" s="15"/>
      <c r="E1978" s="15"/>
      <c r="F1978" s="15"/>
      <c r="G1978" s="15"/>
      <c r="H1978" s="15"/>
      <c r="I1978" s="15"/>
      <c r="J1978" s="15"/>
      <c r="K1978" s="15"/>
      <c r="L1978" s="15"/>
      <c r="M1978" s="15"/>
      <c r="N1978" s="15"/>
      <c r="O1978" s="15"/>
      <c r="P1978" s="15"/>
      <c r="Q1978" s="15"/>
      <c r="R1978" s="15"/>
    </row>
    <row r="1979" spans="1:18" x14ac:dyDescent="0.2">
      <c r="A1979" s="15"/>
      <c r="B1979" s="38"/>
      <c r="C1979" s="15"/>
      <c r="D1979" s="15"/>
      <c r="E1979" s="15"/>
      <c r="F1979" s="15"/>
      <c r="G1979" s="15"/>
      <c r="H1979" s="15"/>
      <c r="I1979" s="15"/>
      <c r="J1979" s="15"/>
      <c r="K1979" s="15"/>
      <c r="L1979" s="15"/>
      <c r="M1979" s="15"/>
      <c r="N1979" s="15"/>
      <c r="O1979" s="15"/>
      <c r="P1979" s="15"/>
      <c r="Q1979" s="15"/>
      <c r="R1979" s="15"/>
    </row>
    <row r="1980" spans="1:18" x14ac:dyDescent="0.2">
      <c r="A1980" s="15"/>
      <c r="B1980" s="38"/>
      <c r="C1980" s="15"/>
      <c r="D1980" s="15"/>
      <c r="E1980" s="15"/>
      <c r="F1980" s="15"/>
      <c r="G1980" s="15"/>
      <c r="H1980" s="15"/>
      <c r="I1980" s="15"/>
      <c r="J1980" s="15"/>
      <c r="K1980" s="15"/>
      <c r="L1980" s="15"/>
      <c r="M1980" s="15"/>
      <c r="N1980" s="15"/>
      <c r="O1980" s="15"/>
      <c r="P1980" s="15"/>
      <c r="Q1980" s="15"/>
      <c r="R1980" s="15"/>
    </row>
    <row r="1981" spans="1:18" x14ac:dyDescent="0.2">
      <c r="A1981" s="15"/>
      <c r="B1981" s="38"/>
      <c r="C1981" s="15"/>
      <c r="D1981" s="15"/>
      <c r="E1981" s="15"/>
      <c r="F1981" s="15"/>
      <c r="G1981" s="15"/>
      <c r="H1981" s="15"/>
      <c r="I1981" s="15"/>
      <c r="J1981" s="15"/>
      <c r="K1981" s="15"/>
      <c r="L1981" s="15"/>
      <c r="M1981" s="15"/>
      <c r="N1981" s="15"/>
      <c r="O1981" s="15"/>
      <c r="P1981" s="15"/>
      <c r="Q1981" s="15"/>
      <c r="R1981" s="15"/>
    </row>
    <row r="1982" spans="1:18" x14ac:dyDescent="0.2">
      <c r="A1982" s="15"/>
      <c r="B1982" s="38"/>
      <c r="C1982" s="15"/>
      <c r="D1982" s="15"/>
      <c r="E1982" s="15"/>
      <c r="F1982" s="15"/>
      <c r="G1982" s="15"/>
      <c r="H1982" s="15"/>
      <c r="I1982" s="15"/>
      <c r="J1982" s="15"/>
      <c r="K1982" s="15"/>
      <c r="L1982" s="15"/>
      <c r="M1982" s="15"/>
      <c r="N1982" s="15"/>
      <c r="O1982" s="15"/>
      <c r="P1982" s="15"/>
      <c r="Q1982" s="15"/>
      <c r="R1982" s="15"/>
    </row>
    <row r="1983" spans="1:18" x14ac:dyDescent="0.2">
      <c r="A1983" s="15"/>
      <c r="B1983" s="38"/>
      <c r="C1983" s="15"/>
      <c r="D1983" s="15"/>
      <c r="E1983" s="15"/>
      <c r="F1983" s="15"/>
      <c r="G1983" s="15"/>
      <c r="H1983" s="15"/>
      <c r="I1983" s="15"/>
      <c r="J1983" s="15"/>
      <c r="K1983" s="15"/>
      <c r="L1983" s="15"/>
      <c r="M1983" s="15"/>
      <c r="N1983" s="15"/>
      <c r="O1983" s="15"/>
      <c r="P1983" s="15"/>
      <c r="Q1983" s="15"/>
      <c r="R1983" s="15"/>
    </row>
    <row r="1984" spans="1:18" x14ac:dyDescent="0.2">
      <c r="A1984" s="15"/>
      <c r="B1984" s="38"/>
      <c r="C1984" s="15"/>
      <c r="D1984" s="15"/>
      <c r="E1984" s="15"/>
      <c r="F1984" s="15"/>
      <c r="G1984" s="15"/>
      <c r="H1984" s="15"/>
      <c r="I1984" s="15"/>
      <c r="J1984" s="15"/>
      <c r="K1984" s="15"/>
      <c r="L1984" s="15"/>
      <c r="M1984" s="15"/>
      <c r="N1984" s="15"/>
      <c r="O1984" s="15"/>
      <c r="P1984" s="15"/>
      <c r="Q1984" s="15"/>
      <c r="R1984" s="15"/>
    </row>
    <row r="1985" spans="1:18" x14ac:dyDescent="0.2">
      <c r="A1985" s="15"/>
      <c r="B1985" s="38"/>
      <c r="C1985" s="15"/>
      <c r="D1985" s="15"/>
      <c r="E1985" s="15"/>
      <c r="F1985" s="15"/>
      <c r="G1985" s="15"/>
      <c r="H1985" s="15"/>
      <c r="I1985" s="15"/>
      <c r="J1985" s="15"/>
      <c r="K1985" s="15"/>
      <c r="L1985" s="15"/>
      <c r="M1985" s="15"/>
      <c r="N1985" s="15"/>
      <c r="O1985" s="15"/>
      <c r="P1985" s="15"/>
      <c r="Q1985" s="15"/>
      <c r="R1985" s="15"/>
    </row>
    <row r="1986" spans="1:18" x14ac:dyDescent="0.2">
      <c r="A1986" s="15"/>
      <c r="B1986" s="38"/>
      <c r="C1986" s="15"/>
      <c r="D1986" s="15"/>
      <c r="E1986" s="15"/>
      <c r="F1986" s="15"/>
      <c r="G1986" s="15"/>
      <c r="H1986" s="15"/>
      <c r="I1986" s="15"/>
      <c r="J1986" s="15"/>
      <c r="K1986" s="15"/>
      <c r="L1986" s="15"/>
      <c r="M1986" s="15"/>
      <c r="N1986" s="15"/>
      <c r="O1986" s="15"/>
      <c r="P1986" s="15"/>
      <c r="Q1986" s="15"/>
      <c r="R1986" s="15"/>
    </row>
    <row r="1987" spans="1:18" x14ac:dyDescent="0.2">
      <c r="A1987" s="15"/>
      <c r="B1987" s="38"/>
      <c r="C1987" s="15"/>
      <c r="D1987" s="15"/>
      <c r="E1987" s="15"/>
      <c r="F1987" s="15"/>
      <c r="G1987" s="15"/>
      <c r="H1987" s="15"/>
      <c r="I1987" s="15"/>
      <c r="J1987" s="15"/>
      <c r="K1987" s="15"/>
      <c r="L1987" s="15"/>
      <c r="M1987" s="15"/>
      <c r="N1987" s="15"/>
      <c r="O1987" s="15"/>
      <c r="P1987" s="15"/>
      <c r="Q1987" s="15"/>
      <c r="R1987" s="15"/>
    </row>
    <row r="1988" spans="1:18" x14ac:dyDescent="0.2">
      <c r="A1988" s="15"/>
      <c r="B1988" s="38"/>
      <c r="C1988" s="15"/>
      <c r="D1988" s="15"/>
      <c r="E1988" s="15"/>
      <c r="F1988" s="15"/>
      <c r="G1988" s="15"/>
      <c r="H1988" s="15"/>
      <c r="I1988" s="15"/>
      <c r="J1988" s="15"/>
      <c r="K1988" s="15"/>
      <c r="L1988" s="15"/>
      <c r="M1988" s="15"/>
      <c r="N1988" s="15"/>
      <c r="O1988" s="15"/>
      <c r="P1988" s="15"/>
      <c r="Q1988" s="15"/>
      <c r="R1988" s="15"/>
    </row>
    <row r="1989" spans="1:18" x14ac:dyDescent="0.2">
      <c r="A1989" s="15"/>
      <c r="B1989" s="38"/>
      <c r="C1989" s="15"/>
      <c r="D1989" s="15"/>
      <c r="E1989" s="15"/>
      <c r="F1989" s="15"/>
      <c r="G1989" s="15"/>
      <c r="H1989" s="15"/>
      <c r="I1989" s="15"/>
      <c r="J1989" s="15"/>
      <c r="K1989" s="15"/>
      <c r="L1989" s="15"/>
      <c r="M1989" s="15"/>
      <c r="N1989" s="15"/>
      <c r="O1989" s="15"/>
      <c r="P1989" s="15"/>
      <c r="Q1989" s="15"/>
      <c r="R1989" s="15"/>
    </row>
    <row r="1990" spans="1:18" x14ac:dyDescent="0.2">
      <c r="A1990" s="15"/>
      <c r="B1990" s="38"/>
      <c r="C1990" s="15"/>
      <c r="D1990" s="15"/>
      <c r="E1990" s="15"/>
      <c r="F1990" s="15"/>
      <c r="G1990" s="15"/>
      <c r="H1990" s="15"/>
      <c r="I1990" s="15"/>
      <c r="J1990" s="15"/>
      <c r="K1990" s="15"/>
      <c r="L1990" s="15"/>
      <c r="M1990" s="15"/>
      <c r="N1990" s="15"/>
      <c r="O1990" s="15"/>
      <c r="P1990" s="15"/>
      <c r="Q1990" s="15"/>
      <c r="R1990" s="15"/>
    </row>
    <row r="1991" spans="1:18" x14ac:dyDescent="0.2">
      <c r="A1991" s="15"/>
      <c r="B1991" s="38"/>
      <c r="C1991" s="15"/>
      <c r="D1991" s="15"/>
      <c r="E1991" s="15"/>
      <c r="F1991" s="15"/>
      <c r="G1991" s="15"/>
      <c r="H1991" s="15"/>
      <c r="I1991" s="15"/>
      <c r="J1991" s="15"/>
      <c r="K1991" s="15"/>
      <c r="L1991" s="15"/>
      <c r="M1991" s="15"/>
      <c r="N1991" s="15"/>
      <c r="O1991" s="15"/>
      <c r="P1991" s="15"/>
      <c r="Q1991" s="15"/>
      <c r="R1991" s="15"/>
    </row>
    <row r="1992" spans="1:18" x14ac:dyDescent="0.2">
      <c r="A1992" s="15"/>
      <c r="B1992" s="38"/>
      <c r="C1992" s="15"/>
      <c r="D1992" s="15"/>
      <c r="E1992" s="15"/>
      <c r="F1992" s="15"/>
      <c r="G1992" s="15"/>
      <c r="H1992" s="15"/>
      <c r="I1992" s="15"/>
      <c r="J1992" s="15"/>
      <c r="K1992" s="15"/>
      <c r="L1992" s="15"/>
      <c r="M1992" s="15"/>
      <c r="N1992" s="15"/>
      <c r="O1992" s="15"/>
      <c r="P1992" s="15"/>
      <c r="Q1992" s="15"/>
      <c r="R1992" s="15"/>
    </row>
    <row r="1993" spans="1:18" x14ac:dyDescent="0.2">
      <c r="A1993" s="15"/>
      <c r="B1993" s="38"/>
      <c r="C1993" s="15"/>
      <c r="D1993" s="15"/>
      <c r="E1993" s="15"/>
      <c r="F1993" s="15"/>
      <c r="G1993" s="15"/>
      <c r="H1993" s="15"/>
      <c r="I1993" s="15"/>
      <c r="J1993" s="15"/>
      <c r="K1993" s="15"/>
      <c r="L1993" s="15"/>
      <c r="M1993" s="15"/>
      <c r="N1993" s="15"/>
      <c r="O1993" s="15"/>
      <c r="P1993" s="15"/>
      <c r="Q1993" s="15"/>
      <c r="R1993" s="15"/>
    </row>
    <row r="1994" spans="1:18" x14ac:dyDescent="0.2">
      <c r="A1994" s="15"/>
      <c r="B1994" s="38"/>
      <c r="C1994" s="15"/>
      <c r="D1994" s="15"/>
      <c r="E1994" s="15"/>
      <c r="F1994" s="15"/>
      <c r="G1994" s="15"/>
      <c r="H1994" s="15"/>
      <c r="I1994" s="15"/>
      <c r="J1994" s="15"/>
      <c r="K1994" s="15"/>
      <c r="L1994" s="15"/>
      <c r="M1994" s="15"/>
      <c r="N1994" s="15"/>
      <c r="O1994" s="15"/>
      <c r="P1994" s="15"/>
      <c r="Q1994" s="15"/>
      <c r="R1994" s="15"/>
    </row>
    <row r="1995" spans="1:18" x14ac:dyDescent="0.2">
      <c r="A1995" s="15"/>
      <c r="B1995" s="38"/>
      <c r="C1995" s="15"/>
      <c r="D1995" s="15"/>
      <c r="E1995" s="15"/>
      <c r="F1995" s="15"/>
      <c r="G1995" s="15"/>
      <c r="H1995" s="15"/>
      <c r="I1995" s="15"/>
      <c r="J1995" s="15"/>
      <c r="K1995" s="15"/>
      <c r="L1995" s="15"/>
      <c r="M1995" s="15"/>
      <c r="N1995" s="15"/>
      <c r="O1995" s="15"/>
      <c r="P1995" s="15"/>
      <c r="Q1995" s="15"/>
      <c r="R1995" s="15"/>
    </row>
    <row r="1996" spans="1:18" x14ac:dyDescent="0.2">
      <c r="A1996" s="15"/>
      <c r="B1996" s="38"/>
      <c r="C1996" s="15"/>
      <c r="D1996" s="15"/>
      <c r="E1996" s="15"/>
      <c r="F1996" s="15"/>
      <c r="G1996" s="15"/>
      <c r="H1996" s="15"/>
      <c r="I1996" s="15"/>
      <c r="J1996" s="15"/>
      <c r="K1996" s="15"/>
      <c r="L1996" s="15"/>
      <c r="M1996" s="15"/>
      <c r="N1996" s="15"/>
      <c r="O1996" s="15"/>
      <c r="P1996" s="15"/>
      <c r="Q1996" s="15"/>
      <c r="R1996" s="15"/>
    </row>
    <row r="1997" spans="1:18" x14ac:dyDescent="0.2">
      <c r="A1997" s="15"/>
      <c r="B1997" s="38"/>
      <c r="C1997" s="15"/>
      <c r="D1997" s="15"/>
      <c r="E1997" s="15"/>
      <c r="F1997" s="15"/>
      <c r="G1997" s="15"/>
      <c r="H1997" s="15"/>
      <c r="I1997" s="15"/>
      <c r="J1997" s="15"/>
      <c r="K1997" s="15"/>
      <c r="L1997" s="15"/>
      <c r="M1997" s="15"/>
      <c r="N1997" s="15"/>
      <c r="O1997" s="15"/>
      <c r="P1997" s="15"/>
      <c r="Q1997" s="15"/>
      <c r="R1997" s="15"/>
    </row>
    <row r="1998" spans="1:18" x14ac:dyDescent="0.2">
      <c r="A1998" s="15"/>
      <c r="B1998" s="38"/>
      <c r="C1998" s="15"/>
      <c r="D1998" s="15"/>
      <c r="E1998" s="15"/>
      <c r="F1998" s="15"/>
      <c r="G1998" s="15"/>
      <c r="H1998" s="15"/>
      <c r="I1998" s="15"/>
      <c r="J1998" s="15"/>
      <c r="K1998" s="15"/>
      <c r="L1998" s="15"/>
      <c r="M1998" s="15"/>
      <c r="N1998" s="15"/>
      <c r="O1998" s="15"/>
      <c r="P1998" s="15"/>
      <c r="Q1998" s="15"/>
      <c r="R1998" s="15"/>
    </row>
    <row r="1999" spans="1:18" x14ac:dyDescent="0.2">
      <c r="A1999" s="15"/>
      <c r="B1999" s="38"/>
      <c r="C1999" s="15"/>
      <c r="D1999" s="15"/>
      <c r="E1999" s="15"/>
      <c r="F1999" s="15"/>
      <c r="G1999" s="15"/>
      <c r="H1999" s="15"/>
      <c r="I1999" s="15"/>
      <c r="J1999" s="15"/>
      <c r="K1999" s="15"/>
      <c r="L1999" s="15"/>
      <c r="M1999" s="15"/>
      <c r="N1999" s="15"/>
      <c r="O1999" s="15"/>
      <c r="P1999" s="15"/>
      <c r="Q1999" s="15"/>
      <c r="R1999" s="15"/>
    </row>
    <row r="2000" spans="1:18" x14ac:dyDescent="0.2">
      <c r="A2000" s="15"/>
      <c r="B2000" s="38"/>
      <c r="C2000" s="15"/>
      <c r="D2000" s="15"/>
      <c r="E2000" s="15"/>
      <c r="F2000" s="15"/>
      <c r="G2000" s="15"/>
      <c r="H2000" s="15"/>
      <c r="I2000" s="15"/>
      <c r="J2000" s="15"/>
      <c r="K2000" s="15"/>
      <c r="L2000" s="15"/>
      <c r="M2000" s="15"/>
      <c r="N2000" s="15"/>
      <c r="O2000" s="15"/>
      <c r="P2000" s="15"/>
      <c r="Q2000" s="15"/>
      <c r="R2000" s="15"/>
    </row>
    <row r="2001" spans="1:18" x14ac:dyDescent="0.2">
      <c r="A2001" s="15"/>
      <c r="B2001" s="38"/>
      <c r="C2001" s="15"/>
      <c r="D2001" s="15"/>
      <c r="E2001" s="15"/>
      <c r="F2001" s="15"/>
      <c r="G2001" s="15"/>
      <c r="H2001" s="15"/>
      <c r="I2001" s="15"/>
      <c r="J2001" s="15"/>
      <c r="K2001" s="15"/>
      <c r="L2001" s="15"/>
      <c r="M2001" s="15"/>
      <c r="N2001" s="15"/>
      <c r="O2001" s="15"/>
      <c r="P2001" s="15"/>
      <c r="Q2001" s="15"/>
      <c r="R2001" s="15"/>
    </row>
    <row r="2002" spans="1:18" x14ac:dyDescent="0.2">
      <c r="A2002" s="15"/>
      <c r="B2002" s="38"/>
      <c r="C2002" s="15"/>
      <c r="D2002" s="15"/>
      <c r="E2002" s="15"/>
      <c r="F2002" s="15"/>
      <c r="G2002" s="15"/>
      <c r="H2002" s="15"/>
      <c r="I2002" s="15"/>
      <c r="J2002" s="15"/>
      <c r="K2002" s="15"/>
      <c r="L2002" s="15"/>
      <c r="M2002" s="15"/>
      <c r="N2002" s="15"/>
      <c r="O2002" s="15"/>
      <c r="P2002" s="15"/>
      <c r="Q2002" s="15"/>
      <c r="R2002" s="15"/>
    </row>
    <row r="2003" spans="1:18" x14ac:dyDescent="0.2">
      <c r="A2003" s="15"/>
      <c r="B2003" s="38"/>
      <c r="C2003" s="15"/>
      <c r="D2003" s="15"/>
      <c r="E2003" s="15"/>
      <c r="F2003" s="15"/>
      <c r="G2003" s="15"/>
      <c r="H2003" s="15"/>
      <c r="I2003" s="15"/>
      <c r="J2003" s="15"/>
      <c r="K2003" s="15"/>
      <c r="L2003" s="15"/>
      <c r="M2003" s="15"/>
      <c r="N2003" s="15"/>
      <c r="O2003" s="15"/>
      <c r="P2003" s="15"/>
      <c r="Q2003" s="15"/>
      <c r="R2003" s="15"/>
    </row>
    <row r="2004" spans="1:18" x14ac:dyDescent="0.2">
      <c r="A2004" s="15"/>
      <c r="B2004" s="38"/>
      <c r="C2004" s="15"/>
      <c r="D2004" s="15"/>
      <c r="E2004" s="15"/>
      <c r="F2004" s="15"/>
      <c r="G2004" s="15"/>
      <c r="H2004" s="15"/>
      <c r="I2004" s="15"/>
      <c r="J2004" s="15"/>
      <c r="K2004" s="15"/>
      <c r="L2004" s="15"/>
      <c r="M2004" s="15"/>
      <c r="N2004" s="15"/>
      <c r="O2004" s="15"/>
      <c r="P2004" s="15"/>
      <c r="Q2004" s="15"/>
      <c r="R2004" s="15"/>
    </row>
    <row r="2005" spans="1:18" x14ac:dyDescent="0.2">
      <c r="A2005" s="15"/>
      <c r="B2005" s="38"/>
      <c r="C2005" s="15"/>
      <c r="D2005" s="15"/>
      <c r="E2005" s="15"/>
      <c r="F2005" s="15"/>
      <c r="G2005" s="15"/>
      <c r="H2005" s="15"/>
      <c r="I2005" s="15"/>
      <c r="J2005" s="15"/>
      <c r="K2005" s="15"/>
      <c r="L2005" s="15"/>
      <c r="M2005" s="15"/>
      <c r="N2005" s="15"/>
      <c r="O2005" s="15"/>
      <c r="P2005" s="15"/>
      <c r="Q2005" s="15"/>
      <c r="R2005" s="15"/>
    </row>
    <row r="2006" spans="1:18" x14ac:dyDescent="0.2">
      <c r="A2006" s="15"/>
      <c r="B2006" s="38"/>
      <c r="C2006" s="15"/>
      <c r="D2006" s="15"/>
      <c r="E2006" s="15"/>
      <c r="F2006" s="15"/>
      <c r="G2006" s="15"/>
      <c r="H2006" s="15"/>
      <c r="I2006" s="15"/>
      <c r="J2006" s="15"/>
      <c r="K2006" s="15"/>
      <c r="L2006" s="15"/>
      <c r="M2006" s="15"/>
      <c r="N2006" s="15"/>
      <c r="O2006" s="15"/>
      <c r="P2006" s="15"/>
      <c r="Q2006" s="15"/>
      <c r="R2006" s="15"/>
    </row>
    <row r="2007" spans="1:18" x14ac:dyDescent="0.2">
      <c r="A2007" s="15"/>
      <c r="B2007" s="38"/>
      <c r="C2007" s="15"/>
      <c r="D2007" s="15"/>
      <c r="E2007" s="15"/>
      <c r="F2007" s="15"/>
      <c r="G2007" s="15"/>
      <c r="H2007" s="15"/>
      <c r="I2007" s="15"/>
      <c r="J2007" s="15"/>
      <c r="K2007" s="15"/>
      <c r="L2007" s="15"/>
      <c r="M2007" s="15"/>
      <c r="N2007" s="15"/>
      <c r="O2007" s="15"/>
      <c r="P2007" s="15"/>
      <c r="Q2007" s="15"/>
      <c r="R2007" s="15"/>
    </row>
    <row r="2008" spans="1:18" x14ac:dyDescent="0.2">
      <c r="A2008" s="15"/>
      <c r="B2008" s="38"/>
      <c r="C2008" s="15"/>
      <c r="D2008" s="15"/>
      <c r="E2008" s="15"/>
      <c r="F2008" s="15"/>
      <c r="G2008" s="15"/>
      <c r="H2008" s="15"/>
      <c r="I2008" s="15"/>
      <c r="J2008" s="15"/>
      <c r="K2008" s="15"/>
      <c r="L2008" s="15"/>
      <c r="M2008" s="15"/>
      <c r="N2008" s="15"/>
      <c r="O2008" s="15"/>
      <c r="P2008" s="15"/>
      <c r="Q2008" s="15"/>
      <c r="R2008" s="15"/>
    </row>
    <row r="2009" spans="1:18" x14ac:dyDescent="0.2">
      <c r="A2009" s="15"/>
      <c r="B2009" s="38"/>
      <c r="C2009" s="15"/>
      <c r="D2009" s="15"/>
      <c r="E2009" s="15"/>
      <c r="F2009" s="15"/>
      <c r="G2009" s="15"/>
      <c r="H2009" s="15"/>
      <c r="I2009" s="15"/>
      <c r="J2009" s="15"/>
      <c r="K2009" s="15"/>
      <c r="L2009" s="15"/>
      <c r="M2009" s="15"/>
      <c r="N2009" s="15"/>
      <c r="O2009" s="15"/>
      <c r="P2009" s="15"/>
      <c r="Q2009" s="15"/>
      <c r="R2009" s="15"/>
    </row>
    <row r="2010" spans="1:18" x14ac:dyDescent="0.2">
      <c r="A2010" s="15"/>
      <c r="B2010" s="38"/>
      <c r="C2010" s="15"/>
      <c r="D2010" s="15"/>
      <c r="E2010" s="15"/>
      <c r="F2010" s="15"/>
      <c r="G2010" s="15"/>
      <c r="H2010" s="15"/>
      <c r="I2010" s="15"/>
      <c r="J2010" s="15"/>
      <c r="K2010" s="15"/>
      <c r="L2010" s="15"/>
      <c r="M2010" s="15"/>
      <c r="N2010" s="15"/>
      <c r="O2010" s="15"/>
      <c r="P2010" s="15"/>
      <c r="Q2010" s="15"/>
      <c r="R2010" s="15"/>
    </row>
    <row r="2011" spans="1:18" x14ac:dyDescent="0.2">
      <c r="A2011" s="15"/>
      <c r="B2011" s="38"/>
      <c r="C2011" s="15"/>
      <c r="D2011" s="15"/>
      <c r="E2011" s="15"/>
      <c r="F2011" s="15"/>
      <c r="G2011" s="15"/>
      <c r="H2011" s="15"/>
      <c r="I2011" s="15"/>
      <c r="J2011" s="15"/>
      <c r="K2011" s="15"/>
      <c r="L2011" s="15"/>
      <c r="M2011" s="15"/>
      <c r="N2011" s="15"/>
      <c r="O2011" s="15"/>
      <c r="P2011" s="15"/>
      <c r="Q2011" s="15"/>
      <c r="R2011" s="15"/>
    </row>
    <row r="2012" spans="1:18" x14ac:dyDescent="0.2">
      <c r="A2012" s="15"/>
      <c r="B2012" s="38"/>
      <c r="C2012" s="15"/>
      <c r="D2012" s="15"/>
      <c r="E2012" s="15"/>
      <c r="F2012" s="15"/>
      <c r="G2012" s="15"/>
      <c r="H2012" s="15"/>
      <c r="I2012" s="15"/>
      <c r="J2012" s="15"/>
      <c r="K2012" s="15"/>
      <c r="L2012" s="15"/>
      <c r="M2012" s="15"/>
      <c r="N2012" s="15"/>
      <c r="O2012" s="15"/>
      <c r="P2012" s="15"/>
      <c r="Q2012" s="15"/>
      <c r="R2012" s="15"/>
    </row>
    <row r="2013" spans="1:18" x14ac:dyDescent="0.2">
      <c r="A2013" s="15"/>
      <c r="B2013" s="38"/>
      <c r="C2013" s="15"/>
      <c r="D2013" s="15"/>
      <c r="E2013" s="15"/>
      <c r="F2013" s="15"/>
      <c r="G2013" s="15"/>
      <c r="H2013" s="15"/>
      <c r="I2013" s="15"/>
      <c r="J2013" s="15"/>
      <c r="K2013" s="15"/>
      <c r="L2013" s="15"/>
      <c r="M2013" s="15"/>
      <c r="N2013" s="15"/>
      <c r="O2013" s="15"/>
      <c r="P2013" s="15"/>
      <c r="Q2013" s="15"/>
      <c r="R2013" s="15"/>
    </row>
    <row r="2014" spans="1:18" x14ac:dyDescent="0.2">
      <c r="A2014" s="15"/>
      <c r="B2014" s="38"/>
      <c r="C2014" s="15"/>
      <c r="D2014" s="15"/>
      <c r="E2014" s="15"/>
      <c r="F2014" s="15"/>
      <c r="G2014" s="15"/>
      <c r="H2014" s="15"/>
      <c r="I2014" s="15"/>
      <c r="J2014" s="15"/>
      <c r="K2014" s="15"/>
      <c r="L2014" s="15"/>
      <c r="M2014" s="15"/>
      <c r="N2014" s="15"/>
      <c r="O2014" s="15"/>
      <c r="P2014" s="15"/>
      <c r="Q2014" s="15"/>
      <c r="R2014" s="15"/>
    </row>
    <row r="2015" spans="1:18" x14ac:dyDescent="0.2">
      <c r="A2015" s="15"/>
      <c r="B2015" s="38"/>
      <c r="C2015" s="15"/>
      <c r="D2015" s="15"/>
      <c r="E2015" s="15"/>
      <c r="F2015" s="15"/>
      <c r="G2015" s="15"/>
      <c r="H2015" s="15"/>
      <c r="I2015" s="15"/>
      <c r="J2015" s="15"/>
      <c r="K2015" s="15"/>
      <c r="L2015" s="15"/>
      <c r="M2015" s="15"/>
      <c r="N2015" s="15"/>
      <c r="O2015" s="15"/>
      <c r="P2015" s="15"/>
      <c r="Q2015" s="15"/>
      <c r="R2015" s="15"/>
    </row>
    <row r="2016" spans="1:18" x14ac:dyDescent="0.2">
      <c r="A2016" s="15"/>
      <c r="B2016" s="38"/>
      <c r="C2016" s="15"/>
      <c r="D2016" s="15"/>
      <c r="E2016" s="15"/>
      <c r="F2016" s="15"/>
      <c r="G2016" s="15"/>
      <c r="H2016" s="15"/>
      <c r="I2016" s="15"/>
      <c r="J2016" s="15"/>
      <c r="K2016" s="15"/>
      <c r="L2016" s="15"/>
      <c r="M2016" s="15"/>
      <c r="N2016" s="15"/>
      <c r="O2016" s="15"/>
      <c r="P2016" s="15"/>
      <c r="Q2016" s="15"/>
      <c r="R2016" s="15"/>
    </row>
    <row r="2017" spans="1:18" x14ac:dyDescent="0.2">
      <c r="A2017" s="15"/>
      <c r="B2017" s="38"/>
      <c r="C2017" s="15"/>
      <c r="D2017" s="15"/>
      <c r="E2017" s="15"/>
      <c r="F2017" s="15"/>
      <c r="G2017" s="15"/>
      <c r="H2017" s="15"/>
      <c r="I2017" s="15"/>
      <c r="J2017" s="15"/>
      <c r="K2017" s="15"/>
      <c r="L2017" s="15"/>
      <c r="M2017" s="15"/>
      <c r="N2017" s="15"/>
      <c r="O2017" s="15"/>
      <c r="P2017" s="15"/>
      <c r="Q2017" s="15"/>
      <c r="R2017" s="15"/>
    </row>
    <row r="2018" spans="1:18" x14ac:dyDescent="0.2">
      <c r="A2018" s="15"/>
      <c r="B2018" s="38"/>
      <c r="C2018" s="15"/>
      <c r="D2018" s="15"/>
      <c r="E2018" s="15"/>
      <c r="F2018" s="15"/>
      <c r="G2018" s="15"/>
      <c r="H2018" s="15"/>
      <c r="I2018" s="15"/>
      <c r="J2018" s="15"/>
      <c r="K2018" s="15"/>
      <c r="L2018" s="15"/>
      <c r="M2018" s="15"/>
      <c r="N2018" s="15"/>
      <c r="O2018" s="15"/>
      <c r="P2018" s="15"/>
      <c r="Q2018" s="15"/>
      <c r="R2018" s="15"/>
    </row>
    <row r="2019" spans="1:18" x14ac:dyDescent="0.2">
      <c r="A2019" s="15"/>
      <c r="B2019" s="38"/>
      <c r="C2019" s="15"/>
      <c r="D2019" s="15"/>
      <c r="E2019" s="15"/>
      <c r="F2019" s="15"/>
      <c r="G2019" s="15"/>
      <c r="H2019" s="15"/>
      <c r="I2019" s="15"/>
      <c r="J2019" s="15"/>
      <c r="K2019" s="15"/>
      <c r="L2019" s="15"/>
      <c r="M2019" s="15"/>
      <c r="N2019" s="15"/>
      <c r="O2019" s="15"/>
      <c r="P2019" s="15"/>
      <c r="Q2019" s="15"/>
      <c r="R2019" s="15"/>
    </row>
    <row r="2020" spans="1:18" x14ac:dyDescent="0.2">
      <c r="A2020" s="15"/>
      <c r="B2020" s="38"/>
      <c r="C2020" s="15"/>
      <c r="D2020" s="15"/>
      <c r="E2020" s="15"/>
      <c r="F2020" s="15"/>
      <c r="G2020" s="15"/>
      <c r="H2020" s="15"/>
      <c r="I2020" s="15"/>
      <c r="J2020" s="15"/>
      <c r="K2020" s="15"/>
      <c r="L2020" s="15"/>
      <c r="M2020" s="15"/>
      <c r="N2020" s="15"/>
      <c r="O2020" s="15"/>
      <c r="P2020" s="15"/>
      <c r="Q2020" s="15"/>
      <c r="R2020" s="15"/>
    </row>
    <row r="2021" spans="1:18" x14ac:dyDescent="0.2">
      <c r="A2021" s="15"/>
      <c r="B2021" s="38"/>
      <c r="C2021" s="15"/>
      <c r="D2021" s="15"/>
      <c r="E2021" s="15"/>
      <c r="F2021" s="15"/>
      <c r="G2021" s="15"/>
      <c r="H2021" s="15"/>
      <c r="I2021" s="15"/>
      <c r="J2021" s="15"/>
      <c r="K2021" s="15"/>
      <c r="L2021" s="15"/>
      <c r="M2021" s="15"/>
      <c r="N2021" s="15"/>
      <c r="O2021" s="15"/>
      <c r="P2021" s="15"/>
      <c r="Q2021" s="15"/>
      <c r="R2021" s="15"/>
    </row>
    <row r="2022" spans="1:18" x14ac:dyDescent="0.2">
      <c r="A2022" s="15"/>
      <c r="B2022" s="38"/>
      <c r="C2022" s="15"/>
      <c r="D2022" s="15"/>
      <c r="E2022" s="15"/>
      <c r="F2022" s="15"/>
      <c r="G2022" s="15"/>
      <c r="H2022" s="15"/>
      <c r="I2022" s="15"/>
      <c r="J2022" s="15"/>
      <c r="K2022" s="15"/>
      <c r="L2022" s="15"/>
      <c r="M2022" s="15"/>
      <c r="N2022" s="15"/>
      <c r="O2022" s="15"/>
      <c r="P2022" s="15"/>
      <c r="Q2022" s="15"/>
      <c r="R2022" s="15"/>
    </row>
    <row r="2023" spans="1:18" x14ac:dyDescent="0.2">
      <c r="A2023" s="15"/>
      <c r="B2023" s="38"/>
      <c r="C2023" s="15"/>
      <c r="D2023" s="15"/>
      <c r="E2023" s="15"/>
      <c r="F2023" s="15"/>
      <c r="G2023" s="15"/>
      <c r="H2023" s="15"/>
      <c r="I2023" s="15"/>
      <c r="J2023" s="15"/>
      <c r="K2023" s="15"/>
      <c r="L2023" s="15"/>
      <c r="M2023" s="15"/>
      <c r="N2023" s="15"/>
      <c r="O2023" s="15"/>
      <c r="P2023" s="15"/>
      <c r="Q2023" s="15"/>
      <c r="R2023" s="15"/>
    </row>
    <row r="2024" spans="1:18" x14ac:dyDescent="0.2">
      <c r="A2024" s="15"/>
      <c r="B2024" s="38"/>
      <c r="C2024" s="15"/>
      <c r="D2024" s="15"/>
      <c r="E2024" s="15"/>
      <c r="F2024" s="15"/>
      <c r="G2024" s="15"/>
      <c r="H2024" s="15"/>
      <c r="I2024" s="15"/>
      <c r="J2024" s="15"/>
      <c r="K2024" s="15"/>
      <c r="L2024" s="15"/>
      <c r="M2024" s="15"/>
      <c r="N2024" s="15"/>
      <c r="O2024" s="15"/>
      <c r="P2024" s="15"/>
      <c r="Q2024" s="15"/>
      <c r="R2024" s="15"/>
    </row>
    <row r="2025" spans="1:18" x14ac:dyDescent="0.2">
      <c r="A2025" s="15"/>
      <c r="B2025" s="38"/>
      <c r="C2025" s="15"/>
      <c r="D2025" s="15"/>
      <c r="E2025" s="15"/>
      <c r="F2025" s="15"/>
      <c r="G2025" s="15"/>
      <c r="H2025" s="15"/>
      <c r="I2025" s="15"/>
      <c r="J2025" s="15"/>
      <c r="K2025" s="15"/>
      <c r="L2025" s="15"/>
      <c r="M2025" s="15"/>
      <c r="N2025" s="15"/>
      <c r="O2025" s="15"/>
      <c r="P2025" s="15"/>
      <c r="Q2025" s="15"/>
      <c r="R2025" s="15"/>
    </row>
    <row r="2026" spans="1:18" x14ac:dyDescent="0.2">
      <c r="A2026" s="15"/>
      <c r="B2026" s="38"/>
      <c r="C2026" s="15"/>
      <c r="D2026" s="15"/>
      <c r="E2026" s="15"/>
      <c r="F2026" s="15"/>
      <c r="G2026" s="15"/>
      <c r="H2026" s="15"/>
      <c r="I2026" s="15"/>
      <c r="J2026" s="15"/>
      <c r="K2026" s="15"/>
      <c r="L2026" s="15"/>
      <c r="M2026" s="15"/>
      <c r="N2026" s="15"/>
      <c r="O2026" s="15"/>
      <c r="P2026" s="15"/>
      <c r="Q2026" s="15"/>
      <c r="R2026" s="15"/>
    </row>
    <row r="2027" spans="1:18" x14ac:dyDescent="0.2">
      <c r="A2027" s="15"/>
      <c r="B2027" s="38"/>
      <c r="C2027" s="15"/>
      <c r="D2027" s="15"/>
      <c r="E2027" s="15"/>
      <c r="F2027" s="15"/>
      <c r="G2027" s="15"/>
      <c r="H2027" s="15"/>
      <c r="I2027" s="15"/>
      <c r="J2027" s="15"/>
      <c r="K2027" s="15"/>
      <c r="L2027" s="15"/>
      <c r="M2027" s="15"/>
      <c r="N2027" s="15"/>
      <c r="O2027" s="15"/>
      <c r="P2027" s="15"/>
      <c r="Q2027" s="15"/>
      <c r="R2027" s="15"/>
    </row>
    <row r="2028" spans="1:18" x14ac:dyDescent="0.2">
      <c r="A2028" s="15"/>
      <c r="B2028" s="38"/>
      <c r="C2028" s="15"/>
      <c r="D2028" s="15"/>
      <c r="E2028" s="15"/>
      <c r="F2028" s="15"/>
      <c r="G2028" s="15"/>
      <c r="H2028" s="15"/>
      <c r="I2028" s="15"/>
      <c r="J2028" s="15"/>
      <c r="K2028" s="15"/>
      <c r="L2028" s="15"/>
      <c r="M2028" s="15"/>
      <c r="N2028" s="15"/>
      <c r="O2028" s="15"/>
      <c r="P2028" s="15"/>
      <c r="Q2028" s="15"/>
      <c r="R2028" s="15"/>
    </row>
    <row r="2029" spans="1:18" x14ac:dyDescent="0.2">
      <c r="A2029" s="15"/>
      <c r="B2029" s="38"/>
      <c r="C2029" s="15"/>
      <c r="D2029" s="15"/>
      <c r="E2029" s="15"/>
      <c r="F2029" s="15"/>
      <c r="G2029" s="15"/>
      <c r="H2029" s="15"/>
      <c r="I2029" s="15"/>
      <c r="J2029" s="15"/>
      <c r="K2029" s="15"/>
      <c r="L2029" s="15"/>
      <c r="M2029" s="15"/>
      <c r="N2029" s="15"/>
      <c r="O2029" s="15"/>
      <c r="P2029" s="15"/>
      <c r="Q2029" s="15"/>
      <c r="R2029" s="15"/>
    </row>
    <row r="2030" spans="1:18" x14ac:dyDescent="0.2">
      <c r="A2030" s="15"/>
      <c r="B2030" s="38"/>
      <c r="C2030" s="15"/>
      <c r="D2030" s="15"/>
      <c r="E2030" s="15"/>
      <c r="F2030" s="15"/>
      <c r="G2030" s="15"/>
      <c r="H2030" s="15"/>
      <c r="I2030" s="15"/>
      <c r="J2030" s="15"/>
      <c r="K2030" s="15"/>
      <c r="L2030" s="15"/>
      <c r="M2030" s="15"/>
      <c r="N2030" s="15"/>
      <c r="O2030" s="15"/>
      <c r="P2030" s="15"/>
      <c r="Q2030" s="15"/>
      <c r="R2030" s="15"/>
    </row>
    <row r="2031" spans="1:18" x14ac:dyDescent="0.2">
      <c r="A2031" s="15"/>
      <c r="B2031" s="38"/>
      <c r="C2031" s="15"/>
      <c r="D2031" s="15"/>
      <c r="E2031" s="15"/>
      <c r="F2031" s="15"/>
      <c r="G2031" s="15"/>
      <c r="H2031" s="15"/>
      <c r="I2031" s="15"/>
      <c r="J2031" s="15"/>
      <c r="K2031" s="15"/>
      <c r="L2031" s="15"/>
      <c r="M2031" s="15"/>
      <c r="N2031" s="15"/>
      <c r="O2031" s="15"/>
      <c r="P2031" s="15"/>
      <c r="Q2031" s="15"/>
      <c r="R2031" s="15"/>
    </row>
    <row r="2032" spans="1:18" x14ac:dyDescent="0.2">
      <c r="A2032" s="15"/>
      <c r="B2032" s="38"/>
      <c r="C2032" s="15"/>
      <c r="D2032" s="15"/>
      <c r="E2032" s="15"/>
      <c r="F2032" s="15"/>
      <c r="G2032" s="15"/>
      <c r="H2032" s="15"/>
      <c r="I2032" s="15"/>
      <c r="J2032" s="15"/>
      <c r="K2032" s="15"/>
      <c r="L2032" s="15"/>
      <c r="M2032" s="15"/>
      <c r="N2032" s="15"/>
      <c r="O2032" s="15"/>
      <c r="P2032" s="15"/>
      <c r="Q2032" s="15"/>
      <c r="R2032" s="15"/>
    </row>
    <row r="2033" spans="1:18" x14ac:dyDescent="0.2">
      <c r="A2033" s="15"/>
      <c r="B2033" s="38"/>
      <c r="C2033" s="15"/>
      <c r="D2033" s="15"/>
      <c r="E2033" s="15"/>
      <c r="F2033" s="15"/>
      <c r="G2033" s="15"/>
      <c r="H2033" s="15"/>
      <c r="I2033" s="15"/>
      <c r="J2033" s="15"/>
      <c r="K2033" s="15"/>
      <c r="L2033" s="15"/>
      <c r="M2033" s="15"/>
      <c r="N2033" s="15"/>
      <c r="O2033" s="15"/>
      <c r="P2033" s="15"/>
      <c r="Q2033" s="15"/>
      <c r="R2033" s="15"/>
    </row>
    <row r="2034" spans="1:18" x14ac:dyDescent="0.2">
      <c r="A2034" s="15"/>
      <c r="B2034" s="38"/>
      <c r="C2034" s="15"/>
      <c r="D2034" s="15"/>
      <c r="E2034" s="15"/>
      <c r="F2034" s="15"/>
      <c r="G2034" s="15"/>
      <c r="H2034" s="15"/>
      <c r="I2034" s="15"/>
      <c r="J2034" s="15"/>
      <c r="K2034" s="15"/>
      <c r="L2034" s="15"/>
      <c r="M2034" s="15"/>
      <c r="N2034" s="15"/>
      <c r="O2034" s="15"/>
      <c r="P2034" s="15"/>
      <c r="Q2034" s="15"/>
      <c r="R2034" s="15"/>
    </row>
    <row r="2035" spans="1:18" x14ac:dyDescent="0.2">
      <c r="A2035" s="15"/>
      <c r="B2035" s="38"/>
      <c r="C2035" s="15"/>
      <c r="D2035" s="15"/>
      <c r="E2035" s="15"/>
      <c r="F2035" s="15"/>
      <c r="G2035" s="15"/>
      <c r="H2035" s="15"/>
      <c r="I2035" s="15"/>
      <c r="J2035" s="15"/>
      <c r="K2035" s="15"/>
      <c r="L2035" s="15"/>
      <c r="M2035" s="15"/>
      <c r="N2035" s="15"/>
      <c r="O2035" s="15"/>
      <c r="P2035" s="15"/>
      <c r="Q2035" s="15"/>
      <c r="R2035" s="15"/>
    </row>
    <row r="2036" spans="1:18" x14ac:dyDescent="0.2">
      <c r="A2036" s="15"/>
      <c r="B2036" s="38"/>
      <c r="C2036" s="15"/>
      <c r="D2036" s="15"/>
      <c r="E2036" s="15"/>
      <c r="F2036" s="15"/>
      <c r="G2036" s="15"/>
      <c r="H2036" s="15"/>
      <c r="I2036" s="15"/>
      <c r="J2036" s="15"/>
      <c r="K2036" s="15"/>
      <c r="L2036" s="15"/>
      <c r="M2036" s="15"/>
      <c r="N2036" s="15"/>
      <c r="O2036" s="15"/>
      <c r="P2036" s="15"/>
      <c r="Q2036" s="15"/>
      <c r="R2036" s="15"/>
    </row>
    <row r="2037" spans="1:18" x14ac:dyDescent="0.2">
      <c r="A2037" s="15"/>
      <c r="B2037" s="38"/>
      <c r="C2037" s="15"/>
      <c r="D2037" s="15"/>
      <c r="E2037" s="15"/>
      <c r="F2037" s="15"/>
      <c r="G2037" s="15"/>
      <c r="H2037" s="15"/>
      <c r="I2037" s="15"/>
      <c r="J2037" s="15"/>
      <c r="K2037" s="15"/>
      <c r="L2037" s="15"/>
      <c r="M2037" s="15"/>
      <c r="N2037" s="15"/>
      <c r="O2037" s="15"/>
      <c r="P2037" s="15"/>
      <c r="Q2037" s="15"/>
      <c r="R2037" s="15"/>
    </row>
    <row r="2038" spans="1:18" x14ac:dyDescent="0.2">
      <c r="A2038" s="15"/>
      <c r="B2038" s="38"/>
      <c r="C2038" s="15"/>
      <c r="D2038" s="15"/>
      <c r="E2038" s="15"/>
      <c r="F2038" s="15"/>
      <c r="G2038" s="15"/>
      <c r="H2038" s="15"/>
      <c r="I2038" s="15"/>
      <c r="J2038" s="15"/>
      <c r="K2038" s="15"/>
      <c r="L2038" s="15"/>
      <c r="M2038" s="15"/>
      <c r="N2038" s="15"/>
      <c r="O2038" s="15"/>
      <c r="P2038" s="15"/>
      <c r="Q2038" s="15"/>
      <c r="R2038" s="15"/>
    </row>
    <row r="2039" spans="1:18" x14ac:dyDescent="0.2">
      <c r="A2039" s="15"/>
      <c r="B2039" s="38"/>
      <c r="C2039" s="15"/>
      <c r="D2039" s="15"/>
      <c r="E2039" s="15"/>
      <c r="F2039" s="15"/>
      <c r="G2039" s="15"/>
      <c r="H2039" s="15"/>
      <c r="I2039" s="15"/>
      <c r="J2039" s="15"/>
      <c r="K2039" s="15"/>
      <c r="L2039" s="15"/>
      <c r="M2039" s="15"/>
      <c r="N2039" s="15"/>
      <c r="O2039" s="15"/>
      <c r="P2039" s="15"/>
      <c r="Q2039" s="15"/>
      <c r="R2039" s="15"/>
    </row>
    <row r="2040" spans="1:18" x14ac:dyDescent="0.2">
      <c r="A2040" s="15"/>
      <c r="B2040" s="38"/>
      <c r="C2040" s="15"/>
      <c r="D2040" s="15"/>
      <c r="E2040" s="15"/>
      <c r="F2040" s="15"/>
      <c r="G2040" s="15"/>
      <c r="H2040" s="15"/>
      <c r="I2040" s="15"/>
      <c r="J2040" s="15"/>
      <c r="K2040" s="15"/>
      <c r="L2040" s="15"/>
      <c r="M2040" s="15"/>
      <c r="N2040" s="15"/>
      <c r="O2040" s="15"/>
      <c r="P2040" s="15"/>
      <c r="Q2040" s="15"/>
      <c r="R2040" s="15"/>
    </row>
    <row r="2041" spans="1:18" x14ac:dyDescent="0.2">
      <c r="A2041" s="15"/>
      <c r="B2041" s="38"/>
      <c r="C2041" s="15"/>
      <c r="D2041" s="15"/>
      <c r="E2041" s="15"/>
      <c r="F2041" s="15"/>
      <c r="G2041" s="15"/>
      <c r="H2041" s="15"/>
      <c r="I2041" s="15"/>
      <c r="J2041" s="15"/>
      <c r="K2041" s="15"/>
      <c r="L2041" s="15"/>
      <c r="M2041" s="15"/>
      <c r="N2041" s="15"/>
      <c r="O2041" s="15"/>
      <c r="P2041" s="15"/>
      <c r="Q2041" s="15"/>
      <c r="R2041" s="15"/>
    </row>
    <row r="2042" spans="1:18" x14ac:dyDescent="0.2">
      <c r="A2042" s="15"/>
      <c r="B2042" s="38"/>
      <c r="C2042" s="15"/>
      <c r="D2042" s="15"/>
      <c r="E2042" s="15"/>
      <c r="F2042" s="15"/>
      <c r="G2042" s="15"/>
      <c r="H2042" s="15"/>
      <c r="I2042" s="15"/>
      <c r="J2042" s="15"/>
      <c r="K2042" s="15"/>
      <c r="L2042" s="15"/>
      <c r="M2042" s="15"/>
      <c r="N2042" s="15"/>
      <c r="O2042" s="15"/>
      <c r="P2042" s="15"/>
      <c r="Q2042" s="15"/>
      <c r="R2042" s="15"/>
    </row>
    <row r="2043" spans="1:18" x14ac:dyDescent="0.2">
      <c r="A2043" s="15"/>
      <c r="B2043" s="38"/>
      <c r="C2043" s="15"/>
      <c r="D2043" s="15"/>
      <c r="E2043" s="15"/>
      <c r="F2043" s="15"/>
      <c r="G2043" s="15"/>
      <c r="H2043" s="15"/>
      <c r="I2043" s="15"/>
      <c r="J2043" s="15"/>
      <c r="K2043" s="15"/>
      <c r="L2043" s="15"/>
      <c r="M2043" s="15"/>
      <c r="N2043" s="15"/>
      <c r="O2043" s="15"/>
      <c r="P2043" s="15"/>
      <c r="Q2043" s="15"/>
      <c r="R2043" s="15"/>
    </row>
    <row r="2044" spans="1:18" x14ac:dyDescent="0.2">
      <c r="A2044" s="15"/>
      <c r="B2044" s="38"/>
      <c r="C2044" s="15"/>
      <c r="D2044" s="15"/>
      <c r="E2044" s="15"/>
      <c r="F2044" s="15"/>
      <c r="G2044" s="15"/>
      <c r="H2044" s="15"/>
      <c r="I2044" s="15"/>
      <c r="J2044" s="15"/>
      <c r="K2044" s="15"/>
      <c r="L2044" s="15"/>
      <c r="M2044" s="15"/>
      <c r="N2044" s="15"/>
      <c r="O2044" s="15"/>
      <c r="P2044" s="15"/>
      <c r="Q2044" s="15"/>
      <c r="R2044" s="15"/>
    </row>
    <row r="2045" spans="1:18" x14ac:dyDescent="0.2">
      <c r="A2045" s="15"/>
      <c r="B2045" s="38"/>
      <c r="C2045" s="15"/>
      <c r="D2045" s="15"/>
      <c r="E2045" s="15"/>
      <c r="F2045" s="15"/>
      <c r="G2045" s="15"/>
      <c r="H2045" s="15"/>
      <c r="I2045" s="15"/>
      <c r="J2045" s="15"/>
      <c r="K2045" s="15"/>
      <c r="L2045" s="15"/>
      <c r="M2045" s="15"/>
      <c r="N2045" s="15"/>
      <c r="O2045" s="15"/>
      <c r="P2045" s="15"/>
      <c r="Q2045" s="15"/>
      <c r="R2045" s="15"/>
    </row>
    <row r="2046" spans="1:18" x14ac:dyDescent="0.2">
      <c r="A2046" s="15"/>
      <c r="B2046" s="38"/>
      <c r="C2046" s="15"/>
      <c r="D2046" s="15"/>
      <c r="E2046" s="15"/>
      <c r="F2046" s="15"/>
      <c r="G2046" s="15"/>
      <c r="H2046" s="15"/>
      <c r="I2046" s="15"/>
      <c r="J2046" s="15"/>
      <c r="K2046" s="15"/>
      <c r="L2046" s="15"/>
      <c r="M2046" s="15"/>
      <c r="N2046" s="15"/>
      <c r="O2046" s="15"/>
      <c r="P2046" s="15"/>
      <c r="Q2046" s="15"/>
      <c r="R2046" s="15"/>
    </row>
    <row r="2047" spans="1:18" x14ac:dyDescent="0.2">
      <c r="A2047" s="15"/>
      <c r="B2047" s="38"/>
      <c r="C2047" s="15"/>
      <c r="D2047" s="15"/>
      <c r="E2047" s="15"/>
      <c r="F2047" s="15"/>
      <c r="G2047" s="15"/>
      <c r="H2047" s="15"/>
      <c r="I2047" s="15"/>
      <c r="J2047" s="15"/>
      <c r="K2047" s="15"/>
      <c r="L2047" s="15"/>
      <c r="M2047" s="15"/>
      <c r="N2047" s="15"/>
      <c r="O2047" s="15"/>
      <c r="P2047" s="15"/>
      <c r="Q2047" s="15"/>
      <c r="R2047" s="15"/>
    </row>
    <row r="2048" spans="1:18" x14ac:dyDescent="0.2">
      <c r="A2048" s="15"/>
      <c r="B2048" s="38"/>
      <c r="C2048" s="15"/>
      <c r="D2048" s="15"/>
      <c r="E2048" s="15"/>
      <c r="F2048" s="15"/>
      <c r="G2048" s="15"/>
      <c r="H2048" s="15"/>
      <c r="I2048" s="15"/>
      <c r="J2048" s="15"/>
      <c r="K2048" s="15"/>
      <c r="L2048" s="15"/>
      <c r="M2048" s="15"/>
      <c r="N2048" s="15"/>
      <c r="O2048" s="15"/>
      <c r="P2048" s="15"/>
      <c r="Q2048" s="15"/>
      <c r="R2048" s="15"/>
    </row>
    <row r="2049" spans="1:18" x14ac:dyDescent="0.2">
      <c r="A2049" s="15"/>
      <c r="B2049" s="38"/>
      <c r="C2049" s="15"/>
      <c r="D2049" s="15"/>
      <c r="E2049" s="15"/>
      <c r="F2049" s="15"/>
      <c r="G2049" s="15"/>
      <c r="H2049" s="15"/>
      <c r="I2049" s="15"/>
      <c r="J2049" s="15"/>
      <c r="K2049" s="15"/>
      <c r="L2049" s="15"/>
      <c r="M2049" s="15"/>
      <c r="N2049" s="15"/>
      <c r="O2049" s="15"/>
      <c r="P2049" s="15"/>
      <c r="Q2049" s="15"/>
      <c r="R2049" s="15"/>
    </row>
    <row r="2050" spans="1:18" x14ac:dyDescent="0.2">
      <c r="A2050" s="15"/>
      <c r="B2050" s="38"/>
      <c r="C2050" s="15"/>
      <c r="D2050" s="15"/>
      <c r="E2050" s="15"/>
      <c r="F2050" s="15"/>
      <c r="G2050" s="15"/>
      <c r="H2050" s="15"/>
      <c r="I2050" s="15"/>
      <c r="J2050" s="15"/>
      <c r="K2050" s="15"/>
      <c r="L2050" s="15"/>
      <c r="M2050" s="15"/>
      <c r="N2050" s="15"/>
      <c r="O2050" s="15"/>
      <c r="P2050" s="15"/>
      <c r="Q2050" s="15"/>
      <c r="R2050" s="15"/>
    </row>
    <row r="2051" spans="1:18" x14ac:dyDescent="0.2">
      <c r="A2051" s="15"/>
      <c r="B2051" s="38"/>
      <c r="C2051" s="15"/>
      <c r="D2051" s="15"/>
      <c r="E2051" s="15"/>
      <c r="F2051" s="15"/>
      <c r="G2051" s="15"/>
      <c r="H2051" s="15"/>
      <c r="I2051" s="15"/>
      <c r="J2051" s="15"/>
      <c r="K2051" s="15"/>
      <c r="L2051" s="15"/>
      <c r="M2051" s="15"/>
      <c r="N2051" s="15"/>
      <c r="O2051" s="15"/>
      <c r="P2051" s="15"/>
      <c r="Q2051" s="15"/>
      <c r="R2051" s="15"/>
    </row>
    <row r="2052" spans="1:18" x14ac:dyDescent="0.2">
      <c r="A2052" s="15"/>
      <c r="B2052" s="38"/>
      <c r="C2052" s="15"/>
      <c r="D2052" s="15"/>
      <c r="E2052" s="15"/>
      <c r="F2052" s="15"/>
      <c r="G2052" s="15"/>
      <c r="H2052" s="15"/>
      <c r="I2052" s="15"/>
      <c r="J2052" s="15"/>
      <c r="K2052" s="15"/>
      <c r="L2052" s="15"/>
      <c r="M2052" s="15"/>
      <c r="N2052" s="15"/>
      <c r="O2052" s="15"/>
      <c r="P2052" s="15"/>
      <c r="Q2052" s="15"/>
      <c r="R2052" s="15"/>
    </row>
    <row r="2053" spans="1:18" x14ac:dyDescent="0.2">
      <c r="A2053" s="15"/>
      <c r="B2053" s="38"/>
      <c r="C2053" s="15"/>
      <c r="D2053" s="15"/>
      <c r="E2053" s="15"/>
      <c r="F2053" s="15"/>
      <c r="G2053" s="15"/>
      <c r="H2053" s="15"/>
      <c r="I2053" s="15"/>
      <c r="J2053" s="15"/>
      <c r="K2053" s="15"/>
      <c r="L2053" s="15"/>
      <c r="M2053" s="15"/>
      <c r="N2053" s="15"/>
      <c r="O2053" s="15"/>
      <c r="P2053" s="15"/>
      <c r="Q2053" s="15"/>
      <c r="R2053" s="15"/>
    </row>
    <row r="2054" spans="1:18" x14ac:dyDescent="0.2">
      <c r="A2054" s="15"/>
      <c r="B2054" s="38"/>
      <c r="C2054" s="15"/>
      <c r="D2054" s="15"/>
      <c r="E2054" s="15"/>
      <c r="F2054" s="15"/>
      <c r="G2054" s="15"/>
      <c r="H2054" s="15"/>
      <c r="I2054" s="15"/>
      <c r="J2054" s="15"/>
      <c r="K2054" s="15"/>
      <c r="L2054" s="15"/>
      <c r="M2054" s="15"/>
      <c r="N2054" s="15"/>
      <c r="O2054" s="15"/>
      <c r="P2054" s="15"/>
      <c r="Q2054" s="15"/>
      <c r="R2054" s="15"/>
    </row>
    <row r="2055" spans="1:18" x14ac:dyDescent="0.2">
      <c r="A2055" s="15"/>
      <c r="B2055" s="38"/>
      <c r="C2055" s="15"/>
      <c r="D2055" s="15"/>
      <c r="E2055" s="15"/>
      <c r="F2055" s="15"/>
      <c r="G2055" s="15"/>
      <c r="H2055" s="15"/>
      <c r="I2055" s="15"/>
      <c r="J2055" s="15"/>
      <c r="K2055" s="15"/>
      <c r="L2055" s="15"/>
      <c r="M2055" s="15"/>
      <c r="N2055" s="15"/>
      <c r="O2055" s="15"/>
      <c r="P2055" s="15"/>
      <c r="Q2055" s="15"/>
      <c r="R2055" s="15"/>
    </row>
    <row r="2056" spans="1:18" x14ac:dyDescent="0.2">
      <c r="A2056" s="15"/>
      <c r="B2056" s="38"/>
      <c r="C2056" s="15"/>
      <c r="D2056" s="15"/>
      <c r="E2056" s="15"/>
      <c r="F2056" s="15"/>
      <c r="G2056" s="15"/>
      <c r="H2056" s="15"/>
      <c r="I2056" s="15"/>
      <c r="J2056" s="15"/>
      <c r="K2056" s="15"/>
      <c r="L2056" s="15"/>
      <c r="M2056" s="15"/>
      <c r="N2056" s="15"/>
      <c r="O2056" s="15"/>
      <c r="P2056" s="15"/>
      <c r="Q2056" s="15"/>
      <c r="R2056" s="15"/>
    </row>
    <row r="2057" spans="1:18" x14ac:dyDescent="0.2">
      <c r="A2057" s="15"/>
      <c r="B2057" s="38"/>
      <c r="C2057" s="15"/>
      <c r="D2057" s="15"/>
      <c r="E2057" s="15"/>
      <c r="F2057" s="15"/>
      <c r="G2057" s="15"/>
      <c r="H2057" s="15"/>
      <c r="I2057" s="15"/>
      <c r="J2057" s="15"/>
      <c r="K2057" s="15"/>
      <c r="L2057" s="15"/>
      <c r="M2057" s="15"/>
      <c r="N2057" s="15"/>
      <c r="O2057" s="15"/>
      <c r="P2057" s="15"/>
      <c r="Q2057" s="15"/>
      <c r="R2057" s="15"/>
    </row>
    <row r="2058" spans="1:18" x14ac:dyDescent="0.2">
      <c r="A2058" s="15"/>
      <c r="B2058" s="38"/>
      <c r="C2058" s="15"/>
      <c r="D2058" s="15"/>
      <c r="E2058" s="15"/>
      <c r="F2058" s="15"/>
      <c r="G2058" s="15"/>
      <c r="H2058" s="15"/>
      <c r="I2058" s="15"/>
      <c r="J2058" s="15"/>
      <c r="K2058" s="15"/>
      <c r="L2058" s="15"/>
      <c r="M2058" s="15"/>
      <c r="N2058" s="15"/>
      <c r="O2058" s="15"/>
      <c r="P2058" s="15"/>
      <c r="Q2058" s="15"/>
      <c r="R2058" s="15"/>
    </row>
    <row r="2059" spans="1:18" x14ac:dyDescent="0.2">
      <c r="A2059" s="15"/>
      <c r="B2059" s="38"/>
      <c r="C2059" s="15"/>
      <c r="D2059" s="15"/>
      <c r="E2059" s="15"/>
      <c r="F2059" s="15"/>
      <c r="G2059" s="15"/>
      <c r="H2059" s="15"/>
      <c r="I2059" s="15"/>
      <c r="J2059" s="15"/>
      <c r="K2059" s="15"/>
      <c r="L2059" s="15"/>
      <c r="M2059" s="15"/>
      <c r="N2059" s="15"/>
      <c r="O2059" s="15"/>
      <c r="P2059" s="15"/>
      <c r="Q2059" s="15"/>
      <c r="R2059" s="15"/>
    </row>
    <row r="2060" spans="1:18" x14ac:dyDescent="0.2">
      <c r="A2060" s="15"/>
      <c r="B2060" s="38"/>
      <c r="C2060" s="15"/>
      <c r="D2060" s="15"/>
      <c r="E2060" s="15"/>
      <c r="F2060" s="15"/>
      <c r="G2060" s="15"/>
      <c r="H2060" s="15"/>
      <c r="I2060" s="15"/>
      <c r="J2060" s="15"/>
      <c r="K2060" s="15"/>
      <c r="L2060" s="15"/>
      <c r="M2060" s="15"/>
      <c r="N2060" s="15"/>
      <c r="O2060" s="15"/>
      <c r="P2060" s="15"/>
      <c r="Q2060" s="15"/>
      <c r="R2060" s="15"/>
    </row>
    <row r="2061" spans="1:18" x14ac:dyDescent="0.2">
      <c r="A2061" s="15"/>
      <c r="B2061" s="38"/>
      <c r="C2061" s="15"/>
      <c r="D2061" s="15"/>
      <c r="E2061" s="15"/>
      <c r="F2061" s="15"/>
      <c r="G2061" s="15"/>
      <c r="H2061" s="15"/>
      <c r="I2061" s="15"/>
      <c r="J2061" s="15"/>
      <c r="K2061" s="15"/>
      <c r="L2061" s="15"/>
      <c r="M2061" s="15"/>
      <c r="N2061" s="15"/>
      <c r="O2061" s="15"/>
      <c r="P2061" s="15"/>
      <c r="Q2061" s="15"/>
      <c r="R2061" s="15"/>
    </row>
    <row r="2062" spans="1:18" x14ac:dyDescent="0.2">
      <c r="A2062" s="15"/>
      <c r="B2062" s="38"/>
      <c r="C2062" s="15"/>
      <c r="D2062" s="15"/>
      <c r="E2062" s="15"/>
      <c r="F2062" s="15"/>
      <c r="G2062" s="15"/>
      <c r="H2062" s="15"/>
      <c r="I2062" s="15"/>
      <c r="J2062" s="15"/>
      <c r="K2062" s="15"/>
      <c r="L2062" s="15"/>
      <c r="M2062" s="15"/>
      <c r="N2062" s="15"/>
      <c r="O2062" s="15"/>
      <c r="P2062" s="15"/>
      <c r="Q2062" s="15"/>
      <c r="R2062" s="15"/>
    </row>
    <row r="2063" spans="1:18" x14ac:dyDescent="0.2">
      <c r="A2063" s="15"/>
      <c r="B2063" s="38"/>
      <c r="C2063" s="15"/>
      <c r="D2063" s="15"/>
      <c r="E2063" s="15"/>
      <c r="F2063" s="15"/>
      <c r="G2063" s="15"/>
      <c r="H2063" s="15"/>
      <c r="I2063" s="15"/>
      <c r="J2063" s="15"/>
      <c r="K2063" s="15"/>
      <c r="L2063" s="15"/>
      <c r="M2063" s="15"/>
      <c r="N2063" s="15"/>
      <c r="O2063" s="15"/>
      <c r="P2063" s="15"/>
      <c r="Q2063" s="15"/>
      <c r="R2063" s="15"/>
    </row>
    <row r="2064" spans="1:18" x14ac:dyDescent="0.2">
      <c r="A2064" s="15"/>
      <c r="B2064" s="38"/>
      <c r="C2064" s="15"/>
      <c r="D2064" s="15"/>
      <c r="E2064" s="15"/>
      <c r="F2064" s="15"/>
      <c r="G2064" s="15"/>
      <c r="H2064" s="15"/>
      <c r="I2064" s="15"/>
      <c r="J2064" s="15"/>
      <c r="K2064" s="15"/>
      <c r="L2064" s="15"/>
      <c r="M2064" s="15"/>
      <c r="N2064" s="15"/>
      <c r="O2064" s="15"/>
      <c r="P2064" s="15"/>
      <c r="Q2064" s="15"/>
      <c r="R2064" s="15"/>
    </row>
    <row r="2065" spans="1:18" x14ac:dyDescent="0.2">
      <c r="A2065" s="15"/>
      <c r="B2065" s="38"/>
      <c r="C2065" s="15"/>
      <c r="D2065" s="15"/>
      <c r="E2065" s="15"/>
      <c r="F2065" s="15"/>
      <c r="G2065" s="15"/>
      <c r="H2065" s="15"/>
      <c r="I2065" s="15"/>
      <c r="J2065" s="15"/>
      <c r="K2065" s="15"/>
      <c r="L2065" s="15"/>
      <c r="M2065" s="15"/>
      <c r="N2065" s="15"/>
      <c r="O2065" s="15"/>
      <c r="P2065" s="15"/>
      <c r="Q2065" s="15"/>
      <c r="R2065" s="15"/>
    </row>
    <row r="2066" spans="1:18" x14ac:dyDescent="0.2">
      <c r="A2066" s="15"/>
      <c r="B2066" s="38"/>
      <c r="C2066" s="15"/>
      <c r="D2066" s="15"/>
      <c r="E2066" s="15"/>
      <c r="F2066" s="15"/>
      <c r="G2066" s="15"/>
      <c r="H2066" s="15"/>
      <c r="I2066" s="15"/>
      <c r="J2066" s="15"/>
      <c r="K2066" s="15"/>
      <c r="L2066" s="15"/>
      <c r="M2066" s="15"/>
      <c r="N2066" s="15"/>
      <c r="O2066" s="15"/>
      <c r="P2066" s="15"/>
      <c r="Q2066" s="15"/>
      <c r="R2066" s="15"/>
    </row>
    <row r="2067" spans="1:18" x14ac:dyDescent="0.2">
      <c r="A2067" s="15"/>
      <c r="B2067" s="38"/>
      <c r="C2067" s="15"/>
      <c r="D2067" s="15"/>
      <c r="E2067" s="15"/>
      <c r="F2067" s="15"/>
      <c r="G2067" s="15"/>
      <c r="H2067" s="15"/>
      <c r="I2067" s="15"/>
      <c r="J2067" s="15"/>
      <c r="K2067" s="15"/>
      <c r="L2067" s="15"/>
      <c r="M2067" s="15"/>
      <c r="N2067" s="15"/>
      <c r="O2067" s="15"/>
      <c r="P2067" s="15"/>
      <c r="Q2067" s="15"/>
      <c r="R2067" s="15"/>
    </row>
    <row r="2068" spans="1:18" x14ac:dyDescent="0.2">
      <c r="A2068" s="15"/>
      <c r="B2068" s="38"/>
      <c r="C2068" s="15"/>
      <c r="D2068" s="15"/>
      <c r="E2068" s="15"/>
      <c r="F2068" s="15"/>
      <c r="G2068" s="15"/>
      <c r="H2068" s="15"/>
      <c r="I2068" s="15"/>
      <c r="J2068" s="15"/>
      <c r="K2068" s="15"/>
      <c r="L2068" s="15"/>
      <c r="M2068" s="15"/>
      <c r="N2068" s="15"/>
      <c r="O2068" s="15"/>
      <c r="P2068" s="15"/>
      <c r="Q2068" s="15"/>
      <c r="R2068" s="15"/>
    </row>
    <row r="2069" spans="1:18" x14ac:dyDescent="0.2">
      <c r="A2069" s="15"/>
      <c r="B2069" s="38"/>
      <c r="C2069" s="15"/>
      <c r="D2069" s="15"/>
      <c r="E2069" s="15"/>
      <c r="F2069" s="15"/>
      <c r="G2069" s="15"/>
      <c r="H2069" s="15"/>
      <c r="I2069" s="15"/>
      <c r="J2069" s="15"/>
      <c r="K2069" s="15"/>
      <c r="L2069" s="15"/>
      <c r="M2069" s="15"/>
      <c r="N2069" s="15"/>
      <c r="O2069" s="15"/>
      <c r="P2069" s="15"/>
      <c r="Q2069" s="15"/>
      <c r="R2069" s="15"/>
    </row>
    <row r="2070" spans="1:18" x14ac:dyDescent="0.2">
      <c r="A2070" s="15"/>
      <c r="B2070" s="38"/>
      <c r="C2070" s="15"/>
      <c r="D2070" s="15"/>
      <c r="E2070" s="15"/>
      <c r="F2070" s="15"/>
      <c r="G2070" s="15"/>
      <c r="H2070" s="15"/>
      <c r="I2070" s="15"/>
      <c r="J2070" s="15"/>
      <c r="K2070" s="15"/>
      <c r="L2070" s="15"/>
      <c r="M2070" s="15"/>
      <c r="N2070" s="15"/>
      <c r="O2070" s="15"/>
      <c r="P2070" s="15"/>
      <c r="Q2070" s="15"/>
      <c r="R2070" s="15"/>
    </row>
    <row r="2071" spans="1:18" x14ac:dyDescent="0.2">
      <c r="A2071" s="15"/>
      <c r="B2071" s="38"/>
      <c r="C2071" s="15"/>
      <c r="D2071" s="15"/>
      <c r="E2071" s="15"/>
      <c r="F2071" s="15"/>
      <c r="G2071" s="15"/>
      <c r="H2071" s="15"/>
      <c r="I2071" s="15"/>
      <c r="J2071" s="15"/>
      <c r="K2071" s="15"/>
      <c r="L2071" s="15"/>
      <c r="M2071" s="15"/>
      <c r="N2071" s="15"/>
      <c r="O2071" s="15"/>
      <c r="P2071" s="15"/>
      <c r="Q2071" s="15"/>
      <c r="R2071" s="15"/>
    </row>
    <row r="2072" spans="1:18" x14ac:dyDescent="0.2">
      <c r="A2072" s="15"/>
      <c r="B2072" s="38"/>
      <c r="C2072" s="15"/>
      <c r="D2072" s="15"/>
      <c r="E2072" s="15"/>
      <c r="F2072" s="15"/>
      <c r="G2072" s="15"/>
      <c r="H2072" s="15"/>
      <c r="I2072" s="15"/>
      <c r="J2072" s="15"/>
      <c r="K2072" s="15"/>
      <c r="L2072" s="15"/>
      <c r="M2072" s="15"/>
      <c r="N2072" s="15"/>
      <c r="O2072" s="15"/>
      <c r="P2072" s="15"/>
      <c r="Q2072" s="15"/>
      <c r="R2072" s="15"/>
    </row>
    <row r="2073" spans="1:18" x14ac:dyDescent="0.2">
      <c r="A2073" s="15"/>
      <c r="B2073" s="38"/>
      <c r="C2073" s="15"/>
      <c r="D2073" s="15"/>
      <c r="E2073" s="15"/>
      <c r="F2073" s="15"/>
      <c r="G2073" s="15"/>
      <c r="H2073" s="15"/>
      <c r="I2073" s="15"/>
      <c r="J2073" s="15"/>
      <c r="K2073" s="15"/>
      <c r="L2073" s="15"/>
      <c r="M2073" s="15"/>
      <c r="N2073" s="15"/>
      <c r="O2073" s="15"/>
      <c r="P2073" s="15"/>
      <c r="Q2073" s="15"/>
      <c r="R2073" s="15"/>
    </row>
    <row r="2074" spans="1:18" x14ac:dyDescent="0.2">
      <c r="A2074" s="15"/>
      <c r="B2074" s="38"/>
      <c r="C2074" s="15"/>
      <c r="D2074" s="15"/>
      <c r="E2074" s="15"/>
      <c r="F2074" s="15"/>
      <c r="G2074" s="15"/>
      <c r="H2074" s="15"/>
      <c r="I2074" s="15"/>
      <c r="J2074" s="15"/>
      <c r="K2074" s="15"/>
      <c r="L2074" s="15"/>
      <c r="M2074" s="15"/>
      <c r="N2074" s="15"/>
      <c r="O2074" s="15"/>
      <c r="P2074" s="15"/>
      <c r="Q2074" s="15"/>
      <c r="R2074" s="15"/>
    </row>
    <row r="2075" spans="1:18" x14ac:dyDescent="0.2">
      <c r="A2075" s="15"/>
      <c r="B2075" s="38"/>
      <c r="C2075" s="15"/>
      <c r="D2075" s="15"/>
      <c r="E2075" s="15"/>
      <c r="F2075" s="15"/>
      <c r="G2075" s="15"/>
      <c r="H2075" s="15"/>
      <c r="I2075" s="15"/>
      <c r="J2075" s="15"/>
      <c r="K2075" s="15"/>
      <c r="L2075" s="15"/>
      <c r="M2075" s="15"/>
      <c r="N2075" s="15"/>
      <c r="O2075" s="15"/>
      <c r="P2075" s="15"/>
      <c r="Q2075" s="15"/>
      <c r="R2075" s="15"/>
    </row>
    <row r="2076" spans="1:18" x14ac:dyDescent="0.2">
      <c r="A2076" s="15"/>
      <c r="B2076" s="38"/>
      <c r="C2076" s="15"/>
      <c r="D2076" s="15"/>
      <c r="E2076" s="15"/>
      <c r="F2076" s="15"/>
      <c r="G2076" s="15"/>
      <c r="H2076" s="15"/>
      <c r="I2076" s="15"/>
      <c r="J2076" s="15"/>
      <c r="K2076" s="15"/>
      <c r="L2076" s="15"/>
      <c r="M2076" s="15"/>
      <c r="N2076" s="15"/>
      <c r="O2076" s="15"/>
      <c r="P2076" s="15"/>
      <c r="Q2076" s="15"/>
      <c r="R2076" s="15"/>
    </row>
    <row r="2077" spans="1:18" x14ac:dyDescent="0.2">
      <c r="A2077" s="15"/>
      <c r="B2077" s="38"/>
      <c r="C2077" s="15"/>
      <c r="D2077" s="15"/>
      <c r="E2077" s="15"/>
      <c r="F2077" s="15"/>
      <c r="G2077" s="15"/>
      <c r="H2077" s="15"/>
      <c r="I2077" s="15"/>
      <c r="J2077" s="15"/>
      <c r="K2077" s="15"/>
      <c r="L2077" s="15"/>
      <c r="M2077" s="15"/>
      <c r="N2077" s="15"/>
      <c r="O2077" s="15"/>
      <c r="P2077" s="15"/>
      <c r="Q2077" s="15"/>
      <c r="R2077" s="15"/>
    </row>
    <row r="2078" spans="1:18" x14ac:dyDescent="0.2">
      <c r="A2078" s="15"/>
      <c r="B2078" s="38"/>
      <c r="C2078" s="15"/>
      <c r="D2078" s="15"/>
      <c r="E2078" s="15"/>
      <c r="F2078" s="15"/>
      <c r="G2078" s="15"/>
      <c r="H2078" s="15"/>
      <c r="I2078" s="15"/>
      <c r="J2078" s="15"/>
      <c r="K2078" s="15"/>
      <c r="L2078" s="15"/>
      <c r="M2078" s="15"/>
      <c r="N2078" s="15"/>
      <c r="O2078" s="15"/>
      <c r="P2078" s="15"/>
      <c r="Q2078" s="15"/>
      <c r="R2078" s="15"/>
    </row>
    <row r="2079" spans="1:18" x14ac:dyDescent="0.2">
      <c r="A2079" s="15"/>
      <c r="B2079" s="38"/>
      <c r="C2079" s="15"/>
      <c r="D2079" s="15"/>
      <c r="E2079" s="15"/>
      <c r="F2079" s="15"/>
      <c r="G2079" s="15"/>
      <c r="H2079" s="15"/>
      <c r="I2079" s="15"/>
      <c r="J2079" s="15"/>
      <c r="K2079" s="15"/>
      <c r="L2079" s="15"/>
      <c r="M2079" s="15"/>
      <c r="N2079" s="15"/>
      <c r="O2079" s="15"/>
      <c r="P2079" s="15"/>
      <c r="Q2079" s="15"/>
      <c r="R2079" s="15"/>
    </row>
    <row r="2080" spans="1:18" x14ac:dyDescent="0.2">
      <c r="A2080" s="15"/>
      <c r="B2080" s="38"/>
      <c r="C2080" s="15"/>
      <c r="D2080" s="15"/>
      <c r="E2080" s="15"/>
      <c r="F2080" s="15"/>
      <c r="G2080" s="15"/>
      <c r="H2080" s="15"/>
      <c r="I2080" s="15"/>
      <c r="J2080" s="15"/>
      <c r="K2080" s="15"/>
      <c r="L2080" s="15"/>
      <c r="M2080" s="15"/>
      <c r="N2080" s="15"/>
      <c r="O2080" s="15"/>
      <c r="P2080" s="15"/>
      <c r="Q2080" s="15"/>
      <c r="R2080" s="15"/>
    </row>
    <row r="2081" spans="1:18" x14ac:dyDescent="0.2">
      <c r="A2081" s="15"/>
      <c r="B2081" s="38"/>
      <c r="C2081" s="15"/>
      <c r="D2081" s="15"/>
      <c r="E2081" s="15"/>
      <c r="F2081" s="15"/>
      <c r="G2081" s="15"/>
      <c r="H2081" s="15"/>
      <c r="I2081" s="15"/>
      <c r="J2081" s="15"/>
      <c r="K2081" s="15"/>
      <c r="L2081" s="15"/>
      <c r="M2081" s="15"/>
      <c r="N2081" s="15"/>
      <c r="O2081" s="15"/>
      <c r="P2081" s="15"/>
      <c r="Q2081" s="15"/>
      <c r="R2081" s="15"/>
    </row>
    <row r="2082" spans="1:18" x14ac:dyDescent="0.2">
      <c r="A2082" s="15"/>
      <c r="B2082" s="38"/>
      <c r="C2082" s="15"/>
      <c r="D2082" s="15"/>
      <c r="E2082" s="15"/>
      <c r="F2082" s="15"/>
      <c r="G2082" s="15"/>
      <c r="H2082" s="15"/>
      <c r="I2082" s="15"/>
      <c r="J2082" s="15"/>
      <c r="K2082" s="15"/>
      <c r="L2082" s="15"/>
      <c r="M2082" s="15"/>
      <c r="N2082" s="15"/>
      <c r="O2082" s="15"/>
      <c r="P2082" s="15"/>
      <c r="Q2082" s="15"/>
      <c r="R2082" s="15"/>
    </row>
    <row r="2083" spans="1:18" x14ac:dyDescent="0.2">
      <c r="A2083" s="15"/>
      <c r="B2083" s="38"/>
      <c r="C2083" s="15"/>
      <c r="D2083" s="15"/>
      <c r="E2083" s="15"/>
      <c r="F2083" s="15"/>
      <c r="G2083" s="15"/>
      <c r="H2083" s="15"/>
      <c r="I2083" s="15"/>
      <c r="J2083" s="15"/>
      <c r="K2083" s="15"/>
      <c r="L2083" s="15"/>
      <c r="M2083" s="15"/>
      <c r="N2083" s="15"/>
      <c r="O2083" s="15"/>
      <c r="P2083" s="15"/>
      <c r="Q2083" s="15"/>
      <c r="R2083" s="15"/>
    </row>
    <row r="2084" spans="1:18" x14ac:dyDescent="0.2">
      <c r="A2084" s="15"/>
      <c r="B2084" s="38"/>
      <c r="C2084" s="15"/>
      <c r="D2084" s="15"/>
      <c r="E2084" s="15"/>
      <c r="F2084" s="15"/>
      <c r="G2084" s="15"/>
      <c r="H2084" s="15"/>
      <c r="I2084" s="15"/>
      <c r="J2084" s="15"/>
      <c r="K2084" s="15"/>
      <c r="L2084" s="15"/>
      <c r="M2084" s="15"/>
      <c r="N2084" s="15"/>
      <c r="O2084" s="15"/>
      <c r="P2084" s="15"/>
      <c r="Q2084" s="15"/>
      <c r="R2084" s="15"/>
    </row>
    <row r="2085" spans="1:18" x14ac:dyDescent="0.2">
      <c r="A2085" s="15"/>
      <c r="B2085" s="38"/>
      <c r="C2085" s="15"/>
      <c r="D2085" s="15"/>
      <c r="E2085" s="15"/>
      <c r="F2085" s="15"/>
      <c r="G2085" s="15"/>
      <c r="H2085" s="15"/>
      <c r="I2085" s="15"/>
      <c r="J2085" s="15"/>
      <c r="K2085" s="15"/>
      <c r="L2085" s="15"/>
      <c r="M2085" s="15"/>
      <c r="N2085" s="15"/>
      <c r="O2085" s="15"/>
      <c r="P2085" s="15"/>
      <c r="Q2085" s="15"/>
      <c r="R2085" s="15"/>
    </row>
    <row r="2086" spans="1:18" x14ac:dyDescent="0.2">
      <c r="A2086" s="15"/>
      <c r="B2086" s="38"/>
      <c r="C2086" s="15"/>
      <c r="D2086" s="15"/>
      <c r="E2086" s="15"/>
      <c r="F2086" s="15"/>
      <c r="G2086" s="15"/>
      <c r="H2086" s="15"/>
      <c r="I2086" s="15"/>
      <c r="J2086" s="15"/>
      <c r="K2086" s="15"/>
      <c r="L2086" s="15"/>
      <c r="M2086" s="15"/>
      <c r="N2086" s="15"/>
      <c r="O2086" s="15"/>
      <c r="P2086" s="15"/>
      <c r="Q2086" s="15"/>
      <c r="R2086" s="15"/>
    </row>
    <row r="2087" spans="1:18" x14ac:dyDescent="0.2">
      <c r="A2087" s="15"/>
      <c r="B2087" s="38"/>
      <c r="C2087" s="15"/>
      <c r="D2087" s="15"/>
      <c r="E2087" s="15"/>
      <c r="F2087" s="15"/>
      <c r="G2087" s="15"/>
      <c r="H2087" s="15"/>
      <c r="I2087" s="15"/>
      <c r="J2087" s="15"/>
      <c r="K2087" s="15"/>
      <c r="L2087" s="15"/>
      <c r="M2087" s="15"/>
      <c r="N2087" s="15"/>
      <c r="O2087" s="15"/>
      <c r="P2087" s="15"/>
      <c r="Q2087" s="15"/>
      <c r="R2087" s="15"/>
    </row>
    <row r="2088" spans="1:18" x14ac:dyDescent="0.2">
      <c r="A2088" s="15"/>
      <c r="B2088" s="38"/>
      <c r="C2088" s="15"/>
      <c r="D2088" s="15"/>
      <c r="E2088" s="15"/>
      <c r="F2088" s="15"/>
      <c r="G2088" s="15"/>
      <c r="H2088" s="15"/>
      <c r="I2088" s="15"/>
      <c r="J2088" s="15"/>
      <c r="K2088" s="15"/>
      <c r="L2088" s="15"/>
      <c r="M2088" s="15"/>
      <c r="N2088" s="15"/>
      <c r="O2088" s="15"/>
      <c r="P2088" s="15"/>
      <c r="Q2088" s="15"/>
      <c r="R2088" s="15"/>
    </row>
    <row r="2089" spans="1:18" x14ac:dyDescent="0.2">
      <c r="A2089" s="15"/>
      <c r="B2089" s="38"/>
      <c r="C2089" s="15"/>
      <c r="D2089" s="15"/>
      <c r="E2089" s="15"/>
      <c r="F2089" s="15"/>
      <c r="G2089" s="15"/>
      <c r="H2089" s="15"/>
      <c r="I2089" s="15"/>
      <c r="J2089" s="15"/>
      <c r="K2089" s="15"/>
      <c r="L2089" s="15"/>
      <c r="M2089" s="15"/>
      <c r="N2089" s="15"/>
      <c r="O2089" s="15"/>
      <c r="P2089" s="15"/>
      <c r="Q2089" s="15"/>
      <c r="R2089" s="15"/>
    </row>
    <row r="2090" spans="1:18" x14ac:dyDescent="0.2">
      <c r="A2090" s="15"/>
      <c r="B2090" s="38"/>
      <c r="C2090" s="15"/>
      <c r="D2090" s="15"/>
      <c r="E2090" s="15"/>
      <c r="F2090" s="15"/>
      <c r="G2090" s="15"/>
      <c r="H2090" s="15"/>
      <c r="I2090" s="15"/>
      <c r="J2090" s="15"/>
      <c r="K2090" s="15"/>
      <c r="L2090" s="15"/>
      <c r="M2090" s="15"/>
      <c r="N2090" s="15"/>
      <c r="O2090" s="15"/>
      <c r="P2090" s="15"/>
      <c r="Q2090" s="15"/>
      <c r="R2090" s="15"/>
    </row>
    <row r="2091" spans="1:18" x14ac:dyDescent="0.2">
      <c r="A2091" s="15"/>
      <c r="B2091" s="38"/>
      <c r="C2091" s="15"/>
      <c r="D2091" s="15"/>
      <c r="E2091" s="15"/>
      <c r="F2091" s="15"/>
      <c r="G2091" s="15"/>
      <c r="H2091" s="15"/>
      <c r="I2091" s="15"/>
      <c r="J2091" s="15"/>
      <c r="K2091" s="15"/>
      <c r="L2091" s="15"/>
      <c r="M2091" s="15"/>
      <c r="N2091" s="15"/>
      <c r="O2091" s="15"/>
      <c r="P2091" s="15"/>
      <c r="Q2091" s="15"/>
      <c r="R2091" s="15"/>
    </row>
    <row r="2092" spans="1:18" x14ac:dyDescent="0.2">
      <c r="A2092" s="15"/>
      <c r="B2092" s="38"/>
      <c r="C2092" s="15"/>
      <c r="D2092" s="15"/>
      <c r="E2092" s="15"/>
      <c r="F2092" s="15"/>
      <c r="G2092" s="15"/>
      <c r="H2092" s="15"/>
      <c r="I2092" s="15"/>
      <c r="J2092" s="15"/>
      <c r="K2092" s="15"/>
      <c r="L2092" s="15"/>
      <c r="M2092" s="15"/>
      <c r="N2092" s="15"/>
      <c r="O2092" s="15"/>
      <c r="P2092" s="15"/>
      <c r="Q2092" s="15"/>
      <c r="R2092" s="15"/>
    </row>
    <row r="2093" spans="1:18" x14ac:dyDescent="0.2">
      <c r="A2093" s="15"/>
      <c r="B2093" s="38"/>
      <c r="C2093" s="15"/>
      <c r="D2093" s="15"/>
      <c r="E2093" s="15"/>
      <c r="F2093" s="15"/>
      <c r="G2093" s="15"/>
      <c r="H2093" s="15"/>
      <c r="I2093" s="15"/>
      <c r="J2093" s="15"/>
      <c r="K2093" s="15"/>
      <c r="L2093" s="15"/>
      <c r="M2093" s="15"/>
      <c r="N2093" s="15"/>
      <c r="O2093" s="15"/>
      <c r="P2093" s="15"/>
      <c r="Q2093" s="15"/>
      <c r="R2093" s="15"/>
    </row>
    <row r="2094" spans="1:18" x14ac:dyDescent="0.2">
      <c r="A2094" s="15"/>
      <c r="B2094" s="38"/>
      <c r="C2094" s="15"/>
      <c r="D2094" s="15"/>
      <c r="E2094" s="15"/>
      <c r="F2094" s="15"/>
      <c r="G2094" s="15"/>
      <c r="H2094" s="15"/>
      <c r="I2094" s="15"/>
      <c r="J2094" s="15"/>
      <c r="K2094" s="15"/>
      <c r="L2094" s="15"/>
      <c r="M2094" s="15"/>
      <c r="N2094" s="15"/>
      <c r="O2094" s="15"/>
      <c r="P2094" s="15"/>
      <c r="Q2094" s="15"/>
      <c r="R2094" s="15"/>
    </row>
    <row r="2095" spans="1:18" x14ac:dyDescent="0.2">
      <c r="A2095" s="15"/>
      <c r="B2095" s="38"/>
      <c r="C2095" s="15"/>
      <c r="D2095" s="15"/>
      <c r="E2095" s="15"/>
      <c r="F2095" s="15"/>
      <c r="G2095" s="15"/>
      <c r="H2095" s="15"/>
      <c r="I2095" s="15"/>
      <c r="J2095" s="15"/>
      <c r="K2095" s="15"/>
      <c r="L2095" s="15"/>
      <c r="M2095" s="15"/>
      <c r="N2095" s="15"/>
      <c r="O2095" s="15"/>
      <c r="P2095" s="15"/>
      <c r="Q2095" s="15"/>
      <c r="R2095" s="15"/>
    </row>
    <row r="2096" spans="1:18" x14ac:dyDescent="0.2">
      <c r="A2096" s="15"/>
      <c r="B2096" s="38"/>
      <c r="C2096" s="15"/>
      <c r="D2096" s="15"/>
      <c r="E2096" s="15"/>
      <c r="F2096" s="15"/>
      <c r="G2096" s="15"/>
      <c r="H2096" s="15"/>
      <c r="I2096" s="15"/>
      <c r="J2096" s="15"/>
      <c r="K2096" s="15"/>
      <c r="L2096" s="15"/>
      <c r="M2096" s="15"/>
      <c r="N2096" s="15"/>
      <c r="O2096" s="15"/>
      <c r="P2096" s="15"/>
      <c r="Q2096" s="15"/>
      <c r="R2096" s="15"/>
    </row>
    <row r="2097" spans="1:18" x14ac:dyDescent="0.2">
      <c r="A2097" s="15"/>
      <c r="B2097" s="38"/>
      <c r="C2097" s="15"/>
      <c r="D2097" s="15"/>
      <c r="E2097" s="15"/>
      <c r="F2097" s="15"/>
      <c r="G2097" s="15"/>
      <c r="H2097" s="15"/>
      <c r="I2097" s="15"/>
      <c r="J2097" s="15"/>
      <c r="K2097" s="15"/>
      <c r="L2097" s="15"/>
      <c r="M2097" s="15"/>
      <c r="N2097" s="15"/>
      <c r="O2097" s="15"/>
      <c r="P2097" s="15"/>
      <c r="Q2097" s="15"/>
      <c r="R2097" s="15"/>
    </row>
    <row r="2098" spans="1:18" x14ac:dyDescent="0.2">
      <c r="A2098" s="15"/>
      <c r="B2098" s="38"/>
      <c r="C2098" s="15"/>
      <c r="D2098" s="15"/>
      <c r="E2098" s="15"/>
      <c r="F2098" s="15"/>
      <c r="G2098" s="15"/>
      <c r="H2098" s="15"/>
      <c r="I2098" s="15"/>
      <c r="J2098" s="15"/>
      <c r="K2098" s="15"/>
      <c r="L2098" s="15"/>
      <c r="M2098" s="15"/>
      <c r="N2098" s="15"/>
      <c r="O2098" s="15"/>
      <c r="P2098" s="15"/>
      <c r="Q2098" s="15"/>
      <c r="R2098" s="15"/>
    </row>
    <row r="2099" spans="1:18" x14ac:dyDescent="0.2">
      <c r="A2099" s="15"/>
      <c r="B2099" s="38"/>
      <c r="C2099" s="15"/>
      <c r="D2099" s="15"/>
      <c r="E2099" s="15"/>
      <c r="F2099" s="15"/>
      <c r="G2099" s="15"/>
      <c r="H2099" s="15"/>
      <c r="I2099" s="15"/>
      <c r="J2099" s="15"/>
      <c r="K2099" s="15"/>
      <c r="L2099" s="15"/>
      <c r="M2099" s="15"/>
      <c r="N2099" s="15"/>
      <c r="O2099" s="15"/>
      <c r="P2099" s="15"/>
      <c r="Q2099" s="15"/>
      <c r="R2099" s="15"/>
    </row>
    <row r="2100" spans="1:18" x14ac:dyDescent="0.2">
      <c r="A2100" s="15"/>
      <c r="B2100" s="38"/>
      <c r="C2100" s="15"/>
      <c r="D2100" s="15"/>
      <c r="E2100" s="15"/>
      <c r="F2100" s="15"/>
      <c r="G2100" s="15"/>
      <c r="H2100" s="15"/>
      <c r="I2100" s="15"/>
      <c r="J2100" s="15"/>
      <c r="K2100" s="15"/>
      <c r="L2100" s="15"/>
      <c r="M2100" s="15"/>
      <c r="N2100" s="15"/>
      <c r="O2100" s="15"/>
      <c r="P2100" s="15"/>
      <c r="Q2100" s="15"/>
      <c r="R2100" s="15"/>
    </row>
    <row r="2101" spans="1:18" x14ac:dyDescent="0.2">
      <c r="A2101" s="15"/>
      <c r="B2101" s="38"/>
      <c r="C2101" s="15"/>
      <c r="D2101" s="15"/>
      <c r="E2101" s="15"/>
      <c r="F2101" s="15"/>
      <c r="G2101" s="15"/>
      <c r="H2101" s="15"/>
      <c r="I2101" s="15"/>
      <c r="J2101" s="15"/>
      <c r="K2101" s="15"/>
      <c r="L2101" s="15"/>
      <c r="M2101" s="15"/>
      <c r="N2101" s="15"/>
      <c r="O2101" s="15"/>
      <c r="P2101" s="15"/>
      <c r="Q2101" s="15"/>
      <c r="R2101" s="15"/>
    </row>
    <row r="2102" spans="1:18" x14ac:dyDescent="0.2">
      <c r="A2102" s="15"/>
      <c r="B2102" s="38"/>
      <c r="C2102" s="15"/>
      <c r="D2102" s="15"/>
      <c r="E2102" s="15"/>
      <c r="F2102" s="15"/>
      <c r="G2102" s="15"/>
      <c r="H2102" s="15"/>
      <c r="I2102" s="15"/>
      <c r="J2102" s="15"/>
      <c r="K2102" s="15"/>
      <c r="L2102" s="15"/>
      <c r="M2102" s="15"/>
      <c r="N2102" s="15"/>
      <c r="O2102" s="15"/>
      <c r="P2102" s="15"/>
      <c r="Q2102" s="15"/>
      <c r="R2102" s="15"/>
    </row>
    <row r="2103" spans="1:18" x14ac:dyDescent="0.2">
      <c r="A2103" s="15"/>
      <c r="B2103" s="38"/>
      <c r="C2103" s="15"/>
      <c r="D2103" s="15"/>
      <c r="E2103" s="15"/>
      <c r="F2103" s="15"/>
      <c r="G2103" s="15"/>
      <c r="H2103" s="15"/>
      <c r="I2103" s="15"/>
      <c r="J2103" s="15"/>
      <c r="K2103" s="15"/>
      <c r="L2103" s="15"/>
      <c r="M2103" s="15"/>
      <c r="N2103" s="15"/>
      <c r="O2103" s="15"/>
      <c r="P2103" s="15"/>
      <c r="Q2103" s="15"/>
      <c r="R2103" s="15"/>
    </row>
    <row r="2104" spans="1:18" x14ac:dyDescent="0.2">
      <c r="A2104" s="15"/>
      <c r="B2104" s="38"/>
      <c r="C2104" s="15"/>
      <c r="D2104" s="15"/>
      <c r="E2104" s="15"/>
      <c r="F2104" s="15"/>
      <c r="G2104" s="15"/>
      <c r="H2104" s="15"/>
      <c r="I2104" s="15"/>
      <c r="J2104" s="15"/>
      <c r="K2104" s="15"/>
      <c r="L2104" s="15"/>
      <c r="M2104" s="15"/>
      <c r="N2104" s="15"/>
      <c r="O2104" s="15"/>
      <c r="P2104" s="15"/>
      <c r="Q2104" s="15"/>
      <c r="R2104" s="15"/>
    </row>
    <row r="2105" spans="1:18" x14ac:dyDescent="0.2">
      <c r="A2105" s="15"/>
      <c r="B2105" s="38"/>
      <c r="C2105" s="15"/>
      <c r="D2105" s="15"/>
      <c r="E2105" s="15"/>
      <c r="F2105" s="15"/>
      <c r="G2105" s="15"/>
      <c r="H2105" s="15"/>
      <c r="I2105" s="15"/>
      <c r="J2105" s="15"/>
      <c r="K2105" s="15"/>
      <c r="L2105" s="15"/>
      <c r="M2105" s="15"/>
      <c r="N2105" s="15"/>
      <c r="O2105" s="15"/>
      <c r="P2105" s="15"/>
      <c r="Q2105" s="15"/>
      <c r="R2105" s="15"/>
    </row>
    <row r="2106" spans="1:18" x14ac:dyDescent="0.2">
      <c r="A2106" s="15"/>
      <c r="B2106" s="38"/>
      <c r="C2106" s="15"/>
      <c r="D2106" s="15"/>
      <c r="E2106" s="15"/>
      <c r="F2106" s="15"/>
      <c r="G2106" s="15"/>
      <c r="H2106" s="15"/>
      <c r="I2106" s="15"/>
      <c r="J2106" s="15"/>
      <c r="K2106" s="15"/>
      <c r="L2106" s="15"/>
      <c r="M2106" s="15"/>
      <c r="N2106" s="15"/>
      <c r="O2106" s="15"/>
      <c r="P2106" s="15"/>
      <c r="Q2106" s="15"/>
      <c r="R2106" s="15"/>
    </row>
    <row r="2107" spans="1:18" x14ac:dyDescent="0.2">
      <c r="A2107" s="15"/>
      <c r="B2107" s="38"/>
      <c r="C2107" s="15"/>
      <c r="D2107" s="15"/>
      <c r="E2107" s="15"/>
      <c r="F2107" s="15"/>
      <c r="G2107" s="15"/>
      <c r="H2107" s="15"/>
      <c r="I2107" s="15"/>
      <c r="J2107" s="15"/>
      <c r="K2107" s="15"/>
      <c r="L2107" s="15"/>
      <c r="M2107" s="15"/>
      <c r="N2107" s="15"/>
      <c r="O2107" s="15"/>
      <c r="P2107" s="15"/>
      <c r="Q2107" s="15"/>
      <c r="R2107" s="15"/>
    </row>
    <row r="2108" spans="1:18" x14ac:dyDescent="0.2">
      <c r="A2108" s="15"/>
      <c r="B2108" s="38"/>
      <c r="C2108" s="15"/>
      <c r="D2108" s="15"/>
      <c r="E2108" s="15"/>
      <c r="F2108" s="15"/>
      <c r="G2108" s="15"/>
      <c r="H2108" s="15"/>
      <c r="I2108" s="15"/>
      <c r="J2108" s="15"/>
      <c r="K2108" s="15"/>
      <c r="L2108" s="15"/>
      <c r="M2108" s="15"/>
      <c r="N2108" s="15"/>
      <c r="O2108" s="15"/>
      <c r="P2108" s="15"/>
      <c r="Q2108" s="15"/>
      <c r="R2108" s="15"/>
    </row>
    <row r="2109" spans="1:18" x14ac:dyDescent="0.2">
      <c r="A2109" s="15"/>
      <c r="B2109" s="38"/>
      <c r="C2109" s="15"/>
      <c r="D2109" s="15"/>
      <c r="E2109" s="15"/>
      <c r="F2109" s="15"/>
      <c r="G2109" s="15"/>
      <c r="H2109" s="15"/>
      <c r="I2109" s="15"/>
      <c r="J2109" s="15"/>
      <c r="K2109" s="15"/>
      <c r="L2109" s="15"/>
      <c r="M2109" s="15"/>
      <c r="N2109" s="15"/>
      <c r="O2109" s="15"/>
      <c r="P2109" s="15"/>
      <c r="Q2109" s="15"/>
      <c r="R2109" s="15"/>
    </row>
    <row r="2110" spans="1:18" x14ac:dyDescent="0.2">
      <c r="A2110" s="15"/>
      <c r="B2110" s="38"/>
      <c r="C2110" s="15"/>
      <c r="D2110" s="15"/>
      <c r="E2110" s="15"/>
      <c r="F2110" s="15"/>
      <c r="G2110" s="15"/>
      <c r="H2110" s="15"/>
      <c r="I2110" s="15"/>
      <c r="J2110" s="15"/>
      <c r="K2110" s="15"/>
      <c r="L2110" s="15"/>
      <c r="M2110" s="15"/>
      <c r="N2110" s="15"/>
      <c r="O2110" s="15"/>
      <c r="P2110" s="15"/>
      <c r="Q2110" s="15"/>
      <c r="R2110" s="15"/>
    </row>
    <row r="2111" spans="1:18" x14ac:dyDescent="0.2">
      <c r="A2111" s="15"/>
      <c r="B2111" s="38"/>
      <c r="C2111" s="15"/>
      <c r="D2111" s="15"/>
      <c r="E2111" s="15"/>
      <c r="F2111" s="15"/>
      <c r="G2111" s="15"/>
      <c r="H2111" s="15"/>
      <c r="I2111" s="15"/>
      <c r="J2111" s="15"/>
      <c r="K2111" s="15"/>
      <c r="L2111" s="15"/>
      <c r="M2111" s="15"/>
      <c r="N2111" s="15"/>
      <c r="O2111" s="15"/>
      <c r="P2111" s="15"/>
      <c r="Q2111" s="15"/>
      <c r="R2111" s="15"/>
    </row>
    <row r="2112" spans="1:18" x14ac:dyDescent="0.2">
      <c r="A2112" s="15"/>
      <c r="B2112" s="38"/>
      <c r="C2112" s="15"/>
      <c r="D2112" s="15"/>
      <c r="E2112" s="15"/>
      <c r="F2112" s="15"/>
      <c r="G2112" s="15"/>
      <c r="H2112" s="15"/>
      <c r="I2112" s="15"/>
      <c r="J2112" s="15"/>
      <c r="K2112" s="15"/>
      <c r="L2112" s="15"/>
      <c r="M2112" s="15"/>
      <c r="N2112" s="15"/>
      <c r="O2112" s="15"/>
      <c r="P2112" s="15"/>
      <c r="Q2112" s="15"/>
      <c r="R2112" s="15"/>
    </row>
    <row r="2113" spans="1:18" x14ac:dyDescent="0.2">
      <c r="A2113" s="15"/>
      <c r="B2113" s="38"/>
      <c r="C2113" s="15"/>
      <c r="D2113" s="15"/>
      <c r="E2113" s="15"/>
      <c r="F2113" s="15"/>
      <c r="G2113" s="15"/>
      <c r="H2113" s="15"/>
      <c r="I2113" s="15"/>
      <c r="J2113" s="15"/>
      <c r="K2113" s="15"/>
      <c r="L2113" s="15"/>
      <c r="M2113" s="15"/>
      <c r="N2113" s="15"/>
      <c r="O2113" s="15"/>
      <c r="P2113" s="15"/>
      <c r="Q2113" s="15"/>
      <c r="R2113" s="15"/>
    </row>
    <row r="2114" spans="1:18" x14ac:dyDescent="0.2">
      <c r="A2114" s="15"/>
      <c r="B2114" s="38"/>
      <c r="C2114" s="15"/>
      <c r="D2114" s="15"/>
      <c r="E2114" s="15"/>
      <c r="F2114" s="15"/>
      <c r="G2114" s="15"/>
      <c r="H2114" s="15"/>
      <c r="I2114" s="15"/>
      <c r="J2114" s="15"/>
      <c r="K2114" s="15"/>
      <c r="L2114" s="15"/>
      <c r="M2114" s="15"/>
      <c r="N2114" s="15"/>
      <c r="O2114" s="15"/>
      <c r="P2114" s="15"/>
      <c r="Q2114" s="15"/>
      <c r="R2114" s="15"/>
    </row>
    <row r="2115" spans="1:18" x14ac:dyDescent="0.2">
      <c r="A2115" s="15"/>
      <c r="B2115" s="38"/>
      <c r="C2115" s="15"/>
      <c r="D2115" s="15"/>
      <c r="E2115" s="15"/>
      <c r="F2115" s="15"/>
      <c r="G2115" s="15"/>
      <c r="H2115" s="15"/>
      <c r="I2115" s="15"/>
      <c r="J2115" s="15"/>
      <c r="K2115" s="15"/>
      <c r="L2115" s="15"/>
      <c r="M2115" s="15"/>
      <c r="N2115" s="15"/>
      <c r="O2115" s="15"/>
      <c r="P2115" s="15"/>
      <c r="Q2115" s="15"/>
      <c r="R2115" s="15"/>
    </row>
    <row r="2116" spans="1:18" x14ac:dyDescent="0.2">
      <c r="A2116" s="15"/>
      <c r="B2116" s="38"/>
      <c r="C2116" s="15"/>
      <c r="D2116" s="15"/>
      <c r="E2116" s="15"/>
      <c r="F2116" s="15"/>
      <c r="G2116" s="15"/>
      <c r="H2116" s="15"/>
      <c r="I2116" s="15"/>
      <c r="J2116" s="15"/>
      <c r="K2116" s="15"/>
      <c r="L2116" s="15"/>
      <c r="M2116" s="15"/>
      <c r="N2116" s="15"/>
      <c r="O2116" s="15"/>
      <c r="P2116" s="15"/>
      <c r="Q2116" s="15"/>
      <c r="R2116" s="15"/>
    </row>
    <row r="2117" spans="1:18" x14ac:dyDescent="0.2">
      <c r="A2117" s="15"/>
      <c r="B2117" s="38"/>
      <c r="C2117" s="15"/>
      <c r="D2117" s="15"/>
      <c r="E2117" s="15"/>
      <c r="F2117" s="15"/>
      <c r="G2117" s="15"/>
      <c r="H2117" s="15"/>
      <c r="I2117" s="15"/>
      <c r="J2117" s="15"/>
      <c r="K2117" s="15"/>
      <c r="L2117" s="15"/>
      <c r="M2117" s="15"/>
      <c r="N2117" s="15"/>
      <c r="O2117" s="15"/>
      <c r="P2117" s="15"/>
      <c r="Q2117" s="15"/>
      <c r="R2117" s="15"/>
    </row>
    <row r="2118" spans="1:18" x14ac:dyDescent="0.2">
      <c r="A2118" s="15"/>
      <c r="B2118" s="38"/>
      <c r="C2118" s="15"/>
      <c r="D2118" s="15"/>
      <c r="E2118" s="15"/>
      <c r="F2118" s="15"/>
      <c r="G2118" s="15"/>
      <c r="H2118" s="15"/>
      <c r="I2118" s="15"/>
      <c r="J2118" s="15"/>
      <c r="K2118" s="15"/>
      <c r="L2118" s="15"/>
      <c r="M2118" s="15"/>
      <c r="N2118" s="15"/>
      <c r="O2118" s="15"/>
      <c r="P2118" s="15"/>
      <c r="Q2118" s="15"/>
      <c r="R2118" s="15"/>
    </row>
    <row r="2119" spans="1:18" x14ac:dyDescent="0.2">
      <c r="A2119" s="15"/>
      <c r="B2119" s="38"/>
      <c r="C2119" s="15"/>
      <c r="D2119" s="15"/>
      <c r="E2119" s="15"/>
      <c r="F2119" s="15"/>
      <c r="G2119" s="15"/>
      <c r="H2119" s="15"/>
      <c r="I2119" s="15"/>
      <c r="J2119" s="15"/>
      <c r="K2119" s="15"/>
      <c r="L2119" s="15"/>
      <c r="M2119" s="15"/>
      <c r="N2119" s="15"/>
      <c r="O2119" s="15"/>
      <c r="P2119" s="15"/>
      <c r="Q2119" s="15"/>
      <c r="R2119" s="15"/>
    </row>
    <row r="2120" spans="1:18" x14ac:dyDescent="0.2">
      <c r="A2120" s="15"/>
      <c r="B2120" s="38"/>
      <c r="C2120" s="15"/>
      <c r="D2120" s="15"/>
      <c r="E2120" s="15"/>
      <c r="F2120" s="15"/>
      <c r="G2120" s="15"/>
      <c r="H2120" s="15"/>
      <c r="I2120" s="15"/>
      <c r="J2120" s="15"/>
      <c r="K2120" s="15"/>
      <c r="L2120" s="15"/>
      <c r="M2120" s="15"/>
      <c r="N2120" s="15"/>
      <c r="O2120" s="15"/>
      <c r="P2120" s="15"/>
      <c r="Q2120" s="15"/>
      <c r="R2120" s="15"/>
    </row>
    <row r="2121" spans="1:18" x14ac:dyDescent="0.2">
      <c r="A2121" s="15"/>
      <c r="B2121" s="38"/>
      <c r="C2121" s="15"/>
      <c r="D2121" s="15"/>
      <c r="E2121" s="15"/>
      <c r="F2121" s="15"/>
      <c r="G2121" s="15"/>
      <c r="H2121" s="15"/>
      <c r="I2121" s="15"/>
      <c r="J2121" s="15"/>
      <c r="K2121" s="15"/>
      <c r="L2121" s="15"/>
      <c r="M2121" s="15"/>
      <c r="N2121" s="15"/>
      <c r="O2121" s="15"/>
      <c r="P2121" s="15"/>
      <c r="Q2121" s="15"/>
      <c r="R2121" s="15"/>
    </row>
    <row r="2122" spans="1:18" x14ac:dyDescent="0.2">
      <c r="A2122" s="15"/>
      <c r="B2122" s="38"/>
      <c r="C2122" s="15"/>
      <c r="D2122" s="15"/>
      <c r="E2122" s="15"/>
      <c r="F2122" s="15"/>
      <c r="G2122" s="15"/>
      <c r="H2122" s="15"/>
      <c r="I2122" s="15"/>
      <c r="J2122" s="15"/>
      <c r="K2122" s="15"/>
      <c r="L2122" s="15"/>
      <c r="M2122" s="15"/>
      <c r="N2122" s="15"/>
      <c r="O2122" s="15"/>
      <c r="P2122" s="15"/>
      <c r="Q2122" s="15"/>
      <c r="R2122" s="15"/>
    </row>
    <row r="2123" spans="1:18" x14ac:dyDescent="0.2">
      <c r="A2123" s="15"/>
      <c r="B2123" s="38"/>
      <c r="C2123" s="15"/>
      <c r="D2123" s="15"/>
      <c r="E2123" s="15"/>
      <c r="F2123" s="15"/>
      <c r="G2123" s="15"/>
      <c r="H2123" s="15"/>
      <c r="I2123" s="15"/>
      <c r="J2123" s="15"/>
      <c r="K2123" s="15"/>
      <c r="L2123" s="15"/>
      <c r="M2123" s="15"/>
      <c r="N2123" s="15"/>
      <c r="O2123" s="15"/>
      <c r="P2123" s="15"/>
      <c r="Q2123" s="15"/>
      <c r="R2123" s="15"/>
    </row>
    <row r="2124" spans="1:18" x14ac:dyDescent="0.2">
      <c r="A2124" s="15"/>
      <c r="B2124" s="38"/>
      <c r="C2124" s="15"/>
      <c r="D2124" s="15"/>
      <c r="E2124" s="15"/>
      <c r="F2124" s="15"/>
      <c r="G2124" s="15"/>
      <c r="H2124" s="15"/>
      <c r="I2124" s="15"/>
      <c r="J2124" s="15"/>
      <c r="K2124" s="15"/>
      <c r="L2124" s="15"/>
      <c r="M2124" s="15"/>
      <c r="N2124" s="15"/>
      <c r="O2124" s="15"/>
      <c r="P2124" s="15"/>
      <c r="Q2124" s="15"/>
      <c r="R2124" s="15"/>
    </row>
    <row r="2125" spans="1:18" x14ac:dyDescent="0.2">
      <c r="A2125" s="15"/>
      <c r="B2125" s="38"/>
      <c r="C2125" s="15"/>
      <c r="D2125" s="15"/>
      <c r="E2125" s="15"/>
      <c r="F2125" s="15"/>
      <c r="G2125" s="15"/>
      <c r="H2125" s="15"/>
      <c r="I2125" s="15"/>
      <c r="J2125" s="15"/>
      <c r="K2125" s="15"/>
      <c r="L2125" s="15"/>
      <c r="M2125" s="15"/>
      <c r="N2125" s="15"/>
      <c r="O2125" s="15"/>
      <c r="P2125" s="15"/>
      <c r="Q2125" s="15"/>
      <c r="R2125" s="15"/>
    </row>
    <row r="2126" spans="1:18" x14ac:dyDescent="0.2">
      <c r="A2126" s="15"/>
      <c r="B2126" s="38"/>
      <c r="C2126" s="15"/>
      <c r="D2126" s="15"/>
      <c r="E2126" s="15"/>
      <c r="F2126" s="15"/>
      <c r="G2126" s="15"/>
      <c r="H2126" s="15"/>
      <c r="I2126" s="15"/>
      <c r="J2126" s="15"/>
      <c r="K2126" s="15"/>
      <c r="L2126" s="15"/>
      <c r="M2126" s="15"/>
      <c r="N2126" s="15"/>
      <c r="O2126" s="15"/>
      <c r="P2126" s="15"/>
      <c r="Q2126" s="15"/>
      <c r="R2126" s="15"/>
    </row>
    <row r="2127" spans="1:18" x14ac:dyDescent="0.2">
      <c r="A2127" s="15"/>
      <c r="B2127" s="38"/>
      <c r="C2127" s="15"/>
      <c r="D2127" s="15"/>
      <c r="E2127" s="15"/>
      <c r="F2127" s="15"/>
      <c r="G2127" s="15"/>
      <c r="H2127" s="15"/>
      <c r="I2127" s="15"/>
      <c r="J2127" s="15"/>
      <c r="K2127" s="15"/>
      <c r="L2127" s="15"/>
      <c r="M2127" s="15"/>
      <c r="N2127" s="15"/>
      <c r="O2127" s="15"/>
      <c r="P2127" s="15"/>
      <c r="Q2127" s="15"/>
      <c r="R2127" s="15"/>
    </row>
    <row r="2128" spans="1:18" x14ac:dyDescent="0.2">
      <c r="A2128" s="15"/>
      <c r="B2128" s="38"/>
      <c r="C2128" s="15"/>
      <c r="D2128" s="15"/>
      <c r="E2128" s="15"/>
      <c r="F2128" s="15"/>
      <c r="G2128" s="15"/>
      <c r="H2128" s="15"/>
      <c r="I2128" s="15"/>
      <c r="J2128" s="15"/>
      <c r="K2128" s="15"/>
      <c r="L2128" s="15"/>
      <c r="M2128" s="15"/>
      <c r="N2128" s="15"/>
      <c r="O2128" s="15"/>
      <c r="P2128" s="15"/>
      <c r="Q2128" s="15"/>
      <c r="R2128" s="15"/>
    </row>
    <row r="2129" spans="1:18" x14ac:dyDescent="0.2">
      <c r="A2129" s="15"/>
      <c r="B2129" s="38"/>
      <c r="C2129" s="15"/>
      <c r="D2129" s="15"/>
      <c r="E2129" s="15"/>
      <c r="F2129" s="15"/>
      <c r="G2129" s="15"/>
      <c r="H2129" s="15"/>
      <c r="I2129" s="15"/>
      <c r="J2129" s="15"/>
      <c r="K2129" s="15"/>
      <c r="L2129" s="15"/>
      <c r="M2129" s="15"/>
      <c r="N2129" s="15"/>
      <c r="O2129" s="15"/>
      <c r="P2129" s="15"/>
      <c r="Q2129" s="15"/>
      <c r="R2129" s="15"/>
    </row>
    <row r="2130" spans="1:18" x14ac:dyDescent="0.2">
      <c r="A2130" s="15"/>
      <c r="B2130" s="38"/>
      <c r="C2130" s="15"/>
      <c r="D2130" s="15"/>
      <c r="E2130" s="15"/>
      <c r="F2130" s="15"/>
      <c r="G2130" s="15"/>
      <c r="H2130" s="15"/>
      <c r="I2130" s="15"/>
      <c r="J2130" s="15"/>
      <c r="K2130" s="15"/>
      <c r="L2130" s="15"/>
      <c r="M2130" s="15"/>
      <c r="N2130" s="15"/>
      <c r="O2130" s="15"/>
      <c r="P2130" s="15"/>
      <c r="Q2130" s="15"/>
      <c r="R2130" s="15"/>
    </row>
    <row r="2131" spans="1:18" x14ac:dyDescent="0.2">
      <c r="A2131" s="15"/>
      <c r="B2131" s="38"/>
      <c r="C2131" s="15"/>
      <c r="D2131" s="15"/>
      <c r="E2131" s="15"/>
      <c r="F2131" s="15"/>
      <c r="G2131" s="15"/>
      <c r="H2131" s="15"/>
      <c r="I2131" s="15"/>
      <c r="J2131" s="15"/>
      <c r="K2131" s="15"/>
      <c r="L2131" s="15"/>
      <c r="M2131" s="15"/>
      <c r="N2131" s="15"/>
      <c r="O2131" s="15"/>
      <c r="P2131" s="15"/>
      <c r="Q2131" s="15"/>
      <c r="R2131" s="15"/>
    </row>
    <row r="2132" spans="1:18" x14ac:dyDescent="0.2">
      <c r="A2132" s="15"/>
      <c r="B2132" s="38"/>
      <c r="C2132" s="15"/>
      <c r="D2132" s="15"/>
      <c r="E2132" s="15"/>
      <c r="F2132" s="15"/>
      <c r="G2132" s="15"/>
      <c r="H2132" s="15"/>
      <c r="I2132" s="15"/>
      <c r="J2132" s="15"/>
      <c r="K2132" s="15"/>
      <c r="L2132" s="15"/>
      <c r="M2132" s="15"/>
      <c r="N2132" s="15"/>
      <c r="O2132" s="15"/>
      <c r="P2132" s="15"/>
      <c r="Q2132" s="15"/>
      <c r="R2132" s="15"/>
    </row>
    <row r="2133" spans="1:18" x14ac:dyDescent="0.2">
      <c r="A2133" s="15"/>
      <c r="B2133" s="38"/>
      <c r="C2133" s="15"/>
      <c r="D2133" s="15"/>
      <c r="E2133" s="15"/>
      <c r="F2133" s="15"/>
      <c r="G2133" s="15"/>
      <c r="H2133" s="15"/>
      <c r="I2133" s="15"/>
      <c r="J2133" s="15"/>
      <c r="K2133" s="15"/>
      <c r="L2133" s="15"/>
      <c r="M2133" s="15"/>
      <c r="N2133" s="15"/>
      <c r="O2133" s="15"/>
      <c r="P2133" s="15"/>
      <c r="Q2133" s="15"/>
      <c r="R2133" s="15"/>
    </row>
    <row r="2134" spans="1:18" x14ac:dyDescent="0.2">
      <c r="A2134" s="15"/>
      <c r="B2134" s="38"/>
      <c r="C2134" s="15"/>
      <c r="D2134" s="15"/>
      <c r="E2134" s="15"/>
      <c r="F2134" s="15"/>
      <c r="G2134" s="15"/>
      <c r="H2134" s="15"/>
      <c r="I2134" s="15"/>
      <c r="J2134" s="15"/>
      <c r="K2134" s="15"/>
      <c r="L2134" s="15"/>
      <c r="M2134" s="15"/>
      <c r="N2134" s="15"/>
      <c r="O2134" s="15"/>
      <c r="P2134" s="15"/>
      <c r="Q2134" s="15"/>
      <c r="R2134" s="15"/>
    </row>
    <row r="2135" spans="1:18" x14ac:dyDescent="0.2">
      <c r="A2135" s="15"/>
      <c r="B2135" s="38"/>
      <c r="C2135" s="15"/>
      <c r="D2135" s="15"/>
      <c r="E2135" s="15"/>
      <c r="F2135" s="15"/>
      <c r="G2135" s="15"/>
      <c r="H2135" s="15"/>
      <c r="I2135" s="15"/>
      <c r="J2135" s="15"/>
      <c r="K2135" s="15"/>
      <c r="L2135" s="15"/>
      <c r="M2135" s="15"/>
      <c r="N2135" s="15"/>
      <c r="O2135" s="15"/>
      <c r="P2135" s="15"/>
      <c r="Q2135" s="15"/>
      <c r="R2135" s="15"/>
    </row>
    <row r="2136" spans="1:18" x14ac:dyDescent="0.2">
      <c r="A2136" s="15"/>
      <c r="B2136" s="38"/>
      <c r="C2136" s="15"/>
      <c r="D2136" s="15"/>
      <c r="E2136" s="15"/>
      <c r="F2136" s="15"/>
      <c r="G2136" s="15"/>
      <c r="H2136" s="15"/>
      <c r="I2136" s="15"/>
      <c r="J2136" s="15"/>
      <c r="K2136" s="15"/>
      <c r="L2136" s="15"/>
      <c r="M2136" s="15"/>
      <c r="N2136" s="15"/>
      <c r="O2136" s="15"/>
      <c r="P2136" s="15"/>
      <c r="Q2136" s="15"/>
      <c r="R2136" s="15"/>
    </row>
    <row r="2137" spans="1:18" x14ac:dyDescent="0.2">
      <c r="A2137" s="15"/>
      <c r="B2137" s="38"/>
      <c r="C2137" s="15"/>
      <c r="D2137" s="15"/>
      <c r="E2137" s="15"/>
      <c r="F2137" s="15"/>
      <c r="G2137" s="15"/>
      <c r="H2137" s="15"/>
      <c r="I2137" s="15"/>
      <c r="J2137" s="15"/>
      <c r="K2137" s="15"/>
      <c r="L2137" s="15"/>
      <c r="M2137" s="15"/>
      <c r="N2137" s="15"/>
      <c r="O2137" s="15"/>
      <c r="P2137" s="15"/>
      <c r="Q2137" s="15"/>
      <c r="R2137" s="15"/>
    </row>
    <row r="2138" spans="1:18" x14ac:dyDescent="0.2">
      <c r="A2138" s="15"/>
      <c r="B2138" s="38"/>
      <c r="C2138" s="15"/>
      <c r="D2138" s="15"/>
      <c r="E2138" s="15"/>
      <c r="F2138" s="15"/>
      <c r="G2138" s="15"/>
      <c r="H2138" s="15"/>
      <c r="I2138" s="15"/>
      <c r="J2138" s="15"/>
      <c r="K2138" s="15"/>
      <c r="L2138" s="15"/>
      <c r="M2138" s="15"/>
      <c r="N2138" s="15"/>
      <c r="O2138" s="15"/>
      <c r="P2138" s="15"/>
      <c r="Q2138" s="15"/>
      <c r="R2138" s="15"/>
    </row>
    <row r="2139" spans="1:18" x14ac:dyDescent="0.2">
      <c r="A2139" s="15"/>
      <c r="B2139" s="38"/>
      <c r="C2139" s="15"/>
      <c r="D2139" s="15"/>
      <c r="E2139" s="15"/>
      <c r="F2139" s="15"/>
      <c r="G2139" s="15"/>
      <c r="H2139" s="15"/>
      <c r="I2139" s="15"/>
      <c r="J2139" s="15"/>
      <c r="K2139" s="15"/>
      <c r="L2139" s="15"/>
      <c r="M2139" s="15"/>
      <c r="N2139" s="15"/>
      <c r="O2139" s="15"/>
      <c r="P2139" s="15"/>
      <c r="Q2139" s="15"/>
      <c r="R2139" s="15"/>
    </row>
    <row r="2140" spans="1:18" x14ac:dyDescent="0.2">
      <c r="A2140" s="15"/>
      <c r="B2140" s="38"/>
      <c r="C2140" s="15"/>
      <c r="D2140" s="15"/>
      <c r="E2140" s="15"/>
      <c r="F2140" s="15"/>
      <c r="G2140" s="15"/>
      <c r="H2140" s="15"/>
      <c r="I2140" s="15"/>
      <c r="J2140" s="15"/>
      <c r="K2140" s="15"/>
      <c r="L2140" s="15"/>
      <c r="M2140" s="15"/>
      <c r="N2140" s="15"/>
      <c r="O2140" s="15"/>
      <c r="P2140" s="15"/>
      <c r="Q2140" s="15"/>
      <c r="R2140" s="15"/>
    </row>
    <row r="2141" spans="1:18" x14ac:dyDescent="0.2">
      <c r="A2141" s="15"/>
      <c r="B2141" s="38"/>
      <c r="C2141" s="15"/>
      <c r="D2141" s="15"/>
      <c r="E2141" s="15"/>
      <c r="F2141" s="15"/>
      <c r="G2141" s="15"/>
      <c r="H2141" s="15"/>
      <c r="I2141" s="15"/>
      <c r="J2141" s="15"/>
      <c r="K2141" s="15"/>
      <c r="L2141" s="15"/>
      <c r="M2141" s="15"/>
      <c r="N2141" s="15"/>
      <c r="O2141" s="15"/>
      <c r="P2141" s="15"/>
      <c r="Q2141" s="15"/>
      <c r="R2141" s="15"/>
    </row>
    <row r="2142" spans="1:18" x14ac:dyDescent="0.2">
      <c r="A2142" s="15"/>
      <c r="B2142" s="38"/>
      <c r="C2142" s="15"/>
      <c r="D2142" s="15"/>
      <c r="E2142" s="15"/>
      <c r="F2142" s="15"/>
      <c r="G2142" s="15"/>
      <c r="H2142" s="15"/>
      <c r="I2142" s="15"/>
      <c r="J2142" s="15"/>
      <c r="K2142" s="15"/>
      <c r="L2142" s="15"/>
      <c r="M2142" s="15"/>
      <c r="N2142" s="15"/>
      <c r="O2142" s="15"/>
      <c r="P2142" s="15"/>
      <c r="Q2142" s="15"/>
      <c r="R2142" s="15"/>
    </row>
    <row r="2143" spans="1:18" x14ac:dyDescent="0.2">
      <c r="A2143" s="15"/>
      <c r="B2143" s="38"/>
      <c r="C2143" s="15"/>
      <c r="D2143" s="15"/>
      <c r="E2143" s="15"/>
      <c r="F2143" s="15"/>
      <c r="G2143" s="15"/>
      <c r="H2143" s="15"/>
      <c r="I2143" s="15"/>
      <c r="J2143" s="15"/>
      <c r="K2143" s="15"/>
      <c r="L2143" s="15"/>
      <c r="M2143" s="15"/>
      <c r="N2143" s="15"/>
      <c r="O2143" s="15"/>
      <c r="P2143" s="15"/>
      <c r="Q2143" s="15"/>
      <c r="R2143" s="15"/>
    </row>
    <row r="2144" spans="1:18" x14ac:dyDescent="0.2">
      <c r="A2144" s="15"/>
      <c r="B2144" s="38"/>
      <c r="C2144" s="15"/>
      <c r="D2144" s="15"/>
      <c r="E2144" s="15"/>
      <c r="F2144" s="15"/>
      <c r="G2144" s="15"/>
      <c r="H2144" s="15"/>
      <c r="I2144" s="15"/>
      <c r="J2144" s="15"/>
      <c r="K2144" s="15"/>
      <c r="L2144" s="15"/>
      <c r="M2144" s="15"/>
      <c r="N2144" s="15"/>
      <c r="O2144" s="15"/>
      <c r="P2144" s="15"/>
      <c r="Q2144" s="15"/>
      <c r="R2144" s="15"/>
    </row>
    <row r="2145" spans="1:18" x14ac:dyDescent="0.2">
      <c r="A2145" s="15"/>
      <c r="B2145" s="38"/>
      <c r="C2145" s="15"/>
      <c r="D2145" s="15"/>
      <c r="E2145" s="15"/>
      <c r="F2145" s="15"/>
      <c r="G2145" s="15"/>
      <c r="H2145" s="15"/>
      <c r="I2145" s="15"/>
      <c r="J2145" s="15"/>
      <c r="K2145" s="15"/>
      <c r="L2145" s="15"/>
      <c r="M2145" s="15"/>
      <c r="N2145" s="15"/>
      <c r="O2145" s="15"/>
      <c r="P2145" s="15"/>
      <c r="Q2145" s="15"/>
      <c r="R2145" s="15"/>
    </row>
    <row r="2146" spans="1:18" x14ac:dyDescent="0.2">
      <c r="A2146" s="15"/>
      <c r="B2146" s="38"/>
      <c r="C2146" s="15"/>
      <c r="D2146" s="15"/>
      <c r="E2146" s="15"/>
      <c r="F2146" s="15"/>
      <c r="G2146" s="15"/>
      <c r="H2146" s="15"/>
      <c r="I2146" s="15"/>
      <c r="J2146" s="15"/>
      <c r="K2146" s="15"/>
      <c r="L2146" s="15"/>
      <c r="M2146" s="15"/>
      <c r="N2146" s="15"/>
      <c r="O2146" s="15"/>
      <c r="P2146" s="15"/>
      <c r="Q2146" s="15"/>
      <c r="R2146" s="15"/>
    </row>
    <row r="2147" spans="1:18" x14ac:dyDescent="0.2">
      <c r="A2147" s="15"/>
      <c r="B2147" s="38"/>
      <c r="C2147" s="15"/>
      <c r="D2147" s="15"/>
      <c r="E2147" s="15"/>
      <c r="F2147" s="15"/>
      <c r="G2147" s="15"/>
      <c r="H2147" s="15"/>
      <c r="I2147" s="15"/>
      <c r="J2147" s="15"/>
      <c r="K2147" s="15"/>
      <c r="L2147" s="15"/>
      <c r="M2147" s="15"/>
      <c r="N2147" s="15"/>
      <c r="O2147" s="15"/>
      <c r="P2147" s="15"/>
      <c r="Q2147" s="15"/>
      <c r="R2147" s="15"/>
    </row>
    <row r="2148" spans="1:18" x14ac:dyDescent="0.2">
      <c r="A2148" s="15"/>
      <c r="B2148" s="38"/>
      <c r="C2148" s="15"/>
      <c r="D2148" s="15"/>
      <c r="E2148" s="15"/>
      <c r="F2148" s="15"/>
      <c r="G2148" s="15"/>
      <c r="H2148" s="15"/>
      <c r="I2148" s="15"/>
      <c r="J2148" s="15"/>
      <c r="K2148" s="15"/>
      <c r="L2148" s="15"/>
      <c r="M2148" s="15"/>
      <c r="N2148" s="15"/>
      <c r="O2148" s="15"/>
      <c r="P2148" s="15"/>
      <c r="Q2148" s="15"/>
      <c r="R2148" s="15"/>
    </row>
    <row r="2149" spans="1:18" x14ac:dyDescent="0.2">
      <c r="A2149" s="15"/>
      <c r="B2149" s="38"/>
      <c r="C2149" s="15"/>
      <c r="D2149" s="15"/>
      <c r="E2149" s="15"/>
      <c r="F2149" s="15"/>
      <c r="G2149" s="15"/>
      <c r="H2149" s="15"/>
      <c r="I2149" s="15"/>
      <c r="J2149" s="15"/>
      <c r="K2149" s="15"/>
      <c r="L2149" s="15"/>
      <c r="M2149" s="15"/>
      <c r="N2149" s="15"/>
      <c r="O2149" s="15"/>
      <c r="P2149" s="15"/>
      <c r="Q2149" s="15"/>
      <c r="R2149" s="15"/>
    </row>
    <row r="2150" spans="1:18" x14ac:dyDescent="0.2">
      <c r="A2150" s="15"/>
      <c r="B2150" s="38"/>
      <c r="C2150" s="15"/>
      <c r="D2150" s="15"/>
      <c r="E2150" s="15"/>
      <c r="F2150" s="15"/>
      <c r="G2150" s="15"/>
      <c r="H2150" s="15"/>
      <c r="I2150" s="15"/>
      <c r="J2150" s="15"/>
      <c r="K2150" s="15"/>
      <c r="L2150" s="15"/>
      <c r="M2150" s="15"/>
      <c r="N2150" s="15"/>
      <c r="O2150" s="15"/>
      <c r="P2150" s="15"/>
      <c r="Q2150" s="15"/>
      <c r="R2150" s="15"/>
    </row>
    <row r="2151" spans="1:18" x14ac:dyDescent="0.2">
      <c r="A2151" s="15"/>
      <c r="B2151" s="38"/>
      <c r="C2151" s="15"/>
      <c r="D2151" s="15"/>
      <c r="E2151" s="15"/>
      <c r="F2151" s="15"/>
      <c r="G2151" s="15"/>
      <c r="H2151" s="15"/>
      <c r="I2151" s="15"/>
      <c r="J2151" s="15"/>
      <c r="K2151" s="15"/>
      <c r="L2151" s="15"/>
      <c r="M2151" s="15"/>
      <c r="N2151" s="15"/>
      <c r="O2151" s="15"/>
      <c r="P2151" s="15"/>
      <c r="Q2151" s="15"/>
      <c r="R2151" s="15"/>
    </row>
    <row r="2152" spans="1:18" x14ac:dyDescent="0.2">
      <c r="A2152" s="15"/>
      <c r="B2152" s="38"/>
      <c r="C2152" s="15"/>
      <c r="D2152" s="15"/>
      <c r="E2152" s="15"/>
      <c r="F2152" s="15"/>
      <c r="G2152" s="15"/>
      <c r="H2152" s="15"/>
      <c r="I2152" s="15"/>
      <c r="J2152" s="15"/>
      <c r="K2152" s="15"/>
      <c r="L2152" s="15"/>
      <c r="M2152" s="15"/>
      <c r="N2152" s="15"/>
      <c r="O2152" s="15"/>
      <c r="P2152" s="15"/>
      <c r="Q2152" s="15"/>
      <c r="R2152" s="15"/>
    </row>
    <row r="2153" spans="1:18" x14ac:dyDescent="0.2">
      <c r="A2153" s="15"/>
      <c r="B2153" s="38"/>
      <c r="C2153" s="15"/>
      <c r="D2153" s="15"/>
      <c r="E2153" s="15"/>
      <c r="F2153" s="15"/>
      <c r="G2153" s="15"/>
      <c r="H2153" s="15"/>
      <c r="I2153" s="15"/>
      <c r="J2153" s="15"/>
      <c r="K2153" s="15"/>
      <c r="L2153" s="15"/>
      <c r="M2153" s="15"/>
      <c r="N2153" s="15"/>
      <c r="O2153" s="15"/>
      <c r="P2153" s="15"/>
      <c r="Q2153" s="15"/>
      <c r="R2153" s="15"/>
    </row>
    <row r="2154" spans="1:18" x14ac:dyDescent="0.2">
      <c r="A2154" s="15"/>
      <c r="B2154" s="38"/>
      <c r="C2154" s="15"/>
      <c r="D2154" s="15"/>
      <c r="E2154" s="15"/>
      <c r="F2154" s="15"/>
      <c r="G2154" s="15"/>
      <c r="H2154" s="15"/>
      <c r="I2154" s="15"/>
      <c r="J2154" s="15"/>
      <c r="K2154" s="15"/>
      <c r="L2154" s="15"/>
      <c r="M2154" s="15"/>
      <c r="N2154" s="15"/>
      <c r="O2154" s="15"/>
      <c r="P2154" s="15"/>
      <c r="Q2154" s="15"/>
      <c r="R2154" s="15"/>
    </row>
    <row r="2155" spans="1:18" x14ac:dyDescent="0.2">
      <c r="A2155" s="15"/>
      <c r="B2155" s="38"/>
      <c r="C2155" s="15"/>
      <c r="D2155" s="15"/>
      <c r="E2155" s="15"/>
      <c r="F2155" s="15"/>
      <c r="G2155" s="15"/>
      <c r="H2155" s="15"/>
      <c r="I2155" s="15"/>
      <c r="J2155" s="15"/>
      <c r="K2155" s="15"/>
      <c r="L2155" s="15"/>
      <c r="M2155" s="15"/>
      <c r="N2155" s="15"/>
      <c r="O2155" s="15"/>
      <c r="P2155" s="15"/>
      <c r="Q2155" s="15"/>
      <c r="R2155" s="15"/>
    </row>
    <row r="2156" spans="1:18" x14ac:dyDescent="0.2">
      <c r="A2156" s="15"/>
      <c r="B2156" s="38"/>
      <c r="C2156" s="15"/>
      <c r="D2156" s="15"/>
      <c r="E2156" s="15"/>
      <c r="F2156" s="15"/>
      <c r="G2156" s="15"/>
      <c r="H2156" s="15"/>
      <c r="I2156" s="15"/>
      <c r="J2156" s="15"/>
      <c r="K2156" s="15"/>
      <c r="L2156" s="15"/>
      <c r="M2156" s="15"/>
      <c r="N2156" s="15"/>
      <c r="O2156" s="15"/>
      <c r="P2156" s="15"/>
      <c r="Q2156" s="15"/>
      <c r="R2156" s="15"/>
    </row>
    <row r="2157" spans="1:18" x14ac:dyDescent="0.2">
      <c r="A2157" s="15"/>
      <c r="B2157" s="38"/>
      <c r="C2157" s="15"/>
      <c r="D2157" s="15"/>
      <c r="E2157" s="15"/>
      <c r="F2157" s="15"/>
      <c r="G2157" s="15"/>
      <c r="H2157" s="15"/>
      <c r="I2157" s="15"/>
      <c r="J2157" s="15"/>
      <c r="K2157" s="15"/>
      <c r="L2157" s="15"/>
      <c r="M2157" s="15"/>
      <c r="N2157" s="15"/>
      <c r="O2157" s="15"/>
      <c r="P2157" s="15"/>
      <c r="Q2157" s="15"/>
      <c r="R2157" s="15"/>
    </row>
    <row r="2158" spans="1:18" x14ac:dyDescent="0.2">
      <c r="A2158" s="15"/>
      <c r="B2158" s="38"/>
      <c r="C2158" s="15"/>
      <c r="D2158" s="15"/>
      <c r="E2158" s="15"/>
      <c r="F2158" s="15"/>
      <c r="G2158" s="15"/>
      <c r="H2158" s="15"/>
      <c r="I2158" s="15"/>
      <c r="J2158" s="15"/>
      <c r="K2158" s="15"/>
      <c r="L2158" s="15"/>
      <c r="M2158" s="15"/>
      <c r="N2158" s="15"/>
      <c r="O2158" s="15"/>
      <c r="P2158" s="15"/>
      <c r="Q2158" s="15"/>
      <c r="R2158" s="15"/>
    </row>
    <row r="2159" spans="1:18" x14ac:dyDescent="0.2">
      <c r="A2159" s="15"/>
      <c r="B2159" s="38"/>
      <c r="C2159" s="15"/>
      <c r="D2159" s="15"/>
      <c r="E2159" s="15"/>
      <c r="F2159" s="15"/>
      <c r="G2159" s="15"/>
      <c r="H2159" s="15"/>
      <c r="I2159" s="15"/>
      <c r="J2159" s="15"/>
      <c r="K2159" s="15"/>
      <c r="L2159" s="15"/>
      <c r="M2159" s="15"/>
      <c r="N2159" s="15"/>
      <c r="O2159" s="15"/>
      <c r="P2159" s="15"/>
      <c r="Q2159" s="15"/>
      <c r="R2159" s="15"/>
    </row>
    <row r="2160" spans="1:18" x14ac:dyDescent="0.2">
      <c r="A2160" s="15"/>
      <c r="B2160" s="38"/>
      <c r="C2160" s="15"/>
      <c r="D2160" s="15"/>
      <c r="E2160" s="15"/>
      <c r="F2160" s="15"/>
      <c r="G2160" s="15"/>
      <c r="H2160" s="15"/>
      <c r="I2160" s="15"/>
      <c r="J2160" s="15"/>
      <c r="K2160" s="15"/>
      <c r="L2160" s="15"/>
      <c r="M2160" s="15"/>
      <c r="N2160" s="15"/>
      <c r="O2160" s="15"/>
      <c r="P2160" s="15"/>
      <c r="Q2160" s="15"/>
      <c r="R2160" s="15"/>
    </row>
    <row r="2161" spans="1:18" x14ac:dyDescent="0.2">
      <c r="A2161" s="15"/>
      <c r="B2161" s="38"/>
      <c r="C2161" s="15"/>
      <c r="D2161" s="15"/>
      <c r="E2161" s="15"/>
      <c r="F2161" s="15"/>
      <c r="G2161" s="15"/>
      <c r="H2161" s="15"/>
      <c r="I2161" s="15"/>
      <c r="J2161" s="15"/>
      <c r="K2161" s="15"/>
      <c r="L2161" s="15"/>
      <c r="M2161" s="15"/>
      <c r="N2161" s="15"/>
      <c r="O2161" s="15"/>
      <c r="P2161" s="15"/>
      <c r="Q2161" s="15"/>
      <c r="R2161" s="15"/>
    </row>
    <row r="2162" spans="1:18" x14ac:dyDescent="0.2">
      <c r="A2162" s="15"/>
      <c r="B2162" s="38"/>
      <c r="C2162" s="15"/>
      <c r="D2162" s="15"/>
      <c r="E2162" s="15"/>
      <c r="F2162" s="15"/>
      <c r="G2162" s="15"/>
      <c r="H2162" s="15"/>
      <c r="I2162" s="15"/>
      <c r="J2162" s="15"/>
      <c r="K2162" s="15"/>
      <c r="L2162" s="15"/>
      <c r="M2162" s="15"/>
      <c r="N2162" s="15"/>
      <c r="O2162" s="15"/>
      <c r="P2162" s="15"/>
      <c r="Q2162" s="15"/>
      <c r="R2162" s="15"/>
    </row>
    <row r="2163" spans="1:18" x14ac:dyDescent="0.2">
      <c r="A2163" s="15"/>
      <c r="B2163" s="38"/>
      <c r="C2163" s="15"/>
      <c r="D2163" s="15"/>
      <c r="E2163" s="15"/>
      <c r="F2163" s="15"/>
      <c r="G2163" s="15"/>
      <c r="H2163" s="15"/>
      <c r="I2163" s="15"/>
      <c r="J2163" s="15"/>
      <c r="K2163" s="15"/>
      <c r="L2163" s="15"/>
      <c r="M2163" s="15"/>
      <c r="N2163" s="15"/>
      <c r="O2163" s="15"/>
      <c r="P2163" s="15"/>
      <c r="Q2163" s="15"/>
      <c r="R2163" s="15"/>
    </row>
    <row r="2164" spans="1:18" x14ac:dyDescent="0.2">
      <c r="A2164" s="15"/>
      <c r="B2164" s="38"/>
      <c r="C2164" s="15"/>
      <c r="D2164" s="15"/>
      <c r="E2164" s="15"/>
      <c r="F2164" s="15"/>
      <c r="G2164" s="15"/>
      <c r="H2164" s="15"/>
      <c r="I2164" s="15"/>
      <c r="J2164" s="15"/>
      <c r="K2164" s="15"/>
      <c r="L2164" s="15"/>
      <c r="M2164" s="15"/>
      <c r="N2164" s="15"/>
      <c r="O2164" s="15"/>
      <c r="P2164" s="15"/>
      <c r="Q2164" s="15"/>
      <c r="R2164" s="15"/>
    </row>
    <row r="2165" spans="1:18" x14ac:dyDescent="0.2">
      <c r="A2165" s="15"/>
      <c r="B2165" s="38"/>
      <c r="C2165" s="15"/>
      <c r="D2165" s="15"/>
      <c r="E2165" s="15"/>
      <c r="F2165" s="15"/>
      <c r="G2165" s="15"/>
      <c r="H2165" s="15"/>
      <c r="I2165" s="15"/>
      <c r="J2165" s="15"/>
      <c r="K2165" s="15"/>
      <c r="L2165" s="15"/>
      <c r="M2165" s="15"/>
      <c r="N2165" s="15"/>
      <c r="O2165" s="15"/>
      <c r="P2165" s="15"/>
      <c r="Q2165" s="15"/>
      <c r="R2165" s="15"/>
    </row>
    <row r="2166" spans="1:18" x14ac:dyDescent="0.2">
      <c r="A2166" s="15"/>
      <c r="B2166" s="38"/>
      <c r="C2166" s="15"/>
      <c r="D2166" s="15"/>
      <c r="E2166" s="15"/>
      <c r="F2166" s="15"/>
      <c r="G2166" s="15"/>
      <c r="H2166" s="15"/>
      <c r="I2166" s="15"/>
      <c r="J2166" s="15"/>
      <c r="K2166" s="15"/>
      <c r="L2166" s="15"/>
      <c r="M2166" s="15"/>
      <c r="N2166" s="15"/>
      <c r="O2166" s="15"/>
      <c r="P2166" s="15"/>
      <c r="Q2166" s="15"/>
      <c r="R2166" s="15"/>
    </row>
    <row r="2167" spans="1:18" x14ac:dyDescent="0.2">
      <c r="A2167" s="15"/>
      <c r="B2167" s="38"/>
      <c r="C2167" s="15"/>
      <c r="D2167" s="15"/>
      <c r="E2167" s="15"/>
      <c r="F2167" s="15"/>
      <c r="G2167" s="15"/>
      <c r="H2167" s="15"/>
      <c r="I2167" s="15"/>
      <c r="J2167" s="15"/>
      <c r="K2167" s="15"/>
      <c r="L2167" s="15"/>
      <c r="M2167" s="15"/>
      <c r="N2167" s="15"/>
      <c r="O2167" s="15"/>
      <c r="P2167" s="15"/>
      <c r="Q2167" s="15"/>
      <c r="R2167" s="15"/>
    </row>
    <row r="2168" spans="1:18" x14ac:dyDescent="0.2">
      <c r="A2168" s="15"/>
      <c r="B2168" s="38"/>
      <c r="C2168" s="15"/>
      <c r="D2168" s="15"/>
      <c r="E2168" s="15"/>
      <c r="F2168" s="15"/>
      <c r="G2168" s="15"/>
      <c r="H2168" s="15"/>
      <c r="I2168" s="15"/>
      <c r="J2168" s="15"/>
      <c r="K2168" s="15"/>
      <c r="L2168" s="15"/>
      <c r="M2168" s="15"/>
      <c r="N2168" s="15"/>
      <c r="O2168" s="15"/>
      <c r="P2168" s="15"/>
      <c r="Q2168" s="15"/>
      <c r="R2168" s="15"/>
    </row>
    <row r="2169" spans="1:18" x14ac:dyDescent="0.2">
      <c r="A2169" s="15"/>
      <c r="B2169" s="38"/>
      <c r="C2169" s="15"/>
      <c r="D2169" s="15"/>
      <c r="E2169" s="15"/>
      <c r="F2169" s="15"/>
      <c r="G2169" s="15"/>
      <c r="H2169" s="15"/>
      <c r="I2169" s="15"/>
      <c r="J2169" s="15"/>
      <c r="K2169" s="15"/>
      <c r="L2169" s="15"/>
      <c r="M2169" s="15"/>
      <c r="N2169" s="15"/>
      <c r="O2169" s="15"/>
      <c r="P2169" s="15"/>
      <c r="Q2169" s="15"/>
      <c r="R2169" s="15"/>
    </row>
    <row r="2170" spans="1:18" x14ac:dyDescent="0.2">
      <c r="A2170" s="15"/>
      <c r="B2170" s="38"/>
      <c r="C2170" s="15"/>
      <c r="D2170" s="15"/>
      <c r="E2170" s="15"/>
      <c r="F2170" s="15"/>
      <c r="G2170" s="15"/>
      <c r="H2170" s="15"/>
      <c r="I2170" s="15"/>
      <c r="J2170" s="15"/>
      <c r="K2170" s="15"/>
      <c r="L2170" s="15"/>
      <c r="M2170" s="15"/>
      <c r="N2170" s="15"/>
      <c r="O2170" s="15"/>
      <c r="P2170" s="15"/>
      <c r="Q2170" s="15"/>
      <c r="R2170" s="15"/>
    </row>
    <row r="2171" spans="1:18" x14ac:dyDescent="0.2">
      <c r="A2171" s="15"/>
      <c r="B2171" s="38"/>
      <c r="C2171" s="15"/>
      <c r="D2171" s="15"/>
      <c r="E2171" s="15"/>
      <c r="F2171" s="15"/>
      <c r="G2171" s="15"/>
      <c r="H2171" s="15"/>
      <c r="I2171" s="15"/>
      <c r="J2171" s="15"/>
      <c r="K2171" s="15"/>
      <c r="L2171" s="15"/>
      <c r="M2171" s="15"/>
      <c r="N2171" s="15"/>
      <c r="O2171" s="15"/>
      <c r="P2171" s="15"/>
      <c r="Q2171" s="15"/>
      <c r="R2171" s="15"/>
    </row>
    <row r="2172" spans="1:18" x14ac:dyDescent="0.2">
      <c r="A2172" s="15"/>
      <c r="B2172" s="38"/>
      <c r="C2172" s="15"/>
      <c r="D2172" s="15"/>
      <c r="E2172" s="15"/>
      <c r="F2172" s="15"/>
      <c r="G2172" s="15"/>
      <c r="H2172" s="15"/>
      <c r="I2172" s="15"/>
      <c r="J2172" s="15"/>
      <c r="K2172" s="15"/>
      <c r="L2172" s="15"/>
      <c r="M2172" s="15"/>
      <c r="N2172" s="15"/>
      <c r="O2172" s="15"/>
      <c r="P2172" s="15"/>
      <c r="Q2172" s="15"/>
      <c r="R2172" s="15"/>
    </row>
    <row r="2173" spans="1:18" x14ac:dyDescent="0.2">
      <c r="A2173" s="15"/>
      <c r="B2173" s="38"/>
      <c r="C2173" s="15"/>
      <c r="D2173" s="15"/>
      <c r="E2173" s="15"/>
      <c r="F2173" s="15"/>
      <c r="G2173" s="15"/>
      <c r="H2173" s="15"/>
      <c r="I2173" s="15"/>
      <c r="J2173" s="15"/>
      <c r="K2173" s="15"/>
      <c r="L2173" s="15"/>
      <c r="M2173" s="15"/>
      <c r="N2173" s="15"/>
      <c r="O2173" s="15"/>
      <c r="P2173" s="15"/>
      <c r="Q2173" s="15"/>
      <c r="R2173" s="15"/>
    </row>
    <row r="2174" spans="1:18" x14ac:dyDescent="0.2">
      <c r="A2174" s="15"/>
      <c r="B2174" s="38"/>
      <c r="C2174" s="15"/>
      <c r="D2174" s="15"/>
      <c r="E2174" s="15"/>
      <c r="F2174" s="15"/>
      <c r="G2174" s="15"/>
      <c r="H2174" s="15"/>
      <c r="I2174" s="15"/>
      <c r="J2174" s="15"/>
      <c r="K2174" s="15"/>
      <c r="L2174" s="15"/>
      <c r="M2174" s="15"/>
      <c r="N2174" s="15"/>
      <c r="O2174" s="15"/>
      <c r="P2174" s="15"/>
      <c r="Q2174" s="15"/>
      <c r="R2174" s="15"/>
    </row>
    <row r="2175" spans="1:18" x14ac:dyDescent="0.2">
      <c r="A2175" s="15"/>
      <c r="B2175" s="38"/>
      <c r="C2175" s="15"/>
      <c r="D2175" s="15"/>
      <c r="E2175" s="15"/>
      <c r="F2175" s="15"/>
      <c r="G2175" s="15"/>
      <c r="H2175" s="15"/>
      <c r="I2175" s="15"/>
      <c r="J2175" s="15"/>
      <c r="K2175" s="15"/>
      <c r="L2175" s="15"/>
      <c r="M2175" s="15"/>
      <c r="N2175" s="15"/>
      <c r="O2175" s="15"/>
      <c r="P2175" s="15"/>
      <c r="Q2175" s="15"/>
      <c r="R2175" s="15"/>
    </row>
    <row r="2176" spans="1:18" x14ac:dyDescent="0.2">
      <c r="A2176" s="15"/>
      <c r="B2176" s="38"/>
      <c r="C2176" s="15"/>
      <c r="D2176" s="15"/>
      <c r="E2176" s="15"/>
      <c r="F2176" s="15"/>
      <c r="G2176" s="15"/>
      <c r="H2176" s="15"/>
      <c r="I2176" s="15"/>
      <c r="J2176" s="15"/>
      <c r="K2176" s="15"/>
      <c r="L2176" s="15"/>
      <c r="M2176" s="15"/>
      <c r="N2176" s="15"/>
      <c r="O2176" s="15"/>
      <c r="P2176" s="15"/>
      <c r="Q2176" s="15"/>
      <c r="R2176" s="15"/>
    </row>
    <row r="2177" spans="1:18" x14ac:dyDescent="0.2">
      <c r="A2177" s="15"/>
      <c r="B2177" s="38"/>
      <c r="C2177" s="15"/>
      <c r="D2177" s="15"/>
      <c r="E2177" s="15"/>
      <c r="F2177" s="15"/>
      <c r="G2177" s="15"/>
      <c r="H2177" s="15"/>
      <c r="I2177" s="15"/>
      <c r="J2177" s="15"/>
      <c r="K2177" s="15"/>
      <c r="L2177" s="15"/>
      <c r="M2177" s="15"/>
      <c r="N2177" s="15"/>
      <c r="O2177" s="15"/>
      <c r="P2177" s="15"/>
      <c r="Q2177" s="15"/>
      <c r="R2177" s="15"/>
    </row>
    <row r="2178" spans="1:18" x14ac:dyDescent="0.2">
      <c r="A2178" s="15"/>
      <c r="B2178" s="38"/>
      <c r="C2178" s="15"/>
      <c r="D2178" s="15"/>
      <c r="E2178" s="15"/>
      <c r="F2178" s="15"/>
      <c r="G2178" s="15"/>
      <c r="H2178" s="15"/>
      <c r="I2178" s="15"/>
      <c r="J2178" s="15"/>
      <c r="K2178" s="15"/>
      <c r="L2178" s="15"/>
      <c r="M2178" s="15"/>
      <c r="N2178" s="15"/>
      <c r="O2178" s="15"/>
      <c r="P2178" s="15"/>
      <c r="Q2178" s="15"/>
      <c r="R2178" s="15"/>
    </row>
    <row r="2179" spans="1:18" x14ac:dyDescent="0.2">
      <c r="A2179" s="15"/>
      <c r="B2179" s="38"/>
      <c r="C2179" s="15"/>
      <c r="D2179" s="15"/>
      <c r="E2179" s="15"/>
      <c r="F2179" s="15"/>
      <c r="G2179" s="15"/>
      <c r="H2179" s="15"/>
      <c r="I2179" s="15"/>
      <c r="J2179" s="15"/>
      <c r="K2179" s="15"/>
      <c r="L2179" s="15"/>
      <c r="M2179" s="15"/>
      <c r="N2179" s="15"/>
      <c r="O2179" s="15"/>
      <c r="P2179" s="15"/>
      <c r="Q2179" s="15"/>
      <c r="R2179" s="15"/>
    </row>
    <row r="2180" spans="1:18" x14ac:dyDescent="0.2">
      <c r="A2180" s="15"/>
      <c r="B2180" s="38"/>
      <c r="C2180" s="15"/>
      <c r="D2180" s="15"/>
      <c r="E2180" s="15"/>
      <c r="F2180" s="15"/>
      <c r="G2180" s="15"/>
      <c r="H2180" s="15"/>
      <c r="I2180" s="15"/>
      <c r="J2180" s="15"/>
      <c r="K2180" s="15"/>
      <c r="L2180" s="15"/>
      <c r="M2180" s="15"/>
      <c r="N2180" s="15"/>
      <c r="O2180" s="15"/>
      <c r="P2180" s="15"/>
      <c r="Q2180" s="15"/>
      <c r="R2180" s="15"/>
    </row>
    <row r="2181" spans="1:18" x14ac:dyDescent="0.2">
      <c r="A2181" s="15"/>
      <c r="B2181" s="38"/>
      <c r="C2181" s="15"/>
      <c r="D2181" s="15"/>
      <c r="E2181" s="15"/>
      <c r="F2181" s="15"/>
      <c r="G2181" s="15"/>
      <c r="H2181" s="15"/>
      <c r="I2181" s="15"/>
      <c r="J2181" s="15"/>
      <c r="K2181" s="15"/>
      <c r="L2181" s="15"/>
      <c r="M2181" s="15"/>
      <c r="N2181" s="15"/>
      <c r="O2181" s="15"/>
      <c r="P2181" s="15"/>
      <c r="Q2181" s="15"/>
      <c r="R2181" s="15"/>
    </row>
    <row r="2182" spans="1:18" x14ac:dyDescent="0.2">
      <c r="A2182" s="15"/>
      <c r="B2182" s="38"/>
      <c r="C2182" s="15"/>
      <c r="D2182" s="15"/>
      <c r="E2182" s="15"/>
      <c r="F2182" s="15"/>
      <c r="G2182" s="15"/>
      <c r="H2182" s="15"/>
      <c r="I2182" s="15"/>
      <c r="J2182" s="15"/>
      <c r="K2182" s="15"/>
      <c r="L2182" s="15"/>
      <c r="M2182" s="15"/>
      <c r="N2182" s="15"/>
      <c r="O2182" s="15"/>
      <c r="P2182" s="15"/>
      <c r="Q2182" s="15"/>
      <c r="R2182" s="15"/>
    </row>
    <row r="2183" spans="1:18" x14ac:dyDescent="0.2">
      <c r="A2183" s="15"/>
      <c r="B2183" s="38"/>
      <c r="C2183" s="15"/>
      <c r="D2183" s="15"/>
      <c r="E2183" s="15"/>
      <c r="F2183" s="15"/>
      <c r="G2183" s="15"/>
      <c r="H2183" s="15"/>
      <c r="I2183" s="15"/>
      <c r="J2183" s="15"/>
      <c r="K2183" s="15"/>
      <c r="L2183" s="15"/>
      <c r="M2183" s="15"/>
      <c r="N2183" s="15"/>
      <c r="O2183" s="15"/>
      <c r="P2183" s="15"/>
      <c r="Q2183" s="15"/>
      <c r="R2183" s="15"/>
    </row>
    <row r="2184" spans="1:18" x14ac:dyDescent="0.2">
      <c r="A2184" s="15"/>
      <c r="B2184" s="38"/>
      <c r="C2184" s="15"/>
      <c r="D2184" s="15"/>
      <c r="E2184" s="15"/>
      <c r="F2184" s="15"/>
      <c r="G2184" s="15"/>
      <c r="H2184" s="15"/>
      <c r="I2184" s="15"/>
      <c r="J2184" s="15"/>
      <c r="K2184" s="15"/>
      <c r="L2184" s="15"/>
      <c r="M2184" s="15"/>
      <c r="N2184" s="15"/>
      <c r="O2184" s="15"/>
      <c r="P2184" s="15"/>
      <c r="Q2184" s="15"/>
      <c r="R2184" s="15"/>
    </row>
    <row r="2185" spans="1:18" x14ac:dyDescent="0.2">
      <c r="A2185" s="15"/>
      <c r="B2185" s="38"/>
      <c r="C2185" s="15"/>
      <c r="D2185" s="15"/>
      <c r="E2185" s="15"/>
      <c r="F2185" s="15"/>
      <c r="G2185" s="15"/>
      <c r="H2185" s="15"/>
      <c r="I2185" s="15"/>
      <c r="J2185" s="15"/>
      <c r="K2185" s="15"/>
      <c r="L2185" s="15"/>
      <c r="M2185" s="15"/>
      <c r="N2185" s="15"/>
      <c r="O2185" s="15"/>
      <c r="P2185" s="15"/>
      <c r="Q2185" s="15"/>
      <c r="R2185" s="15"/>
    </row>
    <row r="2186" spans="1:18" x14ac:dyDescent="0.2">
      <c r="A2186" s="15"/>
      <c r="B2186" s="38"/>
      <c r="C2186" s="15"/>
      <c r="D2186" s="15"/>
      <c r="E2186" s="15"/>
      <c r="F2186" s="15"/>
      <c r="G2186" s="15"/>
      <c r="H2186" s="15"/>
      <c r="I2186" s="15"/>
      <c r="J2186" s="15"/>
      <c r="K2186" s="15"/>
      <c r="L2186" s="15"/>
      <c r="M2186" s="15"/>
      <c r="N2186" s="15"/>
      <c r="O2186" s="15"/>
      <c r="P2186" s="15"/>
      <c r="Q2186" s="15"/>
      <c r="R2186" s="15"/>
    </row>
    <row r="2187" spans="1:18" x14ac:dyDescent="0.2">
      <c r="A2187" s="15"/>
      <c r="B2187" s="38"/>
      <c r="C2187" s="15"/>
      <c r="D2187" s="15"/>
      <c r="E2187" s="15"/>
      <c r="F2187" s="15"/>
      <c r="G2187" s="15"/>
      <c r="H2187" s="15"/>
      <c r="I2187" s="15"/>
      <c r="J2187" s="15"/>
      <c r="K2187" s="15"/>
      <c r="L2187" s="15"/>
      <c r="M2187" s="15"/>
      <c r="N2187" s="15"/>
      <c r="O2187" s="15"/>
      <c r="P2187" s="15"/>
      <c r="Q2187" s="15"/>
      <c r="R2187" s="15"/>
    </row>
    <row r="2188" spans="1:18" x14ac:dyDescent="0.2">
      <c r="A2188" s="15"/>
      <c r="B2188" s="38"/>
      <c r="C2188" s="15"/>
      <c r="D2188" s="15"/>
      <c r="E2188" s="15"/>
      <c r="F2188" s="15"/>
      <c r="G2188" s="15"/>
      <c r="H2188" s="15"/>
      <c r="I2188" s="15"/>
      <c r="J2188" s="15"/>
      <c r="K2188" s="15"/>
      <c r="L2188" s="15"/>
      <c r="M2188" s="15"/>
      <c r="N2188" s="15"/>
      <c r="O2188" s="15"/>
      <c r="P2188" s="15"/>
      <c r="Q2188" s="15"/>
      <c r="R2188" s="15"/>
    </row>
    <row r="2189" spans="1:18" x14ac:dyDescent="0.2">
      <c r="A2189" s="15"/>
      <c r="B2189" s="38"/>
      <c r="C2189" s="15"/>
      <c r="D2189" s="15"/>
      <c r="E2189" s="15"/>
      <c r="F2189" s="15"/>
      <c r="G2189" s="15"/>
      <c r="H2189" s="15"/>
      <c r="I2189" s="15"/>
      <c r="J2189" s="15"/>
      <c r="K2189" s="15"/>
      <c r="L2189" s="15"/>
      <c r="M2189" s="15"/>
      <c r="N2189" s="15"/>
      <c r="O2189" s="15"/>
      <c r="P2189" s="15"/>
      <c r="Q2189" s="15"/>
      <c r="R2189" s="15"/>
    </row>
    <row r="2190" spans="1:18" x14ac:dyDescent="0.2">
      <c r="A2190" s="15"/>
      <c r="B2190" s="38"/>
      <c r="C2190" s="15"/>
      <c r="D2190" s="15"/>
      <c r="E2190" s="15"/>
      <c r="F2190" s="15"/>
      <c r="G2190" s="15"/>
      <c r="H2190" s="15"/>
      <c r="I2190" s="15"/>
      <c r="J2190" s="15"/>
      <c r="K2190" s="15"/>
      <c r="L2190" s="15"/>
      <c r="M2190" s="15"/>
      <c r="N2190" s="15"/>
      <c r="O2190" s="15"/>
      <c r="P2190" s="15"/>
      <c r="Q2190" s="15"/>
      <c r="R2190" s="15"/>
    </row>
    <row r="2191" spans="1:18" x14ac:dyDescent="0.2">
      <c r="A2191" s="15"/>
      <c r="B2191" s="38"/>
      <c r="C2191" s="15"/>
      <c r="D2191" s="15"/>
      <c r="E2191" s="15"/>
      <c r="F2191" s="15"/>
      <c r="G2191" s="15"/>
      <c r="H2191" s="15"/>
      <c r="I2191" s="15"/>
      <c r="J2191" s="15"/>
      <c r="K2191" s="15"/>
      <c r="L2191" s="15"/>
      <c r="M2191" s="15"/>
      <c r="N2191" s="15"/>
      <c r="O2191" s="15"/>
      <c r="P2191" s="15"/>
      <c r="Q2191" s="15"/>
      <c r="R2191" s="15"/>
    </row>
    <row r="2192" spans="1:18" x14ac:dyDescent="0.2">
      <c r="A2192" s="15"/>
      <c r="B2192" s="38"/>
      <c r="C2192" s="15"/>
      <c r="D2192" s="15"/>
      <c r="E2192" s="15"/>
      <c r="F2192" s="15"/>
      <c r="G2192" s="15"/>
      <c r="H2192" s="15"/>
      <c r="I2192" s="15"/>
      <c r="J2192" s="15"/>
      <c r="K2192" s="15"/>
      <c r="L2192" s="15"/>
      <c r="M2192" s="15"/>
      <c r="N2192" s="15"/>
      <c r="O2192" s="15"/>
      <c r="P2192" s="15"/>
      <c r="Q2192" s="15"/>
      <c r="R2192" s="15"/>
    </row>
    <row r="2193" spans="1:18" x14ac:dyDescent="0.2">
      <c r="A2193" s="15"/>
      <c r="B2193" s="38"/>
      <c r="C2193" s="15"/>
      <c r="D2193" s="15"/>
      <c r="E2193" s="15"/>
      <c r="F2193" s="15"/>
      <c r="G2193" s="15"/>
      <c r="H2193" s="15"/>
      <c r="I2193" s="15"/>
      <c r="J2193" s="15"/>
      <c r="K2193" s="15"/>
      <c r="L2193" s="15"/>
      <c r="M2193" s="15"/>
      <c r="N2193" s="15"/>
      <c r="O2193" s="15"/>
      <c r="P2193" s="15"/>
      <c r="Q2193" s="15"/>
      <c r="R2193" s="15"/>
    </row>
    <row r="2194" spans="1:18" x14ac:dyDescent="0.2">
      <c r="A2194" s="15"/>
      <c r="B2194" s="38"/>
      <c r="C2194" s="15"/>
      <c r="D2194" s="15"/>
      <c r="E2194" s="15"/>
      <c r="F2194" s="15"/>
      <c r="G2194" s="15"/>
      <c r="H2194" s="15"/>
      <c r="I2194" s="15"/>
      <c r="J2194" s="15"/>
      <c r="K2194" s="15"/>
      <c r="L2194" s="15"/>
      <c r="M2194" s="15"/>
      <c r="N2194" s="15"/>
      <c r="O2194" s="15"/>
      <c r="P2194" s="15"/>
      <c r="Q2194" s="15"/>
      <c r="R2194" s="15"/>
    </row>
    <row r="2195" spans="1:18" x14ac:dyDescent="0.2">
      <c r="A2195" s="15"/>
      <c r="B2195" s="38"/>
      <c r="C2195" s="15"/>
      <c r="D2195" s="15"/>
      <c r="E2195" s="15"/>
      <c r="F2195" s="15"/>
      <c r="G2195" s="15"/>
      <c r="H2195" s="15"/>
      <c r="I2195" s="15"/>
      <c r="J2195" s="15"/>
      <c r="K2195" s="15"/>
      <c r="L2195" s="15"/>
      <c r="M2195" s="15"/>
      <c r="N2195" s="15"/>
      <c r="O2195" s="15"/>
      <c r="P2195" s="15"/>
      <c r="Q2195" s="15"/>
      <c r="R2195" s="15"/>
    </row>
    <row r="2196" spans="1:18" x14ac:dyDescent="0.2">
      <c r="A2196" s="15"/>
      <c r="B2196" s="38"/>
      <c r="C2196" s="15"/>
      <c r="D2196" s="15"/>
      <c r="E2196" s="15"/>
      <c r="F2196" s="15"/>
      <c r="G2196" s="15"/>
      <c r="H2196" s="15"/>
      <c r="I2196" s="15"/>
      <c r="J2196" s="15"/>
      <c r="K2196" s="15"/>
      <c r="L2196" s="15"/>
      <c r="M2196" s="15"/>
      <c r="N2196" s="15"/>
      <c r="O2196" s="15"/>
      <c r="P2196" s="15"/>
      <c r="Q2196" s="15"/>
      <c r="R2196" s="15"/>
    </row>
    <row r="2197" spans="1:18" x14ac:dyDescent="0.2">
      <c r="A2197" s="15"/>
      <c r="B2197" s="38"/>
      <c r="C2197" s="15"/>
      <c r="D2197" s="15"/>
      <c r="E2197" s="15"/>
      <c r="F2197" s="15"/>
      <c r="G2197" s="15"/>
      <c r="H2197" s="15"/>
      <c r="I2197" s="15"/>
      <c r="J2197" s="15"/>
      <c r="K2197" s="15"/>
      <c r="L2197" s="15"/>
      <c r="M2197" s="15"/>
      <c r="N2197" s="15"/>
      <c r="O2197" s="15"/>
      <c r="P2197" s="15"/>
      <c r="Q2197" s="15"/>
      <c r="R2197" s="15"/>
    </row>
    <row r="2198" spans="1:18" x14ac:dyDescent="0.2">
      <c r="A2198" s="15"/>
      <c r="B2198" s="38"/>
      <c r="C2198" s="15"/>
      <c r="D2198" s="15"/>
      <c r="E2198" s="15"/>
      <c r="F2198" s="15"/>
      <c r="G2198" s="15"/>
      <c r="H2198" s="15"/>
      <c r="I2198" s="15"/>
      <c r="J2198" s="15"/>
      <c r="K2198" s="15"/>
      <c r="L2198" s="15"/>
      <c r="M2198" s="15"/>
      <c r="N2198" s="15"/>
      <c r="O2198" s="15"/>
      <c r="P2198" s="15"/>
      <c r="Q2198" s="15"/>
      <c r="R2198" s="15"/>
    </row>
    <row r="2199" spans="1:18" x14ac:dyDescent="0.2">
      <c r="A2199" s="15"/>
      <c r="B2199" s="38"/>
      <c r="C2199" s="15"/>
      <c r="D2199" s="15"/>
      <c r="E2199" s="15"/>
      <c r="F2199" s="15"/>
      <c r="G2199" s="15"/>
      <c r="H2199" s="15"/>
      <c r="I2199" s="15"/>
      <c r="J2199" s="15"/>
      <c r="K2199" s="15"/>
      <c r="L2199" s="15"/>
      <c r="M2199" s="15"/>
      <c r="N2199" s="15"/>
      <c r="O2199" s="15"/>
      <c r="P2199" s="15"/>
      <c r="Q2199" s="15"/>
      <c r="R2199" s="15"/>
    </row>
    <row r="2200" spans="1:18" x14ac:dyDescent="0.2">
      <c r="A2200" s="15"/>
      <c r="B2200" s="38"/>
      <c r="C2200" s="15"/>
      <c r="D2200" s="15"/>
      <c r="E2200" s="15"/>
      <c r="F2200" s="15"/>
      <c r="G2200" s="15"/>
      <c r="H2200" s="15"/>
      <c r="I2200" s="15"/>
      <c r="J2200" s="15"/>
      <c r="K2200" s="15"/>
      <c r="L2200" s="15"/>
      <c r="M2200" s="15"/>
      <c r="N2200" s="15"/>
      <c r="O2200" s="15"/>
      <c r="P2200" s="15"/>
      <c r="Q2200" s="15"/>
      <c r="R2200" s="15"/>
    </row>
    <row r="2201" spans="1:18" x14ac:dyDescent="0.2">
      <c r="A2201" s="15"/>
      <c r="B2201" s="38"/>
      <c r="C2201" s="15"/>
      <c r="D2201" s="15"/>
      <c r="E2201" s="15"/>
      <c r="F2201" s="15"/>
      <c r="G2201" s="15"/>
      <c r="H2201" s="15"/>
      <c r="I2201" s="15"/>
      <c r="J2201" s="15"/>
      <c r="K2201" s="15"/>
      <c r="L2201" s="15"/>
      <c r="M2201" s="15"/>
      <c r="N2201" s="15"/>
      <c r="O2201" s="15"/>
      <c r="P2201" s="15"/>
      <c r="Q2201" s="15"/>
      <c r="R2201" s="15"/>
    </row>
    <row r="2202" spans="1:18" x14ac:dyDescent="0.2">
      <c r="A2202" s="15"/>
      <c r="B2202" s="38"/>
      <c r="C2202" s="15"/>
      <c r="D2202" s="15"/>
      <c r="E2202" s="15"/>
      <c r="F2202" s="15"/>
      <c r="G2202" s="15"/>
      <c r="H2202" s="15"/>
      <c r="I2202" s="15"/>
      <c r="J2202" s="15"/>
      <c r="K2202" s="15"/>
      <c r="L2202" s="15"/>
      <c r="M2202" s="15"/>
      <c r="N2202" s="15"/>
      <c r="O2202" s="15"/>
      <c r="P2202" s="15"/>
      <c r="Q2202" s="15"/>
      <c r="R2202" s="15"/>
    </row>
    <row r="2203" spans="1:18" x14ac:dyDescent="0.2">
      <c r="A2203" s="15"/>
      <c r="B2203" s="38"/>
      <c r="C2203" s="15"/>
      <c r="D2203" s="15"/>
      <c r="E2203" s="15"/>
      <c r="F2203" s="15"/>
      <c r="G2203" s="15"/>
      <c r="H2203" s="15"/>
      <c r="I2203" s="15"/>
      <c r="J2203" s="15"/>
      <c r="K2203" s="15"/>
      <c r="L2203" s="15"/>
      <c r="M2203" s="15"/>
      <c r="N2203" s="15"/>
      <c r="O2203" s="15"/>
      <c r="P2203" s="15"/>
      <c r="Q2203" s="15"/>
      <c r="R2203" s="15"/>
    </row>
    <row r="2204" spans="1:18" x14ac:dyDescent="0.2">
      <c r="A2204" s="15"/>
      <c r="B2204" s="38"/>
      <c r="C2204" s="15"/>
      <c r="D2204" s="15"/>
      <c r="E2204" s="15"/>
      <c r="F2204" s="15"/>
      <c r="G2204" s="15"/>
      <c r="H2204" s="15"/>
      <c r="I2204" s="15"/>
      <c r="J2204" s="15"/>
      <c r="K2204" s="15"/>
      <c r="L2204" s="15"/>
      <c r="M2204" s="15"/>
      <c r="N2204" s="15"/>
      <c r="O2204" s="15"/>
      <c r="P2204" s="15"/>
      <c r="Q2204" s="15"/>
      <c r="R2204" s="15"/>
    </row>
    <row r="2205" spans="1:18" x14ac:dyDescent="0.2">
      <c r="A2205" s="15"/>
      <c r="B2205" s="38"/>
      <c r="C2205" s="15"/>
      <c r="D2205" s="15"/>
      <c r="E2205" s="15"/>
      <c r="F2205" s="15"/>
      <c r="G2205" s="15"/>
      <c r="H2205" s="15"/>
      <c r="I2205" s="15"/>
      <c r="J2205" s="15"/>
      <c r="K2205" s="15"/>
      <c r="L2205" s="15"/>
      <c r="M2205" s="15"/>
      <c r="N2205" s="15"/>
      <c r="O2205" s="15"/>
      <c r="P2205" s="15"/>
      <c r="Q2205" s="15"/>
      <c r="R2205" s="15"/>
    </row>
    <row r="2206" spans="1:18" x14ac:dyDescent="0.2">
      <c r="A2206" s="15"/>
      <c r="B2206" s="38"/>
      <c r="C2206" s="15"/>
      <c r="D2206" s="15"/>
      <c r="E2206" s="15"/>
      <c r="F2206" s="15"/>
      <c r="G2206" s="15"/>
      <c r="H2206" s="15"/>
      <c r="I2206" s="15"/>
      <c r="J2206" s="15"/>
      <c r="K2206" s="15"/>
      <c r="L2206" s="15"/>
      <c r="M2206" s="15"/>
      <c r="N2206" s="15"/>
      <c r="O2206" s="15"/>
      <c r="P2206" s="15"/>
      <c r="Q2206" s="15"/>
      <c r="R2206" s="15"/>
    </row>
    <row r="2207" spans="1:18" x14ac:dyDescent="0.2">
      <c r="A2207" s="15"/>
      <c r="B2207" s="38"/>
      <c r="C2207" s="15"/>
      <c r="D2207" s="15"/>
      <c r="E2207" s="15"/>
      <c r="F2207" s="15"/>
      <c r="G2207" s="15"/>
      <c r="H2207" s="15"/>
      <c r="I2207" s="15"/>
      <c r="J2207" s="15"/>
      <c r="K2207" s="15"/>
      <c r="L2207" s="15"/>
      <c r="M2207" s="15"/>
      <c r="N2207" s="15"/>
      <c r="O2207" s="15"/>
      <c r="P2207" s="15"/>
      <c r="Q2207" s="15"/>
      <c r="R2207" s="15"/>
    </row>
    <row r="2208" spans="1:18" x14ac:dyDescent="0.2">
      <c r="A2208" s="15"/>
      <c r="B2208" s="38"/>
      <c r="C2208" s="15"/>
      <c r="D2208" s="15"/>
      <c r="E2208" s="15"/>
      <c r="F2208" s="15"/>
      <c r="G2208" s="15"/>
      <c r="H2208" s="15"/>
      <c r="I2208" s="15"/>
      <c r="J2208" s="15"/>
      <c r="K2208" s="15"/>
      <c r="L2208" s="15"/>
      <c r="M2208" s="15"/>
      <c r="N2208" s="15"/>
      <c r="O2208" s="15"/>
      <c r="P2208" s="15"/>
      <c r="Q2208" s="15"/>
      <c r="R2208" s="15"/>
    </row>
    <row r="2209" spans="1:18" x14ac:dyDescent="0.2">
      <c r="A2209" s="15"/>
      <c r="B2209" s="38"/>
      <c r="C2209" s="15"/>
      <c r="D2209" s="15"/>
      <c r="E2209" s="15"/>
      <c r="F2209" s="15"/>
      <c r="G2209" s="15"/>
      <c r="H2209" s="15"/>
      <c r="I2209" s="15"/>
      <c r="J2209" s="15"/>
      <c r="K2209" s="15"/>
      <c r="L2209" s="15"/>
      <c r="M2209" s="15"/>
      <c r="N2209" s="15"/>
      <c r="O2209" s="15"/>
      <c r="P2209" s="15"/>
      <c r="Q2209" s="15"/>
      <c r="R2209" s="15"/>
    </row>
    <row r="2210" spans="1:18" x14ac:dyDescent="0.2">
      <c r="A2210" s="15"/>
      <c r="B2210" s="38"/>
      <c r="C2210" s="15"/>
      <c r="D2210" s="15"/>
      <c r="E2210" s="15"/>
      <c r="F2210" s="15"/>
      <c r="G2210" s="15"/>
      <c r="H2210" s="15"/>
      <c r="I2210" s="15"/>
      <c r="J2210" s="15"/>
      <c r="K2210" s="15"/>
      <c r="L2210" s="15"/>
      <c r="M2210" s="15"/>
      <c r="N2210" s="15"/>
      <c r="O2210" s="15"/>
      <c r="P2210" s="15"/>
      <c r="Q2210" s="15"/>
      <c r="R2210" s="15"/>
    </row>
    <row r="2211" spans="1:18" x14ac:dyDescent="0.2">
      <c r="A2211" s="15"/>
      <c r="B2211" s="38"/>
      <c r="C2211" s="15"/>
      <c r="D2211" s="15"/>
      <c r="E2211" s="15"/>
      <c r="F2211" s="15"/>
      <c r="G2211" s="15"/>
      <c r="H2211" s="15"/>
      <c r="I2211" s="15"/>
      <c r="J2211" s="15"/>
      <c r="K2211" s="15"/>
      <c r="L2211" s="15"/>
      <c r="M2211" s="15"/>
      <c r="N2211" s="15"/>
      <c r="O2211" s="15"/>
      <c r="P2211" s="15"/>
      <c r="Q2211" s="15"/>
      <c r="R2211" s="15"/>
    </row>
    <row r="2212" spans="1:18" x14ac:dyDescent="0.2">
      <c r="A2212" s="15"/>
      <c r="B2212" s="38"/>
      <c r="C2212" s="15"/>
      <c r="D2212" s="15"/>
      <c r="E2212" s="15"/>
      <c r="F2212" s="15"/>
      <c r="G2212" s="15"/>
      <c r="H2212" s="15"/>
      <c r="I2212" s="15"/>
      <c r="J2212" s="15"/>
      <c r="K2212" s="15"/>
      <c r="L2212" s="15"/>
      <c r="M2212" s="15"/>
      <c r="N2212" s="15"/>
      <c r="O2212" s="15"/>
      <c r="P2212" s="15"/>
      <c r="Q2212" s="15"/>
      <c r="R2212" s="15"/>
    </row>
    <row r="2213" spans="1:18" x14ac:dyDescent="0.2">
      <c r="A2213" s="15"/>
      <c r="B2213" s="38"/>
      <c r="C2213" s="15"/>
      <c r="D2213" s="15"/>
      <c r="E2213" s="15"/>
      <c r="F2213" s="15"/>
      <c r="G2213" s="15"/>
      <c r="H2213" s="15"/>
      <c r="I2213" s="15"/>
      <c r="J2213" s="15"/>
      <c r="K2213" s="15"/>
      <c r="L2213" s="15"/>
      <c r="M2213" s="15"/>
      <c r="N2213" s="15"/>
      <c r="O2213" s="15"/>
      <c r="P2213" s="15"/>
      <c r="Q2213" s="15"/>
      <c r="R2213" s="15"/>
    </row>
    <row r="2214" spans="1:18" x14ac:dyDescent="0.2">
      <c r="A2214" s="15"/>
      <c r="B2214" s="38"/>
      <c r="C2214" s="15"/>
      <c r="D2214" s="15"/>
      <c r="E2214" s="15"/>
      <c r="F2214" s="15"/>
      <c r="G2214" s="15"/>
      <c r="H2214" s="15"/>
      <c r="I2214" s="15"/>
      <c r="J2214" s="15"/>
      <c r="K2214" s="15"/>
      <c r="L2214" s="15"/>
      <c r="M2214" s="15"/>
      <c r="N2214" s="15"/>
      <c r="O2214" s="15"/>
      <c r="P2214" s="15"/>
      <c r="Q2214" s="15"/>
      <c r="R2214" s="15"/>
    </row>
    <row r="2215" spans="1:18" x14ac:dyDescent="0.2">
      <c r="A2215" s="15"/>
      <c r="B2215" s="38"/>
      <c r="C2215" s="15"/>
      <c r="D2215" s="15"/>
      <c r="E2215" s="15"/>
      <c r="F2215" s="15"/>
      <c r="G2215" s="15"/>
      <c r="H2215" s="15"/>
      <c r="I2215" s="15"/>
      <c r="J2215" s="15"/>
      <c r="K2215" s="15"/>
      <c r="L2215" s="15"/>
      <c r="M2215" s="15"/>
      <c r="N2215" s="15"/>
      <c r="O2215" s="15"/>
      <c r="P2215" s="15"/>
      <c r="Q2215" s="15"/>
      <c r="R2215" s="15"/>
    </row>
    <row r="2216" spans="1:18" x14ac:dyDescent="0.2">
      <c r="A2216" s="15"/>
      <c r="B2216" s="38"/>
      <c r="C2216" s="15"/>
      <c r="D2216" s="15"/>
      <c r="E2216" s="15"/>
      <c r="F2216" s="15"/>
      <c r="G2216" s="15"/>
      <c r="H2216" s="15"/>
      <c r="I2216" s="15"/>
      <c r="J2216" s="15"/>
      <c r="K2216" s="15"/>
      <c r="L2216" s="15"/>
      <c r="M2216" s="15"/>
      <c r="N2216" s="15"/>
      <c r="O2216" s="15"/>
      <c r="P2216" s="15"/>
      <c r="Q2216" s="15"/>
      <c r="R2216" s="15"/>
    </row>
    <row r="2217" spans="1:18" x14ac:dyDescent="0.2">
      <c r="A2217" s="15"/>
      <c r="B2217" s="38"/>
      <c r="C2217" s="15"/>
      <c r="D2217" s="15"/>
      <c r="E2217" s="15"/>
      <c r="F2217" s="15"/>
      <c r="G2217" s="15"/>
      <c r="H2217" s="15"/>
      <c r="I2217" s="15"/>
      <c r="J2217" s="15"/>
      <c r="K2217" s="15"/>
      <c r="L2217" s="15"/>
      <c r="M2217" s="15"/>
      <c r="N2217" s="15"/>
      <c r="O2217" s="15"/>
      <c r="P2217" s="15"/>
      <c r="Q2217" s="15"/>
      <c r="R2217" s="15"/>
    </row>
    <row r="2218" spans="1:18" x14ac:dyDescent="0.2">
      <c r="A2218" s="15"/>
      <c r="B2218" s="38"/>
      <c r="C2218" s="15"/>
      <c r="D2218" s="15"/>
      <c r="E2218" s="15"/>
      <c r="F2218" s="15"/>
      <c r="G2218" s="15"/>
      <c r="H2218" s="15"/>
      <c r="I2218" s="15"/>
      <c r="J2218" s="15"/>
      <c r="K2218" s="15"/>
      <c r="L2218" s="15"/>
      <c r="M2218" s="15"/>
      <c r="N2218" s="15"/>
      <c r="O2218" s="15"/>
      <c r="P2218" s="15"/>
      <c r="Q2218" s="15"/>
      <c r="R2218" s="15"/>
    </row>
    <row r="2219" spans="1:18" x14ac:dyDescent="0.2">
      <c r="A2219" s="15"/>
      <c r="B2219" s="38"/>
      <c r="C2219" s="15"/>
      <c r="D2219" s="15"/>
      <c r="E2219" s="15"/>
      <c r="F2219" s="15"/>
      <c r="G2219" s="15"/>
      <c r="H2219" s="15"/>
      <c r="I2219" s="15"/>
      <c r="J2219" s="15"/>
      <c r="K2219" s="15"/>
      <c r="L2219" s="15"/>
      <c r="M2219" s="15"/>
      <c r="N2219" s="15"/>
      <c r="O2219" s="15"/>
      <c r="P2219" s="15"/>
      <c r="Q2219" s="15"/>
      <c r="R2219" s="15"/>
    </row>
    <row r="2220" spans="1:18" x14ac:dyDescent="0.2">
      <c r="A2220" s="15"/>
      <c r="B2220" s="38"/>
      <c r="C2220" s="15"/>
      <c r="D2220" s="15"/>
      <c r="E2220" s="15"/>
      <c r="F2220" s="15"/>
      <c r="G2220" s="15"/>
      <c r="H2220" s="15"/>
      <c r="I2220" s="15"/>
      <c r="J2220" s="15"/>
      <c r="K2220" s="15"/>
      <c r="L2220" s="15"/>
      <c r="M2220" s="15"/>
      <c r="N2220" s="15"/>
      <c r="O2220" s="15"/>
      <c r="P2220" s="15"/>
      <c r="Q2220" s="15"/>
      <c r="R2220" s="15"/>
    </row>
    <row r="2221" spans="1:18" x14ac:dyDescent="0.2">
      <c r="A2221" s="15"/>
      <c r="B2221" s="38"/>
      <c r="C2221" s="15"/>
      <c r="D2221" s="15"/>
      <c r="E2221" s="15"/>
      <c r="F2221" s="15"/>
      <c r="G2221" s="15"/>
      <c r="H2221" s="15"/>
      <c r="I2221" s="15"/>
      <c r="J2221" s="15"/>
      <c r="K2221" s="15"/>
      <c r="L2221" s="15"/>
      <c r="M2221" s="15"/>
      <c r="N2221" s="15"/>
      <c r="O2221" s="15"/>
      <c r="P2221" s="15"/>
      <c r="Q2221" s="15"/>
      <c r="R2221" s="15"/>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Y3704"/>
  <sheetViews>
    <sheetView tabSelected="1" topLeftCell="L1" workbookViewId="0">
      <selection activeCell="O2" sqref="O2"/>
    </sheetView>
  </sheetViews>
  <sheetFormatPr defaultRowHeight="14.25" x14ac:dyDescent="0.2"/>
  <cols>
    <col min="2" max="2" width="9" style="36"/>
    <col min="3" max="3" width="14.875" customWidth="1"/>
    <col min="4" max="5" width="20.125" customWidth="1"/>
    <col min="6" max="6" width="13.75" customWidth="1"/>
    <col min="7" max="7" width="53.75" customWidth="1"/>
    <col min="8" max="8" width="13.25" customWidth="1"/>
  </cols>
  <sheetData>
    <row r="1" spans="1:25" ht="42.75" x14ac:dyDescent="0.2">
      <c r="A1" t="s">
        <v>2868</v>
      </c>
      <c r="B1" s="36" t="s">
        <v>4462</v>
      </c>
      <c r="C1" t="s">
        <v>3214</v>
      </c>
      <c r="D1" t="s">
        <v>3216</v>
      </c>
      <c r="E1" s="45" t="s">
        <v>4474</v>
      </c>
      <c r="F1" t="s">
        <v>2919</v>
      </c>
      <c r="G1" t="s">
        <v>3215</v>
      </c>
      <c r="H1" t="s">
        <v>2869</v>
      </c>
      <c r="I1" t="s">
        <v>2875</v>
      </c>
      <c r="J1" t="s">
        <v>2877</v>
      </c>
      <c r="K1" t="s">
        <v>2876</v>
      </c>
      <c r="L1" t="s">
        <v>2878</v>
      </c>
      <c r="M1" t="s">
        <v>2879</v>
      </c>
      <c r="N1" s="14" t="s">
        <v>4484</v>
      </c>
      <c r="O1" t="s">
        <v>4485</v>
      </c>
      <c r="P1" s="14" t="s">
        <v>2886</v>
      </c>
      <c r="Q1" s="14" t="s">
        <v>2871</v>
      </c>
      <c r="R1" s="14" t="s">
        <v>2872</v>
      </c>
      <c r="S1" s="14" t="s">
        <v>2891</v>
      </c>
      <c r="T1" s="14" t="s">
        <v>2873</v>
      </c>
      <c r="U1" s="14" t="s">
        <v>2887</v>
      </c>
      <c r="V1" s="14" t="s">
        <v>2888</v>
      </c>
      <c r="W1" s="14" t="s">
        <v>2889</v>
      </c>
      <c r="X1" s="14" t="s">
        <v>2890</v>
      </c>
      <c r="Y1" s="14" t="s">
        <v>2874</v>
      </c>
    </row>
    <row r="2" spans="1:25" x14ac:dyDescent="0.2">
      <c r="A2" s="16">
        <v>1</v>
      </c>
      <c r="B2" s="37">
        <v>1</v>
      </c>
      <c r="C2" s="16" t="s">
        <v>588</v>
      </c>
      <c r="D2" s="16" t="s">
        <v>588</v>
      </c>
      <c r="E2" s="16">
        <v>2</v>
      </c>
      <c r="F2" s="16" t="s">
        <v>4239</v>
      </c>
      <c r="G2" s="16" t="s">
        <v>3217</v>
      </c>
      <c r="H2" s="16" t="s">
        <v>582</v>
      </c>
      <c r="I2" s="16" t="s">
        <v>131</v>
      </c>
      <c r="J2" s="16">
        <v>0</v>
      </c>
      <c r="K2" s="16">
        <v>0.01</v>
      </c>
      <c r="L2" s="16">
        <v>1</v>
      </c>
      <c r="M2" s="16">
        <v>0</v>
      </c>
      <c r="N2">
        <f t="array" aca="1" ref="N2" ca="1">MATCH(TRUE,EXACT(I2,OFFSET(rngParamTypes,0,6,,1)),0)</f>
        <v>42</v>
      </c>
      <c r="O2" t="str">
        <f ca="1">IF((INDEX(rngParamTypes,$N2,7)=I2),"",1)</f>
        <v/>
      </c>
      <c r="P2">
        <f ca="1">INDEX(rngParamTypes,$N2,9)</f>
        <v>0</v>
      </c>
      <c r="Q2">
        <f ca="1">INDEX(rngParamTypes,$N2,10)</f>
        <v>0</v>
      </c>
      <c r="R2">
        <f ca="1">INDEX(rngParamTypes,$N2,11)</f>
        <v>0</v>
      </c>
      <c r="S2">
        <f ca="1">INDEX(rngParamTypes,$N2,12)</f>
        <v>0</v>
      </c>
      <c r="T2">
        <f ca="1">INDEX(rngParamTypes,$N2,13)</f>
        <v>0</v>
      </c>
      <c r="U2">
        <f ca="1">INDEX(rngParamTypes,$N2,14)</f>
        <v>0</v>
      </c>
      <c r="V2">
        <f ca="1">INDEX(rngParamTypes,$N2,15)</f>
        <v>0</v>
      </c>
      <c r="W2">
        <f ca="1">INDEX(rngParamTypes,$N2,16)</f>
        <v>0</v>
      </c>
      <c r="X2">
        <f ca="1">INDEX(rngParamTypes,$N2,17)</f>
        <v>0</v>
      </c>
      <c r="Y2">
        <f ca="1">INDEX(rngParamTypes,$N2,18)</f>
        <v>0</v>
      </c>
    </row>
    <row r="3" spans="1:25" x14ac:dyDescent="0.2">
      <c r="A3" s="16">
        <v>2</v>
      </c>
      <c r="B3" s="37">
        <v>1</v>
      </c>
      <c r="C3" s="16" t="s">
        <v>591</v>
      </c>
      <c r="D3" s="16" t="s">
        <v>591</v>
      </c>
      <c r="E3" s="16"/>
      <c r="F3" s="16" t="s">
        <v>3218</v>
      </c>
      <c r="G3" s="16" t="s">
        <v>35</v>
      </c>
      <c r="H3" s="16" t="s">
        <v>590</v>
      </c>
      <c r="I3" s="16" t="s">
        <v>38</v>
      </c>
      <c r="J3" s="16">
        <v>0</v>
      </c>
      <c r="K3" s="16">
        <v>1</v>
      </c>
      <c r="L3" s="16">
        <v>31558150</v>
      </c>
      <c r="M3" s="16">
        <v>0</v>
      </c>
      <c r="N3">
        <f t="array" aca="1" ref="N3" ca="1">MATCH(TRUE,EXACT(I3,OFFSET(rngParamTypes,0,6,,1)),0)</f>
        <v>12</v>
      </c>
      <c r="O3" t="str">
        <f ca="1">IF((INDEX(rngParamTypes,$N3,7)=I3),"",1)</f>
        <v/>
      </c>
      <c r="P3">
        <f ca="1">INDEX(rngParamTypes,$N3,9)</f>
        <v>0</v>
      </c>
      <c r="Q3">
        <f ca="1">INDEX(rngParamTypes,$N3,10)</f>
        <v>0</v>
      </c>
      <c r="R3">
        <f ca="1">INDEX(rngParamTypes,$N3,11)</f>
        <v>-1</v>
      </c>
      <c r="S3">
        <f ca="1">INDEX(rngParamTypes,$N3,12)</f>
        <v>0</v>
      </c>
      <c r="T3">
        <f ca="1">INDEX(rngParamTypes,$N3,13)</f>
        <v>0</v>
      </c>
      <c r="U3">
        <f ca="1">INDEX(rngParamTypes,$N3,14)</f>
        <v>0</v>
      </c>
      <c r="V3">
        <f ca="1">INDEX(rngParamTypes,$N3,15)</f>
        <v>0</v>
      </c>
      <c r="W3">
        <f ca="1">INDEX(rngParamTypes,$N3,16)</f>
        <v>0</v>
      </c>
      <c r="X3">
        <f ca="1">INDEX(rngParamTypes,$N3,17)</f>
        <v>0</v>
      </c>
      <c r="Y3">
        <f ca="1">INDEX(rngParamTypes,$N3,18)</f>
        <v>0</v>
      </c>
    </row>
    <row r="4" spans="1:25" x14ac:dyDescent="0.2">
      <c r="A4" s="16">
        <v>3</v>
      </c>
      <c r="B4" s="37">
        <v>1</v>
      </c>
      <c r="C4" s="16" t="s">
        <v>593</v>
      </c>
      <c r="D4" s="16" t="s">
        <v>593</v>
      </c>
      <c r="E4" s="16"/>
      <c r="F4" s="16" t="s">
        <v>3219</v>
      </c>
      <c r="G4" s="16" t="s">
        <v>3220</v>
      </c>
      <c r="H4" s="16" t="s">
        <v>592</v>
      </c>
      <c r="I4" s="16" t="s">
        <v>20</v>
      </c>
      <c r="J4" s="16">
        <v>0</v>
      </c>
      <c r="K4" s="16">
        <v>10000000000</v>
      </c>
      <c r="L4" s="16">
        <v>1</v>
      </c>
      <c r="M4" s="16">
        <v>0</v>
      </c>
      <c r="N4">
        <f t="array" aca="1" ref="N4" ca="1">MATCH(TRUE,EXACT(I4,OFFSET(rngParamTypes,0,6,,1)),0)</f>
        <v>5</v>
      </c>
      <c r="O4" t="str">
        <f ca="1">IF((INDEX(rngParamTypes,$N4,7)=I4),"",1)</f>
        <v/>
      </c>
      <c r="P4">
        <f ca="1">INDEX(rngParamTypes,$N4,9)</f>
        <v>0</v>
      </c>
      <c r="Q4">
        <f ca="1">INDEX(rngParamTypes,$N4,10)</f>
        <v>-1</v>
      </c>
      <c r="R4">
        <f ca="1">INDEX(rngParamTypes,$N4,11)</f>
        <v>0</v>
      </c>
      <c r="S4">
        <f ca="1">INDEX(rngParamTypes,$N4,12)</f>
        <v>0</v>
      </c>
      <c r="T4">
        <f ca="1">INDEX(rngParamTypes,$N4,13)</f>
        <v>0</v>
      </c>
      <c r="U4">
        <f ca="1">INDEX(rngParamTypes,$N4,14)</f>
        <v>0</v>
      </c>
      <c r="V4">
        <f ca="1">INDEX(rngParamTypes,$N4,15)</f>
        <v>0</v>
      </c>
      <c r="W4">
        <f ca="1">INDEX(rngParamTypes,$N4,16)</f>
        <v>0</v>
      </c>
      <c r="X4">
        <f ca="1">INDEX(rngParamTypes,$N4,17)</f>
        <v>0</v>
      </c>
      <c r="Y4">
        <f ca="1">INDEX(rngParamTypes,$N4,18)</f>
        <v>0</v>
      </c>
    </row>
    <row r="5" spans="1:25" x14ac:dyDescent="0.2">
      <c r="A5" s="16">
        <v>4</v>
      </c>
      <c r="B5" s="37">
        <v>1</v>
      </c>
      <c r="C5" s="16" t="s">
        <v>595</v>
      </c>
      <c r="D5" s="16" t="s">
        <v>595</v>
      </c>
      <c r="E5" s="16"/>
      <c r="F5" s="16" t="s">
        <v>3221</v>
      </c>
      <c r="G5" s="16" t="s">
        <v>3222</v>
      </c>
      <c r="H5" s="16" t="s">
        <v>594</v>
      </c>
      <c r="I5" s="16" t="s">
        <v>33</v>
      </c>
      <c r="J5" s="16">
        <v>0</v>
      </c>
      <c r="K5" s="16">
        <v>9.9999999999999995E-7</v>
      </c>
      <c r="L5" s="16">
        <v>1</v>
      </c>
      <c r="M5" s="16">
        <v>0</v>
      </c>
      <c r="N5">
        <f t="array" aca="1" ref="N5" ca="1">MATCH(TRUE,EXACT(I5,OFFSET(rngParamTypes,0,6,,1)),0)</f>
        <v>10</v>
      </c>
      <c r="O5" t="str">
        <f ca="1">IF((INDEX(rngParamTypes,$N5,7)=I5),"",1)</f>
        <v/>
      </c>
      <c r="P5">
        <f ca="1">INDEX(rngParamTypes,$N5,9)</f>
        <v>-1</v>
      </c>
      <c r="Q5">
        <f ca="1">INDEX(rngParamTypes,$N5,10)</f>
        <v>1</v>
      </c>
      <c r="R5">
        <f ca="1">INDEX(rngParamTypes,$N5,11)</f>
        <v>2</v>
      </c>
      <c r="S5">
        <f ca="1">INDEX(rngParamTypes,$N5,12)</f>
        <v>0</v>
      </c>
      <c r="T5">
        <f ca="1">INDEX(rngParamTypes,$N5,13)</f>
        <v>0</v>
      </c>
      <c r="U5">
        <f ca="1">INDEX(rngParamTypes,$N5,14)</f>
        <v>0</v>
      </c>
      <c r="V5">
        <f ca="1">INDEX(rngParamTypes,$N5,15)</f>
        <v>0</v>
      </c>
      <c r="W5">
        <f ca="1">INDEX(rngParamTypes,$N5,16)</f>
        <v>0</v>
      </c>
      <c r="X5">
        <f ca="1">INDEX(rngParamTypes,$N5,17)</f>
        <v>0</v>
      </c>
      <c r="Y5">
        <f ca="1">INDEX(rngParamTypes,$N5,18)</f>
        <v>0</v>
      </c>
    </row>
    <row r="6" spans="1:25" x14ac:dyDescent="0.2">
      <c r="A6" s="16">
        <v>5</v>
      </c>
      <c r="B6" s="37">
        <v>1</v>
      </c>
      <c r="C6" s="16" t="s">
        <v>597</v>
      </c>
      <c r="D6" s="16" t="s">
        <v>597</v>
      </c>
      <c r="E6" s="16"/>
      <c r="F6" s="16" t="s">
        <v>3223</v>
      </c>
      <c r="G6" s="16" t="s">
        <v>25</v>
      </c>
      <c r="H6" s="16" t="s">
        <v>596</v>
      </c>
      <c r="I6" s="16" t="s">
        <v>26</v>
      </c>
      <c r="J6" s="16">
        <v>0</v>
      </c>
      <c r="K6" s="16">
        <v>1</v>
      </c>
      <c r="L6" s="16">
        <v>0.1589873</v>
      </c>
      <c r="M6" s="16">
        <v>0</v>
      </c>
      <c r="N6">
        <f t="array" aca="1" ref="N6" ca="1">MATCH(TRUE,EXACT(I6,OFFSET(rngParamTypes,0,6,,1)),0)</f>
        <v>8</v>
      </c>
      <c r="O6" t="str">
        <f ca="1">IF((INDEX(rngParamTypes,$N6,7)=I6),"",1)</f>
        <v/>
      </c>
      <c r="P6">
        <f ca="1">INDEX(rngParamTypes,$N6,9)</f>
        <v>0</v>
      </c>
      <c r="Q6">
        <f ca="1">INDEX(rngParamTypes,$N6,10)</f>
        <v>-3</v>
      </c>
      <c r="R6">
        <f ca="1">INDEX(rngParamTypes,$N6,11)</f>
        <v>0</v>
      </c>
      <c r="S6">
        <f ca="1">INDEX(rngParamTypes,$N6,12)</f>
        <v>0</v>
      </c>
      <c r="T6">
        <f ca="1">INDEX(rngParamTypes,$N6,13)</f>
        <v>0</v>
      </c>
      <c r="U6">
        <f ca="1">INDEX(rngParamTypes,$N6,14)</f>
        <v>0</v>
      </c>
      <c r="V6">
        <f ca="1">INDEX(rngParamTypes,$N6,15)</f>
        <v>0</v>
      </c>
      <c r="W6">
        <f ca="1">INDEX(rngParamTypes,$N6,16)</f>
        <v>0</v>
      </c>
      <c r="X6">
        <f ca="1">INDEX(rngParamTypes,$N6,17)</f>
        <v>0</v>
      </c>
      <c r="Y6">
        <f ca="1">INDEX(rngParamTypes,$N6,18)</f>
        <v>0</v>
      </c>
    </row>
    <row r="7" spans="1:25" x14ac:dyDescent="0.2">
      <c r="A7" s="16">
        <v>6</v>
      </c>
      <c r="B7" s="37">
        <v>1</v>
      </c>
      <c r="C7" s="16" t="s">
        <v>599</v>
      </c>
      <c r="D7" s="16" t="s">
        <v>599</v>
      </c>
      <c r="E7" s="16"/>
      <c r="F7" s="16" t="s">
        <v>3224</v>
      </c>
      <c r="G7" s="16" t="s">
        <v>3220</v>
      </c>
      <c r="H7" s="16" t="s">
        <v>598</v>
      </c>
      <c r="I7" s="16" t="s">
        <v>20</v>
      </c>
      <c r="J7" s="16">
        <v>0</v>
      </c>
      <c r="K7" s="16">
        <v>100</v>
      </c>
      <c r="L7" s="16">
        <v>1</v>
      </c>
      <c r="M7" s="16">
        <v>0</v>
      </c>
      <c r="N7">
        <f t="array" aca="1" ref="N7" ca="1">MATCH(TRUE,EXACT(I7,OFFSET(rngParamTypes,0,6,,1)),0)</f>
        <v>5</v>
      </c>
      <c r="O7" t="str">
        <f ca="1">IF((INDEX(rngParamTypes,$N7,7)=I7),"",1)</f>
        <v/>
      </c>
      <c r="P7">
        <f ca="1">INDEX(rngParamTypes,$N7,9)</f>
        <v>0</v>
      </c>
      <c r="Q7">
        <f ca="1">INDEX(rngParamTypes,$N7,10)</f>
        <v>-1</v>
      </c>
      <c r="R7">
        <f ca="1">INDEX(rngParamTypes,$N7,11)</f>
        <v>0</v>
      </c>
      <c r="S7">
        <f ca="1">INDEX(rngParamTypes,$N7,12)</f>
        <v>0</v>
      </c>
      <c r="T7">
        <f ca="1">INDEX(rngParamTypes,$N7,13)</f>
        <v>0</v>
      </c>
      <c r="U7">
        <f ca="1">INDEX(rngParamTypes,$N7,14)</f>
        <v>0</v>
      </c>
      <c r="V7">
        <f ca="1">INDEX(rngParamTypes,$N7,15)</f>
        <v>0</v>
      </c>
      <c r="W7">
        <f ca="1">INDEX(rngParamTypes,$N7,16)</f>
        <v>0</v>
      </c>
      <c r="X7">
        <f ca="1">INDEX(rngParamTypes,$N7,17)</f>
        <v>0</v>
      </c>
      <c r="Y7">
        <f ca="1">INDEX(rngParamTypes,$N7,18)</f>
        <v>0</v>
      </c>
    </row>
    <row r="8" spans="1:25" x14ac:dyDescent="0.2">
      <c r="A8" s="16">
        <v>7</v>
      </c>
      <c r="B8" s="37">
        <v>1</v>
      </c>
      <c r="C8" s="16" t="s">
        <v>601</v>
      </c>
      <c r="D8" s="16" t="s">
        <v>601</v>
      </c>
      <c r="E8" s="16"/>
      <c r="F8" s="16" t="s">
        <v>3225</v>
      </c>
      <c r="G8" s="16" t="s">
        <v>35</v>
      </c>
      <c r="H8" s="16" t="s">
        <v>600</v>
      </c>
      <c r="I8" s="16" t="s">
        <v>38</v>
      </c>
      <c r="J8" s="16">
        <v>0</v>
      </c>
      <c r="K8" s="16">
        <v>1</v>
      </c>
      <c r="L8" s="16">
        <v>86400</v>
      </c>
      <c r="M8" s="16">
        <v>0</v>
      </c>
      <c r="N8">
        <f t="array" aca="1" ref="N8" ca="1">MATCH(TRUE,EXACT(I8,OFFSET(rngParamTypes,0,6,,1)),0)</f>
        <v>12</v>
      </c>
      <c r="O8" t="str">
        <f ca="1">IF((INDEX(rngParamTypes,$N8,7)=I8),"",1)</f>
        <v/>
      </c>
      <c r="P8">
        <f ca="1">INDEX(rngParamTypes,$N8,9)</f>
        <v>0</v>
      </c>
      <c r="Q8">
        <f ca="1">INDEX(rngParamTypes,$N8,10)</f>
        <v>0</v>
      </c>
      <c r="R8">
        <f ca="1">INDEX(rngParamTypes,$N8,11)</f>
        <v>-1</v>
      </c>
      <c r="S8">
        <f ca="1">INDEX(rngParamTypes,$N8,12)</f>
        <v>0</v>
      </c>
      <c r="T8">
        <f ca="1">INDEX(rngParamTypes,$N8,13)</f>
        <v>0</v>
      </c>
      <c r="U8">
        <f ca="1">INDEX(rngParamTypes,$N8,14)</f>
        <v>0</v>
      </c>
      <c r="V8">
        <f ca="1">INDEX(rngParamTypes,$N8,15)</f>
        <v>0</v>
      </c>
      <c r="W8">
        <f ca="1">INDEX(rngParamTypes,$N8,16)</f>
        <v>0</v>
      </c>
      <c r="X8">
        <f ca="1">INDEX(rngParamTypes,$N8,17)</f>
        <v>0</v>
      </c>
      <c r="Y8">
        <f ca="1">INDEX(rngParamTypes,$N8,18)</f>
        <v>0</v>
      </c>
    </row>
    <row r="9" spans="1:25" x14ac:dyDescent="0.2">
      <c r="A9" s="16">
        <v>8</v>
      </c>
      <c r="B9" s="37">
        <v>1</v>
      </c>
      <c r="C9" s="16" t="s">
        <v>603</v>
      </c>
      <c r="D9" s="16" t="s">
        <v>603</v>
      </c>
      <c r="E9" s="16"/>
      <c r="F9" s="16" t="s">
        <v>3226</v>
      </c>
      <c r="G9" s="16" t="s">
        <v>11</v>
      </c>
      <c r="H9" s="16" t="s">
        <v>602</v>
      </c>
      <c r="I9" s="16" t="s">
        <v>13</v>
      </c>
      <c r="J9" s="16">
        <v>0</v>
      </c>
      <c r="K9" s="16">
        <v>1</v>
      </c>
      <c r="L9" s="16">
        <v>1</v>
      </c>
      <c r="M9" s="16">
        <v>0</v>
      </c>
      <c r="N9">
        <f t="array" aca="1" ref="N9" ca="1">MATCH(TRUE,EXACT(I9,OFFSET(rngParamTypes,0,6,,1)),0)</f>
        <v>2</v>
      </c>
      <c r="O9" t="str">
        <f ca="1">IF((INDEX(rngParamTypes,$N9,7)=I9),"",1)</f>
        <v/>
      </c>
      <c r="P9">
        <f ca="1">INDEX(rngParamTypes,$N9,9)</f>
        <v>0</v>
      </c>
      <c r="Q9">
        <f ca="1">INDEX(rngParamTypes,$N9,10)</f>
        <v>0</v>
      </c>
      <c r="R9">
        <f ca="1">INDEX(rngParamTypes,$N9,11)</f>
        <v>0</v>
      </c>
      <c r="S9">
        <f ca="1">INDEX(rngParamTypes,$N9,12)</f>
        <v>0</v>
      </c>
      <c r="T9">
        <f ca="1">INDEX(rngParamTypes,$N9,13)</f>
        <v>-1</v>
      </c>
      <c r="U9">
        <f ca="1">INDEX(rngParamTypes,$N9,14)</f>
        <v>0</v>
      </c>
      <c r="V9">
        <f ca="1">INDEX(rngParamTypes,$N9,15)</f>
        <v>0</v>
      </c>
      <c r="W9">
        <f ca="1">INDEX(rngParamTypes,$N9,16)</f>
        <v>0</v>
      </c>
      <c r="X9">
        <f ca="1">INDEX(rngParamTypes,$N9,17)</f>
        <v>0</v>
      </c>
      <c r="Y9">
        <f ca="1">INDEX(rngParamTypes,$N9,18)</f>
        <v>0</v>
      </c>
    </row>
    <row r="10" spans="1:25" x14ac:dyDescent="0.2">
      <c r="A10" s="16">
        <v>9</v>
      </c>
      <c r="B10" s="37">
        <v>1</v>
      </c>
      <c r="C10" s="16" t="s">
        <v>605</v>
      </c>
      <c r="D10" s="16" t="s">
        <v>605</v>
      </c>
      <c r="E10" s="16"/>
      <c r="F10" s="16" t="s">
        <v>3227</v>
      </c>
      <c r="G10" s="16" t="s">
        <v>11</v>
      </c>
      <c r="H10" s="16" t="s">
        <v>604</v>
      </c>
      <c r="I10" s="16" t="s">
        <v>13</v>
      </c>
      <c r="J10" s="16">
        <v>0</v>
      </c>
      <c r="K10" s="16">
        <v>9</v>
      </c>
      <c r="L10" s="16">
        <v>5</v>
      </c>
      <c r="M10" s="16">
        <v>0</v>
      </c>
      <c r="N10">
        <f t="array" aca="1" ref="N10" ca="1">MATCH(TRUE,EXACT(I10,OFFSET(rngParamTypes,0,6,,1)),0)</f>
        <v>2</v>
      </c>
      <c r="O10" t="str">
        <f ca="1">IF((INDEX(rngParamTypes,$N10,7)=I10),"",1)</f>
        <v/>
      </c>
      <c r="P10">
        <f ca="1">INDEX(rngParamTypes,$N10,9)</f>
        <v>0</v>
      </c>
      <c r="Q10">
        <f ca="1">INDEX(rngParamTypes,$N10,10)</f>
        <v>0</v>
      </c>
      <c r="R10">
        <f ca="1">INDEX(rngParamTypes,$N10,11)</f>
        <v>0</v>
      </c>
      <c r="S10">
        <f ca="1">INDEX(rngParamTypes,$N10,12)</f>
        <v>0</v>
      </c>
      <c r="T10">
        <f ca="1">INDEX(rngParamTypes,$N10,13)</f>
        <v>-1</v>
      </c>
      <c r="U10">
        <f ca="1">INDEX(rngParamTypes,$N10,14)</f>
        <v>0</v>
      </c>
      <c r="V10">
        <f ca="1">INDEX(rngParamTypes,$N10,15)</f>
        <v>0</v>
      </c>
      <c r="W10">
        <f ca="1">INDEX(rngParamTypes,$N10,16)</f>
        <v>0</v>
      </c>
      <c r="X10">
        <f ca="1">INDEX(rngParamTypes,$N10,17)</f>
        <v>0</v>
      </c>
      <c r="Y10">
        <f ca="1">INDEX(rngParamTypes,$N10,18)</f>
        <v>0</v>
      </c>
    </row>
    <row r="11" spans="1:25" x14ac:dyDescent="0.2">
      <c r="A11" s="16">
        <v>10</v>
      </c>
      <c r="B11" s="37">
        <v>1</v>
      </c>
      <c r="C11" s="16" t="s">
        <v>607</v>
      </c>
      <c r="D11" s="16" t="s">
        <v>607</v>
      </c>
      <c r="E11" s="16"/>
      <c r="F11" s="16" t="s">
        <v>3228</v>
      </c>
      <c r="G11" s="16" t="s">
        <v>11</v>
      </c>
      <c r="H11" s="16" t="s">
        <v>606</v>
      </c>
      <c r="I11" s="16" t="s">
        <v>13</v>
      </c>
      <c r="J11" s="16">
        <v>0</v>
      </c>
      <c r="K11" s="16">
        <v>9</v>
      </c>
      <c r="L11" s="16">
        <v>5</v>
      </c>
      <c r="M11" s="16">
        <v>0</v>
      </c>
      <c r="N11">
        <f t="array" aca="1" ref="N11" ca="1">MATCH(TRUE,EXACT(I11,OFFSET(rngParamTypes,0,6,,1)),0)</f>
        <v>2</v>
      </c>
      <c r="O11" t="str">
        <f ca="1">IF((INDEX(rngParamTypes,$N11,7)=I11),"",1)</f>
        <v/>
      </c>
      <c r="P11">
        <f ca="1">INDEX(rngParamTypes,$N11,9)</f>
        <v>0</v>
      </c>
      <c r="Q11">
        <f ca="1">INDEX(rngParamTypes,$N11,10)</f>
        <v>0</v>
      </c>
      <c r="R11">
        <f ca="1">INDEX(rngParamTypes,$N11,11)</f>
        <v>0</v>
      </c>
      <c r="S11">
        <f ca="1">INDEX(rngParamTypes,$N11,12)</f>
        <v>0</v>
      </c>
      <c r="T11">
        <f ca="1">INDEX(rngParamTypes,$N11,13)</f>
        <v>-1</v>
      </c>
      <c r="U11">
        <f ca="1">INDEX(rngParamTypes,$N11,14)</f>
        <v>0</v>
      </c>
      <c r="V11">
        <f ca="1">INDEX(rngParamTypes,$N11,15)</f>
        <v>0</v>
      </c>
      <c r="W11">
        <f ca="1">INDEX(rngParamTypes,$N11,16)</f>
        <v>0</v>
      </c>
      <c r="X11">
        <f ca="1">INDEX(rngParamTypes,$N11,17)</f>
        <v>0</v>
      </c>
      <c r="Y11">
        <f ca="1">INDEX(rngParamTypes,$N11,18)</f>
        <v>0</v>
      </c>
    </row>
    <row r="12" spans="1:25" x14ac:dyDescent="0.2">
      <c r="A12" s="16">
        <v>11</v>
      </c>
      <c r="B12" s="37">
        <v>1</v>
      </c>
      <c r="C12" s="16" t="s">
        <v>609</v>
      </c>
      <c r="D12" s="16" t="s">
        <v>609</v>
      </c>
      <c r="E12" s="16"/>
      <c r="F12" s="16" t="s">
        <v>3229</v>
      </c>
      <c r="G12" s="16" t="s">
        <v>18</v>
      </c>
      <c r="H12" s="16" t="s">
        <v>608</v>
      </c>
      <c r="I12" s="16" t="s">
        <v>20</v>
      </c>
      <c r="J12" s="16">
        <v>0</v>
      </c>
      <c r="K12" s="16">
        <v>1</v>
      </c>
      <c r="L12" s="16">
        <v>0.30480000000000002</v>
      </c>
      <c r="M12" s="16">
        <v>0</v>
      </c>
      <c r="N12">
        <f t="array" aca="1" ref="N12" ca="1">MATCH(TRUE,EXACT(I12,OFFSET(rngParamTypes,0,6,,1)),0)</f>
        <v>5</v>
      </c>
      <c r="O12" t="str">
        <f ca="1">IF((INDEX(rngParamTypes,$N12,7)=I12),"",1)</f>
        <v/>
      </c>
      <c r="P12">
        <f ca="1">INDEX(rngParamTypes,$N12,9)</f>
        <v>0</v>
      </c>
      <c r="Q12">
        <f ca="1">INDEX(rngParamTypes,$N12,10)</f>
        <v>-1</v>
      </c>
      <c r="R12">
        <f ca="1">INDEX(rngParamTypes,$N12,11)</f>
        <v>0</v>
      </c>
      <c r="S12">
        <f ca="1">INDEX(rngParamTypes,$N12,12)</f>
        <v>0</v>
      </c>
      <c r="T12">
        <f ca="1">INDEX(rngParamTypes,$N12,13)</f>
        <v>0</v>
      </c>
      <c r="U12">
        <f ca="1">INDEX(rngParamTypes,$N12,14)</f>
        <v>0</v>
      </c>
      <c r="V12">
        <f ca="1">INDEX(rngParamTypes,$N12,15)</f>
        <v>0</v>
      </c>
      <c r="W12">
        <f ca="1">INDEX(rngParamTypes,$N12,16)</f>
        <v>0</v>
      </c>
      <c r="X12">
        <f ca="1">INDEX(rngParamTypes,$N12,17)</f>
        <v>0</v>
      </c>
      <c r="Y12">
        <f ca="1">INDEX(rngParamTypes,$N12,18)</f>
        <v>0</v>
      </c>
    </row>
    <row r="13" spans="1:25" x14ac:dyDescent="0.2">
      <c r="A13" s="16">
        <v>12</v>
      </c>
      <c r="B13" s="37">
        <v>1</v>
      </c>
      <c r="C13" s="16" t="s">
        <v>611</v>
      </c>
      <c r="D13" s="16" t="s">
        <v>611</v>
      </c>
      <c r="E13" s="16"/>
      <c r="F13" s="16" t="s">
        <v>3230</v>
      </c>
      <c r="G13" s="16" t="s">
        <v>22</v>
      </c>
      <c r="H13" s="16" t="s">
        <v>610</v>
      </c>
      <c r="I13" s="16" t="s">
        <v>23</v>
      </c>
      <c r="J13" s="16">
        <v>0</v>
      </c>
      <c r="K13" s="16">
        <v>1</v>
      </c>
      <c r="L13" s="16">
        <v>9.2903040000000006E-2</v>
      </c>
      <c r="M13" s="16">
        <v>0</v>
      </c>
      <c r="N13">
        <f t="array" aca="1" ref="N13" ca="1">MATCH(TRUE,EXACT(I13,OFFSET(rngParamTypes,0,6,,1)),0)</f>
        <v>7</v>
      </c>
      <c r="O13" t="str">
        <f ca="1">IF((INDEX(rngParamTypes,$N13,7)=I13),"",1)</f>
        <v/>
      </c>
      <c r="P13">
        <f ca="1">INDEX(rngParamTypes,$N13,9)</f>
        <v>0</v>
      </c>
      <c r="Q13">
        <f ca="1">INDEX(rngParamTypes,$N13,10)</f>
        <v>-2</v>
      </c>
      <c r="R13">
        <f ca="1">INDEX(rngParamTypes,$N13,11)</f>
        <v>0</v>
      </c>
      <c r="S13">
        <f ca="1">INDEX(rngParamTypes,$N13,12)</f>
        <v>0</v>
      </c>
      <c r="T13">
        <f ca="1">INDEX(rngParamTypes,$N13,13)</f>
        <v>0</v>
      </c>
      <c r="U13">
        <f ca="1">INDEX(rngParamTypes,$N13,14)</f>
        <v>0</v>
      </c>
      <c r="V13">
        <f ca="1">INDEX(rngParamTypes,$N13,15)</f>
        <v>0</v>
      </c>
      <c r="W13">
        <f ca="1">INDEX(rngParamTypes,$N13,16)</f>
        <v>0</v>
      </c>
      <c r="X13">
        <f ca="1">INDEX(rngParamTypes,$N13,17)</f>
        <v>0</v>
      </c>
      <c r="Y13">
        <f ca="1">INDEX(rngParamTypes,$N13,18)</f>
        <v>0</v>
      </c>
    </row>
    <row r="14" spans="1:25" x14ac:dyDescent="0.2">
      <c r="A14" s="16">
        <v>13</v>
      </c>
      <c r="B14" s="37">
        <v>1</v>
      </c>
      <c r="C14" s="16" t="s">
        <v>613</v>
      </c>
      <c r="D14" s="16" t="s">
        <v>613</v>
      </c>
      <c r="E14" s="16"/>
      <c r="F14" s="16" t="s">
        <v>3231</v>
      </c>
      <c r="G14" s="16" t="s">
        <v>25</v>
      </c>
      <c r="H14" s="16" t="s">
        <v>612</v>
      </c>
      <c r="I14" s="16" t="s">
        <v>26</v>
      </c>
      <c r="J14" s="16">
        <v>0</v>
      </c>
      <c r="K14" s="16">
        <v>1</v>
      </c>
      <c r="L14" s="16">
        <v>2.8316850000000001E-2</v>
      </c>
      <c r="M14" s="16">
        <v>0</v>
      </c>
      <c r="N14">
        <f t="array" aca="1" ref="N14" ca="1">MATCH(TRUE,EXACT(I14,OFFSET(rngParamTypes,0,6,,1)),0)</f>
        <v>8</v>
      </c>
      <c r="O14" t="str">
        <f ca="1">IF((INDEX(rngParamTypes,$N14,7)=I14),"",1)</f>
        <v/>
      </c>
      <c r="P14">
        <f ca="1">INDEX(rngParamTypes,$N14,9)</f>
        <v>0</v>
      </c>
      <c r="Q14">
        <f ca="1">INDEX(rngParamTypes,$N14,10)</f>
        <v>-3</v>
      </c>
      <c r="R14">
        <f ca="1">INDEX(rngParamTypes,$N14,11)</f>
        <v>0</v>
      </c>
      <c r="S14">
        <f ca="1">INDEX(rngParamTypes,$N14,12)</f>
        <v>0</v>
      </c>
      <c r="T14">
        <f ca="1">INDEX(rngParamTypes,$N14,13)</f>
        <v>0</v>
      </c>
      <c r="U14">
        <f ca="1">INDEX(rngParamTypes,$N14,14)</f>
        <v>0</v>
      </c>
      <c r="V14">
        <f ca="1">INDEX(rngParamTypes,$N14,15)</f>
        <v>0</v>
      </c>
      <c r="W14">
        <f ca="1">INDEX(rngParamTypes,$N14,16)</f>
        <v>0</v>
      </c>
      <c r="X14">
        <f ca="1">INDEX(rngParamTypes,$N14,17)</f>
        <v>0</v>
      </c>
      <c r="Y14">
        <f ca="1">INDEX(rngParamTypes,$N14,18)</f>
        <v>0</v>
      </c>
    </row>
    <row r="15" spans="1:25" x14ac:dyDescent="0.2">
      <c r="A15" s="16">
        <v>14</v>
      </c>
      <c r="B15" s="37">
        <v>1</v>
      </c>
      <c r="C15" s="16" t="s">
        <v>615</v>
      </c>
      <c r="D15" s="16" t="s">
        <v>615</v>
      </c>
      <c r="E15" s="16"/>
      <c r="F15" s="16" t="s">
        <v>3232</v>
      </c>
      <c r="G15" s="16" t="s">
        <v>15</v>
      </c>
      <c r="H15" s="16" t="s">
        <v>614</v>
      </c>
      <c r="I15" s="16" t="s">
        <v>16</v>
      </c>
      <c r="J15" s="16">
        <v>0</v>
      </c>
      <c r="K15" s="16">
        <v>1000</v>
      </c>
      <c r="L15" s="16">
        <v>1</v>
      </c>
      <c r="M15" s="16">
        <v>0</v>
      </c>
      <c r="N15">
        <f t="array" aca="1" ref="N15" ca="1">MATCH(TRUE,EXACT(I15,OFFSET(rngParamTypes,0,6,,1)),0)</f>
        <v>4</v>
      </c>
      <c r="O15" t="str">
        <f ca="1">IF((INDEX(rngParamTypes,$N15,7)=I15),"",1)</f>
        <v/>
      </c>
      <c r="P15">
        <f ca="1">INDEX(rngParamTypes,$N15,9)</f>
        <v>-1</v>
      </c>
      <c r="Q15">
        <f ca="1">INDEX(rngParamTypes,$N15,10)</f>
        <v>0</v>
      </c>
      <c r="R15">
        <f ca="1">INDEX(rngParamTypes,$N15,11)</f>
        <v>0</v>
      </c>
      <c r="S15">
        <f ca="1">INDEX(rngParamTypes,$N15,12)</f>
        <v>0</v>
      </c>
      <c r="T15">
        <f ca="1">INDEX(rngParamTypes,$N15,13)</f>
        <v>0</v>
      </c>
      <c r="U15">
        <f ca="1">INDEX(rngParamTypes,$N15,14)</f>
        <v>0</v>
      </c>
      <c r="V15">
        <f ca="1">INDEX(rngParamTypes,$N15,15)</f>
        <v>0</v>
      </c>
      <c r="W15">
        <f ca="1">INDEX(rngParamTypes,$N15,16)</f>
        <v>0</v>
      </c>
      <c r="X15">
        <f ca="1">INDEX(rngParamTypes,$N15,17)</f>
        <v>0</v>
      </c>
      <c r="Y15">
        <f ca="1">INDEX(rngParamTypes,$N15,18)</f>
        <v>0</v>
      </c>
    </row>
    <row r="16" spans="1:25" x14ac:dyDescent="0.2">
      <c r="A16" s="16">
        <v>15</v>
      </c>
      <c r="B16" s="37">
        <v>1</v>
      </c>
      <c r="C16" s="16" t="s">
        <v>617</v>
      </c>
      <c r="D16" s="16" t="s">
        <v>617</v>
      </c>
      <c r="E16" s="16"/>
      <c r="F16" s="16" t="s">
        <v>3233</v>
      </c>
      <c r="G16" s="16" t="s">
        <v>25</v>
      </c>
      <c r="H16" s="16" t="s">
        <v>616</v>
      </c>
      <c r="I16" s="16" t="s">
        <v>26</v>
      </c>
      <c r="J16" s="16">
        <v>0</v>
      </c>
      <c r="K16" s="16">
        <v>1</v>
      </c>
      <c r="L16" s="16">
        <v>4.5609200000000004E-3</v>
      </c>
      <c r="M16" s="16">
        <v>0</v>
      </c>
      <c r="N16">
        <f t="array" aca="1" ref="N16" ca="1">MATCH(TRUE,EXACT(I16,OFFSET(rngParamTypes,0,6,,1)),0)</f>
        <v>8</v>
      </c>
      <c r="O16" t="str">
        <f ca="1">IF((INDEX(rngParamTypes,$N16,7)=I16),"",1)</f>
        <v/>
      </c>
      <c r="P16">
        <f ca="1">INDEX(rngParamTypes,$N16,9)</f>
        <v>0</v>
      </c>
      <c r="Q16">
        <f ca="1">INDEX(rngParamTypes,$N16,10)</f>
        <v>-3</v>
      </c>
      <c r="R16">
        <f ca="1">INDEX(rngParamTypes,$N16,11)</f>
        <v>0</v>
      </c>
      <c r="S16">
        <f ca="1">INDEX(rngParamTypes,$N16,12)</f>
        <v>0</v>
      </c>
      <c r="T16">
        <f ca="1">INDEX(rngParamTypes,$N16,13)</f>
        <v>0</v>
      </c>
      <c r="U16">
        <f ca="1">INDEX(rngParamTypes,$N16,14)</f>
        <v>0</v>
      </c>
      <c r="V16">
        <f ca="1">INDEX(rngParamTypes,$N16,15)</f>
        <v>0</v>
      </c>
      <c r="W16">
        <f ca="1">INDEX(rngParamTypes,$N16,16)</f>
        <v>0</v>
      </c>
      <c r="X16">
        <f ca="1">INDEX(rngParamTypes,$N16,17)</f>
        <v>0</v>
      </c>
      <c r="Y16">
        <f ca="1">INDEX(rngParamTypes,$N16,18)</f>
        <v>0</v>
      </c>
    </row>
    <row r="17" spans="1:25" x14ac:dyDescent="0.2">
      <c r="A17" s="16">
        <v>16</v>
      </c>
      <c r="B17" s="37">
        <v>1</v>
      </c>
      <c r="C17" s="16" t="s">
        <v>619</v>
      </c>
      <c r="D17" s="16" t="s">
        <v>619</v>
      </c>
      <c r="E17" s="16"/>
      <c r="F17" s="16" t="s">
        <v>3234</v>
      </c>
      <c r="G17" s="16" t="s">
        <v>25</v>
      </c>
      <c r="H17" s="16" t="s">
        <v>618</v>
      </c>
      <c r="I17" s="16" t="s">
        <v>26</v>
      </c>
      <c r="J17" s="16">
        <v>0</v>
      </c>
      <c r="K17" s="16">
        <v>1</v>
      </c>
      <c r="L17" s="16">
        <v>3.7854120000000002E-3</v>
      </c>
      <c r="M17" s="16">
        <v>0</v>
      </c>
      <c r="N17">
        <f t="array" aca="1" ref="N17" ca="1">MATCH(TRUE,EXACT(I17,OFFSET(rngParamTypes,0,6,,1)),0)</f>
        <v>8</v>
      </c>
      <c r="O17" t="str">
        <f ca="1">IF((INDEX(rngParamTypes,$N17,7)=I17),"",1)</f>
        <v/>
      </c>
      <c r="P17">
        <f ca="1">INDEX(rngParamTypes,$N17,9)</f>
        <v>0</v>
      </c>
      <c r="Q17">
        <f ca="1">INDEX(rngParamTypes,$N17,10)</f>
        <v>-3</v>
      </c>
      <c r="R17">
        <f ca="1">INDEX(rngParamTypes,$N17,11)</f>
        <v>0</v>
      </c>
      <c r="S17">
        <f ca="1">INDEX(rngParamTypes,$N17,12)</f>
        <v>0</v>
      </c>
      <c r="T17">
        <f ca="1">INDEX(rngParamTypes,$N17,13)</f>
        <v>0</v>
      </c>
      <c r="U17">
        <f ca="1">INDEX(rngParamTypes,$N17,14)</f>
        <v>0</v>
      </c>
      <c r="V17">
        <f ca="1">INDEX(rngParamTypes,$N17,15)</f>
        <v>0</v>
      </c>
      <c r="W17">
        <f ca="1">INDEX(rngParamTypes,$N17,16)</f>
        <v>0</v>
      </c>
      <c r="X17">
        <f ca="1">INDEX(rngParamTypes,$N17,17)</f>
        <v>0</v>
      </c>
      <c r="Y17">
        <f ca="1">INDEX(rngParamTypes,$N17,18)</f>
        <v>0</v>
      </c>
    </row>
    <row r="18" spans="1:25" x14ac:dyDescent="0.2">
      <c r="A18" s="16">
        <v>17</v>
      </c>
      <c r="B18" s="37">
        <v>1</v>
      </c>
      <c r="C18" s="16" t="s">
        <v>621</v>
      </c>
      <c r="D18" s="16" t="s">
        <v>621</v>
      </c>
      <c r="E18" s="16"/>
      <c r="F18" s="16" t="s">
        <v>3235</v>
      </c>
      <c r="G18" s="16" t="s">
        <v>35</v>
      </c>
      <c r="H18" s="16" t="s">
        <v>620</v>
      </c>
      <c r="I18" s="16" t="s">
        <v>38</v>
      </c>
      <c r="J18" s="16">
        <v>0</v>
      </c>
      <c r="K18" s="16">
        <v>1</v>
      </c>
      <c r="L18" s="16">
        <v>3600</v>
      </c>
      <c r="M18" s="16">
        <v>0</v>
      </c>
      <c r="N18">
        <f t="array" aca="1" ref="N18" ca="1">MATCH(TRUE,EXACT(I18,OFFSET(rngParamTypes,0,6,,1)),0)</f>
        <v>12</v>
      </c>
      <c r="O18" t="str">
        <f ca="1">IF((INDEX(rngParamTypes,$N18,7)=I18),"",1)</f>
        <v/>
      </c>
      <c r="P18">
        <f ca="1">INDEX(rngParamTypes,$N18,9)</f>
        <v>0</v>
      </c>
      <c r="Q18">
        <f ca="1">INDEX(rngParamTypes,$N18,10)</f>
        <v>0</v>
      </c>
      <c r="R18">
        <f ca="1">INDEX(rngParamTypes,$N18,11)</f>
        <v>-1</v>
      </c>
      <c r="S18">
        <f ca="1">INDEX(rngParamTypes,$N18,12)</f>
        <v>0</v>
      </c>
      <c r="T18">
        <f ca="1">INDEX(rngParamTypes,$N18,13)</f>
        <v>0</v>
      </c>
      <c r="U18">
        <f ca="1">INDEX(rngParamTypes,$N18,14)</f>
        <v>0</v>
      </c>
      <c r="V18">
        <f ca="1">INDEX(rngParamTypes,$N18,15)</f>
        <v>0</v>
      </c>
      <c r="W18">
        <f ca="1">INDEX(rngParamTypes,$N18,16)</f>
        <v>0</v>
      </c>
      <c r="X18">
        <f ca="1">INDEX(rngParamTypes,$N18,17)</f>
        <v>0</v>
      </c>
      <c r="Y18">
        <f ca="1">INDEX(rngParamTypes,$N18,18)</f>
        <v>0</v>
      </c>
    </row>
    <row r="19" spans="1:25" x14ac:dyDescent="0.2">
      <c r="A19" s="16">
        <v>18</v>
      </c>
      <c r="B19" s="37">
        <v>1</v>
      </c>
      <c r="C19" s="16" t="s">
        <v>623</v>
      </c>
      <c r="D19" s="16" t="s">
        <v>623</v>
      </c>
      <c r="E19" s="16"/>
      <c r="F19" s="16" t="s">
        <v>3236</v>
      </c>
      <c r="G19" s="16" t="s">
        <v>18</v>
      </c>
      <c r="H19" s="16" t="s">
        <v>622</v>
      </c>
      <c r="I19" s="16" t="s">
        <v>20</v>
      </c>
      <c r="J19" s="16">
        <v>0</v>
      </c>
      <c r="K19" s="16">
        <v>1</v>
      </c>
      <c r="L19" s="16">
        <v>2.5399999999999999E-2</v>
      </c>
      <c r="M19" s="16">
        <v>0</v>
      </c>
      <c r="N19">
        <f t="array" aca="1" ref="N19" ca="1">MATCH(TRUE,EXACT(I19,OFFSET(rngParamTypes,0,6,,1)),0)</f>
        <v>5</v>
      </c>
      <c r="O19" t="str">
        <f ca="1">IF((INDEX(rngParamTypes,$N19,7)=I19),"",1)</f>
        <v/>
      </c>
      <c r="P19">
        <f ca="1">INDEX(rngParamTypes,$N19,9)</f>
        <v>0</v>
      </c>
      <c r="Q19">
        <f ca="1">INDEX(rngParamTypes,$N19,10)</f>
        <v>-1</v>
      </c>
      <c r="R19">
        <f ca="1">INDEX(rngParamTypes,$N19,11)</f>
        <v>0</v>
      </c>
      <c r="S19">
        <f ca="1">INDEX(rngParamTypes,$N19,12)</f>
        <v>0</v>
      </c>
      <c r="T19">
        <f ca="1">INDEX(rngParamTypes,$N19,13)</f>
        <v>0</v>
      </c>
      <c r="U19">
        <f ca="1">INDEX(rngParamTypes,$N19,14)</f>
        <v>0</v>
      </c>
      <c r="V19">
        <f ca="1">INDEX(rngParamTypes,$N19,15)</f>
        <v>0</v>
      </c>
      <c r="W19">
        <f ca="1">INDEX(rngParamTypes,$N19,16)</f>
        <v>0</v>
      </c>
      <c r="X19">
        <f ca="1">INDEX(rngParamTypes,$N19,17)</f>
        <v>0</v>
      </c>
      <c r="Y19">
        <f ca="1">INDEX(rngParamTypes,$N19,18)</f>
        <v>0</v>
      </c>
    </row>
    <row r="20" spans="1:25" x14ac:dyDescent="0.2">
      <c r="A20" s="16">
        <v>19</v>
      </c>
      <c r="B20" s="37">
        <v>1</v>
      </c>
      <c r="C20" s="16" t="s">
        <v>625</v>
      </c>
      <c r="D20" s="16" t="s">
        <v>625</v>
      </c>
      <c r="E20" s="16"/>
      <c r="F20" s="16" t="s">
        <v>3237</v>
      </c>
      <c r="G20" s="16" t="s">
        <v>22</v>
      </c>
      <c r="H20" s="16" t="s">
        <v>624</v>
      </c>
      <c r="I20" s="16" t="s">
        <v>23</v>
      </c>
      <c r="J20" s="16">
        <v>0</v>
      </c>
      <c r="K20" s="16">
        <v>1</v>
      </c>
      <c r="L20" s="16">
        <v>1000000</v>
      </c>
      <c r="M20" s="16">
        <v>0</v>
      </c>
      <c r="N20">
        <f t="array" aca="1" ref="N20" ca="1">MATCH(TRUE,EXACT(I20,OFFSET(rngParamTypes,0,6,,1)),0)</f>
        <v>7</v>
      </c>
      <c r="O20" t="str">
        <f ca="1">IF((INDEX(rngParamTypes,$N20,7)=I20),"",1)</f>
        <v/>
      </c>
      <c r="P20">
        <f ca="1">INDEX(rngParamTypes,$N20,9)</f>
        <v>0</v>
      </c>
      <c r="Q20">
        <f ca="1">INDEX(rngParamTypes,$N20,10)</f>
        <v>-2</v>
      </c>
      <c r="R20">
        <f ca="1">INDEX(rngParamTypes,$N20,11)</f>
        <v>0</v>
      </c>
      <c r="S20">
        <f ca="1">INDEX(rngParamTypes,$N20,12)</f>
        <v>0</v>
      </c>
      <c r="T20">
        <f ca="1">INDEX(rngParamTypes,$N20,13)</f>
        <v>0</v>
      </c>
      <c r="U20">
        <f ca="1">INDEX(rngParamTypes,$N20,14)</f>
        <v>0</v>
      </c>
      <c r="V20">
        <f ca="1">INDEX(rngParamTypes,$N20,15)</f>
        <v>0</v>
      </c>
      <c r="W20">
        <f ca="1">INDEX(rngParamTypes,$N20,16)</f>
        <v>0</v>
      </c>
      <c r="X20">
        <f ca="1">INDEX(rngParamTypes,$N20,17)</f>
        <v>0</v>
      </c>
      <c r="Y20">
        <f ca="1">INDEX(rngParamTypes,$N20,18)</f>
        <v>0</v>
      </c>
    </row>
    <row r="21" spans="1:25" x14ac:dyDescent="0.2">
      <c r="A21" s="16">
        <v>20</v>
      </c>
      <c r="B21" s="37">
        <v>1</v>
      </c>
      <c r="C21" s="16" t="s">
        <v>627</v>
      </c>
      <c r="D21" s="16" t="s">
        <v>627</v>
      </c>
      <c r="E21" s="16"/>
      <c r="F21" s="16" t="s">
        <v>3238</v>
      </c>
      <c r="G21" s="16" t="s">
        <v>3222</v>
      </c>
      <c r="H21" s="16" t="s">
        <v>626</v>
      </c>
      <c r="I21" s="16" t="s">
        <v>33</v>
      </c>
      <c r="J21" s="16">
        <v>0</v>
      </c>
      <c r="K21" s="16">
        <v>1E-3</v>
      </c>
      <c r="L21" s="16">
        <v>1</v>
      </c>
      <c r="M21" s="16">
        <v>0</v>
      </c>
      <c r="N21">
        <f t="array" aca="1" ref="N21" ca="1">MATCH(TRUE,EXACT(I21,OFFSET(rngParamTypes,0,6,,1)),0)</f>
        <v>10</v>
      </c>
      <c r="O21" t="str">
        <f ca="1">IF((INDEX(rngParamTypes,$N21,7)=I21),"",1)</f>
        <v/>
      </c>
      <c r="P21">
        <f ca="1">INDEX(rngParamTypes,$N21,9)</f>
        <v>-1</v>
      </c>
      <c r="Q21">
        <f ca="1">INDEX(rngParamTypes,$N21,10)</f>
        <v>1</v>
      </c>
      <c r="R21">
        <f ca="1">INDEX(rngParamTypes,$N21,11)</f>
        <v>2</v>
      </c>
      <c r="S21">
        <f ca="1">INDEX(rngParamTypes,$N21,12)</f>
        <v>0</v>
      </c>
      <c r="T21">
        <f ca="1">INDEX(rngParamTypes,$N21,13)</f>
        <v>0</v>
      </c>
      <c r="U21">
        <f ca="1">INDEX(rngParamTypes,$N21,14)</f>
        <v>0</v>
      </c>
      <c r="V21">
        <f ca="1">INDEX(rngParamTypes,$N21,15)</f>
        <v>0</v>
      </c>
      <c r="W21">
        <f ca="1">INDEX(rngParamTypes,$N21,16)</f>
        <v>0</v>
      </c>
      <c r="X21">
        <f ca="1">INDEX(rngParamTypes,$N21,17)</f>
        <v>0</v>
      </c>
      <c r="Y21">
        <f ca="1">INDEX(rngParamTypes,$N21,18)</f>
        <v>0</v>
      </c>
    </row>
    <row r="22" spans="1:25" x14ac:dyDescent="0.2">
      <c r="A22" s="16">
        <v>21</v>
      </c>
      <c r="B22" s="37">
        <v>1</v>
      </c>
      <c r="C22" s="16" t="s">
        <v>629</v>
      </c>
      <c r="D22" s="16" t="s">
        <v>629</v>
      </c>
      <c r="E22" s="16"/>
      <c r="F22" s="16" t="s">
        <v>3239</v>
      </c>
      <c r="G22" s="16" t="s">
        <v>25</v>
      </c>
      <c r="H22" s="16" t="s">
        <v>628</v>
      </c>
      <c r="I22" s="16" t="s">
        <v>26</v>
      </c>
      <c r="J22" s="16">
        <v>0</v>
      </c>
      <c r="K22" s="16">
        <v>1000</v>
      </c>
      <c r="L22" s="16">
        <v>1</v>
      </c>
      <c r="M22" s="16">
        <v>0</v>
      </c>
      <c r="N22">
        <f t="array" aca="1" ref="N22" ca="1">MATCH(TRUE,EXACT(I22,OFFSET(rngParamTypes,0,6,,1)),0)</f>
        <v>8</v>
      </c>
      <c r="O22" t="str">
        <f ca="1">IF((INDEX(rngParamTypes,$N22,7)=I22),"",1)</f>
        <v/>
      </c>
      <c r="P22">
        <f ca="1">INDEX(rngParamTypes,$N22,9)</f>
        <v>0</v>
      </c>
      <c r="Q22">
        <f ca="1">INDEX(rngParamTypes,$N22,10)</f>
        <v>-3</v>
      </c>
      <c r="R22">
        <f ca="1">INDEX(rngParamTypes,$N22,11)</f>
        <v>0</v>
      </c>
      <c r="S22">
        <f ca="1">INDEX(rngParamTypes,$N22,12)</f>
        <v>0</v>
      </c>
      <c r="T22">
        <f ca="1">INDEX(rngParamTypes,$N22,13)</f>
        <v>0</v>
      </c>
      <c r="U22">
        <f ca="1">INDEX(rngParamTypes,$N22,14)</f>
        <v>0</v>
      </c>
      <c r="V22">
        <f ca="1">INDEX(rngParamTypes,$N22,15)</f>
        <v>0</v>
      </c>
      <c r="W22">
        <f ca="1">INDEX(rngParamTypes,$N22,16)</f>
        <v>0</v>
      </c>
      <c r="X22">
        <f ca="1">INDEX(rngParamTypes,$N22,17)</f>
        <v>0</v>
      </c>
      <c r="Y22">
        <f ca="1">INDEX(rngParamTypes,$N22,18)</f>
        <v>0</v>
      </c>
    </row>
    <row r="23" spans="1:25" x14ac:dyDescent="0.2">
      <c r="A23" s="16">
        <v>22</v>
      </c>
      <c r="B23" s="37">
        <v>1</v>
      </c>
      <c r="C23" s="16" t="s">
        <v>631</v>
      </c>
      <c r="D23" s="16" t="s">
        <v>631</v>
      </c>
      <c r="E23" s="16"/>
      <c r="F23" s="16" t="s">
        <v>3240</v>
      </c>
      <c r="G23" s="16" t="s">
        <v>28</v>
      </c>
      <c r="H23" s="16" t="s">
        <v>630</v>
      </c>
      <c r="I23" s="16" t="s">
        <v>29</v>
      </c>
      <c r="J23" s="16">
        <v>0</v>
      </c>
      <c r="K23" s="16">
        <v>1</v>
      </c>
      <c r="L23" s="16">
        <v>4.4482220000000003</v>
      </c>
      <c r="M23" s="16">
        <v>0</v>
      </c>
      <c r="N23">
        <f t="array" aca="1" ref="N23" ca="1">MATCH(TRUE,EXACT(I23,OFFSET(rngParamTypes,0,6,,1)),0)</f>
        <v>9</v>
      </c>
      <c r="O23" t="str">
        <f ca="1">IF((INDEX(rngParamTypes,$N23,7)=I23),"",1)</f>
        <v/>
      </c>
      <c r="P23">
        <f ca="1">INDEX(rngParamTypes,$N23,9)</f>
        <v>-1</v>
      </c>
      <c r="Q23">
        <f ca="1">INDEX(rngParamTypes,$N23,10)</f>
        <v>-1</v>
      </c>
      <c r="R23">
        <f ca="1">INDEX(rngParamTypes,$N23,11)</f>
        <v>2</v>
      </c>
      <c r="S23">
        <f ca="1">INDEX(rngParamTypes,$N23,12)</f>
        <v>0</v>
      </c>
      <c r="T23">
        <f ca="1">INDEX(rngParamTypes,$N23,13)</f>
        <v>0</v>
      </c>
      <c r="U23">
        <f ca="1">INDEX(rngParamTypes,$N23,14)</f>
        <v>0</v>
      </c>
      <c r="V23">
        <f ca="1">INDEX(rngParamTypes,$N23,15)</f>
        <v>0</v>
      </c>
      <c r="W23">
        <f ca="1">INDEX(rngParamTypes,$N23,16)</f>
        <v>0</v>
      </c>
      <c r="X23">
        <f ca="1">INDEX(rngParamTypes,$N23,17)</f>
        <v>0</v>
      </c>
      <c r="Y23">
        <f ca="1">INDEX(rngParamTypes,$N23,18)</f>
        <v>0</v>
      </c>
    </row>
    <row r="24" spans="1:25" x14ac:dyDescent="0.2">
      <c r="A24" s="16">
        <v>23</v>
      </c>
      <c r="B24" s="37">
        <v>1</v>
      </c>
      <c r="C24" s="16" t="s">
        <v>633</v>
      </c>
      <c r="D24" s="16" t="s">
        <v>633</v>
      </c>
      <c r="E24" s="16"/>
      <c r="F24" s="16" t="s">
        <v>3241</v>
      </c>
      <c r="G24" s="16" t="s">
        <v>15</v>
      </c>
      <c r="H24" s="16" t="s">
        <v>632</v>
      </c>
      <c r="I24" s="16" t="s">
        <v>16</v>
      </c>
      <c r="J24" s="16">
        <v>0</v>
      </c>
      <c r="K24" s="16">
        <v>1</v>
      </c>
      <c r="L24" s="16">
        <v>0.45359240000000001</v>
      </c>
      <c r="M24" s="16">
        <v>0</v>
      </c>
      <c r="N24">
        <f t="array" aca="1" ref="N24" ca="1">MATCH(TRUE,EXACT(I24,OFFSET(rngParamTypes,0,6,,1)),0)</f>
        <v>4</v>
      </c>
      <c r="O24" t="str">
        <f ca="1">IF((INDEX(rngParamTypes,$N24,7)=I24),"",1)</f>
        <v/>
      </c>
      <c r="P24">
        <f ca="1">INDEX(rngParamTypes,$N24,9)</f>
        <v>-1</v>
      </c>
      <c r="Q24">
        <f ca="1">INDEX(rngParamTypes,$N24,10)</f>
        <v>0</v>
      </c>
      <c r="R24">
        <f ca="1">INDEX(rngParamTypes,$N24,11)</f>
        <v>0</v>
      </c>
      <c r="S24">
        <f ca="1">INDEX(rngParamTypes,$N24,12)</f>
        <v>0</v>
      </c>
      <c r="T24">
        <f ca="1">INDEX(rngParamTypes,$N24,13)</f>
        <v>0</v>
      </c>
      <c r="U24">
        <f ca="1">INDEX(rngParamTypes,$N24,14)</f>
        <v>0</v>
      </c>
      <c r="V24">
        <f ca="1">INDEX(rngParamTypes,$N24,15)</f>
        <v>0</v>
      </c>
      <c r="W24">
        <f ca="1">INDEX(rngParamTypes,$N24,16)</f>
        <v>0</v>
      </c>
      <c r="X24">
        <f ca="1">INDEX(rngParamTypes,$N24,17)</f>
        <v>0</v>
      </c>
      <c r="Y24">
        <f ca="1">INDEX(rngParamTypes,$N24,18)</f>
        <v>0</v>
      </c>
    </row>
    <row r="25" spans="1:25" x14ac:dyDescent="0.2">
      <c r="A25" s="16">
        <v>24</v>
      </c>
      <c r="B25" s="37">
        <v>1</v>
      </c>
      <c r="C25" s="16" t="s">
        <v>635</v>
      </c>
      <c r="D25" s="16" t="s">
        <v>635</v>
      </c>
      <c r="E25" s="16"/>
      <c r="F25" s="16" t="s">
        <v>3242</v>
      </c>
      <c r="G25" s="16" t="s">
        <v>18</v>
      </c>
      <c r="H25" s="16" t="s">
        <v>634</v>
      </c>
      <c r="I25" s="16" t="s">
        <v>20</v>
      </c>
      <c r="J25" s="16">
        <v>0</v>
      </c>
      <c r="K25" s="16">
        <v>1</v>
      </c>
      <c r="L25" s="16">
        <v>1609.3440000000001</v>
      </c>
      <c r="M25" s="16">
        <v>0</v>
      </c>
      <c r="N25">
        <f t="array" aca="1" ref="N25" ca="1">MATCH(TRUE,EXACT(I25,OFFSET(rngParamTypes,0,6,,1)),0)</f>
        <v>5</v>
      </c>
      <c r="O25" t="str">
        <f ca="1">IF((INDEX(rngParamTypes,$N25,7)=I25),"",1)</f>
        <v/>
      </c>
      <c r="P25">
        <f ca="1">INDEX(rngParamTypes,$N25,9)</f>
        <v>0</v>
      </c>
      <c r="Q25">
        <f ca="1">INDEX(rngParamTypes,$N25,10)</f>
        <v>-1</v>
      </c>
      <c r="R25">
        <f ca="1">INDEX(rngParamTypes,$N25,11)</f>
        <v>0</v>
      </c>
      <c r="S25">
        <f ca="1">INDEX(rngParamTypes,$N25,12)</f>
        <v>0</v>
      </c>
      <c r="T25">
        <f ca="1">INDEX(rngParamTypes,$N25,13)</f>
        <v>0</v>
      </c>
      <c r="U25">
        <f ca="1">INDEX(rngParamTypes,$N25,14)</f>
        <v>0</v>
      </c>
      <c r="V25">
        <f ca="1">INDEX(rngParamTypes,$N25,15)</f>
        <v>0</v>
      </c>
      <c r="W25">
        <f ca="1">INDEX(rngParamTypes,$N25,16)</f>
        <v>0</v>
      </c>
      <c r="X25">
        <f ca="1">INDEX(rngParamTypes,$N25,17)</f>
        <v>0</v>
      </c>
      <c r="Y25">
        <f ca="1">INDEX(rngParamTypes,$N25,18)</f>
        <v>0</v>
      </c>
    </row>
    <row r="26" spans="1:25" x14ac:dyDescent="0.2">
      <c r="A26" s="16">
        <v>25</v>
      </c>
      <c r="B26" s="37">
        <v>1</v>
      </c>
      <c r="C26" s="16" t="s">
        <v>637</v>
      </c>
      <c r="D26" s="16" t="s">
        <v>637</v>
      </c>
      <c r="E26" s="16"/>
      <c r="F26" s="16" t="s">
        <v>3243</v>
      </c>
      <c r="G26" s="16" t="s">
        <v>22</v>
      </c>
      <c r="H26" s="16" t="s">
        <v>636</v>
      </c>
      <c r="I26" s="16" t="s">
        <v>23</v>
      </c>
      <c r="J26" s="16">
        <v>0</v>
      </c>
      <c r="K26" s="16">
        <v>1</v>
      </c>
      <c r="L26" s="16">
        <v>2589988.11</v>
      </c>
      <c r="M26" s="16">
        <v>0</v>
      </c>
      <c r="N26">
        <f t="array" aca="1" ref="N26" ca="1">MATCH(TRUE,EXACT(I26,OFFSET(rngParamTypes,0,6,,1)),0)</f>
        <v>7</v>
      </c>
      <c r="O26" t="str">
        <f ca="1">IF((INDEX(rngParamTypes,$N26,7)=I26),"",1)</f>
        <v/>
      </c>
      <c r="P26">
        <f ca="1">INDEX(rngParamTypes,$N26,9)</f>
        <v>0</v>
      </c>
      <c r="Q26">
        <f ca="1">INDEX(rngParamTypes,$N26,10)</f>
        <v>-2</v>
      </c>
      <c r="R26">
        <f ca="1">INDEX(rngParamTypes,$N26,11)</f>
        <v>0</v>
      </c>
      <c r="S26">
        <f ca="1">INDEX(rngParamTypes,$N26,12)</f>
        <v>0</v>
      </c>
      <c r="T26">
        <f ca="1">INDEX(rngParamTypes,$N26,13)</f>
        <v>0</v>
      </c>
      <c r="U26">
        <f ca="1">INDEX(rngParamTypes,$N26,14)</f>
        <v>0</v>
      </c>
      <c r="V26">
        <f ca="1">INDEX(rngParamTypes,$N26,15)</f>
        <v>0</v>
      </c>
      <c r="W26">
        <f ca="1">INDEX(rngParamTypes,$N26,16)</f>
        <v>0</v>
      </c>
      <c r="X26">
        <f ca="1">INDEX(rngParamTypes,$N26,17)</f>
        <v>0</v>
      </c>
      <c r="Y26">
        <f ca="1">INDEX(rngParamTypes,$N26,18)</f>
        <v>0</v>
      </c>
    </row>
    <row r="27" spans="1:25" x14ac:dyDescent="0.2">
      <c r="A27" s="16">
        <v>26</v>
      </c>
      <c r="B27" s="37">
        <v>1</v>
      </c>
      <c r="C27" s="16" t="s">
        <v>639</v>
      </c>
      <c r="D27" s="16" t="s">
        <v>639</v>
      </c>
      <c r="E27" s="16"/>
      <c r="F27" s="16" t="s">
        <v>3244</v>
      </c>
      <c r="G27" s="16" t="s">
        <v>35</v>
      </c>
      <c r="H27" s="16" t="s">
        <v>638</v>
      </c>
      <c r="I27" s="16" t="s">
        <v>38</v>
      </c>
      <c r="J27" s="16">
        <v>0</v>
      </c>
      <c r="K27" s="16">
        <v>1</v>
      </c>
      <c r="L27" s="16">
        <v>60</v>
      </c>
      <c r="M27" s="16">
        <v>0</v>
      </c>
      <c r="N27">
        <f t="array" aca="1" ref="N27" ca="1">MATCH(TRUE,EXACT(I27,OFFSET(rngParamTypes,0,6,,1)),0)</f>
        <v>12</v>
      </c>
      <c r="O27" t="str">
        <f ca="1">IF((INDEX(rngParamTypes,$N27,7)=I27),"",1)</f>
        <v/>
      </c>
      <c r="P27">
        <f ca="1">INDEX(rngParamTypes,$N27,9)</f>
        <v>0</v>
      </c>
      <c r="Q27">
        <f ca="1">INDEX(rngParamTypes,$N27,10)</f>
        <v>0</v>
      </c>
      <c r="R27">
        <f ca="1">INDEX(rngParamTypes,$N27,11)</f>
        <v>-1</v>
      </c>
      <c r="S27">
        <f ca="1">INDEX(rngParamTypes,$N27,12)</f>
        <v>0</v>
      </c>
      <c r="T27">
        <f ca="1">INDEX(rngParamTypes,$N27,13)</f>
        <v>0</v>
      </c>
      <c r="U27">
        <f ca="1">INDEX(rngParamTypes,$N27,14)</f>
        <v>0</v>
      </c>
      <c r="V27">
        <f ca="1">INDEX(rngParamTypes,$N27,15)</f>
        <v>0</v>
      </c>
      <c r="W27">
        <f ca="1">INDEX(rngParamTypes,$N27,16)</f>
        <v>0</v>
      </c>
      <c r="X27">
        <f ca="1">INDEX(rngParamTypes,$N27,17)</f>
        <v>0</v>
      </c>
      <c r="Y27">
        <f ca="1">INDEX(rngParamTypes,$N27,18)</f>
        <v>0</v>
      </c>
    </row>
    <row r="28" spans="1:25" x14ac:dyDescent="0.2">
      <c r="A28" s="16">
        <v>27</v>
      </c>
      <c r="B28" s="37">
        <v>1</v>
      </c>
      <c r="C28" s="16" t="s">
        <v>641</v>
      </c>
      <c r="D28" s="16" t="s">
        <v>641</v>
      </c>
      <c r="E28" s="16"/>
      <c r="F28" s="16" t="s">
        <v>3245</v>
      </c>
      <c r="G28" s="16" t="s">
        <v>3220</v>
      </c>
      <c r="H28" s="16" t="s">
        <v>640</v>
      </c>
      <c r="I28" s="16" t="s">
        <v>20</v>
      </c>
      <c r="J28" s="16">
        <v>0</v>
      </c>
      <c r="K28" s="16">
        <v>1000</v>
      </c>
      <c r="L28" s="16">
        <v>1</v>
      </c>
      <c r="M28" s="16">
        <v>0</v>
      </c>
      <c r="N28">
        <f t="array" aca="1" ref="N28" ca="1">MATCH(TRUE,EXACT(I28,OFFSET(rngParamTypes,0,6,,1)),0)</f>
        <v>5</v>
      </c>
      <c r="O28" t="str">
        <f ca="1">IF((INDEX(rngParamTypes,$N28,7)=I28),"",1)</f>
        <v/>
      </c>
      <c r="P28">
        <f ca="1">INDEX(rngParamTypes,$N28,9)</f>
        <v>0</v>
      </c>
      <c r="Q28">
        <f ca="1">INDEX(rngParamTypes,$N28,10)</f>
        <v>-1</v>
      </c>
      <c r="R28">
        <f ca="1">INDEX(rngParamTypes,$N28,11)</f>
        <v>0</v>
      </c>
      <c r="S28">
        <f ca="1">INDEX(rngParamTypes,$N28,12)</f>
        <v>0</v>
      </c>
      <c r="T28">
        <f ca="1">INDEX(rngParamTypes,$N28,13)</f>
        <v>0</v>
      </c>
      <c r="U28">
        <f ca="1">INDEX(rngParamTypes,$N28,14)</f>
        <v>0</v>
      </c>
      <c r="V28">
        <f ca="1">INDEX(rngParamTypes,$N28,15)</f>
        <v>0</v>
      </c>
      <c r="W28">
        <f ca="1">INDEX(rngParamTypes,$N28,16)</f>
        <v>0</v>
      </c>
      <c r="X28">
        <f ca="1">INDEX(rngParamTypes,$N28,17)</f>
        <v>0</v>
      </c>
      <c r="Y28">
        <f ca="1">INDEX(rngParamTypes,$N28,18)</f>
        <v>0</v>
      </c>
    </row>
    <row r="29" spans="1:25" x14ac:dyDescent="0.2">
      <c r="A29" s="16">
        <v>28</v>
      </c>
      <c r="B29" s="37">
        <v>1</v>
      </c>
      <c r="C29" s="16" t="s">
        <v>643</v>
      </c>
      <c r="D29" s="16" t="s">
        <v>643</v>
      </c>
      <c r="E29" s="16"/>
      <c r="F29" s="16" t="s">
        <v>3246</v>
      </c>
      <c r="G29" s="16" t="s">
        <v>3220</v>
      </c>
      <c r="H29" s="16" t="s">
        <v>642</v>
      </c>
      <c r="I29" s="16" t="s">
        <v>20</v>
      </c>
      <c r="J29" s="16">
        <v>0</v>
      </c>
      <c r="K29" s="16">
        <v>1000000000</v>
      </c>
      <c r="L29" s="16">
        <v>1</v>
      </c>
      <c r="M29" s="16">
        <v>0</v>
      </c>
      <c r="N29">
        <f t="array" aca="1" ref="N29" ca="1">MATCH(TRUE,EXACT(I29,OFFSET(rngParamTypes,0,6,,1)),0)</f>
        <v>5</v>
      </c>
      <c r="O29" t="str">
        <f ca="1">IF((INDEX(rngParamTypes,$N29,7)=I29),"",1)</f>
        <v/>
      </c>
      <c r="P29">
        <f ca="1">INDEX(rngParamTypes,$N29,9)</f>
        <v>0</v>
      </c>
      <c r="Q29">
        <f ca="1">INDEX(rngParamTypes,$N29,10)</f>
        <v>-1</v>
      </c>
      <c r="R29">
        <f ca="1">INDEX(rngParamTypes,$N29,11)</f>
        <v>0</v>
      </c>
      <c r="S29">
        <f ca="1">INDEX(rngParamTypes,$N29,12)</f>
        <v>0</v>
      </c>
      <c r="T29">
        <f ca="1">INDEX(rngParamTypes,$N29,13)</f>
        <v>0</v>
      </c>
      <c r="U29">
        <f ca="1">INDEX(rngParamTypes,$N29,14)</f>
        <v>0</v>
      </c>
      <c r="V29">
        <f ca="1">INDEX(rngParamTypes,$N29,15)</f>
        <v>0</v>
      </c>
      <c r="W29">
        <f ca="1">INDEX(rngParamTypes,$N29,16)</f>
        <v>0</v>
      </c>
      <c r="X29">
        <f ca="1">INDEX(rngParamTypes,$N29,17)</f>
        <v>0</v>
      </c>
      <c r="Y29">
        <f ca="1">INDEX(rngParamTypes,$N29,18)</f>
        <v>0</v>
      </c>
    </row>
    <row r="30" spans="1:25" x14ac:dyDescent="0.2">
      <c r="A30" s="16">
        <v>29</v>
      </c>
      <c r="B30" s="37">
        <v>1</v>
      </c>
      <c r="C30" s="16" t="s">
        <v>645</v>
      </c>
      <c r="D30" s="16" t="s">
        <v>645</v>
      </c>
      <c r="E30" s="16"/>
      <c r="F30" s="16" t="s">
        <v>3247</v>
      </c>
      <c r="G30" s="16" t="s">
        <v>3222</v>
      </c>
      <c r="H30" s="16" t="s">
        <v>644</v>
      </c>
      <c r="I30" s="16" t="s">
        <v>33</v>
      </c>
      <c r="J30" s="16">
        <v>0</v>
      </c>
      <c r="K30" s="16">
        <v>1000000000000</v>
      </c>
      <c r="L30" s="16">
        <v>1</v>
      </c>
      <c r="M30" s="16">
        <v>0</v>
      </c>
      <c r="N30">
        <f t="array" aca="1" ref="N30" ca="1">MATCH(TRUE,EXACT(I30,OFFSET(rngParamTypes,0,6,,1)),0)</f>
        <v>10</v>
      </c>
      <c r="O30" t="str">
        <f ca="1">IF((INDEX(rngParamTypes,$N30,7)=I30),"",1)</f>
        <v/>
      </c>
      <c r="P30">
        <f ca="1">INDEX(rngParamTypes,$N30,9)</f>
        <v>-1</v>
      </c>
      <c r="Q30">
        <f ca="1">INDEX(rngParamTypes,$N30,10)</f>
        <v>1</v>
      </c>
      <c r="R30">
        <f ca="1">INDEX(rngParamTypes,$N30,11)</f>
        <v>2</v>
      </c>
      <c r="S30">
        <f ca="1">INDEX(rngParamTypes,$N30,12)</f>
        <v>0</v>
      </c>
      <c r="T30">
        <f ca="1">INDEX(rngParamTypes,$N30,13)</f>
        <v>0</v>
      </c>
      <c r="U30">
        <f ca="1">INDEX(rngParamTypes,$N30,14)</f>
        <v>0</v>
      </c>
      <c r="V30">
        <f ca="1">INDEX(rngParamTypes,$N30,15)</f>
        <v>0</v>
      </c>
      <c r="W30">
        <f ca="1">INDEX(rngParamTypes,$N30,16)</f>
        <v>0</v>
      </c>
      <c r="X30">
        <f ca="1">INDEX(rngParamTypes,$N30,17)</f>
        <v>0</v>
      </c>
      <c r="Y30">
        <f ca="1">INDEX(rngParamTypes,$N30,18)</f>
        <v>0</v>
      </c>
    </row>
    <row r="31" spans="1:25" x14ac:dyDescent="0.2">
      <c r="A31" s="16">
        <v>30</v>
      </c>
      <c r="B31" s="37">
        <v>1</v>
      </c>
      <c r="C31" s="16" t="s">
        <v>647</v>
      </c>
      <c r="D31" s="16" t="s">
        <v>647</v>
      </c>
      <c r="E31" s="16"/>
      <c r="F31" s="16" t="s">
        <v>3248</v>
      </c>
      <c r="G31" s="16" t="s">
        <v>3222</v>
      </c>
      <c r="H31" s="16" t="s">
        <v>646</v>
      </c>
      <c r="I31" s="16" t="s">
        <v>33</v>
      </c>
      <c r="J31" s="16">
        <v>0</v>
      </c>
      <c r="K31" s="16">
        <v>1</v>
      </c>
      <c r="L31" s="16">
        <v>6894.7569999999996</v>
      </c>
      <c r="M31" s="16">
        <v>0</v>
      </c>
      <c r="N31">
        <f t="array" aca="1" ref="N31" ca="1">MATCH(TRUE,EXACT(I31,OFFSET(rngParamTypes,0,6,,1)),0)</f>
        <v>10</v>
      </c>
      <c r="O31" t="str">
        <f ca="1">IF((INDEX(rngParamTypes,$N31,7)=I31),"",1)</f>
        <v/>
      </c>
      <c r="P31">
        <f ca="1">INDEX(rngParamTypes,$N31,9)</f>
        <v>-1</v>
      </c>
      <c r="Q31">
        <f ca="1">INDEX(rngParamTypes,$N31,10)</f>
        <v>1</v>
      </c>
      <c r="R31">
        <f ca="1">INDEX(rngParamTypes,$N31,11)</f>
        <v>2</v>
      </c>
      <c r="S31">
        <f ca="1">INDEX(rngParamTypes,$N31,12)</f>
        <v>0</v>
      </c>
      <c r="T31">
        <f ca="1">INDEX(rngParamTypes,$N31,13)</f>
        <v>0</v>
      </c>
      <c r="U31">
        <f ca="1">INDEX(rngParamTypes,$N31,14)</f>
        <v>0</v>
      </c>
      <c r="V31">
        <f ca="1">INDEX(rngParamTypes,$N31,15)</f>
        <v>0</v>
      </c>
      <c r="W31">
        <f ca="1">INDEX(rngParamTypes,$N31,16)</f>
        <v>0</v>
      </c>
      <c r="X31">
        <f ca="1">INDEX(rngParamTypes,$N31,17)</f>
        <v>0</v>
      </c>
      <c r="Y31">
        <f ca="1">INDEX(rngParamTypes,$N31,18)</f>
        <v>0</v>
      </c>
    </row>
    <row r="32" spans="1:25" x14ac:dyDescent="0.2">
      <c r="A32" s="16">
        <v>31</v>
      </c>
      <c r="B32" s="37">
        <v>1</v>
      </c>
      <c r="C32" s="16" t="s">
        <v>649</v>
      </c>
      <c r="D32" s="16" t="s">
        <v>649</v>
      </c>
      <c r="E32" s="16"/>
      <c r="F32" s="16" t="s">
        <v>3249</v>
      </c>
      <c r="G32" s="16" t="s">
        <v>3222</v>
      </c>
      <c r="H32" s="16" t="s">
        <v>648</v>
      </c>
      <c r="I32" s="16" t="s">
        <v>33</v>
      </c>
      <c r="J32" s="16">
        <v>0</v>
      </c>
      <c r="K32" s="16">
        <v>1</v>
      </c>
      <c r="L32" s="16">
        <v>6.8947569999999996E-3</v>
      </c>
      <c r="M32" s="16">
        <v>0</v>
      </c>
      <c r="N32">
        <f t="array" aca="1" ref="N32" ca="1">MATCH(TRUE,EXACT(I32,OFFSET(rngParamTypes,0,6,,1)),0)</f>
        <v>10</v>
      </c>
      <c r="O32" t="str">
        <f ca="1">IF((INDEX(rngParamTypes,$N32,7)=I32),"",1)</f>
        <v/>
      </c>
      <c r="P32">
        <f ca="1">INDEX(rngParamTypes,$N32,9)</f>
        <v>-1</v>
      </c>
      <c r="Q32">
        <f ca="1">INDEX(rngParamTypes,$N32,10)</f>
        <v>1</v>
      </c>
      <c r="R32">
        <f ca="1">INDEX(rngParamTypes,$N32,11)</f>
        <v>2</v>
      </c>
      <c r="S32">
        <f ca="1">INDEX(rngParamTypes,$N32,12)</f>
        <v>0</v>
      </c>
      <c r="T32">
        <f ca="1">INDEX(rngParamTypes,$N32,13)</f>
        <v>0</v>
      </c>
      <c r="U32">
        <f ca="1">INDEX(rngParamTypes,$N32,14)</f>
        <v>0</v>
      </c>
      <c r="V32">
        <f ca="1">INDEX(rngParamTypes,$N32,15)</f>
        <v>0</v>
      </c>
      <c r="W32">
        <f ca="1">INDEX(rngParamTypes,$N32,16)</f>
        <v>0</v>
      </c>
      <c r="X32">
        <f ca="1">INDEX(rngParamTypes,$N32,17)</f>
        <v>0</v>
      </c>
      <c r="Y32">
        <f ca="1">INDEX(rngParamTypes,$N32,18)</f>
        <v>0</v>
      </c>
    </row>
    <row r="33" spans="1:25" x14ac:dyDescent="0.2">
      <c r="A33" s="16">
        <v>32</v>
      </c>
      <c r="B33" s="37">
        <v>1</v>
      </c>
      <c r="C33" s="16" t="s">
        <v>651</v>
      </c>
      <c r="D33" s="16" t="s">
        <v>651</v>
      </c>
      <c r="E33" s="16"/>
      <c r="F33" s="16" t="s">
        <v>3250</v>
      </c>
      <c r="G33" s="16" t="s">
        <v>40</v>
      </c>
      <c r="H33" s="16" t="s">
        <v>650</v>
      </c>
      <c r="I33" s="16" t="s">
        <v>41</v>
      </c>
      <c r="J33" s="16">
        <v>0</v>
      </c>
      <c r="K33" s="16">
        <v>1000000</v>
      </c>
      <c r="L33" s="16">
        <v>1</v>
      </c>
      <c r="M33" s="16">
        <v>0</v>
      </c>
      <c r="N33">
        <f t="array" aca="1" ref="N33" ca="1">MATCH(TRUE,EXACT(I33,OFFSET(rngParamTypes,0,6,,1)),0)</f>
        <v>14</v>
      </c>
      <c r="O33" t="str">
        <f ca="1">IF((INDEX(rngParamTypes,$N33,7)=I33),"",1)</f>
        <v/>
      </c>
      <c r="P33">
        <f ca="1">INDEX(rngParamTypes,$N33,9)</f>
        <v>-1</v>
      </c>
      <c r="Q33">
        <f ca="1">INDEX(rngParamTypes,$N33,10)</f>
        <v>-2</v>
      </c>
      <c r="R33">
        <f ca="1">INDEX(rngParamTypes,$N33,11)</f>
        <v>3</v>
      </c>
      <c r="S33">
        <f ca="1">INDEX(rngParamTypes,$N33,12)</f>
        <v>1</v>
      </c>
      <c r="T33">
        <f ca="1">INDEX(rngParamTypes,$N33,13)</f>
        <v>0</v>
      </c>
      <c r="U33">
        <f ca="1">INDEX(rngParamTypes,$N33,14)</f>
        <v>0</v>
      </c>
      <c r="V33">
        <f ca="1">INDEX(rngParamTypes,$N33,15)</f>
        <v>0</v>
      </c>
      <c r="W33">
        <f ca="1">INDEX(rngParamTypes,$N33,16)</f>
        <v>0</v>
      </c>
      <c r="X33">
        <f ca="1">INDEX(rngParamTypes,$N33,17)</f>
        <v>0</v>
      </c>
      <c r="Y33">
        <f ca="1">INDEX(rngParamTypes,$N33,18)</f>
        <v>0</v>
      </c>
    </row>
    <row r="34" spans="1:25" x14ac:dyDescent="0.2">
      <c r="A34" s="16">
        <v>33</v>
      </c>
      <c r="B34" s="37">
        <v>1</v>
      </c>
      <c r="C34" s="16" t="s">
        <v>653</v>
      </c>
      <c r="D34" s="16" t="s">
        <v>653</v>
      </c>
      <c r="E34" s="16"/>
      <c r="F34" s="16" t="s">
        <v>3251</v>
      </c>
      <c r="G34" s="16" t="s">
        <v>35</v>
      </c>
      <c r="H34" s="16" t="s">
        <v>652</v>
      </c>
      <c r="I34" s="16" t="s">
        <v>38</v>
      </c>
      <c r="J34" s="16">
        <v>0</v>
      </c>
      <c r="K34" s="16">
        <v>1</v>
      </c>
      <c r="L34" s="16">
        <v>604800</v>
      </c>
      <c r="M34" s="16">
        <v>0</v>
      </c>
      <c r="N34">
        <f t="array" aca="1" ref="N34" ca="1">MATCH(TRUE,EXACT(I34,OFFSET(rngParamTypes,0,6,,1)),0)</f>
        <v>12</v>
      </c>
      <c r="O34" t="str">
        <f ca="1">IF((INDEX(rngParamTypes,$N34,7)=I34),"",1)</f>
        <v/>
      </c>
      <c r="P34">
        <f ca="1">INDEX(rngParamTypes,$N34,9)</f>
        <v>0</v>
      </c>
      <c r="Q34">
        <f ca="1">INDEX(rngParamTypes,$N34,10)</f>
        <v>0</v>
      </c>
      <c r="R34">
        <f ca="1">INDEX(rngParamTypes,$N34,11)</f>
        <v>-1</v>
      </c>
      <c r="S34">
        <f ca="1">INDEX(rngParamTypes,$N34,12)</f>
        <v>0</v>
      </c>
      <c r="T34">
        <f ca="1">INDEX(rngParamTypes,$N34,13)</f>
        <v>0</v>
      </c>
      <c r="U34">
        <f ca="1">INDEX(rngParamTypes,$N34,14)</f>
        <v>0</v>
      </c>
      <c r="V34">
        <f ca="1">INDEX(rngParamTypes,$N34,15)</f>
        <v>0</v>
      </c>
      <c r="W34">
        <f ca="1">INDEX(rngParamTypes,$N34,16)</f>
        <v>0</v>
      </c>
      <c r="X34">
        <f ca="1">INDEX(rngParamTypes,$N34,17)</f>
        <v>0</v>
      </c>
      <c r="Y34">
        <f ca="1">INDEX(rngParamTypes,$N34,18)</f>
        <v>0</v>
      </c>
    </row>
    <row r="35" spans="1:25" x14ac:dyDescent="0.2">
      <c r="A35" s="16">
        <v>34</v>
      </c>
      <c r="B35" s="37">
        <v>1</v>
      </c>
      <c r="C35" s="16" t="s">
        <v>655</v>
      </c>
      <c r="D35" s="16" t="s">
        <v>655</v>
      </c>
      <c r="E35" s="16"/>
      <c r="F35" s="16" t="s">
        <v>3252</v>
      </c>
      <c r="G35" s="16" t="s">
        <v>18</v>
      </c>
      <c r="H35" s="16" t="s">
        <v>654</v>
      </c>
      <c r="I35" s="16" t="s">
        <v>20</v>
      </c>
      <c r="J35" s="16">
        <v>0</v>
      </c>
      <c r="K35" s="16">
        <v>1</v>
      </c>
      <c r="L35" s="16">
        <v>0.91439999999999999</v>
      </c>
      <c r="M35" s="16">
        <v>0</v>
      </c>
      <c r="N35">
        <f t="array" aca="1" ref="N35" ca="1">MATCH(TRUE,EXACT(I35,OFFSET(rngParamTypes,0,6,,1)),0)</f>
        <v>5</v>
      </c>
      <c r="O35" t="str">
        <f ca="1">IF((INDEX(rngParamTypes,$N35,7)=I35),"",1)</f>
        <v/>
      </c>
      <c r="P35">
        <f ca="1">INDEX(rngParamTypes,$N35,9)</f>
        <v>0</v>
      </c>
      <c r="Q35">
        <f ca="1">INDEX(rngParamTypes,$N35,10)</f>
        <v>-1</v>
      </c>
      <c r="R35">
        <f ca="1">INDEX(rngParamTypes,$N35,11)</f>
        <v>0</v>
      </c>
      <c r="S35">
        <f ca="1">INDEX(rngParamTypes,$N35,12)</f>
        <v>0</v>
      </c>
      <c r="T35">
        <f ca="1">INDEX(rngParamTypes,$N35,13)</f>
        <v>0</v>
      </c>
      <c r="U35">
        <f ca="1">INDEX(rngParamTypes,$N35,14)</f>
        <v>0</v>
      </c>
      <c r="V35">
        <f ca="1">INDEX(rngParamTypes,$N35,15)</f>
        <v>0</v>
      </c>
      <c r="W35">
        <f ca="1">INDEX(rngParamTypes,$N35,16)</f>
        <v>0</v>
      </c>
      <c r="X35">
        <f ca="1">INDEX(rngParamTypes,$N35,17)</f>
        <v>0</v>
      </c>
      <c r="Y35">
        <f ca="1">INDEX(rngParamTypes,$N35,18)</f>
        <v>0</v>
      </c>
    </row>
    <row r="36" spans="1:25" x14ac:dyDescent="0.2">
      <c r="A36" s="16">
        <v>35</v>
      </c>
      <c r="B36" s="37">
        <v>1</v>
      </c>
      <c r="C36" s="16" t="s">
        <v>657</v>
      </c>
      <c r="D36" s="16" t="s">
        <v>657</v>
      </c>
      <c r="E36" s="16">
        <v>2</v>
      </c>
      <c r="F36" s="16" t="s">
        <v>4240</v>
      </c>
      <c r="G36" s="16" t="s">
        <v>321</v>
      </c>
      <c r="H36" s="16" t="s">
        <v>656</v>
      </c>
      <c r="I36" s="16" t="s">
        <v>322</v>
      </c>
      <c r="J36" s="16">
        <v>0</v>
      </c>
      <c r="K36" s="16">
        <v>28.316846592000001</v>
      </c>
      <c r="L36" s="16">
        <v>1</v>
      </c>
      <c r="M36" s="16">
        <v>0</v>
      </c>
      <c r="N36">
        <f t="array" aca="1" ref="N36" ca="1">MATCH(TRUE,EXACT(I36,OFFSET(rngParamTypes,0,6,,1)),0)</f>
        <v>134</v>
      </c>
      <c r="O36" t="str">
        <f ca="1">IF((INDEX(rngParamTypes,$N36,7)=I36),"",1)</f>
        <v/>
      </c>
      <c r="P36">
        <f ca="1">INDEX(rngParamTypes,$N36,9)</f>
        <v>0</v>
      </c>
      <c r="Q36">
        <f ca="1">INDEX(rngParamTypes,$N36,10)</f>
        <v>3</v>
      </c>
      <c r="R36">
        <f ca="1">INDEX(rngParamTypes,$N36,11)</f>
        <v>0</v>
      </c>
      <c r="S36">
        <f ca="1">INDEX(rngParamTypes,$N36,12)</f>
        <v>0</v>
      </c>
      <c r="T36">
        <f ca="1">INDEX(rngParamTypes,$N36,13)</f>
        <v>0</v>
      </c>
      <c r="U36">
        <f ca="1">INDEX(rngParamTypes,$N36,14)</f>
        <v>0</v>
      </c>
      <c r="V36">
        <f ca="1">INDEX(rngParamTypes,$N36,15)</f>
        <v>0</v>
      </c>
      <c r="W36">
        <f ca="1">INDEX(rngParamTypes,$N36,16)</f>
        <v>0</v>
      </c>
      <c r="X36">
        <f ca="1">INDEX(rngParamTypes,$N36,17)</f>
        <v>0</v>
      </c>
      <c r="Y36">
        <f ca="1">INDEX(rngParamTypes,$N36,18)</f>
        <v>0</v>
      </c>
    </row>
    <row r="37" spans="1:25" x14ac:dyDescent="0.2">
      <c r="A37" s="16">
        <v>36</v>
      </c>
      <c r="B37" s="37">
        <v>1</v>
      </c>
      <c r="C37" s="16" t="s">
        <v>660</v>
      </c>
      <c r="D37" s="16" t="s">
        <v>660</v>
      </c>
      <c r="E37" s="16"/>
      <c r="F37" s="16" t="s">
        <v>4241</v>
      </c>
      <c r="G37" s="16" t="s">
        <v>659</v>
      </c>
      <c r="H37" s="16" t="s">
        <v>658</v>
      </c>
      <c r="I37" s="16" t="s">
        <v>131</v>
      </c>
      <c r="J37" s="16">
        <v>0</v>
      </c>
      <c r="K37" s="16">
        <v>28.316846592000001</v>
      </c>
      <c r="L37" s="16">
        <v>0.1589873</v>
      </c>
      <c r="M37" s="16">
        <v>0</v>
      </c>
      <c r="N37">
        <f t="array" aca="1" ref="N37" ca="1">MATCH(TRUE,EXACT(I37,OFFSET(rngParamTypes,0,6,,1)),0)</f>
        <v>42</v>
      </c>
      <c r="O37" t="str">
        <f ca="1">IF((INDEX(rngParamTypes,$N37,7)=I37),"",1)</f>
        <v/>
      </c>
      <c r="P37">
        <f ca="1">INDEX(rngParamTypes,$N37,9)</f>
        <v>0</v>
      </c>
      <c r="Q37">
        <f ca="1">INDEX(rngParamTypes,$N37,10)</f>
        <v>0</v>
      </c>
      <c r="R37">
        <f ca="1">INDEX(rngParamTypes,$N37,11)</f>
        <v>0</v>
      </c>
      <c r="S37">
        <f ca="1">INDEX(rngParamTypes,$N37,12)</f>
        <v>0</v>
      </c>
      <c r="T37">
        <f ca="1">INDEX(rngParamTypes,$N37,13)</f>
        <v>0</v>
      </c>
      <c r="U37">
        <f ca="1">INDEX(rngParamTypes,$N37,14)</f>
        <v>0</v>
      </c>
      <c r="V37">
        <f ca="1">INDEX(rngParamTypes,$N37,15)</f>
        <v>0</v>
      </c>
      <c r="W37">
        <f ca="1">INDEX(rngParamTypes,$N37,16)</f>
        <v>0</v>
      </c>
      <c r="X37">
        <f ca="1">INDEX(rngParamTypes,$N37,17)</f>
        <v>0</v>
      </c>
      <c r="Y37">
        <f ca="1">INDEX(rngParamTypes,$N37,18)</f>
        <v>0</v>
      </c>
    </row>
    <row r="38" spans="1:25" x14ac:dyDescent="0.2">
      <c r="A38" s="16">
        <v>37</v>
      </c>
      <c r="B38" s="37">
        <v>1</v>
      </c>
      <c r="C38" s="16" t="s">
        <v>662</v>
      </c>
      <c r="D38" s="16" t="s">
        <v>662</v>
      </c>
      <c r="E38" s="16">
        <v>2</v>
      </c>
      <c r="F38" s="16" t="s">
        <v>4242</v>
      </c>
      <c r="G38" s="16" t="s">
        <v>343</v>
      </c>
      <c r="H38" s="16" t="s">
        <v>661</v>
      </c>
      <c r="I38" s="16" t="s">
        <v>344</v>
      </c>
      <c r="J38" s="16">
        <v>0</v>
      </c>
      <c r="K38" s="16">
        <v>28.316849999999999</v>
      </c>
      <c r="L38" s="16">
        <v>86400</v>
      </c>
      <c r="M38" s="16">
        <v>0</v>
      </c>
      <c r="N38">
        <f t="array" aca="1" ref="N38" ca="1">MATCH(TRUE,EXACT(I38,OFFSET(rngParamTypes,0,6,,1)),0)</f>
        <v>141</v>
      </c>
      <c r="O38" t="str">
        <f ca="1">IF((INDEX(rngParamTypes,$N38,7)=I38),"",1)</f>
        <v/>
      </c>
      <c r="P38">
        <f ca="1">INDEX(rngParamTypes,$N38,9)</f>
        <v>0</v>
      </c>
      <c r="Q38">
        <f ca="1">INDEX(rngParamTypes,$N38,10)</f>
        <v>3</v>
      </c>
      <c r="R38">
        <f ca="1">INDEX(rngParamTypes,$N38,11)</f>
        <v>-1</v>
      </c>
      <c r="S38">
        <f ca="1">INDEX(rngParamTypes,$N38,12)</f>
        <v>0</v>
      </c>
      <c r="T38">
        <f ca="1">INDEX(rngParamTypes,$N38,13)</f>
        <v>0</v>
      </c>
      <c r="U38">
        <f ca="1">INDEX(rngParamTypes,$N38,14)</f>
        <v>0</v>
      </c>
      <c r="V38">
        <f ca="1">INDEX(rngParamTypes,$N38,15)</f>
        <v>0</v>
      </c>
      <c r="W38">
        <f ca="1">INDEX(rngParamTypes,$N38,16)</f>
        <v>0</v>
      </c>
      <c r="X38">
        <f ca="1">INDEX(rngParamTypes,$N38,17)</f>
        <v>0</v>
      </c>
      <c r="Y38">
        <f ca="1">INDEX(rngParamTypes,$N38,18)</f>
        <v>0</v>
      </c>
    </row>
    <row r="39" spans="1:25" x14ac:dyDescent="0.2">
      <c r="A39" s="16">
        <v>38</v>
      </c>
      <c r="B39" s="37">
        <v>1</v>
      </c>
      <c r="C39" s="16" t="s">
        <v>665</v>
      </c>
      <c r="D39" s="16" t="s">
        <v>665</v>
      </c>
      <c r="E39" s="16"/>
      <c r="F39" s="16" t="s">
        <v>4243</v>
      </c>
      <c r="G39" s="16" t="s">
        <v>664</v>
      </c>
      <c r="H39" s="16" t="s">
        <v>663</v>
      </c>
      <c r="I39" s="16" t="s">
        <v>319</v>
      </c>
      <c r="J39" s="16">
        <v>0</v>
      </c>
      <c r="K39" s="16">
        <v>92.903040000000004</v>
      </c>
      <c r="L39" s="16">
        <v>86400</v>
      </c>
      <c r="M39" s="16">
        <v>0</v>
      </c>
      <c r="N39">
        <f t="array" aca="1" ref="N39" ca="1">MATCH(TRUE,EXACT(I39,OFFSET(rngParamTypes,0,6,,1)),0)</f>
        <v>130</v>
      </c>
      <c r="O39" t="str">
        <f ca="1">IF((INDEX(rngParamTypes,$N39,7)=I39),"",1)</f>
        <v/>
      </c>
      <c r="P39">
        <f ca="1">INDEX(rngParamTypes,$N39,9)</f>
        <v>0</v>
      </c>
      <c r="Q39">
        <f ca="1">INDEX(rngParamTypes,$N39,10)</f>
        <v>2</v>
      </c>
      <c r="R39">
        <f ca="1">INDEX(rngParamTypes,$N39,11)</f>
        <v>-1</v>
      </c>
      <c r="S39">
        <f ca="1">INDEX(rngParamTypes,$N39,12)</f>
        <v>0</v>
      </c>
      <c r="T39">
        <f ca="1">INDEX(rngParamTypes,$N39,13)</f>
        <v>0</v>
      </c>
      <c r="U39">
        <f ca="1">INDEX(rngParamTypes,$N39,14)</f>
        <v>0</v>
      </c>
      <c r="V39">
        <f ca="1">INDEX(rngParamTypes,$N39,15)</f>
        <v>0</v>
      </c>
      <c r="W39">
        <f ca="1">INDEX(rngParamTypes,$N39,16)</f>
        <v>0</v>
      </c>
      <c r="X39">
        <f ca="1">INDEX(rngParamTypes,$N39,17)</f>
        <v>0</v>
      </c>
      <c r="Y39">
        <f ca="1">INDEX(rngParamTypes,$N39,18)</f>
        <v>0</v>
      </c>
    </row>
    <row r="40" spans="1:25" x14ac:dyDescent="0.2">
      <c r="A40" s="16">
        <v>39</v>
      </c>
      <c r="B40" s="37">
        <v>1</v>
      </c>
      <c r="C40" s="16" t="s">
        <v>667</v>
      </c>
      <c r="D40" s="16" t="s">
        <v>667</v>
      </c>
      <c r="E40" s="16"/>
      <c r="F40" s="16" t="s">
        <v>4244</v>
      </c>
      <c r="G40" s="16" t="s">
        <v>334</v>
      </c>
      <c r="H40" s="16" t="s">
        <v>666</v>
      </c>
      <c r="I40" s="16" t="s">
        <v>335</v>
      </c>
      <c r="J40" s="16">
        <v>0</v>
      </c>
      <c r="K40" s="16">
        <v>28.316849999999999</v>
      </c>
      <c r="L40" s="16">
        <v>595707004.79999995</v>
      </c>
      <c r="M40" s="16">
        <v>0</v>
      </c>
      <c r="N40">
        <f t="array" aca="1" ref="N40" ca="1">MATCH(TRUE,EXACT(I40,OFFSET(rngParamTypes,0,6,,1)),0)</f>
        <v>139</v>
      </c>
      <c r="O40" t="str">
        <f ca="1">IF((INDEX(rngParamTypes,$N40,7)=I40),"",1)</f>
        <v/>
      </c>
      <c r="P40">
        <f ca="1">INDEX(rngParamTypes,$N40,9)</f>
        <v>-1</v>
      </c>
      <c r="Q40">
        <f ca="1">INDEX(rngParamTypes,$N40,10)</f>
        <v>4</v>
      </c>
      <c r="R40">
        <f ca="1">INDEX(rngParamTypes,$N40,11)</f>
        <v>1</v>
      </c>
      <c r="S40">
        <f ca="1">INDEX(rngParamTypes,$N40,12)</f>
        <v>0</v>
      </c>
      <c r="T40">
        <f ca="1">INDEX(rngParamTypes,$N40,13)</f>
        <v>0</v>
      </c>
      <c r="U40">
        <f ca="1">INDEX(rngParamTypes,$N40,14)</f>
        <v>0</v>
      </c>
      <c r="V40">
        <f ca="1">INDEX(rngParamTypes,$N40,15)</f>
        <v>0</v>
      </c>
      <c r="W40">
        <f ca="1">INDEX(rngParamTypes,$N40,16)</f>
        <v>0</v>
      </c>
      <c r="X40">
        <f ca="1">INDEX(rngParamTypes,$N40,17)</f>
        <v>0</v>
      </c>
      <c r="Y40">
        <f ca="1">INDEX(rngParamTypes,$N40,18)</f>
        <v>0</v>
      </c>
    </row>
    <row r="41" spans="1:25" x14ac:dyDescent="0.2">
      <c r="A41" s="16">
        <v>40</v>
      </c>
      <c r="B41" s="37">
        <v>1</v>
      </c>
      <c r="C41" s="16" t="s">
        <v>669</v>
      </c>
      <c r="D41" s="16" t="s">
        <v>669</v>
      </c>
      <c r="E41" s="16">
        <v>2</v>
      </c>
      <c r="F41" s="16" t="s">
        <v>4245</v>
      </c>
      <c r="G41" s="16" t="s">
        <v>343</v>
      </c>
      <c r="H41" s="16" t="s">
        <v>668</v>
      </c>
      <c r="I41" s="16" t="s">
        <v>344</v>
      </c>
      <c r="J41" s="16">
        <v>0</v>
      </c>
      <c r="K41" s="16">
        <v>1000</v>
      </c>
      <c r="L41" s="16">
        <v>86400</v>
      </c>
      <c r="M41" s="16">
        <v>0</v>
      </c>
      <c r="N41">
        <f t="array" aca="1" ref="N41" ca="1">MATCH(TRUE,EXACT(I41,OFFSET(rngParamTypes,0,6,,1)),0)</f>
        <v>141</v>
      </c>
      <c r="O41" t="str">
        <f ca="1">IF((INDEX(rngParamTypes,$N41,7)=I41),"",1)</f>
        <v/>
      </c>
      <c r="P41">
        <f ca="1">INDEX(rngParamTypes,$N41,9)</f>
        <v>0</v>
      </c>
      <c r="Q41">
        <f ca="1">INDEX(rngParamTypes,$N41,10)</f>
        <v>3</v>
      </c>
      <c r="R41">
        <f ca="1">INDEX(rngParamTypes,$N41,11)</f>
        <v>-1</v>
      </c>
      <c r="S41">
        <f ca="1">INDEX(rngParamTypes,$N41,12)</f>
        <v>0</v>
      </c>
      <c r="T41">
        <f ca="1">INDEX(rngParamTypes,$N41,13)</f>
        <v>0</v>
      </c>
      <c r="U41">
        <f ca="1">INDEX(rngParamTypes,$N41,14)</f>
        <v>0</v>
      </c>
      <c r="V41">
        <f ca="1">INDEX(rngParamTypes,$N41,15)</f>
        <v>0</v>
      </c>
      <c r="W41">
        <f ca="1">INDEX(rngParamTypes,$N41,16)</f>
        <v>0</v>
      </c>
      <c r="X41">
        <f ca="1">INDEX(rngParamTypes,$N41,17)</f>
        <v>0</v>
      </c>
      <c r="Y41">
        <f ca="1">INDEX(rngParamTypes,$N41,18)</f>
        <v>0</v>
      </c>
    </row>
    <row r="42" spans="1:25" x14ac:dyDescent="0.2">
      <c r="A42" s="16">
        <v>41</v>
      </c>
      <c r="B42" s="37">
        <v>1</v>
      </c>
      <c r="C42" s="16" t="s">
        <v>671</v>
      </c>
      <c r="D42" s="16" t="s">
        <v>671</v>
      </c>
      <c r="E42" s="16"/>
      <c r="F42" s="16" t="s">
        <v>4246</v>
      </c>
      <c r="G42" s="16" t="s">
        <v>664</v>
      </c>
      <c r="H42" s="16" t="s">
        <v>670</v>
      </c>
      <c r="I42" s="16" t="s">
        <v>319</v>
      </c>
      <c r="J42" s="16">
        <v>0</v>
      </c>
      <c r="K42" s="16">
        <v>1000</v>
      </c>
      <c r="L42" s="16">
        <v>86400</v>
      </c>
      <c r="M42" s="16">
        <v>0</v>
      </c>
      <c r="N42">
        <f t="array" aca="1" ref="N42" ca="1">MATCH(TRUE,EXACT(I42,OFFSET(rngParamTypes,0,6,,1)),0)</f>
        <v>130</v>
      </c>
      <c r="O42" t="str">
        <f ca="1">IF((INDEX(rngParamTypes,$N42,7)=I42),"",1)</f>
        <v/>
      </c>
      <c r="P42">
        <f ca="1">INDEX(rngParamTypes,$N42,9)</f>
        <v>0</v>
      </c>
      <c r="Q42">
        <f ca="1">INDEX(rngParamTypes,$N42,10)</f>
        <v>2</v>
      </c>
      <c r="R42">
        <f ca="1">INDEX(rngParamTypes,$N42,11)</f>
        <v>-1</v>
      </c>
      <c r="S42">
        <f ca="1">INDEX(rngParamTypes,$N42,12)</f>
        <v>0</v>
      </c>
      <c r="T42">
        <f ca="1">INDEX(rngParamTypes,$N42,13)</f>
        <v>0</v>
      </c>
      <c r="U42">
        <f ca="1">INDEX(rngParamTypes,$N42,14)</f>
        <v>0</v>
      </c>
      <c r="V42">
        <f ca="1">INDEX(rngParamTypes,$N42,15)</f>
        <v>0</v>
      </c>
      <c r="W42">
        <f ca="1">INDEX(rngParamTypes,$N42,16)</f>
        <v>0</v>
      </c>
      <c r="X42">
        <f ca="1">INDEX(rngParamTypes,$N42,17)</f>
        <v>0</v>
      </c>
      <c r="Y42">
        <f ca="1">INDEX(rngParamTypes,$N42,18)</f>
        <v>0</v>
      </c>
    </row>
    <row r="43" spans="1:25" x14ac:dyDescent="0.2">
      <c r="A43" s="16">
        <v>42</v>
      </c>
      <c r="B43" s="37">
        <v>1</v>
      </c>
      <c r="C43" s="16" t="s">
        <v>674</v>
      </c>
      <c r="D43" s="16" t="s">
        <v>674</v>
      </c>
      <c r="E43" s="16">
        <v>2</v>
      </c>
      <c r="F43" s="16" t="s">
        <v>4247</v>
      </c>
      <c r="G43" s="16" t="s">
        <v>343</v>
      </c>
      <c r="H43" s="16" t="s">
        <v>673</v>
      </c>
      <c r="I43" s="16" t="s">
        <v>344</v>
      </c>
      <c r="J43" s="16">
        <v>0</v>
      </c>
      <c r="K43" s="16">
        <v>1000</v>
      </c>
      <c r="L43" s="16">
        <v>3600</v>
      </c>
      <c r="M43" s="16">
        <v>0</v>
      </c>
      <c r="N43">
        <f t="array" aca="1" ref="N43" ca="1">MATCH(TRUE,EXACT(I43,OFFSET(rngParamTypes,0,6,,1)),0)</f>
        <v>141</v>
      </c>
      <c r="O43" t="str">
        <f ca="1">IF((INDEX(rngParamTypes,$N43,7)=I43),"",1)</f>
        <v/>
      </c>
      <c r="P43">
        <f ca="1">INDEX(rngParamTypes,$N43,9)</f>
        <v>0</v>
      </c>
      <c r="Q43">
        <f ca="1">INDEX(rngParamTypes,$N43,10)</f>
        <v>3</v>
      </c>
      <c r="R43">
        <f ca="1">INDEX(rngParamTypes,$N43,11)</f>
        <v>-1</v>
      </c>
      <c r="S43">
        <f ca="1">INDEX(rngParamTypes,$N43,12)</f>
        <v>0</v>
      </c>
      <c r="T43">
        <f ca="1">INDEX(rngParamTypes,$N43,13)</f>
        <v>0</v>
      </c>
      <c r="U43">
        <f ca="1">INDEX(rngParamTypes,$N43,14)</f>
        <v>0</v>
      </c>
      <c r="V43">
        <f ca="1">INDEX(rngParamTypes,$N43,15)</f>
        <v>0</v>
      </c>
      <c r="W43">
        <f ca="1">INDEX(rngParamTypes,$N43,16)</f>
        <v>0</v>
      </c>
      <c r="X43">
        <f ca="1">INDEX(rngParamTypes,$N43,17)</f>
        <v>0</v>
      </c>
      <c r="Y43">
        <f ca="1">INDEX(rngParamTypes,$N43,18)</f>
        <v>0</v>
      </c>
    </row>
    <row r="44" spans="1:25" x14ac:dyDescent="0.2">
      <c r="A44" s="16">
        <v>43</v>
      </c>
      <c r="B44" s="37">
        <v>1</v>
      </c>
      <c r="C44" s="16" t="s">
        <v>676</v>
      </c>
      <c r="D44" s="16" t="s">
        <v>676</v>
      </c>
      <c r="E44" s="16"/>
      <c r="F44" s="16" t="s">
        <v>4248</v>
      </c>
      <c r="G44" s="16" t="s">
        <v>664</v>
      </c>
      <c r="H44" s="16" t="s">
        <v>675</v>
      </c>
      <c r="I44" s="16" t="s">
        <v>319</v>
      </c>
      <c r="J44" s="16">
        <v>0</v>
      </c>
      <c r="K44" s="16">
        <v>1000</v>
      </c>
      <c r="L44" s="16">
        <v>3600</v>
      </c>
      <c r="M44" s="16">
        <v>0</v>
      </c>
      <c r="N44">
        <f t="array" aca="1" ref="N44" ca="1">MATCH(TRUE,EXACT(I44,OFFSET(rngParamTypes,0,6,,1)),0)</f>
        <v>130</v>
      </c>
      <c r="O44" t="str">
        <f ca="1">IF((INDEX(rngParamTypes,$N44,7)=I44),"",1)</f>
        <v/>
      </c>
      <c r="P44">
        <f ca="1">INDEX(rngParamTypes,$N44,9)</f>
        <v>0</v>
      </c>
      <c r="Q44">
        <f ca="1">INDEX(rngParamTypes,$N44,10)</f>
        <v>2</v>
      </c>
      <c r="R44">
        <f ca="1">INDEX(rngParamTypes,$N44,11)</f>
        <v>-1</v>
      </c>
      <c r="S44">
        <f ca="1">INDEX(rngParamTypes,$N44,12)</f>
        <v>0</v>
      </c>
      <c r="T44">
        <f ca="1">INDEX(rngParamTypes,$N44,13)</f>
        <v>0</v>
      </c>
      <c r="U44">
        <f ca="1">INDEX(rngParamTypes,$N44,14)</f>
        <v>0</v>
      </c>
      <c r="V44">
        <f ca="1">INDEX(rngParamTypes,$N44,15)</f>
        <v>0</v>
      </c>
      <c r="W44">
        <f ca="1">INDEX(rngParamTypes,$N44,16)</f>
        <v>0</v>
      </c>
      <c r="X44">
        <f ca="1">INDEX(rngParamTypes,$N44,17)</f>
        <v>0</v>
      </c>
      <c r="Y44">
        <f ca="1">INDEX(rngParamTypes,$N44,18)</f>
        <v>0</v>
      </c>
    </row>
    <row r="45" spans="1:25" x14ac:dyDescent="0.2">
      <c r="A45" s="16">
        <v>44</v>
      </c>
      <c r="B45" s="37">
        <v>1</v>
      </c>
      <c r="C45" s="16" t="s">
        <v>679</v>
      </c>
      <c r="D45" s="16" t="s">
        <v>679</v>
      </c>
      <c r="E45" s="16"/>
      <c r="F45" s="16" t="s">
        <v>4249</v>
      </c>
      <c r="G45" s="16" t="s">
        <v>358</v>
      </c>
      <c r="H45" s="16" t="s">
        <v>678</v>
      </c>
      <c r="I45" s="16" t="s">
        <v>359</v>
      </c>
      <c r="J45" s="16">
        <v>0</v>
      </c>
      <c r="K45" s="16">
        <v>1000</v>
      </c>
      <c r="L45" s="16">
        <v>86400</v>
      </c>
      <c r="M45" s="16">
        <v>0</v>
      </c>
      <c r="N45">
        <f t="array" aca="1" ref="N45" ca="1">MATCH(TRUE,EXACT(I45,OFFSET(rngParamTypes,0,6,,1)),0)</f>
        <v>147</v>
      </c>
      <c r="O45" t="str">
        <f ca="1">IF((INDEX(rngParamTypes,$N45,7)=I45),"",1)</f>
        <v/>
      </c>
      <c r="P45">
        <f ca="1">INDEX(rngParamTypes,$N45,9)</f>
        <v>0</v>
      </c>
      <c r="Q45">
        <f ca="1">INDEX(rngParamTypes,$N45,10)</f>
        <v>4</v>
      </c>
      <c r="R45">
        <f ca="1">INDEX(rngParamTypes,$N45,11)</f>
        <v>-1</v>
      </c>
      <c r="S45">
        <f ca="1">INDEX(rngParamTypes,$N45,12)</f>
        <v>0</v>
      </c>
      <c r="T45">
        <f ca="1">INDEX(rngParamTypes,$N45,13)</f>
        <v>0</v>
      </c>
      <c r="U45">
        <f ca="1">INDEX(rngParamTypes,$N45,14)</f>
        <v>0</v>
      </c>
      <c r="V45">
        <f ca="1">INDEX(rngParamTypes,$N45,15)</f>
        <v>0</v>
      </c>
      <c r="W45">
        <f ca="1">INDEX(rngParamTypes,$N45,16)</f>
        <v>0</v>
      </c>
      <c r="X45">
        <f ca="1">INDEX(rngParamTypes,$N45,17)</f>
        <v>0</v>
      </c>
      <c r="Y45">
        <f ca="1">INDEX(rngParamTypes,$N45,18)</f>
        <v>0</v>
      </c>
    </row>
    <row r="46" spans="1:25" x14ac:dyDescent="0.2">
      <c r="A46" s="16">
        <v>45</v>
      </c>
      <c r="B46" s="37">
        <v>1</v>
      </c>
      <c r="C46" s="16" t="s">
        <v>681</v>
      </c>
      <c r="D46" s="16" t="s">
        <v>681</v>
      </c>
      <c r="E46" s="16">
        <v>2</v>
      </c>
      <c r="F46" s="16" t="s">
        <v>4250</v>
      </c>
      <c r="G46" s="16" t="s">
        <v>469</v>
      </c>
      <c r="H46" s="16" t="s">
        <v>680</v>
      </c>
      <c r="I46" s="16" t="s">
        <v>470</v>
      </c>
      <c r="J46" s="16">
        <v>0</v>
      </c>
      <c r="K46" s="16">
        <v>3155815000000</v>
      </c>
      <c r="L46" s="16">
        <v>1</v>
      </c>
      <c r="M46" s="16">
        <v>0</v>
      </c>
      <c r="N46">
        <f t="array" aca="1" ref="N46" ca="1">MATCH(TRUE,EXACT(I46,OFFSET(rngParamTypes,0,6,,1)),0)</f>
        <v>190</v>
      </c>
      <c r="O46" t="str">
        <f ca="1">IF((INDEX(rngParamTypes,$N46,7)=I46),"",1)</f>
        <v/>
      </c>
      <c r="P46">
        <f ca="1">INDEX(rngParamTypes,$N46,9)</f>
        <v>0</v>
      </c>
      <c r="Q46">
        <f ca="1">INDEX(rngParamTypes,$N46,10)</f>
        <v>0</v>
      </c>
      <c r="R46">
        <f ca="1">INDEX(rngParamTypes,$N46,11)</f>
        <v>1</v>
      </c>
      <c r="S46">
        <f ca="1">INDEX(rngParamTypes,$N46,12)</f>
        <v>0</v>
      </c>
      <c r="T46">
        <f ca="1">INDEX(rngParamTypes,$N46,13)</f>
        <v>0</v>
      </c>
      <c r="U46">
        <f ca="1">INDEX(rngParamTypes,$N46,14)</f>
        <v>0</v>
      </c>
      <c r="V46">
        <f ca="1">INDEX(rngParamTypes,$N46,15)</f>
        <v>0</v>
      </c>
      <c r="W46">
        <f ca="1">INDEX(rngParamTypes,$N46,16)</f>
        <v>0</v>
      </c>
      <c r="X46">
        <f ca="1">INDEX(rngParamTypes,$N46,17)</f>
        <v>0</v>
      </c>
      <c r="Y46">
        <f ca="1">INDEX(rngParamTypes,$N46,18)</f>
        <v>0</v>
      </c>
    </row>
    <row r="47" spans="1:25" x14ac:dyDescent="0.2">
      <c r="A47" s="16">
        <v>46</v>
      </c>
      <c r="B47" s="37">
        <v>1</v>
      </c>
      <c r="C47" s="16" t="s">
        <v>683</v>
      </c>
      <c r="D47" s="16" t="s">
        <v>683</v>
      </c>
      <c r="E47" s="16">
        <v>2</v>
      </c>
      <c r="F47" s="16" t="s">
        <v>4251</v>
      </c>
      <c r="G47" s="16" t="s">
        <v>3253</v>
      </c>
      <c r="H47" s="16" t="s">
        <v>682</v>
      </c>
      <c r="I47" s="16" t="s">
        <v>252</v>
      </c>
      <c r="J47" s="16">
        <v>0</v>
      </c>
      <c r="K47" s="16">
        <v>10000</v>
      </c>
      <c r="L47" s="16">
        <v>1</v>
      </c>
      <c r="M47" s="16">
        <v>0</v>
      </c>
      <c r="N47">
        <f t="array" aca="1" ref="N47" ca="1">MATCH(TRUE,EXACT(I47,OFFSET(rngParamTypes,0,6,,1)),0)</f>
        <v>99</v>
      </c>
      <c r="O47" t="str">
        <f ca="1">IF((INDEX(rngParamTypes,$N47,7)=I47),"",1)</f>
        <v/>
      </c>
      <c r="P47">
        <f ca="1">INDEX(rngParamTypes,$N47,9)</f>
        <v>1</v>
      </c>
      <c r="Q47">
        <f ca="1">INDEX(rngParamTypes,$N47,10)</f>
        <v>-3</v>
      </c>
      <c r="R47">
        <f ca="1">INDEX(rngParamTypes,$N47,11)</f>
        <v>0</v>
      </c>
      <c r="S47">
        <f ca="1">INDEX(rngParamTypes,$N47,12)</f>
        <v>0</v>
      </c>
      <c r="T47">
        <f ca="1">INDEX(rngParamTypes,$N47,13)</f>
        <v>0</v>
      </c>
      <c r="U47">
        <f ca="1">INDEX(rngParamTypes,$N47,14)</f>
        <v>0</v>
      </c>
      <c r="V47">
        <f ca="1">INDEX(rngParamTypes,$N47,15)</f>
        <v>0</v>
      </c>
      <c r="W47">
        <f ca="1">INDEX(rngParamTypes,$N47,16)</f>
        <v>0</v>
      </c>
      <c r="X47">
        <f ca="1">INDEX(rngParamTypes,$N47,17)</f>
        <v>0</v>
      </c>
      <c r="Y47">
        <f ca="1">INDEX(rngParamTypes,$N47,18)</f>
        <v>0</v>
      </c>
    </row>
    <row r="48" spans="1:25" x14ac:dyDescent="0.2">
      <c r="A48" s="16">
        <v>47</v>
      </c>
      <c r="B48" s="37">
        <v>1</v>
      </c>
      <c r="C48" s="16" t="s">
        <v>685</v>
      </c>
      <c r="D48" s="16" t="s">
        <v>685</v>
      </c>
      <c r="E48" s="16">
        <v>2</v>
      </c>
      <c r="F48" s="16" t="s">
        <v>3254</v>
      </c>
      <c r="G48" s="16" t="s">
        <v>469</v>
      </c>
      <c r="H48" s="16" t="s">
        <v>684</v>
      </c>
      <c r="I48" s="16" t="s">
        <v>470</v>
      </c>
      <c r="J48" s="16">
        <v>0</v>
      </c>
      <c r="K48" s="16">
        <v>31558150</v>
      </c>
      <c r="L48" s="16">
        <v>1</v>
      </c>
      <c r="M48" s="16">
        <v>0</v>
      </c>
      <c r="N48">
        <f t="array" aca="1" ref="N48" ca="1">MATCH(TRUE,EXACT(I48,OFFSET(rngParamTypes,0,6,,1)),0)</f>
        <v>190</v>
      </c>
      <c r="O48" t="str">
        <f ca="1">IF((INDEX(rngParamTypes,$N48,7)=I48),"",1)</f>
        <v/>
      </c>
      <c r="P48">
        <f ca="1">INDEX(rngParamTypes,$N48,9)</f>
        <v>0</v>
      </c>
      <c r="Q48">
        <f ca="1">INDEX(rngParamTypes,$N48,10)</f>
        <v>0</v>
      </c>
      <c r="R48">
        <f ca="1">INDEX(rngParamTypes,$N48,11)</f>
        <v>1</v>
      </c>
      <c r="S48">
        <f ca="1">INDEX(rngParamTypes,$N48,12)</f>
        <v>0</v>
      </c>
      <c r="T48">
        <f ca="1">INDEX(rngParamTypes,$N48,13)</f>
        <v>0</v>
      </c>
      <c r="U48">
        <f ca="1">INDEX(rngParamTypes,$N48,14)</f>
        <v>0</v>
      </c>
      <c r="V48">
        <f ca="1">INDEX(rngParamTypes,$N48,15)</f>
        <v>0</v>
      </c>
      <c r="W48">
        <f ca="1">INDEX(rngParamTypes,$N48,16)</f>
        <v>0</v>
      </c>
      <c r="X48">
        <f ca="1">INDEX(rngParamTypes,$N48,17)</f>
        <v>0</v>
      </c>
      <c r="Y48">
        <f ca="1">INDEX(rngParamTypes,$N48,18)</f>
        <v>0</v>
      </c>
    </row>
    <row r="49" spans="1:25" x14ac:dyDescent="0.2">
      <c r="A49" s="16">
        <v>48</v>
      </c>
      <c r="B49" s="37">
        <v>1</v>
      </c>
      <c r="C49" s="16" t="s">
        <v>687</v>
      </c>
      <c r="D49" s="16" t="s">
        <v>687</v>
      </c>
      <c r="E49" s="16"/>
      <c r="F49" s="16" t="s">
        <v>3255</v>
      </c>
      <c r="G49" s="16" t="s">
        <v>3256</v>
      </c>
      <c r="H49" s="16" t="s">
        <v>686</v>
      </c>
      <c r="I49" s="16" t="s">
        <v>93</v>
      </c>
      <c r="J49" s="16">
        <v>0</v>
      </c>
      <c r="K49" s="16">
        <v>3600</v>
      </c>
      <c r="L49" s="16">
        <v>1</v>
      </c>
      <c r="M49" s="16">
        <v>0</v>
      </c>
      <c r="N49">
        <f t="array" aca="1" ref="N49" ca="1">MATCH(TRUE,EXACT(I49,OFFSET(rngParamTypes,0,6,,1)),0)</f>
        <v>30</v>
      </c>
      <c r="O49" t="str">
        <f ca="1">IF((INDEX(rngParamTypes,$N49,7)=I49),"",1)</f>
        <v/>
      </c>
      <c r="P49">
        <f ca="1">INDEX(rngParamTypes,$N49,9)</f>
        <v>0</v>
      </c>
      <c r="Q49">
        <f ca="1">INDEX(rngParamTypes,$N49,10)</f>
        <v>0</v>
      </c>
      <c r="R49">
        <f ca="1">INDEX(rngParamTypes,$N49,11)</f>
        <v>1</v>
      </c>
      <c r="S49">
        <f ca="1">INDEX(rngParamTypes,$N49,12)</f>
        <v>1</v>
      </c>
      <c r="T49">
        <f ca="1">INDEX(rngParamTypes,$N49,13)</f>
        <v>0</v>
      </c>
      <c r="U49">
        <f ca="1">INDEX(rngParamTypes,$N49,14)</f>
        <v>0</v>
      </c>
      <c r="V49">
        <f ca="1">INDEX(rngParamTypes,$N49,15)</f>
        <v>0</v>
      </c>
      <c r="W49">
        <f ca="1">INDEX(rngParamTypes,$N49,16)</f>
        <v>0</v>
      </c>
      <c r="X49">
        <f ca="1">INDEX(rngParamTypes,$N49,17)</f>
        <v>0</v>
      </c>
      <c r="Y49">
        <f ca="1">INDEX(rngParamTypes,$N49,18)</f>
        <v>0</v>
      </c>
    </row>
    <row r="50" spans="1:25" x14ac:dyDescent="0.2">
      <c r="A50" s="16">
        <v>49</v>
      </c>
      <c r="B50" s="37">
        <v>1</v>
      </c>
      <c r="C50" s="16" t="s">
        <v>689</v>
      </c>
      <c r="D50" s="16" t="s">
        <v>689</v>
      </c>
      <c r="E50" s="16"/>
      <c r="F50" s="16" t="s">
        <v>3257</v>
      </c>
      <c r="G50" s="16" t="s">
        <v>57</v>
      </c>
      <c r="H50" s="16" t="s">
        <v>688</v>
      </c>
      <c r="I50" s="16" t="s">
        <v>58</v>
      </c>
      <c r="J50" s="16">
        <v>0</v>
      </c>
      <c r="K50" s="16">
        <v>10000</v>
      </c>
      <c r="L50" s="16">
        <v>1</v>
      </c>
      <c r="M50" s="16">
        <v>0</v>
      </c>
      <c r="N50">
        <f t="array" aca="1" ref="N50" ca="1">MATCH(TRUE,EXACT(I50,OFFSET(rngParamTypes,0,6,,1)),0)</f>
        <v>22</v>
      </c>
      <c r="O50" t="str">
        <f ca="1">IF((INDEX(rngParamTypes,$N50,7)=I50),"",1)</f>
        <v/>
      </c>
      <c r="P50">
        <f ca="1">INDEX(rngParamTypes,$N50,9)</f>
        <v>0</v>
      </c>
      <c r="Q50">
        <f ca="1">INDEX(rngParamTypes,$N50,10)</f>
        <v>-2</v>
      </c>
      <c r="R50">
        <f ca="1">INDEX(rngParamTypes,$N50,11)</f>
        <v>0</v>
      </c>
      <c r="S50">
        <f ca="1">INDEX(rngParamTypes,$N50,12)</f>
        <v>1</v>
      </c>
      <c r="T50">
        <f ca="1">INDEX(rngParamTypes,$N50,13)</f>
        <v>0</v>
      </c>
      <c r="U50">
        <f ca="1">INDEX(rngParamTypes,$N50,14)</f>
        <v>0</v>
      </c>
      <c r="V50">
        <f ca="1">INDEX(rngParamTypes,$N50,15)</f>
        <v>0</v>
      </c>
      <c r="W50">
        <f ca="1">INDEX(rngParamTypes,$N50,16)</f>
        <v>0</v>
      </c>
      <c r="X50">
        <f ca="1">INDEX(rngParamTypes,$N50,17)</f>
        <v>0</v>
      </c>
      <c r="Y50">
        <f ca="1">INDEX(rngParamTypes,$N50,18)</f>
        <v>0</v>
      </c>
    </row>
    <row r="51" spans="1:25" x14ac:dyDescent="0.2">
      <c r="A51" s="16">
        <v>50</v>
      </c>
      <c r="B51" s="37">
        <v>1</v>
      </c>
      <c r="C51" s="16" t="s">
        <v>691</v>
      </c>
      <c r="D51" s="16" t="s">
        <v>691</v>
      </c>
      <c r="E51" s="16"/>
      <c r="F51" s="16" t="s">
        <v>3258</v>
      </c>
      <c r="G51" s="16" t="s">
        <v>57</v>
      </c>
      <c r="H51" s="16" t="s">
        <v>690</v>
      </c>
      <c r="I51" s="16" t="s">
        <v>58</v>
      </c>
      <c r="J51" s="16">
        <v>0</v>
      </c>
      <c r="K51" s="16">
        <v>1</v>
      </c>
      <c r="L51" s="16">
        <v>9.2903040000000006E-2</v>
      </c>
      <c r="M51" s="16">
        <v>0</v>
      </c>
      <c r="N51">
        <f t="array" aca="1" ref="N51" ca="1">MATCH(TRUE,EXACT(I51,OFFSET(rngParamTypes,0,6,,1)),0)</f>
        <v>22</v>
      </c>
      <c r="O51" t="str">
        <f ca="1">IF((INDEX(rngParamTypes,$N51,7)=I51),"",1)</f>
        <v/>
      </c>
      <c r="P51">
        <f ca="1">INDEX(rngParamTypes,$N51,9)</f>
        <v>0</v>
      </c>
      <c r="Q51">
        <f ca="1">INDEX(rngParamTypes,$N51,10)</f>
        <v>-2</v>
      </c>
      <c r="R51">
        <f ca="1">INDEX(rngParamTypes,$N51,11)</f>
        <v>0</v>
      </c>
      <c r="S51">
        <f ca="1">INDEX(rngParamTypes,$N51,12)</f>
        <v>1</v>
      </c>
      <c r="T51">
        <f ca="1">INDEX(rngParamTypes,$N51,13)</f>
        <v>0</v>
      </c>
      <c r="U51">
        <f ca="1">INDEX(rngParamTypes,$N51,14)</f>
        <v>0</v>
      </c>
      <c r="V51">
        <f ca="1">INDEX(rngParamTypes,$N51,15)</f>
        <v>0</v>
      </c>
      <c r="W51">
        <f ca="1">INDEX(rngParamTypes,$N51,16)</f>
        <v>0</v>
      </c>
      <c r="X51">
        <f ca="1">INDEX(rngParamTypes,$N51,17)</f>
        <v>0</v>
      </c>
      <c r="Y51">
        <f ca="1">INDEX(rngParamTypes,$N51,18)</f>
        <v>0</v>
      </c>
    </row>
    <row r="52" spans="1:25" x14ac:dyDescent="0.2">
      <c r="A52" s="16">
        <v>51</v>
      </c>
      <c r="B52" s="37">
        <v>1</v>
      </c>
      <c r="C52" s="16" t="s">
        <v>693</v>
      </c>
      <c r="D52" s="16" t="s">
        <v>693</v>
      </c>
      <c r="E52" s="16"/>
      <c r="F52" s="16" t="s">
        <v>3259</v>
      </c>
      <c r="G52" s="16" t="s">
        <v>3260</v>
      </c>
      <c r="H52" s="16" t="s">
        <v>692</v>
      </c>
      <c r="I52" s="16" t="s">
        <v>55</v>
      </c>
      <c r="J52" s="16">
        <v>0</v>
      </c>
      <c r="K52" s="16">
        <v>1000</v>
      </c>
      <c r="L52" s="16">
        <v>1</v>
      </c>
      <c r="M52" s="16">
        <v>0</v>
      </c>
      <c r="N52">
        <f t="array" aca="1" ref="N52" ca="1">MATCH(TRUE,EXACT(I52,OFFSET(rngParamTypes,0,6,,1)),0)</f>
        <v>19</v>
      </c>
      <c r="O52" t="str">
        <f ca="1">IF((INDEX(rngParamTypes,$N52,7)=I52),"",1)</f>
        <v/>
      </c>
      <c r="P52">
        <f ca="1">INDEX(rngParamTypes,$N52,9)</f>
        <v>0</v>
      </c>
      <c r="Q52">
        <f ca="1">INDEX(rngParamTypes,$N52,10)</f>
        <v>-1</v>
      </c>
      <c r="R52">
        <f ca="1">INDEX(rngParamTypes,$N52,11)</f>
        <v>0</v>
      </c>
      <c r="S52">
        <f ca="1">INDEX(rngParamTypes,$N52,12)</f>
        <v>1</v>
      </c>
      <c r="T52">
        <f ca="1">INDEX(rngParamTypes,$N52,13)</f>
        <v>0</v>
      </c>
      <c r="U52">
        <f ca="1">INDEX(rngParamTypes,$N52,14)</f>
        <v>0</v>
      </c>
      <c r="V52">
        <f ca="1">INDEX(rngParamTypes,$N52,15)</f>
        <v>0</v>
      </c>
      <c r="W52">
        <f ca="1">INDEX(rngParamTypes,$N52,16)</f>
        <v>0</v>
      </c>
      <c r="X52">
        <f ca="1">INDEX(rngParamTypes,$N52,17)</f>
        <v>0</v>
      </c>
      <c r="Y52">
        <f ca="1">INDEX(rngParamTypes,$N52,18)</f>
        <v>0</v>
      </c>
    </row>
    <row r="53" spans="1:25" x14ac:dyDescent="0.2">
      <c r="A53" s="16">
        <v>52</v>
      </c>
      <c r="B53" s="37">
        <v>1</v>
      </c>
      <c r="C53" s="16" t="s">
        <v>695</v>
      </c>
      <c r="D53" s="16" t="s">
        <v>695</v>
      </c>
      <c r="E53" s="16"/>
      <c r="F53" s="16" t="s">
        <v>3261</v>
      </c>
      <c r="G53" s="16" t="s">
        <v>57</v>
      </c>
      <c r="H53" s="16" t="s">
        <v>694</v>
      </c>
      <c r="I53" s="16" t="s">
        <v>58</v>
      </c>
      <c r="J53" s="16">
        <v>0</v>
      </c>
      <c r="K53" s="16">
        <v>1000000</v>
      </c>
      <c r="L53" s="16">
        <v>1</v>
      </c>
      <c r="M53" s="16">
        <v>0</v>
      </c>
      <c r="N53">
        <f t="array" aca="1" ref="N53" ca="1">MATCH(TRUE,EXACT(I53,OFFSET(rngParamTypes,0,6,,1)),0)</f>
        <v>22</v>
      </c>
      <c r="O53" t="str">
        <f ca="1">IF((INDEX(rngParamTypes,$N53,7)=I53),"",1)</f>
        <v/>
      </c>
      <c r="P53">
        <f ca="1">INDEX(rngParamTypes,$N53,9)</f>
        <v>0</v>
      </c>
      <c r="Q53">
        <f ca="1">INDEX(rngParamTypes,$N53,10)</f>
        <v>-2</v>
      </c>
      <c r="R53">
        <f ca="1">INDEX(rngParamTypes,$N53,11)</f>
        <v>0</v>
      </c>
      <c r="S53">
        <f ca="1">INDEX(rngParamTypes,$N53,12)</f>
        <v>1</v>
      </c>
      <c r="T53">
        <f ca="1">INDEX(rngParamTypes,$N53,13)</f>
        <v>0</v>
      </c>
      <c r="U53">
        <f ca="1">INDEX(rngParamTypes,$N53,14)</f>
        <v>0</v>
      </c>
      <c r="V53">
        <f ca="1">INDEX(rngParamTypes,$N53,15)</f>
        <v>0</v>
      </c>
      <c r="W53">
        <f ca="1">INDEX(rngParamTypes,$N53,16)</f>
        <v>0</v>
      </c>
      <c r="X53">
        <f ca="1">INDEX(rngParamTypes,$N53,17)</f>
        <v>0</v>
      </c>
      <c r="Y53">
        <f ca="1">INDEX(rngParamTypes,$N53,18)</f>
        <v>0</v>
      </c>
    </row>
    <row r="54" spans="1:25" x14ac:dyDescent="0.2">
      <c r="A54" s="16">
        <v>53</v>
      </c>
      <c r="B54" s="37">
        <v>1</v>
      </c>
      <c r="C54" s="16" t="s">
        <v>696</v>
      </c>
      <c r="D54" s="16" t="s">
        <v>696</v>
      </c>
      <c r="E54" s="16">
        <v>2</v>
      </c>
      <c r="F54" s="16" t="s">
        <v>3262</v>
      </c>
      <c r="G54" s="16" t="s">
        <v>302</v>
      </c>
      <c r="H54" s="16" t="s">
        <v>696</v>
      </c>
      <c r="I54" s="16" t="s">
        <v>303</v>
      </c>
      <c r="J54" s="16">
        <v>0</v>
      </c>
      <c r="K54" s="16">
        <v>4046.873</v>
      </c>
      <c r="L54" s="16">
        <v>1</v>
      </c>
      <c r="M54" s="16">
        <v>0</v>
      </c>
      <c r="N54">
        <f t="array" aca="1" ref="N54" ca="1">MATCH(TRUE,EXACT(I54,OFFSET(rngParamTypes,0,6,,1)),0)</f>
        <v>125</v>
      </c>
      <c r="O54" t="str">
        <f ca="1">IF((INDEX(rngParamTypes,$N54,7)=I54),"",1)</f>
        <v/>
      </c>
      <c r="P54">
        <f ca="1">INDEX(rngParamTypes,$N54,9)</f>
        <v>0</v>
      </c>
      <c r="Q54">
        <f ca="1">INDEX(rngParamTypes,$N54,10)</f>
        <v>2</v>
      </c>
      <c r="R54">
        <f ca="1">INDEX(rngParamTypes,$N54,11)</f>
        <v>0</v>
      </c>
      <c r="S54">
        <f ca="1">INDEX(rngParamTypes,$N54,12)</f>
        <v>0</v>
      </c>
      <c r="T54">
        <f ca="1">INDEX(rngParamTypes,$N54,13)</f>
        <v>0</v>
      </c>
      <c r="U54">
        <f ca="1">INDEX(rngParamTypes,$N54,14)</f>
        <v>0</v>
      </c>
      <c r="V54">
        <f ca="1">INDEX(rngParamTypes,$N54,15)</f>
        <v>0</v>
      </c>
      <c r="W54">
        <f ca="1">INDEX(rngParamTypes,$N54,16)</f>
        <v>0</v>
      </c>
      <c r="X54">
        <f ca="1">INDEX(rngParamTypes,$N54,17)</f>
        <v>0</v>
      </c>
      <c r="Y54">
        <f ca="1">INDEX(rngParamTypes,$N54,18)</f>
        <v>0</v>
      </c>
    </row>
    <row r="55" spans="1:25" x14ac:dyDescent="0.2">
      <c r="A55" s="16">
        <v>54</v>
      </c>
      <c r="B55" s="37">
        <v>1</v>
      </c>
      <c r="C55" s="16" t="s">
        <v>698</v>
      </c>
      <c r="D55" s="16" t="s">
        <v>698</v>
      </c>
      <c r="E55" s="16">
        <v>2</v>
      </c>
      <c r="F55" s="16" t="s">
        <v>3263</v>
      </c>
      <c r="G55" s="16" t="s">
        <v>321</v>
      </c>
      <c r="H55" s="16" t="s">
        <v>697</v>
      </c>
      <c r="I55" s="16" t="s">
        <v>322</v>
      </c>
      <c r="J55" s="16">
        <v>0</v>
      </c>
      <c r="K55" s="16">
        <v>1233.489</v>
      </c>
      <c r="L55" s="16">
        <v>1</v>
      </c>
      <c r="M55" s="16">
        <v>0</v>
      </c>
      <c r="N55">
        <f t="array" aca="1" ref="N55" ca="1">MATCH(TRUE,EXACT(I55,OFFSET(rngParamTypes,0,6,,1)),0)</f>
        <v>134</v>
      </c>
      <c r="O55" t="str">
        <f ca="1">IF((INDEX(rngParamTypes,$N55,7)=I55),"",1)</f>
        <v/>
      </c>
      <c r="P55">
        <f ca="1">INDEX(rngParamTypes,$N55,9)</f>
        <v>0</v>
      </c>
      <c r="Q55">
        <f ca="1">INDEX(rngParamTypes,$N55,10)</f>
        <v>3</v>
      </c>
      <c r="R55">
        <f ca="1">INDEX(rngParamTypes,$N55,11)</f>
        <v>0</v>
      </c>
      <c r="S55">
        <f ca="1">INDEX(rngParamTypes,$N55,12)</f>
        <v>0</v>
      </c>
      <c r="T55">
        <f ca="1">INDEX(rngParamTypes,$N55,13)</f>
        <v>0</v>
      </c>
      <c r="U55">
        <f ca="1">INDEX(rngParamTypes,$N55,14)</f>
        <v>0</v>
      </c>
      <c r="V55">
        <f ca="1">INDEX(rngParamTypes,$N55,15)</f>
        <v>0</v>
      </c>
      <c r="W55">
        <f ca="1">INDEX(rngParamTypes,$N55,16)</f>
        <v>0</v>
      </c>
      <c r="X55">
        <f ca="1">INDEX(rngParamTypes,$N55,17)</f>
        <v>0</v>
      </c>
      <c r="Y55">
        <f ca="1">INDEX(rngParamTypes,$N55,18)</f>
        <v>0</v>
      </c>
    </row>
    <row r="56" spans="1:25" x14ac:dyDescent="0.2">
      <c r="A56" s="16">
        <v>55</v>
      </c>
      <c r="B56" s="37">
        <v>1</v>
      </c>
      <c r="C56" s="16" t="s">
        <v>700</v>
      </c>
      <c r="D56" s="16" t="s">
        <v>700</v>
      </c>
      <c r="E56" s="16"/>
      <c r="F56" s="16" t="s">
        <v>3264</v>
      </c>
      <c r="G56" s="16" t="s">
        <v>349</v>
      </c>
      <c r="H56" s="16" t="s">
        <v>699</v>
      </c>
      <c r="I56" s="16" t="s">
        <v>352</v>
      </c>
      <c r="J56" s="16">
        <v>0</v>
      </c>
      <c r="K56" s="16">
        <v>1233.489</v>
      </c>
      <c r="L56" s="16">
        <v>158987.29999999999</v>
      </c>
      <c r="M56" s="16">
        <v>0</v>
      </c>
      <c r="N56">
        <f t="array" aca="1" ref="N56" ca="1">MATCH(TRUE,EXACT(I56,OFFSET(rngParamTypes,0,6,,1)),0)</f>
        <v>144</v>
      </c>
      <c r="O56" t="str">
        <f ca="1">IF((INDEX(rngParamTypes,$N56,7)=I56),"",1)</f>
        <v/>
      </c>
      <c r="P56">
        <f ca="1">INDEX(rngParamTypes,$N56,9)</f>
        <v>0</v>
      </c>
      <c r="Q56">
        <f ca="1">INDEX(rngParamTypes,$N56,10)</f>
        <v>0</v>
      </c>
      <c r="R56">
        <f ca="1">INDEX(rngParamTypes,$N56,11)</f>
        <v>0</v>
      </c>
      <c r="S56">
        <f ca="1">INDEX(rngParamTypes,$N56,12)</f>
        <v>0</v>
      </c>
      <c r="T56">
        <f ca="1">INDEX(rngParamTypes,$N56,13)</f>
        <v>0</v>
      </c>
      <c r="U56">
        <f ca="1">INDEX(rngParamTypes,$N56,14)</f>
        <v>0</v>
      </c>
      <c r="V56">
        <f ca="1">INDEX(rngParamTypes,$N56,15)</f>
        <v>0</v>
      </c>
      <c r="W56">
        <f ca="1">INDEX(rngParamTypes,$N56,16)</f>
        <v>0</v>
      </c>
      <c r="X56">
        <f ca="1">INDEX(rngParamTypes,$N56,17)</f>
        <v>0</v>
      </c>
      <c r="Y56">
        <f ca="1">INDEX(rngParamTypes,$N56,18)</f>
        <v>0</v>
      </c>
    </row>
    <row r="57" spans="1:25" x14ac:dyDescent="0.2">
      <c r="A57" s="16">
        <v>56</v>
      </c>
      <c r="B57" s="37">
        <v>1</v>
      </c>
      <c r="C57" s="16" t="s">
        <v>702</v>
      </c>
      <c r="D57" s="16" t="s">
        <v>702</v>
      </c>
      <c r="E57" s="16">
        <v>2</v>
      </c>
      <c r="F57" s="16" t="s">
        <v>3265</v>
      </c>
      <c r="G57" s="16" t="s">
        <v>220</v>
      </c>
      <c r="H57" s="16" t="s">
        <v>701</v>
      </c>
      <c r="I57" s="16" t="s">
        <v>221</v>
      </c>
      <c r="J57" s="16">
        <v>0</v>
      </c>
      <c r="K57" s="16">
        <v>9.9999999999999991E-22</v>
      </c>
      <c r="L57" s="16">
        <v>1</v>
      </c>
      <c r="M57" s="16">
        <v>0</v>
      </c>
      <c r="N57">
        <f t="array" aca="1" ref="N57" ca="1">MATCH(TRUE,EXACT(I57,OFFSET(rngParamTypes,0,6,,1)),0)</f>
        <v>87</v>
      </c>
      <c r="O57" t="str">
        <f ca="1">IF((INDEX(rngParamTypes,$N57,7)=I57),"",1)</f>
        <v/>
      </c>
      <c r="P57">
        <f ca="1">INDEX(rngParamTypes,$N57,9)</f>
        <v>1</v>
      </c>
      <c r="Q57">
        <f ca="1">INDEX(rngParamTypes,$N57,10)</f>
        <v>0</v>
      </c>
      <c r="R57">
        <f ca="1">INDEX(rngParamTypes,$N57,11)</f>
        <v>0</v>
      </c>
      <c r="S57">
        <f ca="1">INDEX(rngParamTypes,$N57,12)</f>
        <v>0</v>
      </c>
      <c r="T57">
        <f ca="1">INDEX(rngParamTypes,$N57,13)</f>
        <v>0</v>
      </c>
      <c r="U57">
        <f ca="1">INDEX(rngParamTypes,$N57,14)</f>
        <v>0</v>
      </c>
      <c r="V57">
        <f ca="1">INDEX(rngParamTypes,$N57,15)</f>
        <v>0</v>
      </c>
      <c r="W57">
        <f ca="1">INDEX(rngParamTypes,$N57,16)</f>
        <v>0</v>
      </c>
      <c r="X57">
        <f ca="1">INDEX(rngParamTypes,$N57,17)</f>
        <v>0</v>
      </c>
      <c r="Y57">
        <f ca="1">INDEX(rngParamTypes,$N57,18)</f>
        <v>0</v>
      </c>
    </row>
    <row r="58" spans="1:25" x14ac:dyDescent="0.2">
      <c r="A58" s="16">
        <v>57</v>
      </c>
      <c r="B58" s="37">
        <v>1</v>
      </c>
      <c r="C58" s="16" t="s">
        <v>704</v>
      </c>
      <c r="D58" s="16" t="s">
        <v>704</v>
      </c>
      <c r="E58" s="16">
        <v>2</v>
      </c>
      <c r="F58" s="16" t="s">
        <v>3266</v>
      </c>
      <c r="G58" s="16" t="s">
        <v>3267</v>
      </c>
      <c r="H58" s="16" t="s">
        <v>703</v>
      </c>
      <c r="I58" s="16" t="s">
        <v>168</v>
      </c>
      <c r="J58" s="16">
        <v>0</v>
      </c>
      <c r="K58" s="16">
        <v>1.0000000000000001E-18</v>
      </c>
      <c r="L58" s="16">
        <v>1</v>
      </c>
      <c r="M58" s="16">
        <v>0</v>
      </c>
      <c r="N58">
        <f t="array" aca="1" ref="N58" ca="1">MATCH(TRUE,EXACT(I58,OFFSET(rngParamTypes,0,6,,1)),0)</f>
        <v>56</v>
      </c>
      <c r="O58" t="str">
        <f ca="1">IF((INDEX(rngParamTypes,$N58,7)=I58),"",1)</f>
        <v/>
      </c>
      <c r="P58">
        <f ca="1">INDEX(rngParamTypes,$N58,9)</f>
        <v>1</v>
      </c>
      <c r="Q58">
        <f ca="1">INDEX(rngParamTypes,$N58,10)</f>
        <v>2</v>
      </c>
      <c r="R58">
        <f ca="1">INDEX(rngParamTypes,$N58,11)</f>
        <v>-2</v>
      </c>
      <c r="S58">
        <f ca="1">INDEX(rngParamTypes,$N58,12)</f>
        <v>0</v>
      </c>
      <c r="T58">
        <f ca="1">INDEX(rngParamTypes,$N58,13)</f>
        <v>0</v>
      </c>
      <c r="U58">
        <f ca="1">INDEX(rngParamTypes,$N58,14)</f>
        <v>0</v>
      </c>
      <c r="V58">
        <f ca="1">INDEX(rngParamTypes,$N58,15)</f>
        <v>0</v>
      </c>
      <c r="W58">
        <f ca="1">INDEX(rngParamTypes,$N58,16)</f>
        <v>0</v>
      </c>
      <c r="X58">
        <f ca="1">INDEX(rngParamTypes,$N58,17)</f>
        <v>0</v>
      </c>
      <c r="Y58">
        <f ca="1">INDEX(rngParamTypes,$N58,18)</f>
        <v>0</v>
      </c>
    </row>
    <row r="59" spans="1:25" x14ac:dyDescent="0.2">
      <c r="A59" s="16">
        <v>58</v>
      </c>
      <c r="B59" s="37">
        <v>1</v>
      </c>
      <c r="C59" s="16" t="s">
        <v>706</v>
      </c>
      <c r="D59" s="16" t="s">
        <v>706</v>
      </c>
      <c r="E59" s="16">
        <v>2</v>
      </c>
      <c r="F59" s="16" t="s">
        <v>3268</v>
      </c>
      <c r="G59" s="16" t="s">
        <v>277</v>
      </c>
      <c r="H59" s="16" t="s">
        <v>705</v>
      </c>
      <c r="I59" s="16" t="s">
        <v>290</v>
      </c>
      <c r="J59" s="16">
        <v>0</v>
      </c>
      <c r="K59" s="16">
        <v>1E-10</v>
      </c>
      <c r="L59" s="16">
        <v>1</v>
      </c>
      <c r="M59" s="16">
        <v>0</v>
      </c>
      <c r="N59">
        <f t="array" aca="1" ref="N59" ca="1">MATCH(TRUE,EXACT(I59,OFFSET(rngParamTypes,0,6,,1)),0)</f>
        <v>109</v>
      </c>
      <c r="O59" t="str">
        <f ca="1">IF((INDEX(rngParamTypes,$N59,7)=I59),"",1)</f>
        <v/>
      </c>
      <c r="P59">
        <f ca="1">INDEX(rngParamTypes,$N59,9)</f>
        <v>0</v>
      </c>
      <c r="Q59">
        <f ca="1">INDEX(rngParamTypes,$N59,10)</f>
        <v>1</v>
      </c>
      <c r="R59">
        <f ca="1">INDEX(rngParamTypes,$N59,11)</f>
        <v>0</v>
      </c>
      <c r="S59">
        <f ca="1">INDEX(rngParamTypes,$N59,12)</f>
        <v>0</v>
      </c>
      <c r="T59">
        <f ca="1">INDEX(rngParamTypes,$N59,13)</f>
        <v>0</v>
      </c>
      <c r="U59">
        <f ca="1">INDEX(rngParamTypes,$N59,14)</f>
        <v>0</v>
      </c>
      <c r="V59">
        <f ca="1">INDEX(rngParamTypes,$N59,15)</f>
        <v>0</v>
      </c>
      <c r="W59">
        <f ca="1">INDEX(rngParamTypes,$N59,16)</f>
        <v>0</v>
      </c>
      <c r="X59">
        <f ca="1">INDEX(rngParamTypes,$N59,17)</f>
        <v>0</v>
      </c>
      <c r="Y59">
        <f ca="1">INDEX(rngParamTypes,$N59,18)</f>
        <v>0</v>
      </c>
    </row>
    <row r="60" spans="1:25" x14ac:dyDescent="0.2">
      <c r="A60" s="16">
        <v>59</v>
      </c>
      <c r="B60" s="37">
        <v>1</v>
      </c>
      <c r="C60" s="16" t="s">
        <v>708</v>
      </c>
      <c r="D60" s="16" t="s">
        <v>708</v>
      </c>
      <c r="E60" s="16">
        <v>2</v>
      </c>
      <c r="F60" s="16" t="s">
        <v>3269</v>
      </c>
      <c r="G60" s="16" t="s">
        <v>3270</v>
      </c>
      <c r="H60" s="16" t="s">
        <v>707</v>
      </c>
      <c r="I60" s="16" t="s">
        <v>416</v>
      </c>
      <c r="J60" s="16">
        <v>0</v>
      </c>
      <c r="K60" s="16">
        <v>98066.5</v>
      </c>
      <c r="L60" s="16">
        <v>1</v>
      </c>
      <c r="M60" s="16">
        <v>0</v>
      </c>
      <c r="N60">
        <f t="array" aca="1" ref="N60" ca="1">MATCH(TRUE,EXACT(I60,OFFSET(rngParamTypes,0,6,,1)),0)</f>
        <v>167</v>
      </c>
      <c r="O60" t="str">
        <f ca="1">IF((INDEX(rngParamTypes,$N60,7)=I60),"",1)</f>
        <v/>
      </c>
      <c r="P60">
        <f ca="1">INDEX(rngParamTypes,$N60,9)</f>
        <v>1</v>
      </c>
      <c r="Q60">
        <f ca="1">INDEX(rngParamTypes,$N60,10)</f>
        <v>-1</v>
      </c>
      <c r="R60">
        <f ca="1">INDEX(rngParamTypes,$N60,11)</f>
        <v>-2</v>
      </c>
      <c r="S60">
        <f ca="1">INDEX(rngParamTypes,$N60,12)</f>
        <v>0</v>
      </c>
      <c r="T60">
        <f ca="1">INDEX(rngParamTypes,$N60,13)</f>
        <v>0</v>
      </c>
      <c r="U60">
        <f ca="1">INDEX(rngParamTypes,$N60,14)</f>
        <v>0</v>
      </c>
      <c r="V60">
        <f ca="1">INDEX(rngParamTypes,$N60,15)</f>
        <v>0</v>
      </c>
      <c r="W60">
        <f ca="1">INDEX(rngParamTypes,$N60,16)</f>
        <v>0</v>
      </c>
      <c r="X60">
        <f ca="1">INDEX(rngParamTypes,$N60,17)</f>
        <v>0</v>
      </c>
      <c r="Y60">
        <f ca="1">INDEX(rngParamTypes,$N60,18)</f>
        <v>0</v>
      </c>
    </row>
    <row r="61" spans="1:25" x14ac:dyDescent="0.2">
      <c r="A61" s="16">
        <v>60</v>
      </c>
      <c r="B61" s="37">
        <v>1</v>
      </c>
      <c r="C61" s="16" t="s">
        <v>710</v>
      </c>
      <c r="D61" s="16" t="s">
        <v>710</v>
      </c>
      <c r="E61" s="16">
        <v>2</v>
      </c>
      <c r="F61" s="16" t="s">
        <v>3271</v>
      </c>
      <c r="G61" s="16" t="s">
        <v>3270</v>
      </c>
      <c r="H61" s="16" t="s">
        <v>709</v>
      </c>
      <c r="I61" s="16" t="s">
        <v>416</v>
      </c>
      <c r="J61" s="16">
        <v>0</v>
      </c>
      <c r="K61" s="16">
        <v>101325</v>
      </c>
      <c r="L61" s="16">
        <v>1</v>
      </c>
      <c r="M61" s="16">
        <v>0</v>
      </c>
      <c r="N61">
        <f t="array" aca="1" ref="N61" ca="1">MATCH(TRUE,EXACT(I61,OFFSET(rngParamTypes,0,6,,1)),0)</f>
        <v>167</v>
      </c>
      <c r="O61" t="str">
        <f ca="1">IF((INDEX(rngParamTypes,$N61,7)=I61),"",1)</f>
        <v/>
      </c>
      <c r="P61">
        <f ca="1">INDEX(rngParamTypes,$N61,9)</f>
        <v>1</v>
      </c>
      <c r="Q61">
        <f ca="1">INDEX(rngParamTypes,$N61,10)</f>
        <v>-1</v>
      </c>
      <c r="R61">
        <f ca="1">INDEX(rngParamTypes,$N61,11)</f>
        <v>-2</v>
      </c>
      <c r="S61">
        <f ca="1">INDEX(rngParamTypes,$N61,12)</f>
        <v>0</v>
      </c>
      <c r="T61">
        <f ca="1">INDEX(rngParamTypes,$N61,13)</f>
        <v>0</v>
      </c>
      <c r="U61">
        <f ca="1">INDEX(rngParamTypes,$N61,14)</f>
        <v>0</v>
      </c>
      <c r="V61">
        <f ca="1">INDEX(rngParamTypes,$N61,15)</f>
        <v>0</v>
      </c>
      <c r="W61">
        <f ca="1">INDEX(rngParamTypes,$N61,16)</f>
        <v>0</v>
      </c>
      <c r="X61">
        <f ca="1">INDEX(rngParamTypes,$N61,17)</f>
        <v>0</v>
      </c>
      <c r="Y61">
        <f ca="1">INDEX(rngParamTypes,$N61,18)</f>
        <v>0</v>
      </c>
    </row>
    <row r="62" spans="1:25" x14ac:dyDescent="0.2">
      <c r="A62" s="16">
        <v>61</v>
      </c>
      <c r="B62" s="37">
        <v>1</v>
      </c>
      <c r="C62" s="16" t="s">
        <v>712</v>
      </c>
      <c r="D62" s="16" t="s">
        <v>712</v>
      </c>
      <c r="E62" s="16"/>
      <c r="F62" s="16" t="s">
        <v>3272</v>
      </c>
      <c r="G62" s="16" t="s">
        <v>3273</v>
      </c>
      <c r="H62" s="16" t="s">
        <v>711</v>
      </c>
      <c r="I62" s="16" t="s">
        <v>391</v>
      </c>
      <c r="J62" s="16">
        <v>0</v>
      </c>
      <c r="K62" s="16">
        <v>101325</v>
      </c>
      <c r="L62" s="16">
        <v>0.30480000000000002</v>
      </c>
      <c r="M62" s="16">
        <v>0</v>
      </c>
      <c r="N62">
        <f t="array" aca="1" ref="N62" ca="1">MATCH(TRUE,EXACT(I62,OFFSET(rngParamTypes,0,6,,1)),0)</f>
        <v>158</v>
      </c>
      <c r="O62" t="str">
        <f ca="1">IF((INDEX(rngParamTypes,$N62,7)=I62),"",1)</f>
        <v/>
      </c>
      <c r="P62">
        <f ca="1">INDEX(rngParamTypes,$N62,9)</f>
        <v>1</v>
      </c>
      <c r="Q62">
        <f ca="1">INDEX(rngParamTypes,$N62,10)</f>
        <v>-2</v>
      </c>
      <c r="R62">
        <f ca="1">INDEX(rngParamTypes,$N62,11)</f>
        <v>-2</v>
      </c>
      <c r="S62">
        <f ca="1">INDEX(rngParamTypes,$N62,12)</f>
        <v>0</v>
      </c>
      <c r="T62">
        <f ca="1">INDEX(rngParamTypes,$N62,13)</f>
        <v>0</v>
      </c>
      <c r="U62">
        <f ca="1">INDEX(rngParamTypes,$N62,14)</f>
        <v>0</v>
      </c>
      <c r="V62">
        <f ca="1">INDEX(rngParamTypes,$N62,15)</f>
        <v>0</v>
      </c>
      <c r="W62">
        <f ca="1">INDEX(rngParamTypes,$N62,16)</f>
        <v>0</v>
      </c>
      <c r="X62">
        <f ca="1">INDEX(rngParamTypes,$N62,17)</f>
        <v>0</v>
      </c>
      <c r="Y62">
        <f ca="1">INDEX(rngParamTypes,$N62,18)</f>
        <v>0</v>
      </c>
    </row>
    <row r="63" spans="1:25" x14ac:dyDescent="0.2">
      <c r="A63" s="16">
        <v>62</v>
      </c>
      <c r="B63" s="37">
        <v>1</v>
      </c>
      <c r="C63" s="16" t="s">
        <v>714</v>
      </c>
      <c r="D63" s="16" t="s">
        <v>714</v>
      </c>
      <c r="E63" s="16"/>
      <c r="F63" s="16" t="s">
        <v>3274</v>
      </c>
      <c r="G63" s="16" t="s">
        <v>435</v>
      </c>
      <c r="H63" s="16" t="s">
        <v>713</v>
      </c>
      <c r="I63" s="16" t="s">
        <v>436</v>
      </c>
      <c r="J63" s="16">
        <v>0</v>
      </c>
      <c r="K63" s="16">
        <v>101325</v>
      </c>
      <c r="L63" s="16">
        <v>3600</v>
      </c>
      <c r="M63" s="16">
        <v>0</v>
      </c>
      <c r="N63">
        <f t="array" aca="1" ref="N63" ca="1">MATCH(TRUE,EXACT(I63,OFFSET(rngParamTypes,0,6,,1)),0)</f>
        <v>175</v>
      </c>
      <c r="O63" t="str">
        <f ca="1">IF((INDEX(rngParamTypes,$N63,7)=I63),"",1)</f>
        <v/>
      </c>
      <c r="P63">
        <f ca="1">INDEX(rngParamTypes,$N63,9)</f>
        <v>1</v>
      </c>
      <c r="Q63">
        <f ca="1">INDEX(rngParamTypes,$N63,10)</f>
        <v>-1</v>
      </c>
      <c r="R63">
        <f ca="1">INDEX(rngParamTypes,$N63,11)</f>
        <v>-3</v>
      </c>
      <c r="S63">
        <f ca="1">INDEX(rngParamTypes,$N63,12)</f>
        <v>0</v>
      </c>
      <c r="T63">
        <f ca="1">INDEX(rngParamTypes,$N63,13)</f>
        <v>0</v>
      </c>
      <c r="U63">
        <f ca="1">INDEX(rngParamTypes,$N63,14)</f>
        <v>0</v>
      </c>
      <c r="V63">
        <f ca="1">INDEX(rngParamTypes,$N63,15)</f>
        <v>0</v>
      </c>
      <c r="W63">
        <f ca="1">INDEX(rngParamTypes,$N63,16)</f>
        <v>0</v>
      </c>
      <c r="X63">
        <f ca="1">INDEX(rngParamTypes,$N63,17)</f>
        <v>0</v>
      </c>
      <c r="Y63">
        <f ca="1">INDEX(rngParamTypes,$N63,18)</f>
        <v>0</v>
      </c>
    </row>
    <row r="64" spans="1:25" x14ac:dyDescent="0.2">
      <c r="A64" s="16">
        <v>63</v>
      </c>
      <c r="B64" s="37">
        <v>1</v>
      </c>
      <c r="C64" s="16" t="s">
        <v>716</v>
      </c>
      <c r="D64" s="16" t="s">
        <v>716</v>
      </c>
      <c r="E64" s="16"/>
      <c r="F64" s="16" t="s">
        <v>3275</v>
      </c>
      <c r="G64" s="16" t="s">
        <v>3273</v>
      </c>
      <c r="H64" s="16" t="s">
        <v>715</v>
      </c>
      <c r="I64" s="16" t="s">
        <v>391</v>
      </c>
      <c r="J64" s="16">
        <v>0</v>
      </c>
      <c r="K64" s="16">
        <v>101325</v>
      </c>
      <c r="L64" s="16">
        <v>100</v>
      </c>
      <c r="M64" s="16">
        <v>0</v>
      </c>
      <c r="N64">
        <f t="array" aca="1" ref="N64" ca="1">MATCH(TRUE,EXACT(I64,OFFSET(rngParamTypes,0,6,,1)),0)</f>
        <v>158</v>
      </c>
      <c r="O64" t="str">
        <f ca="1">IF((INDEX(rngParamTypes,$N64,7)=I64),"",1)</f>
        <v/>
      </c>
      <c r="P64">
        <f ca="1">INDEX(rngParamTypes,$N64,9)</f>
        <v>1</v>
      </c>
      <c r="Q64">
        <f ca="1">INDEX(rngParamTypes,$N64,10)</f>
        <v>-2</v>
      </c>
      <c r="R64">
        <f ca="1">INDEX(rngParamTypes,$N64,11)</f>
        <v>-2</v>
      </c>
      <c r="S64">
        <f ca="1">INDEX(rngParamTypes,$N64,12)</f>
        <v>0</v>
      </c>
      <c r="T64">
        <f ca="1">INDEX(rngParamTypes,$N64,13)</f>
        <v>0</v>
      </c>
      <c r="U64">
        <f ca="1">INDEX(rngParamTypes,$N64,14)</f>
        <v>0</v>
      </c>
      <c r="V64">
        <f ca="1">INDEX(rngParamTypes,$N64,15)</f>
        <v>0</v>
      </c>
      <c r="W64">
        <f ca="1">INDEX(rngParamTypes,$N64,16)</f>
        <v>0</v>
      </c>
      <c r="X64">
        <f ca="1">INDEX(rngParamTypes,$N64,17)</f>
        <v>0</v>
      </c>
      <c r="Y64">
        <f ca="1">INDEX(rngParamTypes,$N64,18)</f>
        <v>0</v>
      </c>
    </row>
    <row r="65" spans="1:25" x14ac:dyDescent="0.2">
      <c r="A65" s="16">
        <v>64</v>
      </c>
      <c r="B65" s="37">
        <v>1</v>
      </c>
      <c r="C65" s="16" t="s">
        <v>718</v>
      </c>
      <c r="D65" s="16" t="s">
        <v>718</v>
      </c>
      <c r="E65" s="16"/>
      <c r="F65" s="16" t="s">
        <v>3276</v>
      </c>
      <c r="G65" s="16" t="s">
        <v>3273</v>
      </c>
      <c r="H65" s="16" t="s">
        <v>717</v>
      </c>
      <c r="I65" s="16" t="s">
        <v>391</v>
      </c>
      <c r="J65" s="16">
        <v>0</v>
      </c>
      <c r="K65" s="16">
        <v>101325</v>
      </c>
      <c r="L65" s="16">
        <v>1</v>
      </c>
      <c r="M65" s="16">
        <v>0</v>
      </c>
      <c r="N65">
        <f t="array" aca="1" ref="N65" ca="1">MATCH(TRUE,EXACT(I65,OFFSET(rngParamTypes,0,6,,1)),0)</f>
        <v>158</v>
      </c>
      <c r="O65" t="str">
        <f ca="1">IF((INDEX(rngParamTypes,$N65,7)=I65),"",1)</f>
        <v/>
      </c>
      <c r="P65">
        <f ca="1">INDEX(rngParamTypes,$N65,9)</f>
        <v>1</v>
      </c>
      <c r="Q65">
        <f ca="1">INDEX(rngParamTypes,$N65,10)</f>
        <v>-2</v>
      </c>
      <c r="R65">
        <f ca="1">INDEX(rngParamTypes,$N65,11)</f>
        <v>-2</v>
      </c>
      <c r="S65">
        <f ca="1">INDEX(rngParamTypes,$N65,12)</f>
        <v>0</v>
      </c>
      <c r="T65">
        <f ca="1">INDEX(rngParamTypes,$N65,13)</f>
        <v>0</v>
      </c>
      <c r="U65">
        <f ca="1">INDEX(rngParamTypes,$N65,14)</f>
        <v>0</v>
      </c>
      <c r="V65">
        <f ca="1">INDEX(rngParamTypes,$N65,15)</f>
        <v>0</v>
      </c>
      <c r="W65">
        <f ca="1">INDEX(rngParamTypes,$N65,16)</f>
        <v>0</v>
      </c>
      <c r="X65">
        <f ca="1">INDEX(rngParamTypes,$N65,17)</f>
        <v>0</v>
      </c>
      <c r="Y65">
        <f ca="1">INDEX(rngParamTypes,$N65,18)</f>
        <v>0</v>
      </c>
    </row>
    <row r="66" spans="1:25" x14ac:dyDescent="0.2">
      <c r="A66" s="16">
        <v>65</v>
      </c>
      <c r="B66" s="37">
        <v>1</v>
      </c>
      <c r="C66" s="16" t="s">
        <v>720</v>
      </c>
      <c r="D66" s="16" t="s">
        <v>720</v>
      </c>
      <c r="E66" s="16">
        <v>2</v>
      </c>
      <c r="F66" s="16" t="s">
        <v>3277</v>
      </c>
      <c r="G66" s="16" t="s">
        <v>302</v>
      </c>
      <c r="H66" s="16" t="s">
        <v>719</v>
      </c>
      <c r="I66" s="16" t="s">
        <v>303</v>
      </c>
      <c r="J66" s="16">
        <v>0</v>
      </c>
      <c r="K66" s="16">
        <v>9.9999999999999996E+27</v>
      </c>
      <c r="L66" s="16">
        <v>1</v>
      </c>
      <c r="M66" s="16">
        <v>0</v>
      </c>
      <c r="N66">
        <f t="array" aca="1" ref="N66" ca="1">MATCH(TRUE,EXACT(I66,OFFSET(rngParamTypes,0,6,,1)),0)</f>
        <v>125</v>
      </c>
      <c r="O66" t="str">
        <f ca="1">IF((INDEX(rngParamTypes,$N66,7)=I66),"",1)</f>
        <v/>
      </c>
      <c r="P66">
        <f ca="1">INDEX(rngParamTypes,$N66,9)</f>
        <v>0</v>
      </c>
      <c r="Q66">
        <f ca="1">INDEX(rngParamTypes,$N66,10)</f>
        <v>2</v>
      </c>
      <c r="R66">
        <f ca="1">INDEX(rngParamTypes,$N66,11)</f>
        <v>0</v>
      </c>
      <c r="S66">
        <f ca="1">INDEX(rngParamTypes,$N66,12)</f>
        <v>0</v>
      </c>
      <c r="T66">
        <f ca="1">INDEX(rngParamTypes,$N66,13)</f>
        <v>0</v>
      </c>
      <c r="U66">
        <f ca="1">INDEX(rngParamTypes,$N66,14)</f>
        <v>0</v>
      </c>
      <c r="V66">
        <f ca="1">INDEX(rngParamTypes,$N66,15)</f>
        <v>0</v>
      </c>
      <c r="W66">
        <f ca="1">INDEX(rngParamTypes,$N66,16)</f>
        <v>0</v>
      </c>
      <c r="X66">
        <f ca="1">INDEX(rngParamTypes,$N66,17)</f>
        <v>0</v>
      </c>
      <c r="Y66">
        <f ca="1">INDEX(rngParamTypes,$N66,18)</f>
        <v>0</v>
      </c>
    </row>
    <row r="67" spans="1:25" x14ac:dyDescent="0.2">
      <c r="A67" s="16">
        <v>66</v>
      </c>
      <c r="B67" s="37">
        <v>1</v>
      </c>
      <c r="C67" s="16" t="s">
        <v>723</v>
      </c>
      <c r="D67" s="16" t="s">
        <v>723</v>
      </c>
      <c r="E67" s="16"/>
      <c r="F67" s="16" t="s">
        <v>3278</v>
      </c>
      <c r="G67" s="16" t="s">
        <v>722</v>
      </c>
      <c r="H67" s="16" t="s">
        <v>721</v>
      </c>
      <c r="I67" s="16" t="s">
        <v>20</v>
      </c>
      <c r="J67" s="16">
        <v>0</v>
      </c>
      <c r="K67" s="16">
        <v>9.9999999999999995E+33</v>
      </c>
      <c r="L67" s="16">
        <v>1</v>
      </c>
      <c r="M67" s="16">
        <v>0</v>
      </c>
      <c r="N67">
        <f t="array" aca="1" ref="N67" ca="1">MATCH(TRUE,EXACT(I67,OFFSET(rngParamTypes,0,6,,1)),0)</f>
        <v>5</v>
      </c>
      <c r="O67" t="str">
        <f ca="1">IF((INDEX(rngParamTypes,$N67,7)=I67),"",1)</f>
        <v/>
      </c>
      <c r="P67">
        <f ca="1">INDEX(rngParamTypes,$N67,9)</f>
        <v>0</v>
      </c>
      <c r="Q67">
        <f ca="1">INDEX(rngParamTypes,$N67,10)</f>
        <v>-1</v>
      </c>
      <c r="R67">
        <f ca="1">INDEX(rngParamTypes,$N67,11)</f>
        <v>0</v>
      </c>
      <c r="S67">
        <f ca="1">INDEX(rngParamTypes,$N67,12)</f>
        <v>0</v>
      </c>
      <c r="T67">
        <f ca="1">INDEX(rngParamTypes,$N67,13)</f>
        <v>0</v>
      </c>
      <c r="U67">
        <f ca="1">INDEX(rngParamTypes,$N67,14)</f>
        <v>0</v>
      </c>
      <c r="V67">
        <f ca="1">INDEX(rngParamTypes,$N67,15)</f>
        <v>0</v>
      </c>
      <c r="W67">
        <f ca="1">INDEX(rngParamTypes,$N67,16)</f>
        <v>0</v>
      </c>
      <c r="X67">
        <f ca="1">INDEX(rngParamTypes,$N67,17)</f>
        <v>0</v>
      </c>
      <c r="Y67">
        <f ca="1">INDEX(rngParamTypes,$N67,18)</f>
        <v>0</v>
      </c>
    </row>
    <row r="68" spans="1:25" x14ac:dyDescent="0.2">
      <c r="A68" s="16">
        <v>67</v>
      </c>
      <c r="B68" s="37">
        <v>1</v>
      </c>
      <c r="C68" s="16" t="s">
        <v>725</v>
      </c>
      <c r="D68" s="16" t="s">
        <v>725</v>
      </c>
      <c r="E68" s="16"/>
      <c r="F68" s="16" t="s">
        <v>3279</v>
      </c>
      <c r="G68" s="16" t="s">
        <v>308</v>
      </c>
      <c r="H68" s="16" t="s">
        <v>724</v>
      </c>
      <c r="I68" s="16" t="s">
        <v>309</v>
      </c>
      <c r="J68" s="16">
        <v>0</v>
      </c>
      <c r="K68" s="16">
        <v>6.0229999999999998E-5</v>
      </c>
      <c r="L68" s="16">
        <v>1</v>
      </c>
      <c r="M68" s="16">
        <v>0</v>
      </c>
      <c r="N68">
        <f t="array" aca="1" ref="N68" ca="1">MATCH(TRUE,EXACT(I68,OFFSET(rngParamTypes,0,6,,1)),0)</f>
        <v>127</v>
      </c>
      <c r="O68" t="str">
        <f ca="1">IF((INDEX(rngParamTypes,$N68,7)=I68),"",1)</f>
        <v/>
      </c>
      <c r="P68">
        <f ca="1">INDEX(rngParamTypes,$N68,9)</f>
        <v>0</v>
      </c>
      <c r="Q68">
        <f ca="1">INDEX(rngParamTypes,$N68,10)</f>
        <v>2</v>
      </c>
      <c r="R68">
        <f ca="1">INDEX(rngParamTypes,$N68,11)</f>
        <v>0</v>
      </c>
      <c r="S68">
        <f ca="1">INDEX(rngParamTypes,$N68,12)</f>
        <v>0</v>
      </c>
      <c r="T68">
        <f ca="1">INDEX(rngParamTypes,$N68,13)</f>
        <v>0</v>
      </c>
      <c r="U68">
        <f ca="1">INDEX(rngParamTypes,$N68,14)</f>
        <v>-1</v>
      </c>
      <c r="V68">
        <f ca="1">INDEX(rngParamTypes,$N68,15)</f>
        <v>0</v>
      </c>
      <c r="W68">
        <f ca="1">INDEX(rngParamTypes,$N68,16)</f>
        <v>0</v>
      </c>
      <c r="X68">
        <f ca="1">INDEX(rngParamTypes,$N68,17)</f>
        <v>0</v>
      </c>
      <c r="Y68">
        <f ca="1">INDEX(rngParamTypes,$N68,18)</f>
        <v>0</v>
      </c>
    </row>
    <row r="69" spans="1:25" x14ac:dyDescent="0.2">
      <c r="A69" s="16">
        <v>68</v>
      </c>
      <c r="B69" s="37">
        <v>1</v>
      </c>
      <c r="C69" s="16" t="s">
        <v>726</v>
      </c>
      <c r="D69" s="16" t="s">
        <v>726</v>
      </c>
      <c r="E69" s="16">
        <v>2</v>
      </c>
      <c r="F69" s="16" t="s">
        <v>3280</v>
      </c>
      <c r="G69" s="16" t="s">
        <v>3270</v>
      </c>
      <c r="H69" s="16" t="s">
        <v>726</v>
      </c>
      <c r="I69" s="16" t="s">
        <v>416</v>
      </c>
      <c r="J69" s="16">
        <v>0</v>
      </c>
      <c r="K69" s="16">
        <v>100000</v>
      </c>
      <c r="L69" s="16">
        <v>1</v>
      </c>
      <c r="M69" s="16">
        <v>0</v>
      </c>
      <c r="N69">
        <f t="array" aca="1" ref="N69" ca="1">MATCH(TRUE,EXACT(I69,OFFSET(rngParamTypes,0,6,,1)),0)</f>
        <v>167</v>
      </c>
      <c r="O69" t="str">
        <f ca="1">IF((INDEX(rngParamTypes,$N69,7)=I69),"",1)</f>
        <v/>
      </c>
      <c r="P69">
        <f ca="1">INDEX(rngParamTypes,$N69,9)</f>
        <v>1</v>
      </c>
      <c r="Q69">
        <f ca="1">INDEX(rngParamTypes,$N69,10)</f>
        <v>-1</v>
      </c>
      <c r="R69">
        <f ca="1">INDEX(rngParamTypes,$N69,11)</f>
        <v>-2</v>
      </c>
      <c r="S69">
        <f ca="1">INDEX(rngParamTypes,$N69,12)</f>
        <v>0</v>
      </c>
      <c r="T69">
        <f ca="1">INDEX(rngParamTypes,$N69,13)</f>
        <v>0</v>
      </c>
      <c r="U69">
        <f ca="1">INDEX(rngParamTypes,$N69,14)</f>
        <v>0</v>
      </c>
      <c r="V69">
        <f ca="1">INDEX(rngParamTypes,$N69,15)</f>
        <v>0</v>
      </c>
      <c r="W69">
        <f ca="1">INDEX(rngParamTypes,$N69,16)</f>
        <v>0</v>
      </c>
      <c r="X69">
        <f ca="1">INDEX(rngParamTypes,$N69,17)</f>
        <v>0</v>
      </c>
      <c r="Y69">
        <f ca="1">INDEX(rngParamTypes,$N69,18)</f>
        <v>0</v>
      </c>
    </row>
    <row r="70" spans="1:25" x14ac:dyDescent="0.2">
      <c r="A70" s="16">
        <v>69</v>
      </c>
      <c r="B70" s="37">
        <v>1</v>
      </c>
      <c r="C70" s="16" t="s">
        <v>728</v>
      </c>
      <c r="D70" s="16" t="s">
        <v>728</v>
      </c>
      <c r="E70" s="16"/>
      <c r="F70" s="16" t="s">
        <v>3281</v>
      </c>
      <c r="G70" s="16" t="s">
        <v>435</v>
      </c>
      <c r="H70" s="16" t="s">
        <v>727</v>
      </c>
      <c r="I70" s="16" t="s">
        <v>436</v>
      </c>
      <c r="J70" s="16">
        <v>0</v>
      </c>
      <c r="K70" s="16">
        <v>100000</v>
      </c>
      <c r="L70" s="16">
        <v>3600</v>
      </c>
      <c r="M70" s="16">
        <v>0</v>
      </c>
      <c r="N70">
        <f t="array" aca="1" ref="N70" ca="1">MATCH(TRUE,EXACT(I70,OFFSET(rngParamTypes,0,6,,1)),0)</f>
        <v>175</v>
      </c>
      <c r="O70" t="str">
        <f ca="1">IF((INDEX(rngParamTypes,$N70,7)=I70),"",1)</f>
        <v/>
      </c>
      <c r="P70">
        <f ca="1">INDEX(rngParamTypes,$N70,9)</f>
        <v>1</v>
      </c>
      <c r="Q70">
        <f ca="1">INDEX(rngParamTypes,$N70,10)</f>
        <v>-1</v>
      </c>
      <c r="R70">
        <f ca="1">INDEX(rngParamTypes,$N70,11)</f>
        <v>-3</v>
      </c>
      <c r="S70">
        <f ca="1">INDEX(rngParamTypes,$N70,12)</f>
        <v>0</v>
      </c>
      <c r="T70">
        <f ca="1">INDEX(rngParamTypes,$N70,13)</f>
        <v>0</v>
      </c>
      <c r="U70">
        <f ca="1">INDEX(rngParamTypes,$N70,14)</f>
        <v>0</v>
      </c>
      <c r="V70">
        <f ca="1">INDEX(rngParamTypes,$N70,15)</f>
        <v>0</v>
      </c>
      <c r="W70">
        <f ca="1">INDEX(rngParamTypes,$N70,16)</f>
        <v>0</v>
      </c>
      <c r="X70">
        <f ca="1">INDEX(rngParamTypes,$N70,17)</f>
        <v>0</v>
      </c>
      <c r="Y70">
        <f ca="1">INDEX(rngParamTypes,$N70,18)</f>
        <v>0</v>
      </c>
    </row>
    <row r="71" spans="1:25" x14ac:dyDescent="0.2">
      <c r="A71" s="16">
        <v>70</v>
      </c>
      <c r="B71" s="37">
        <v>1</v>
      </c>
      <c r="C71" s="16" t="s">
        <v>730</v>
      </c>
      <c r="D71" s="16" t="s">
        <v>730</v>
      </c>
      <c r="E71" s="16"/>
      <c r="F71" s="16" t="s">
        <v>3282</v>
      </c>
      <c r="G71" s="16" t="s">
        <v>3273</v>
      </c>
      <c r="H71" s="16" t="s">
        <v>729</v>
      </c>
      <c r="I71" s="16" t="s">
        <v>391</v>
      </c>
      <c r="J71" s="16">
        <v>0</v>
      </c>
      <c r="K71" s="16">
        <v>100</v>
      </c>
      <c r="L71" s="16">
        <v>1</v>
      </c>
      <c r="M71" s="16">
        <v>0</v>
      </c>
      <c r="N71">
        <f t="array" aca="1" ref="N71" ca="1">MATCH(TRUE,EXACT(I71,OFFSET(rngParamTypes,0,6,,1)),0)</f>
        <v>158</v>
      </c>
      <c r="O71" t="str">
        <f ca="1">IF((INDEX(rngParamTypes,$N71,7)=I71),"",1)</f>
        <v/>
      </c>
      <c r="P71">
        <f ca="1">INDEX(rngParamTypes,$N71,9)</f>
        <v>1</v>
      </c>
      <c r="Q71">
        <f ca="1">INDEX(rngParamTypes,$N71,10)</f>
        <v>-2</v>
      </c>
      <c r="R71">
        <f ca="1">INDEX(rngParamTypes,$N71,11)</f>
        <v>-2</v>
      </c>
      <c r="S71">
        <f ca="1">INDEX(rngParamTypes,$N71,12)</f>
        <v>0</v>
      </c>
      <c r="T71">
        <f ca="1">INDEX(rngParamTypes,$N71,13)</f>
        <v>0</v>
      </c>
      <c r="U71">
        <f ca="1">INDEX(rngParamTypes,$N71,14)</f>
        <v>0</v>
      </c>
      <c r="V71">
        <f ca="1">INDEX(rngParamTypes,$N71,15)</f>
        <v>0</v>
      </c>
      <c r="W71">
        <f ca="1">INDEX(rngParamTypes,$N71,16)</f>
        <v>0</v>
      </c>
      <c r="X71">
        <f ca="1">INDEX(rngParamTypes,$N71,17)</f>
        <v>0</v>
      </c>
      <c r="Y71">
        <f ca="1">INDEX(rngParamTypes,$N71,18)</f>
        <v>0</v>
      </c>
    </row>
    <row r="72" spans="1:25" x14ac:dyDescent="0.2">
      <c r="A72" s="16">
        <v>71</v>
      </c>
      <c r="B72" s="37">
        <v>1</v>
      </c>
      <c r="C72" s="16" t="s">
        <v>732</v>
      </c>
      <c r="D72" s="16" t="s">
        <v>732</v>
      </c>
      <c r="E72" s="16"/>
      <c r="F72" s="16" t="s">
        <v>3283</v>
      </c>
      <c r="G72" s="16" t="s">
        <v>3273</v>
      </c>
      <c r="H72" s="16" t="s">
        <v>731</v>
      </c>
      <c r="I72" s="16" t="s">
        <v>391</v>
      </c>
      <c r="J72" s="16">
        <v>0</v>
      </c>
      <c r="K72" s="16">
        <v>100000</v>
      </c>
      <c r="L72" s="16">
        <v>1</v>
      </c>
      <c r="M72" s="16">
        <v>0</v>
      </c>
      <c r="N72">
        <f t="array" aca="1" ref="N72" ca="1">MATCH(TRUE,EXACT(I72,OFFSET(rngParamTypes,0,6,,1)),0)</f>
        <v>158</v>
      </c>
      <c r="O72" t="str">
        <f ca="1">IF((INDEX(rngParamTypes,$N72,7)=I72),"",1)</f>
        <v/>
      </c>
      <c r="P72">
        <f ca="1">INDEX(rngParamTypes,$N72,9)</f>
        <v>1</v>
      </c>
      <c r="Q72">
        <f ca="1">INDEX(rngParamTypes,$N72,10)</f>
        <v>-2</v>
      </c>
      <c r="R72">
        <f ca="1">INDEX(rngParamTypes,$N72,11)</f>
        <v>-2</v>
      </c>
      <c r="S72">
        <f ca="1">INDEX(rngParamTypes,$N72,12)</f>
        <v>0</v>
      </c>
      <c r="T72">
        <f ca="1">INDEX(rngParamTypes,$N72,13)</f>
        <v>0</v>
      </c>
      <c r="U72">
        <f ca="1">INDEX(rngParamTypes,$N72,14)</f>
        <v>0</v>
      </c>
      <c r="V72">
        <f ca="1">INDEX(rngParamTypes,$N72,15)</f>
        <v>0</v>
      </c>
      <c r="W72">
        <f ca="1">INDEX(rngParamTypes,$N72,16)</f>
        <v>0</v>
      </c>
      <c r="X72">
        <f ca="1">INDEX(rngParamTypes,$N72,17)</f>
        <v>0</v>
      </c>
      <c r="Y72">
        <f ca="1">INDEX(rngParamTypes,$N72,18)</f>
        <v>0</v>
      </c>
    </row>
    <row r="73" spans="1:25" x14ac:dyDescent="0.2">
      <c r="A73" s="16">
        <v>72</v>
      </c>
      <c r="B73" s="37">
        <v>1</v>
      </c>
      <c r="C73" s="16" t="s">
        <v>734</v>
      </c>
      <c r="D73" s="16" t="s">
        <v>734</v>
      </c>
      <c r="E73" s="16"/>
      <c r="F73" s="16" t="s">
        <v>3284</v>
      </c>
      <c r="G73" s="16" t="s">
        <v>438</v>
      </c>
      <c r="H73" s="16" t="s">
        <v>733</v>
      </c>
      <c r="I73" s="16" t="s">
        <v>439</v>
      </c>
      <c r="J73" s="16">
        <v>0</v>
      </c>
      <c r="K73" s="16">
        <v>10000000000</v>
      </c>
      <c r="L73" s="16">
        <v>1</v>
      </c>
      <c r="M73" s="16">
        <v>0</v>
      </c>
      <c r="N73">
        <f t="array" aca="1" ref="N73" ca="1">MATCH(TRUE,EXACT(I73,OFFSET(rngParamTypes,0,6,,1)),0)</f>
        <v>176</v>
      </c>
      <c r="O73" t="str">
        <f ca="1">IF((INDEX(rngParamTypes,$N73,7)=I73),"",1)</f>
        <v/>
      </c>
      <c r="P73">
        <f ca="1">INDEX(rngParamTypes,$N73,9)</f>
        <v>2</v>
      </c>
      <c r="Q73">
        <f ca="1">INDEX(rngParamTypes,$N73,10)</f>
        <v>-2</v>
      </c>
      <c r="R73">
        <f ca="1">INDEX(rngParamTypes,$N73,11)</f>
        <v>-4</v>
      </c>
      <c r="S73">
        <f ca="1">INDEX(rngParamTypes,$N73,12)</f>
        <v>0</v>
      </c>
      <c r="T73">
        <f ca="1">INDEX(rngParamTypes,$N73,13)</f>
        <v>0</v>
      </c>
      <c r="U73">
        <f ca="1">INDEX(rngParamTypes,$N73,14)</f>
        <v>0</v>
      </c>
      <c r="V73">
        <f ca="1">INDEX(rngParamTypes,$N73,15)</f>
        <v>0</v>
      </c>
      <c r="W73">
        <f ca="1">INDEX(rngParamTypes,$N73,16)</f>
        <v>0</v>
      </c>
      <c r="X73">
        <f ca="1">INDEX(rngParamTypes,$N73,17)</f>
        <v>0</v>
      </c>
      <c r="Y73">
        <f ca="1">INDEX(rngParamTypes,$N73,18)</f>
        <v>0</v>
      </c>
    </row>
    <row r="74" spans="1:25" x14ac:dyDescent="0.2">
      <c r="A74" s="16">
        <v>73</v>
      </c>
      <c r="B74" s="37">
        <v>1</v>
      </c>
      <c r="C74" s="16" t="s">
        <v>737</v>
      </c>
      <c r="D74" s="16" t="s">
        <v>737</v>
      </c>
      <c r="E74" s="16"/>
      <c r="F74" s="16" t="s">
        <v>3285</v>
      </c>
      <c r="G74" s="16" t="s">
        <v>736</v>
      </c>
      <c r="H74" s="16" t="s">
        <v>735</v>
      </c>
      <c r="I74" s="16" t="s">
        <v>436</v>
      </c>
      <c r="J74" s="16">
        <v>0</v>
      </c>
      <c r="K74" s="16">
        <v>10000000000000</v>
      </c>
      <c r="L74" s="16">
        <v>1</v>
      </c>
      <c r="M74" s="16">
        <v>0</v>
      </c>
      <c r="N74">
        <f t="array" aca="1" ref="N74" ca="1">MATCH(TRUE,EXACT(I74,OFFSET(rngParamTypes,0,6,,1)),0)</f>
        <v>175</v>
      </c>
      <c r="O74" t="str">
        <f ca="1">IF((INDEX(rngParamTypes,$N74,7)=I74),"",1)</f>
        <v/>
      </c>
      <c r="P74">
        <f ca="1">INDEX(rngParamTypes,$N74,9)</f>
        <v>1</v>
      </c>
      <c r="Q74">
        <f ca="1">INDEX(rngParamTypes,$N74,10)</f>
        <v>-1</v>
      </c>
      <c r="R74">
        <f ca="1">INDEX(rngParamTypes,$N74,11)</f>
        <v>-3</v>
      </c>
      <c r="S74">
        <f ca="1">INDEX(rngParamTypes,$N74,12)</f>
        <v>0</v>
      </c>
      <c r="T74">
        <f ca="1">INDEX(rngParamTypes,$N74,13)</f>
        <v>0</v>
      </c>
      <c r="U74">
        <f ca="1">INDEX(rngParamTypes,$N74,14)</f>
        <v>0</v>
      </c>
      <c r="V74">
        <f ca="1">INDEX(rngParamTypes,$N74,15)</f>
        <v>0</v>
      </c>
      <c r="W74">
        <f ca="1">INDEX(rngParamTypes,$N74,16)</f>
        <v>0</v>
      </c>
      <c r="X74">
        <f ca="1">INDEX(rngParamTypes,$N74,17)</f>
        <v>0</v>
      </c>
      <c r="Y74">
        <f ca="1">INDEX(rngParamTypes,$N74,18)</f>
        <v>0</v>
      </c>
    </row>
    <row r="75" spans="1:25" x14ac:dyDescent="0.2">
      <c r="A75" s="16">
        <v>74</v>
      </c>
      <c r="B75" s="37">
        <v>1</v>
      </c>
      <c r="C75" s="16" t="s">
        <v>739</v>
      </c>
      <c r="D75" s="16" t="s">
        <v>739</v>
      </c>
      <c r="E75" s="16">
        <v>2</v>
      </c>
      <c r="F75" s="16" t="s">
        <v>3286</v>
      </c>
      <c r="G75" s="16" t="s">
        <v>321</v>
      </c>
      <c r="H75" s="16" t="s">
        <v>738</v>
      </c>
      <c r="I75" s="16" t="s">
        <v>322</v>
      </c>
      <c r="J75" s="16">
        <v>0</v>
      </c>
      <c r="K75" s="16">
        <v>0.1589873</v>
      </c>
      <c r="L75" s="16">
        <v>1</v>
      </c>
      <c r="M75" s="16">
        <v>0</v>
      </c>
      <c r="N75">
        <f t="array" aca="1" ref="N75" ca="1">MATCH(TRUE,EXACT(I75,OFFSET(rngParamTypes,0,6,,1)),0)</f>
        <v>134</v>
      </c>
      <c r="O75" t="str">
        <f ca="1">IF((INDEX(rngParamTypes,$N75,7)=I75),"",1)</f>
        <v/>
      </c>
      <c r="P75">
        <f ca="1">INDEX(rngParamTypes,$N75,9)</f>
        <v>0</v>
      </c>
      <c r="Q75">
        <f ca="1">INDEX(rngParamTypes,$N75,10)</f>
        <v>3</v>
      </c>
      <c r="R75">
        <f ca="1">INDEX(rngParamTypes,$N75,11)</f>
        <v>0</v>
      </c>
      <c r="S75">
        <f ca="1">INDEX(rngParamTypes,$N75,12)</f>
        <v>0</v>
      </c>
      <c r="T75">
        <f ca="1">INDEX(rngParamTypes,$N75,13)</f>
        <v>0</v>
      </c>
      <c r="U75">
        <f ca="1">INDEX(rngParamTypes,$N75,14)</f>
        <v>0</v>
      </c>
      <c r="V75">
        <f ca="1">INDEX(rngParamTypes,$N75,15)</f>
        <v>0</v>
      </c>
      <c r="W75">
        <f ca="1">INDEX(rngParamTypes,$N75,16)</f>
        <v>0</v>
      </c>
      <c r="X75">
        <f ca="1">INDEX(rngParamTypes,$N75,17)</f>
        <v>0</v>
      </c>
      <c r="Y75">
        <f ca="1">INDEX(rngParamTypes,$N75,18)</f>
        <v>0</v>
      </c>
    </row>
    <row r="76" spans="1:25" x14ac:dyDescent="0.2">
      <c r="A76" s="16">
        <v>75</v>
      </c>
      <c r="B76" s="37">
        <v>1</v>
      </c>
      <c r="C76" s="16" t="s">
        <v>741</v>
      </c>
      <c r="D76" s="16" t="s">
        <v>741</v>
      </c>
      <c r="E76" s="16"/>
      <c r="F76" s="16" t="s">
        <v>4252</v>
      </c>
      <c r="G76" s="16" t="s">
        <v>659</v>
      </c>
      <c r="H76" s="16" t="s">
        <v>740</v>
      </c>
      <c r="I76" s="16" t="s">
        <v>131</v>
      </c>
      <c r="J76" s="16">
        <v>0</v>
      </c>
      <c r="K76" s="16">
        <v>0.01</v>
      </c>
      <c r="L76" s="16">
        <v>1</v>
      </c>
      <c r="M76" s="16">
        <v>0</v>
      </c>
      <c r="N76">
        <f t="array" aca="1" ref="N76" ca="1">MATCH(TRUE,EXACT(I76,OFFSET(rngParamTypes,0,6,,1)),0)</f>
        <v>42</v>
      </c>
      <c r="O76" t="str">
        <f ca="1">IF((INDEX(rngParamTypes,$N76,7)=I76),"",1)</f>
        <v/>
      </c>
      <c r="P76">
        <f ca="1">INDEX(rngParamTypes,$N76,9)</f>
        <v>0</v>
      </c>
      <c r="Q76">
        <f ca="1">INDEX(rngParamTypes,$N76,10)</f>
        <v>0</v>
      </c>
      <c r="R76">
        <f ca="1">INDEX(rngParamTypes,$N76,11)</f>
        <v>0</v>
      </c>
      <c r="S76">
        <f ca="1">INDEX(rngParamTypes,$N76,12)</f>
        <v>0</v>
      </c>
      <c r="T76">
        <f ca="1">INDEX(rngParamTypes,$N76,13)</f>
        <v>0</v>
      </c>
      <c r="U76">
        <f ca="1">INDEX(rngParamTypes,$N76,14)</f>
        <v>0</v>
      </c>
      <c r="V76">
        <f ca="1">INDEX(rngParamTypes,$N76,15)</f>
        <v>0</v>
      </c>
      <c r="W76">
        <f ca="1">INDEX(rngParamTypes,$N76,16)</f>
        <v>0</v>
      </c>
      <c r="X76">
        <f ca="1">INDEX(rngParamTypes,$N76,17)</f>
        <v>0</v>
      </c>
      <c r="Y76">
        <f ca="1">INDEX(rngParamTypes,$N76,18)</f>
        <v>0</v>
      </c>
    </row>
    <row r="77" spans="1:25" x14ac:dyDescent="0.2">
      <c r="A77" s="16">
        <v>76</v>
      </c>
      <c r="B77" s="37">
        <v>1</v>
      </c>
      <c r="C77" s="16" t="s">
        <v>744</v>
      </c>
      <c r="D77" s="16" t="s">
        <v>744</v>
      </c>
      <c r="E77" s="16"/>
      <c r="F77" s="16" t="s">
        <v>3287</v>
      </c>
      <c r="G77" s="16" t="s">
        <v>743</v>
      </c>
      <c r="H77" s="16" t="s">
        <v>742</v>
      </c>
      <c r="I77" s="16" t="s">
        <v>290</v>
      </c>
      <c r="J77" s="16">
        <v>0</v>
      </c>
      <c r="K77" s="16">
        <v>0.1589873</v>
      </c>
      <c r="L77" s="16">
        <v>4046.8789999999999</v>
      </c>
      <c r="M77" s="16">
        <v>0</v>
      </c>
      <c r="N77">
        <f t="array" aca="1" ref="N77" ca="1">MATCH(TRUE,EXACT(I77,OFFSET(rngParamTypes,0,6,,1)),0)</f>
        <v>109</v>
      </c>
      <c r="O77" t="str">
        <f ca="1">IF((INDEX(rngParamTypes,$N77,7)=I77),"",1)</f>
        <v/>
      </c>
      <c r="P77">
        <f ca="1">INDEX(rngParamTypes,$N77,9)</f>
        <v>0</v>
      </c>
      <c r="Q77">
        <f ca="1">INDEX(rngParamTypes,$N77,10)</f>
        <v>1</v>
      </c>
      <c r="R77">
        <f ca="1">INDEX(rngParamTypes,$N77,11)</f>
        <v>0</v>
      </c>
      <c r="S77">
        <f ca="1">INDEX(rngParamTypes,$N77,12)</f>
        <v>0</v>
      </c>
      <c r="T77">
        <f ca="1">INDEX(rngParamTypes,$N77,13)</f>
        <v>0</v>
      </c>
      <c r="U77">
        <f ca="1">INDEX(rngParamTypes,$N77,14)</f>
        <v>0</v>
      </c>
      <c r="V77">
        <f ca="1">INDEX(rngParamTypes,$N77,15)</f>
        <v>0</v>
      </c>
      <c r="W77">
        <f ca="1">INDEX(rngParamTypes,$N77,16)</f>
        <v>0</v>
      </c>
      <c r="X77">
        <f ca="1">INDEX(rngParamTypes,$N77,17)</f>
        <v>0</v>
      </c>
      <c r="Y77">
        <f ca="1">INDEX(rngParamTypes,$N77,18)</f>
        <v>0</v>
      </c>
    </row>
    <row r="78" spans="1:25" x14ac:dyDescent="0.2">
      <c r="A78" s="16">
        <v>77</v>
      </c>
      <c r="B78" s="37">
        <v>1</v>
      </c>
      <c r="C78" s="16" t="s">
        <v>746</v>
      </c>
      <c r="D78" s="16" t="s">
        <v>746</v>
      </c>
      <c r="E78" s="16"/>
      <c r="F78" s="16" t="s">
        <v>3288</v>
      </c>
      <c r="G78" s="16" t="s">
        <v>659</v>
      </c>
      <c r="H78" s="16" t="s">
        <v>745</v>
      </c>
      <c r="I78" s="16" t="s">
        <v>131</v>
      </c>
      <c r="J78" s="16">
        <v>0</v>
      </c>
      <c r="K78" s="16">
        <v>0.1589873</v>
      </c>
      <c r="L78" s="16">
        <v>1233.489</v>
      </c>
      <c r="M78" s="16">
        <v>0</v>
      </c>
      <c r="N78">
        <f t="array" aca="1" ref="N78" ca="1">MATCH(TRUE,EXACT(I78,OFFSET(rngParamTypes,0,6,,1)),0)</f>
        <v>42</v>
      </c>
      <c r="O78" t="str">
        <f ca="1">IF((INDEX(rngParamTypes,$N78,7)=I78),"",1)</f>
        <v/>
      </c>
      <c r="P78">
        <f ca="1">INDEX(rngParamTypes,$N78,9)</f>
        <v>0</v>
      </c>
      <c r="Q78">
        <f ca="1">INDEX(rngParamTypes,$N78,10)</f>
        <v>0</v>
      </c>
      <c r="R78">
        <f ca="1">INDEX(rngParamTypes,$N78,11)</f>
        <v>0</v>
      </c>
      <c r="S78">
        <f ca="1">INDEX(rngParamTypes,$N78,12)</f>
        <v>0</v>
      </c>
      <c r="T78">
        <f ca="1">INDEX(rngParamTypes,$N78,13)</f>
        <v>0</v>
      </c>
      <c r="U78">
        <f ca="1">INDEX(rngParamTypes,$N78,14)</f>
        <v>0</v>
      </c>
      <c r="V78">
        <f ca="1">INDEX(rngParamTypes,$N78,15)</f>
        <v>0</v>
      </c>
      <c r="W78">
        <f ca="1">INDEX(rngParamTypes,$N78,16)</f>
        <v>0</v>
      </c>
      <c r="X78">
        <f ca="1">INDEX(rngParamTypes,$N78,17)</f>
        <v>0</v>
      </c>
      <c r="Y78">
        <f ca="1">INDEX(rngParamTypes,$N78,18)</f>
        <v>0</v>
      </c>
    </row>
    <row r="79" spans="1:25" x14ac:dyDescent="0.2">
      <c r="A79" s="16">
        <v>78</v>
      </c>
      <c r="B79" s="37">
        <v>1</v>
      </c>
      <c r="C79" s="16" t="s">
        <v>748</v>
      </c>
      <c r="D79" s="16" t="s">
        <v>748</v>
      </c>
      <c r="E79" s="16"/>
      <c r="F79" s="16" t="s">
        <v>3289</v>
      </c>
      <c r="G79" s="16" t="s">
        <v>659</v>
      </c>
      <c r="H79" s="16" t="s">
        <v>747</v>
      </c>
      <c r="I79" s="16" t="s">
        <v>131</v>
      </c>
      <c r="J79" s="16">
        <v>0</v>
      </c>
      <c r="K79" s="16">
        <v>1</v>
      </c>
      <c r="L79" s="16">
        <v>1</v>
      </c>
      <c r="M79" s="16">
        <v>0</v>
      </c>
      <c r="N79">
        <f t="array" aca="1" ref="N79" ca="1">MATCH(TRUE,EXACT(I79,OFFSET(rngParamTypes,0,6,,1)),0)</f>
        <v>42</v>
      </c>
      <c r="O79" t="str">
        <f ca="1">IF((INDEX(rngParamTypes,$N79,7)=I79),"",1)</f>
        <v/>
      </c>
      <c r="P79">
        <f ca="1">INDEX(rngParamTypes,$N79,9)</f>
        <v>0</v>
      </c>
      <c r="Q79">
        <f ca="1">INDEX(rngParamTypes,$N79,10)</f>
        <v>0</v>
      </c>
      <c r="R79">
        <f ca="1">INDEX(rngParamTypes,$N79,11)</f>
        <v>0</v>
      </c>
      <c r="S79">
        <f ca="1">INDEX(rngParamTypes,$N79,12)</f>
        <v>0</v>
      </c>
      <c r="T79">
        <f ca="1">INDEX(rngParamTypes,$N79,13)</f>
        <v>0</v>
      </c>
      <c r="U79">
        <f ca="1">INDEX(rngParamTypes,$N79,14)</f>
        <v>0</v>
      </c>
      <c r="V79">
        <f ca="1">INDEX(rngParamTypes,$N79,15)</f>
        <v>0</v>
      </c>
      <c r="W79">
        <f ca="1">INDEX(rngParamTypes,$N79,16)</f>
        <v>0</v>
      </c>
      <c r="X79">
        <f ca="1">INDEX(rngParamTypes,$N79,17)</f>
        <v>0</v>
      </c>
      <c r="Y79">
        <f ca="1">INDEX(rngParamTypes,$N79,18)</f>
        <v>0</v>
      </c>
    </row>
    <row r="80" spans="1:25" x14ac:dyDescent="0.2">
      <c r="A80" s="16">
        <v>79</v>
      </c>
      <c r="B80" s="37">
        <v>1</v>
      </c>
      <c r="C80" s="16" t="s">
        <v>750</v>
      </c>
      <c r="D80" s="16" t="s">
        <v>750</v>
      </c>
      <c r="E80" s="16"/>
      <c r="F80" s="16" t="s">
        <v>3290</v>
      </c>
      <c r="G80" s="16" t="s">
        <v>340</v>
      </c>
      <c r="H80" s="16" t="s">
        <v>749</v>
      </c>
      <c r="I80" s="16" t="s">
        <v>341</v>
      </c>
      <c r="J80" s="16">
        <v>0</v>
      </c>
      <c r="K80" s="16">
        <v>0.1589873</v>
      </c>
      <c r="L80" s="16">
        <v>595707</v>
      </c>
      <c r="M80" s="16">
        <v>0</v>
      </c>
      <c r="N80">
        <f t="array" aca="1" ref="N80" ca="1">MATCH(TRUE,EXACT(I80,OFFSET(rngParamTypes,0,6,,1)),0)</f>
        <v>140</v>
      </c>
      <c r="O80" t="str">
        <f ca="1">IF((INDEX(rngParamTypes,$N80,7)=I80),"",1)</f>
        <v/>
      </c>
      <c r="P80">
        <f ca="1">INDEX(rngParamTypes,$N80,9)</f>
        <v>-2</v>
      </c>
      <c r="Q80">
        <f ca="1">INDEX(rngParamTypes,$N80,10)</f>
        <v>5</v>
      </c>
      <c r="R80">
        <f ca="1">INDEX(rngParamTypes,$N80,11)</f>
        <v>2</v>
      </c>
      <c r="S80">
        <f ca="1">INDEX(rngParamTypes,$N80,12)</f>
        <v>0</v>
      </c>
      <c r="T80">
        <f ca="1">INDEX(rngParamTypes,$N80,13)</f>
        <v>0</v>
      </c>
      <c r="U80">
        <f ca="1">INDEX(rngParamTypes,$N80,14)</f>
        <v>0</v>
      </c>
      <c r="V80">
        <f ca="1">INDEX(rngParamTypes,$N80,15)</f>
        <v>0</v>
      </c>
      <c r="W80">
        <f ca="1">INDEX(rngParamTypes,$N80,16)</f>
        <v>0</v>
      </c>
      <c r="X80">
        <f ca="1">INDEX(rngParamTypes,$N80,17)</f>
        <v>0</v>
      </c>
      <c r="Y80">
        <f ca="1">INDEX(rngParamTypes,$N80,18)</f>
        <v>0</v>
      </c>
    </row>
    <row r="81" spans="1:25" x14ac:dyDescent="0.2">
      <c r="A81" s="16">
        <v>80</v>
      </c>
      <c r="B81" s="37">
        <v>1</v>
      </c>
      <c r="C81" s="16" t="s">
        <v>752</v>
      </c>
      <c r="D81" s="16" t="s">
        <v>752</v>
      </c>
      <c r="E81" s="16">
        <v>2</v>
      </c>
      <c r="F81" s="16" t="s">
        <v>3291</v>
      </c>
      <c r="G81" s="16" t="s">
        <v>343</v>
      </c>
      <c r="H81" s="16" t="s">
        <v>751</v>
      </c>
      <c r="I81" s="16" t="s">
        <v>344</v>
      </c>
      <c r="J81" s="16">
        <v>0</v>
      </c>
      <c r="K81" s="16">
        <v>0.1589873</v>
      </c>
      <c r="L81" s="16">
        <v>86400</v>
      </c>
      <c r="M81" s="16">
        <v>0</v>
      </c>
      <c r="N81">
        <f t="array" aca="1" ref="N81" ca="1">MATCH(TRUE,EXACT(I81,OFFSET(rngParamTypes,0,6,,1)),0)</f>
        <v>141</v>
      </c>
      <c r="O81" t="str">
        <f ca="1">IF((INDEX(rngParamTypes,$N81,7)=I81),"",1)</f>
        <v/>
      </c>
      <c r="P81">
        <f ca="1">INDEX(rngParamTypes,$N81,9)</f>
        <v>0</v>
      </c>
      <c r="Q81">
        <f ca="1">INDEX(rngParamTypes,$N81,10)</f>
        <v>3</v>
      </c>
      <c r="R81">
        <f ca="1">INDEX(rngParamTypes,$N81,11)</f>
        <v>-1</v>
      </c>
      <c r="S81">
        <f ca="1">INDEX(rngParamTypes,$N81,12)</f>
        <v>0</v>
      </c>
      <c r="T81">
        <f ca="1">INDEX(rngParamTypes,$N81,13)</f>
        <v>0</v>
      </c>
      <c r="U81">
        <f ca="1">INDEX(rngParamTypes,$N81,14)</f>
        <v>0</v>
      </c>
      <c r="V81">
        <f ca="1">INDEX(rngParamTypes,$N81,15)</f>
        <v>0</v>
      </c>
      <c r="W81">
        <f ca="1">INDEX(rngParamTypes,$N81,16)</f>
        <v>0</v>
      </c>
      <c r="X81">
        <f ca="1">INDEX(rngParamTypes,$N81,17)</f>
        <v>0</v>
      </c>
      <c r="Y81">
        <f ca="1">INDEX(rngParamTypes,$N81,18)</f>
        <v>0</v>
      </c>
    </row>
    <row r="82" spans="1:25" x14ac:dyDescent="0.2">
      <c r="A82" s="16">
        <v>81</v>
      </c>
      <c r="B82" s="37">
        <v>1</v>
      </c>
      <c r="C82" s="16" t="s">
        <v>755</v>
      </c>
      <c r="D82" s="16" t="s">
        <v>755</v>
      </c>
      <c r="E82" s="16"/>
      <c r="F82" s="16" t="s">
        <v>3292</v>
      </c>
      <c r="G82" s="16" t="s">
        <v>754</v>
      </c>
      <c r="H82" s="16" t="s">
        <v>753</v>
      </c>
      <c r="I82" s="16" t="s">
        <v>38</v>
      </c>
      <c r="J82" s="16">
        <v>0</v>
      </c>
      <c r="K82" s="16">
        <v>0.1589873</v>
      </c>
      <c r="L82" s="16">
        <v>106573450</v>
      </c>
      <c r="M82" s="16">
        <v>0</v>
      </c>
      <c r="N82">
        <f t="array" aca="1" ref="N82" ca="1">MATCH(TRUE,EXACT(I82,OFFSET(rngParamTypes,0,6,,1)),0)</f>
        <v>12</v>
      </c>
      <c r="O82" t="str">
        <f ca="1">IF((INDEX(rngParamTypes,$N82,7)=I82),"",1)</f>
        <v/>
      </c>
      <c r="P82">
        <f ca="1">INDEX(rngParamTypes,$N82,9)</f>
        <v>0</v>
      </c>
      <c r="Q82">
        <f ca="1">INDEX(rngParamTypes,$N82,10)</f>
        <v>0</v>
      </c>
      <c r="R82">
        <f ca="1">INDEX(rngParamTypes,$N82,11)</f>
        <v>-1</v>
      </c>
      <c r="S82">
        <f ca="1">INDEX(rngParamTypes,$N82,12)</f>
        <v>0</v>
      </c>
      <c r="T82">
        <f ca="1">INDEX(rngParamTypes,$N82,13)</f>
        <v>0</v>
      </c>
      <c r="U82">
        <f ca="1">INDEX(rngParamTypes,$N82,14)</f>
        <v>0</v>
      </c>
      <c r="V82">
        <f ca="1">INDEX(rngParamTypes,$N82,15)</f>
        <v>0</v>
      </c>
      <c r="W82">
        <f ca="1">INDEX(rngParamTypes,$N82,16)</f>
        <v>0</v>
      </c>
      <c r="X82">
        <f ca="1">INDEX(rngParamTypes,$N82,17)</f>
        <v>0</v>
      </c>
      <c r="Y82">
        <f ca="1">INDEX(rngParamTypes,$N82,18)</f>
        <v>0</v>
      </c>
    </row>
    <row r="83" spans="1:25" x14ac:dyDescent="0.2">
      <c r="A83" s="16">
        <v>82</v>
      </c>
      <c r="B83" s="37">
        <v>1</v>
      </c>
      <c r="C83" s="16" t="s">
        <v>757</v>
      </c>
      <c r="D83" s="16" t="s">
        <v>757</v>
      </c>
      <c r="E83" s="16"/>
      <c r="F83" s="16" t="s">
        <v>3293</v>
      </c>
      <c r="G83" s="16" t="s">
        <v>664</v>
      </c>
      <c r="H83" s="16" t="s">
        <v>756</v>
      </c>
      <c r="I83" s="16" t="s">
        <v>319</v>
      </c>
      <c r="J83" s="16">
        <v>0</v>
      </c>
      <c r="K83" s="16">
        <v>0.1589873</v>
      </c>
      <c r="L83" s="16">
        <v>26334.720000000001</v>
      </c>
      <c r="M83" s="16">
        <v>0</v>
      </c>
      <c r="N83">
        <f t="array" aca="1" ref="N83" ca="1">MATCH(TRUE,EXACT(I83,OFFSET(rngParamTypes,0,6,,1)),0)</f>
        <v>130</v>
      </c>
      <c r="O83" t="str">
        <f ca="1">IF((INDEX(rngParamTypes,$N83,7)=I83),"",1)</f>
        <v/>
      </c>
      <c r="P83">
        <f ca="1">INDEX(rngParamTypes,$N83,9)</f>
        <v>0</v>
      </c>
      <c r="Q83">
        <f ca="1">INDEX(rngParamTypes,$N83,10)</f>
        <v>2</v>
      </c>
      <c r="R83">
        <f ca="1">INDEX(rngParamTypes,$N83,11)</f>
        <v>-1</v>
      </c>
      <c r="S83">
        <f ca="1">INDEX(rngParamTypes,$N83,12)</f>
        <v>0</v>
      </c>
      <c r="T83">
        <f ca="1">INDEX(rngParamTypes,$N83,13)</f>
        <v>0</v>
      </c>
      <c r="U83">
        <f ca="1">INDEX(rngParamTypes,$N83,14)</f>
        <v>0</v>
      </c>
      <c r="V83">
        <f ca="1">INDEX(rngParamTypes,$N83,15)</f>
        <v>0</v>
      </c>
      <c r="W83">
        <f ca="1">INDEX(rngParamTypes,$N83,16)</f>
        <v>0</v>
      </c>
      <c r="X83">
        <f ca="1">INDEX(rngParamTypes,$N83,17)</f>
        <v>0</v>
      </c>
      <c r="Y83">
        <f ca="1">INDEX(rngParamTypes,$N83,18)</f>
        <v>0</v>
      </c>
    </row>
    <row r="84" spans="1:25" x14ac:dyDescent="0.2">
      <c r="A84" s="16">
        <v>83</v>
      </c>
      <c r="B84" s="37">
        <v>1</v>
      </c>
      <c r="C84" s="16" t="s">
        <v>760</v>
      </c>
      <c r="D84" s="16" t="s">
        <v>760</v>
      </c>
      <c r="E84" s="16"/>
      <c r="F84" s="16" t="s">
        <v>3294</v>
      </c>
      <c r="G84" s="16" t="s">
        <v>311</v>
      </c>
      <c r="H84" s="16" t="s">
        <v>759</v>
      </c>
      <c r="I84" s="16" t="s">
        <v>313</v>
      </c>
      <c r="J84" s="16">
        <v>0</v>
      </c>
      <c r="K84" s="16">
        <v>2.66888418E-10</v>
      </c>
      <c r="L84" s="16">
        <v>0.30480000000000002</v>
      </c>
      <c r="M84" s="16">
        <v>0</v>
      </c>
      <c r="N84">
        <f t="array" aca="1" ref="N84" ca="1">MATCH(TRUE,EXACT(I84,OFFSET(rngParamTypes,0,6,,1)),0)</f>
        <v>128</v>
      </c>
      <c r="O84" t="str">
        <f ca="1">IF((INDEX(rngParamTypes,$N84,7)=I84),"",1)</f>
        <v/>
      </c>
      <c r="P84">
        <f ca="1">INDEX(rngParamTypes,$N84,9)</f>
        <v>-1</v>
      </c>
      <c r="Q84">
        <f ca="1">INDEX(rngParamTypes,$N84,10)</f>
        <v>3</v>
      </c>
      <c r="R84">
        <f ca="1">INDEX(rngParamTypes,$N84,11)</f>
        <v>1</v>
      </c>
      <c r="S84">
        <f ca="1">INDEX(rngParamTypes,$N84,12)</f>
        <v>0</v>
      </c>
      <c r="T84">
        <f ca="1">INDEX(rngParamTypes,$N84,13)</f>
        <v>0</v>
      </c>
      <c r="U84">
        <f ca="1">INDEX(rngParamTypes,$N84,14)</f>
        <v>0</v>
      </c>
      <c r="V84">
        <f ca="1">INDEX(rngParamTypes,$N84,15)</f>
        <v>0</v>
      </c>
      <c r="W84">
        <f ca="1">INDEX(rngParamTypes,$N84,16)</f>
        <v>0</v>
      </c>
      <c r="X84">
        <f ca="1">INDEX(rngParamTypes,$N84,17)</f>
        <v>0</v>
      </c>
      <c r="Y84">
        <f ca="1">INDEX(rngParamTypes,$N84,18)</f>
        <v>0</v>
      </c>
    </row>
    <row r="85" spans="1:25" x14ac:dyDescent="0.2">
      <c r="A85" s="16">
        <v>84</v>
      </c>
      <c r="B85" s="37">
        <v>1</v>
      </c>
      <c r="C85" s="16" t="s">
        <v>762</v>
      </c>
      <c r="D85" s="16" t="s">
        <v>762</v>
      </c>
      <c r="E85" s="16"/>
      <c r="F85" s="16" t="s">
        <v>3295</v>
      </c>
      <c r="G85" s="16" t="s">
        <v>334</v>
      </c>
      <c r="H85" s="16" t="s">
        <v>761</v>
      </c>
      <c r="I85" s="16" t="s">
        <v>335</v>
      </c>
      <c r="J85" s="16">
        <v>0</v>
      </c>
      <c r="K85" s="16">
        <v>2.66888418E-10</v>
      </c>
      <c r="L85" s="16">
        <v>1</v>
      </c>
      <c r="M85" s="16">
        <v>0</v>
      </c>
      <c r="N85">
        <f t="array" aca="1" ref="N85" ca="1">MATCH(TRUE,EXACT(I85,OFFSET(rngParamTypes,0,6,,1)),0)</f>
        <v>139</v>
      </c>
      <c r="O85" t="str">
        <f ca="1">IF((INDEX(rngParamTypes,$N85,7)=I85),"",1)</f>
        <v/>
      </c>
      <c r="P85">
        <f ca="1">INDEX(rngParamTypes,$N85,9)</f>
        <v>-1</v>
      </c>
      <c r="Q85">
        <f ca="1">INDEX(rngParamTypes,$N85,10)</f>
        <v>4</v>
      </c>
      <c r="R85">
        <f ca="1">INDEX(rngParamTypes,$N85,11)</f>
        <v>1</v>
      </c>
      <c r="S85">
        <f ca="1">INDEX(rngParamTypes,$N85,12)</f>
        <v>0</v>
      </c>
      <c r="T85">
        <f ca="1">INDEX(rngParamTypes,$N85,13)</f>
        <v>0</v>
      </c>
      <c r="U85">
        <f ca="1">INDEX(rngParamTypes,$N85,14)</f>
        <v>0</v>
      </c>
      <c r="V85">
        <f ca="1">INDEX(rngParamTypes,$N85,15)</f>
        <v>0</v>
      </c>
      <c r="W85">
        <f ca="1">INDEX(rngParamTypes,$N85,16)</f>
        <v>0</v>
      </c>
      <c r="X85">
        <f ca="1">INDEX(rngParamTypes,$N85,17)</f>
        <v>0</v>
      </c>
      <c r="Y85">
        <f ca="1">INDEX(rngParamTypes,$N85,18)</f>
        <v>0</v>
      </c>
    </row>
    <row r="86" spans="1:25" x14ac:dyDescent="0.2">
      <c r="A86" s="16">
        <v>85</v>
      </c>
      <c r="B86" s="37">
        <v>1</v>
      </c>
      <c r="C86" s="16" t="s">
        <v>765</v>
      </c>
      <c r="D86" s="16" t="s">
        <v>765</v>
      </c>
      <c r="E86" s="16"/>
      <c r="F86" s="16" t="s">
        <v>3296</v>
      </c>
      <c r="G86" s="16" t="s">
        <v>346</v>
      </c>
      <c r="H86" s="16" t="s">
        <v>764</v>
      </c>
      <c r="I86" s="16" t="s">
        <v>347</v>
      </c>
      <c r="J86" s="16">
        <v>0</v>
      </c>
      <c r="K86" s="16">
        <v>2.12978E-11</v>
      </c>
      <c r="L86" s="16">
        <v>1</v>
      </c>
      <c r="M86" s="16">
        <v>0</v>
      </c>
      <c r="N86">
        <f t="array" aca="1" ref="N86" ca="1">MATCH(TRUE,EXACT(I86,OFFSET(rngParamTypes,0,6,,1)),0)</f>
        <v>142</v>
      </c>
      <c r="O86" t="str">
        <f ca="1">IF((INDEX(rngParamTypes,$N86,7)=I86),"",1)</f>
        <v/>
      </c>
      <c r="P86">
        <f ca="1">INDEX(rngParamTypes,$N86,9)</f>
        <v>0</v>
      </c>
      <c r="Q86">
        <f ca="1">INDEX(rngParamTypes,$N86,10)</f>
        <v>3</v>
      </c>
      <c r="R86">
        <f ca="1">INDEX(rngParamTypes,$N86,11)</f>
        <v>-2</v>
      </c>
      <c r="S86">
        <f ca="1">INDEX(rngParamTypes,$N86,12)</f>
        <v>0</v>
      </c>
      <c r="T86">
        <f ca="1">INDEX(rngParamTypes,$N86,13)</f>
        <v>0</v>
      </c>
      <c r="U86">
        <f ca="1">INDEX(rngParamTypes,$N86,14)</f>
        <v>0</v>
      </c>
      <c r="V86">
        <f ca="1">INDEX(rngParamTypes,$N86,15)</f>
        <v>0</v>
      </c>
      <c r="W86">
        <f ca="1">INDEX(rngParamTypes,$N86,16)</f>
        <v>0</v>
      </c>
      <c r="X86">
        <f ca="1">INDEX(rngParamTypes,$N86,17)</f>
        <v>0</v>
      </c>
      <c r="Y86">
        <f ca="1">INDEX(rngParamTypes,$N86,18)</f>
        <v>0</v>
      </c>
    </row>
    <row r="87" spans="1:25" x14ac:dyDescent="0.2">
      <c r="A87" s="16">
        <v>86</v>
      </c>
      <c r="B87" s="37">
        <v>1</v>
      </c>
      <c r="C87" s="16" t="s">
        <v>768</v>
      </c>
      <c r="D87" s="16" t="s">
        <v>768</v>
      </c>
      <c r="E87" s="16"/>
      <c r="F87" s="16" t="s">
        <v>3297</v>
      </c>
      <c r="G87" s="16" t="s">
        <v>767</v>
      </c>
      <c r="H87" s="16" t="s">
        <v>766</v>
      </c>
      <c r="I87" s="16" t="s">
        <v>303</v>
      </c>
      <c r="J87" s="16">
        <v>0</v>
      </c>
      <c r="K87" s="16">
        <v>0.1589873</v>
      </c>
      <c r="L87" s="16">
        <v>0.30480000000000002</v>
      </c>
      <c r="M87" s="16">
        <v>0</v>
      </c>
      <c r="N87">
        <f t="array" aca="1" ref="N87" ca="1">MATCH(TRUE,EXACT(I87,OFFSET(rngParamTypes,0,6,,1)),0)</f>
        <v>125</v>
      </c>
      <c r="O87" t="str">
        <f ca="1">IF((INDEX(rngParamTypes,$N87,7)=I87),"",1)</f>
        <v/>
      </c>
      <c r="P87">
        <f ca="1">INDEX(rngParamTypes,$N87,9)</f>
        <v>0</v>
      </c>
      <c r="Q87">
        <f ca="1">INDEX(rngParamTypes,$N87,10)</f>
        <v>2</v>
      </c>
      <c r="R87">
        <f ca="1">INDEX(rngParamTypes,$N87,11)</f>
        <v>0</v>
      </c>
      <c r="S87">
        <f ca="1">INDEX(rngParamTypes,$N87,12)</f>
        <v>0</v>
      </c>
      <c r="T87">
        <f ca="1">INDEX(rngParamTypes,$N87,13)</f>
        <v>0</v>
      </c>
      <c r="U87">
        <f ca="1">INDEX(rngParamTypes,$N87,14)</f>
        <v>0</v>
      </c>
      <c r="V87">
        <f ca="1">INDEX(rngParamTypes,$N87,15)</f>
        <v>0</v>
      </c>
      <c r="W87">
        <f ca="1">INDEX(rngParamTypes,$N87,16)</f>
        <v>0</v>
      </c>
      <c r="X87">
        <f ca="1">INDEX(rngParamTypes,$N87,17)</f>
        <v>0</v>
      </c>
      <c r="Y87">
        <f ca="1">INDEX(rngParamTypes,$N87,18)</f>
        <v>0</v>
      </c>
    </row>
    <row r="88" spans="1:25" x14ac:dyDescent="0.2">
      <c r="A88" s="16">
        <v>87</v>
      </c>
      <c r="B88" s="37">
        <v>1</v>
      </c>
      <c r="C88" s="16" t="s">
        <v>770</v>
      </c>
      <c r="D88" s="16" t="s">
        <v>770</v>
      </c>
      <c r="E88" s="16"/>
      <c r="F88" s="16" t="s">
        <v>3298</v>
      </c>
      <c r="G88" s="16" t="s">
        <v>659</v>
      </c>
      <c r="H88" s="16" t="s">
        <v>769</v>
      </c>
      <c r="I88" s="16" t="s">
        <v>131</v>
      </c>
      <c r="J88" s="16">
        <v>0</v>
      </c>
      <c r="K88" s="16">
        <v>0.1589873</v>
      </c>
      <c r="L88" s="16">
        <v>2.8316850000000001E-2</v>
      </c>
      <c r="M88" s="16">
        <v>0</v>
      </c>
      <c r="N88">
        <f t="array" aca="1" ref="N88" ca="1">MATCH(TRUE,EXACT(I88,OFFSET(rngParamTypes,0,6,,1)),0)</f>
        <v>42</v>
      </c>
      <c r="O88" t="str">
        <f ca="1">IF((INDEX(rngParamTypes,$N88,7)=I88),"",1)</f>
        <v/>
      </c>
      <c r="P88">
        <f ca="1">INDEX(rngParamTypes,$N88,9)</f>
        <v>0</v>
      </c>
      <c r="Q88">
        <f ca="1">INDEX(rngParamTypes,$N88,10)</f>
        <v>0</v>
      </c>
      <c r="R88">
        <f ca="1">INDEX(rngParamTypes,$N88,11)</f>
        <v>0</v>
      </c>
      <c r="S88">
        <f ca="1">INDEX(rngParamTypes,$N88,12)</f>
        <v>0</v>
      </c>
      <c r="T88">
        <f ca="1">INDEX(rngParamTypes,$N88,13)</f>
        <v>0</v>
      </c>
      <c r="U88">
        <f ca="1">INDEX(rngParamTypes,$N88,14)</f>
        <v>0</v>
      </c>
      <c r="V88">
        <f ca="1">INDEX(rngParamTypes,$N88,15)</f>
        <v>0</v>
      </c>
      <c r="W88">
        <f ca="1">INDEX(rngParamTypes,$N88,16)</f>
        <v>0</v>
      </c>
      <c r="X88">
        <f ca="1">INDEX(rngParamTypes,$N88,17)</f>
        <v>0</v>
      </c>
      <c r="Y88">
        <f ca="1">INDEX(rngParamTypes,$N88,18)</f>
        <v>0</v>
      </c>
    </row>
    <row r="89" spans="1:25" x14ac:dyDescent="0.2">
      <c r="A89" s="16">
        <v>88</v>
      </c>
      <c r="B89" s="37">
        <v>1</v>
      </c>
      <c r="C89" s="16" t="s">
        <v>772</v>
      </c>
      <c r="D89" s="16" t="s">
        <v>772</v>
      </c>
      <c r="E89" s="16">
        <v>2</v>
      </c>
      <c r="F89" s="16" t="s">
        <v>3299</v>
      </c>
      <c r="G89" s="16" t="s">
        <v>343</v>
      </c>
      <c r="H89" s="16" t="s">
        <v>771</v>
      </c>
      <c r="I89" s="16" t="s">
        <v>344</v>
      </c>
      <c r="J89" s="16">
        <v>0</v>
      </c>
      <c r="K89" s="16">
        <v>0.1589873</v>
      </c>
      <c r="L89" s="16">
        <v>3600</v>
      </c>
      <c r="M89" s="16">
        <v>0</v>
      </c>
      <c r="N89">
        <f t="array" aca="1" ref="N89" ca="1">MATCH(TRUE,EXACT(I89,OFFSET(rngParamTypes,0,6,,1)),0)</f>
        <v>141</v>
      </c>
      <c r="O89" t="str">
        <f ca="1">IF((INDEX(rngParamTypes,$N89,7)=I89),"",1)</f>
        <v/>
      </c>
      <c r="P89">
        <f ca="1">INDEX(rngParamTypes,$N89,9)</f>
        <v>0</v>
      </c>
      <c r="Q89">
        <f ca="1">INDEX(rngParamTypes,$N89,10)</f>
        <v>3</v>
      </c>
      <c r="R89">
        <f ca="1">INDEX(rngParamTypes,$N89,11)</f>
        <v>-1</v>
      </c>
      <c r="S89">
        <f ca="1">INDEX(rngParamTypes,$N89,12)</f>
        <v>0</v>
      </c>
      <c r="T89">
        <f ca="1">INDEX(rngParamTypes,$N89,13)</f>
        <v>0</v>
      </c>
      <c r="U89">
        <f ca="1">INDEX(rngParamTypes,$N89,14)</f>
        <v>0</v>
      </c>
      <c r="V89">
        <f ca="1">INDEX(rngParamTypes,$N89,15)</f>
        <v>0</v>
      </c>
      <c r="W89">
        <f ca="1">INDEX(rngParamTypes,$N89,16)</f>
        <v>0</v>
      </c>
      <c r="X89">
        <f ca="1">INDEX(rngParamTypes,$N89,17)</f>
        <v>0</v>
      </c>
      <c r="Y89">
        <f ca="1">INDEX(rngParamTypes,$N89,18)</f>
        <v>0</v>
      </c>
    </row>
    <row r="90" spans="1:25" x14ac:dyDescent="0.2">
      <c r="A90" s="16">
        <v>89</v>
      </c>
      <c r="B90" s="37">
        <v>1</v>
      </c>
      <c r="C90" s="16" t="s">
        <v>774</v>
      </c>
      <c r="D90" s="16" t="s">
        <v>774</v>
      </c>
      <c r="E90" s="16"/>
      <c r="F90" s="16" t="s">
        <v>3300</v>
      </c>
      <c r="G90" s="16" t="s">
        <v>346</v>
      </c>
      <c r="H90" s="16" t="s">
        <v>773</v>
      </c>
      <c r="I90" s="16" t="s">
        <v>347</v>
      </c>
      <c r="J90" s="16">
        <v>0</v>
      </c>
      <c r="K90" s="16">
        <v>0.1589873</v>
      </c>
      <c r="L90" s="16">
        <v>12960000</v>
      </c>
      <c r="M90" s="16">
        <v>0</v>
      </c>
      <c r="N90">
        <f t="array" aca="1" ref="N90" ca="1">MATCH(TRUE,EXACT(I90,OFFSET(rngParamTypes,0,6,,1)),0)</f>
        <v>142</v>
      </c>
      <c r="O90" t="str">
        <f ca="1">IF((INDEX(rngParamTypes,$N90,7)=I90),"",1)</f>
        <v/>
      </c>
      <c r="P90">
        <f ca="1">INDEX(rngParamTypes,$N90,9)</f>
        <v>0</v>
      </c>
      <c r="Q90">
        <f ca="1">INDEX(rngParamTypes,$N90,10)</f>
        <v>3</v>
      </c>
      <c r="R90">
        <f ca="1">INDEX(rngParamTypes,$N90,11)</f>
        <v>-2</v>
      </c>
      <c r="S90">
        <f ca="1">INDEX(rngParamTypes,$N90,12)</f>
        <v>0</v>
      </c>
      <c r="T90">
        <f ca="1">INDEX(rngParamTypes,$N90,13)</f>
        <v>0</v>
      </c>
      <c r="U90">
        <f ca="1">INDEX(rngParamTypes,$N90,14)</f>
        <v>0</v>
      </c>
      <c r="V90">
        <f ca="1">INDEX(rngParamTypes,$N90,15)</f>
        <v>0</v>
      </c>
      <c r="W90">
        <f ca="1">INDEX(rngParamTypes,$N90,16)</f>
        <v>0</v>
      </c>
      <c r="X90">
        <f ca="1">INDEX(rngParamTypes,$N90,17)</f>
        <v>0</v>
      </c>
      <c r="Y90">
        <f ca="1">INDEX(rngParamTypes,$N90,18)</f>
        <v>0</v>
      </c>
    </row>
    <row r="91" spans="1:25" x14ac:dyDescent="0.2">
      <c r="A91" s="16">
        <v>90</v>
      </c>
      <c r="B91" s="37">
        <v>1</v>
      </c>
      <c r="C91" s="16" t="s">
        <v>776</v>
      </c>
      <c r="D91" s="16" t="s">
        <v>776</v>
      </c>
      <c r="E91" s="16"/>
      <c r="F91" s="16" t="s">
        <v>3301</v>
      </c>
      <c r="G91" s="16" t="s">
        <v>767</v>
      </c>
      <c r="H91" s="16" t="s">
        <v>775</v>
      </c>
      <c r="I91" s="16" t="s">
        <v>303</v>
      </c>
      <c r="J91" s="16">
        <v>0</v>
      </c>
      <c r="K91" s="16">
        <v>0.1589873</v>
      </c>
      <c r="L91" s="16">
        <v>2.5399999999999999E-2</v>
      </c>
      <c r="M91" s="16">
        <v>0</v>
      </c>
      <c r="N91">
        <f t="array" aca="1" ref="N91" ca="1">MATCH(TRUE,EXACT(I91,OFFSET(rngParamTypes,0,6,,1)),0)</f>
        <v>125</v>
      </c>
      <c r="O91" t="str">
        <f ca="1">IF((INDEX(rngParamTypes,$N91,7)=I91),"",1)</f>
        <v/>
      </c>
      <c r="P91">
        <f ca="1">INDEX(rngParamTypes,$N91,9)</f>
        <v>0</v>
      </c>
      <c r="Q91">
        <f ca="1">INDEX(rngParamTypes,$N91,10)</f>
        <v>2</v>
      </c>
      <c r="R91">
        <f ca="1">INDEX(rngParamTypes,$N91,11)</f>
        <v>0</v>
      </c>
      <c r="S91">
        <f ca="1">INDEX(rngParamTypes,$N91,12)</f>
        <v>0</v>
      </c>
      <c r="T91">
        <f ca="1">INDEX(rngParamTypes,$N91,13)</f>
        <v>0</v>
      </c>
      <c r="U91">
        <f ca="1">INDEX(rngParamTypes,$N91,14)</f>
        <v>0</v>
      </c>
      <c r="V91">
        <f ca="1">INDEX(rngParamTypes,$N91,15)</f>
        <v>0</v>
      </c>
      <c r="W91">
        <f ca="1">INDEX(rngParamTypes,$N91,16)</f>
        <v>0</v>
      </c>
      <c r="X91">
        <f ca="1">INDEX(rngParamTypes,$N91,17)</f>
        <v>0</v>
      </c>
      <c r="Y91">
        <f ca="1">INDEX(rngParamTypes,$N91,18)</f>
        <v>0</v>
      </c>
    </row>
    <row r="92" spans="1:25" x14ac:dyDescent="0.2">
      <c r="A92" s="16">
        <v>91</v>
      </c>
      <c r="B92" s="37">
        <v>1</v>
      </c>
      <c r="C92" s="16" t="s">
        <v>778</v>
      </c>
      <c r="D92" s="16" t="s">
        <v>778</v>
      </c>
      <c r="E92" s="16"/>
      <c r="F92" s="16" t="s">
        <v>4253</v>
      </c>
      <c r="G92" s="16" t="s">
        <v>659</v>
      </c>
      <c r="H92" s="16" t="s">
        <v>777</v>
      </c>
      <c r="I92" s="16" t="s">
        <v>131</v>
      </c>
      <c r="J92" s="16">
        <v>0</v>
      </c>
      <c r="K92" s="16">
        <v>0.1589873</v>
      </c>
      <c r="L92" s="16">
        <v>28.316849999999999</v>
      </c>
      <c r="M92" s="16">
        <v>0</v>
      </c>
      <c r="N92">
        <f t="array" aca="1" ref="N92" ca="1">MATCH(TRUE,EXACT(I92,OFFSET(rngParamTypes,0,6,,1)),0)</f>
        <v>42</v>
      </c>
      <c r="O92" t="str">
        <f ca="1">IF((INDEX(rngParamTypes,$N92,7)=I92),"",1)</f>
        <v/>
      </c>
      <c r="P92">
        <f ca="1">INDEX(rngParamTypes,$N92,9)</f>
        <v>0</v>
      </c>
      <c r="Q92">
        <f ca="1">INDEX(rngParamTypes,$N92,10)</f>
        <v>0</v>
      </c>
      <c r="R92">
        <f ca="1">INDEX(rngParamTypes,$N92,11)</f>
        <v>0</v>
      </c>
      <c r="S92">
        <f ca="1">INDEX(rngParamTypes,$N92,12)</f>
        <v>0</v>
      </c>
      <c r="T92">
        <f ca="1">INDEX(rngParamTypes,$N92,13)</f>
        <v>0</v>
      </c>
      <c r="U92">
        <f ca="1">INDEX(rngParamTypes,$N92,14)</f>
        <v>0</v>
      </c>
      <c r="V92">
        <f ca="1">INDEX(rngParamTypes,$N92,15)</f>
        <v>0</v>
      </c>
      <c r="W92">
        <f ca="1">INDEX(rngParamTypes,$N92,16)</f>
        <v>0</v>
      </c>
      <c r="X92">
        <f ca="1">INDEX(rngParamTypes,$N92,17)</f>
        <v>0</v>
      </c>
      <c r="Y92">
        <f ca="1">INDEX(rngParamTypes,$N92,18)</f>
        <v>0</v>
      </c>
    </row>
    <row r="93" spans="1:25" x14ac:dyDescent="0.2">
      <c r="A93" s="16">
        <v>92</v>
      </c>
      <c r="B93" s="37">
        <v>1</v>
      </c>
      <c r="C93" s="16" t="s">
        <v>780</v>
      </c>
      <c r="D93" s="16" t="s">
        <v>780</v>
      </c>
      <c r="E93" s="16"/>
      <c r="F93" s="16" t="s">
        <v>3302</v>
      </c>
      <c r="G93" s="16" t="s">
        <v>334</v>
      </c>
      <c r="H93" s="16" t="s">
        <v>779</v>
      </c>
      <c r="I93" s="16" t="s">
        <v>335</v>
      </c>
      <c r="J93" s="16">
        <v>0</v>
      </c>
      <c r="K93" s="16">
        <v>0.1589873</v>
      </c>
      <c r="L93" s="16">
        <v>86400000</v>
      </c>
      <c r="M93" s="16">
        <v>0</v>
      </c>
      <c r="N93">
        <f t="array" aca="1" ref="N93" ca="1">MATCH(TRUE,EXACT(I93,OFFSET(rngParamTypes,0,6,,1)),0)</f>
        <v>139</v>
      </c>
      <c r="O93" t="str">
        <f ca="1">IF((INDEX(rngParamTypes,$N93,7)=I93),"",1)</f>
        <v/>
      </c>
      <c r="P93">
        <f ca="1">INDEX(rngParamTypes,$N93,9)</f>
        <v>-1</v>
      </c>
      <c r="Q93">
        <f ca="1">INDEX(rngParamTypes,$N93,10)</f>
        <v>4</v>
      </c>
      <c r="R93">
        <f ca="1">INDEX(rngParamTypes,$N93,11)</f>
        <v>1</v>
      </c>
      <c r="S93">
        <f ca="1">INDEX(rngParamTypes,$N93,12)</f>
        <v>0</v>
      </c>
      <c r="T93">
        <f ca="1">INDEX(rngParamTypes,$N93,13)</f>
        <v>0</v>
      </c>
      <c r="U93">
        <f ca="1">INDEX(rngParamTypes,$N93,14)</f>
        <v>0</v>
      </c>
      <c r="V93">
        <f ca="1">INDEX(rngParamTypes,$N93,15)</f>
        <v>0</v>
      </c>
      <c r="W93">
        <f ca="1">INDEX(rngParamTypes,$N93,16)</f>
        <v>0</v>
      </c>
      <c r="X93">
        <f ca="1">INDEX(rngParamTypes,$N93,17)</f>
        <v>0</v>
      </c>
      <c r="Y93">
        <f ca="1">INDEX(rngParamTypes,$N93,18)</f>
        <v>0</v>
      </c>
    </row>
    <row r="94" spans="1:25" x14ac:dyDescent="0.2">
      <c r="A94" s="16">
        <v>93</v>
      </c>
      <c r="B94" s="37">
        <v>1</v>
      </c>
      <c r="C94" s="16" t="s">
        <v>783</v>
      </c>
      <c r="D94" s="16" t="s">
        <v>783</v>
      </c>
      <c r="E94" s="16"/>
      <c r="F94" s="16" t="s">
        <v>4254</v>
      </c>
      <c r="G94" s="16" t="s">
        <v>659</v>
      </c>
      <c r="H94" s="16" t="s">
        <v>782</v>
      </c>
      <c r="I94" s="16" t="s">
        <v>131</v>
      </c>
      <c r="J94" s="16">
        <v>0</v>
      </c>
      <c r="K94" s="16">
        <v>0.1589873</v>
      </c>
      <c r="L94" s="16">
        <v>28316.85</v>
      </c>
      <c r="M94" s="16">
        <v>0</v>
      </c>
      <c r="N94">
        <f t="array" aca="1" ref="N94" ca="1">MATCH(TRUE,EXACT(I94,OFFSET(rngParamTypes,0,6,,1)),0)</f>
        <v>42</v>
      </c>
      <c r="O94" t="str">
        <f ca="1">IF((INDEX(rngParamTypes,$N94,7)=I94),"",1)</f>
        <v/>
      </c>
      <c r="P94">
        <f ca="1">INDEX(rngParamTypes,$N94,9)</f>
        <v>0</v>
      </c>
      <c r="Q94">
        <f ca="1">INDEX(rngParamTypes,$N94,10)</f>
        <v>0</v>
      </c>
      <c r="R94">
        <f ca="1">INDEX(rngParamTypes,$N94,11)</f>
        <v>0</v>
      </c>
      <c r="S94">
        <f ca="1">INDEX(rngParamTypes,$N94,12)</f>
        <v>0</v>
      </c>
      <c r="T94">
        <f ca="1">INDEX(rngParamTypes,$N94,13)</f>
        <v>0</v>
      </c>
      <c r="U94">
        <f ca="1">INDEX(rngParamTypes,$N94,14)</f>
        <v>0</v>
      </c>
      <c r="V94">
        <f ca="1">INDEX(rngParamTypes,$N94,15)</f>
        <v>0</v>
      </c>
      <c r="W94">
        <f ca="1">INDEX(rngParamTypes,$N94,16)</f>
        <v>0</v>
      </c>
      <c r="X94">
        <f ca="1">INDEX(rngParamTypes,$N94,17)</f>
        <v>0</v>
      </c>
      <c r="Y94">
        <f ca="1">INDEX(rngParamTypes,$N94,18)</f>
        <v>0</v>
      </c>
    </row>
    <row r="95" spans="1:25" x14ac:dyDescent="0.2">
      <c r="A95" s="16">
        <v>94</v>
      </c>
      <c r="B95" s="37">
        <v>1</v>
      </c>
      <c r="C95" s="16" t="s">
        <v>785</v>
      </c>
      <c r="D95" s="16" t="s">
        <v>785</v>
      </c>
      <c r="E95" s="16"/>
      <c r="F95" s="16" t="s">
        <v>3303</v>
      </c>
      <c r="G95" s="16" t="s">
        <v>767</v>
      </c>
      <c r="H95" s="16" t="s">
        <v>784</v>
      </c>
      <c r="I95" s="16" t="s">
        <v>303</v>
      </c>
      <c r="J95" s="16">
        <v>0</v>
      </c>
      <c r="K95" s="16">
        <v>0.1589873</v>
      </c>
      <c r="L95" s="16">
        <v>1609.3440000000001</v>
      </c>
      <c r="M95" s="16">
        <v>0</v>
      </c>
      <c r="N95">
        <f t="array" aca="1" ref="N95" ca="1">MATCH(TRUE,EXACT(I95,OFFSET(rngParamTypes,0,6,,1)),0)</f>
        <v>125</v>
      </c>
      <c r="O95" t="str">
        <f ca="1">IF((INDEX(rngParamTypes,$N95,7)=I95),"",1)</f>
        <v/>
      </c>
      <c r="P95">
        <f ca="1">INDEX(rngParamTypes,$N95,9)</f>
        <v>0</v>
      </c>
      <c r="Q95">
        <f ca="1">INDEX(rngParamTypes,$N95,10)</f>
        <v>2</v>
      </c>
      <c r="R95">
        <f ca="1">INDEX(rngParamTypes,$N95,11)</f>
        <v>0</v>
      </c>
      <c r="S95">
        <f ca="1">INDEX(rngParamTypes,$N95,12)</f>
        <v>0</v>
      </c>
      <c r="T95">
        <f ca="1">INDEX(rngParamTypes,$N95,13)</f>
        <v>0</v>
      </c>
      <c r="U95">
        <f ca="1">INDEX(rngParamTypes,$N95,14)</f>
        <v>0</v>
      </c>
      <c r="V95">
        <f ca="1">INDEX(rngParamTypes,$N95,15)</f>
        <v>0</v>
      </c>
      <c r="W95">
        <f ca="1">INDEX(rngParamTypes,$N95,16)</f>
        <v>0</v>
      </c>
      <c r="X95">
        <f ca="1">INDEX(rngParamTypes,$N95,17)</f>
        <v>0</v>
      </c>
      <c r="Y95">
        <f ca="1">INDEX(rngParamTypes,$N95,18)</f>
        <v>0</v>
      </c>
    </row>
    <row r="96" spans="1:25" x14ac:dyDescent="0.2">
      <c r="A96" s="16">
        <v>95</v>
      </c>
      <c r="B96" s="37">
        <v>1</v>
      </c>
      <c r="C96" s="16" t="s">
        <v>787</v>
      </c>
      <c r="D96" s="16" t="s">
        <v>787</v>
      </c>
      <c r="E96" s="16">
        <v>2</v>
      </c>
      <c r="F96" s="16" t="s">
        <v>3304</v>
      </c>
      <c r="G96" s="16" t="s">
        <v>343</v>
      </c>
      <c r="H96" s="16" t="s">
        <v>786</v>
      </c>
      <c r="I96" s="16" t="s">
        <v>344</v>
      </c>
      <c r="J96" s="16">
        <v>0</v>
      </c>
      <c r="K96" s="16">
        <v>0.1589873</v>
      </c>
      <c r="L96" s="16">
        <v>60</v>
      </c>
      <c r="M96" s="16">
        <v>0</v>
      </c>
      <c r="N96">
        <f t="array" aca="1" ref="N96" ca="1">MATCH(TRUE,EXACT(I96,OFFSET(rngParamTypes,0,6,,1)),0)</f>
        <v>141</v>
      </c>
      <c r="O96" t="str">
        <f ca="1">IF((INDEX(rngParamTypes,$N96,7)=I96),"",1)</f>
        <v/>
      </c>
      <c r="P96">
        <f ca="1">INDEX(rngParamTypes,$N96,9)</f>
        <v>0</v>
      </c>
      <c r="Q96">
        <f ca="1">INDEX(rngParamTypes,$N96,10)</f>
        <v>3</v>
      </c>
      <c r="R96">
        <f ca="1">INDEX(rngParamTypes,$N96,11)</f>
        <v>-1</v>
      </c>
      <c r="S96">
        <f ca="1">INDEX(rngParamTypes,$N96,12)</f>
        <v>0</v>
      </c>
      <c r="T96">
        <f ca="1">INDEX(rngParamTypes,$N96,13)</f>
        <v>0</v>
      </c>
      <c r="U96">
        <f ca="1">INDEX(rngParamTypes,$N96,14)</f>
        <v>0</v>
      </c>
      <c r="V96">
        <f ca="1">INDEX(rngParamTypes,$N96,15)</f>
        <v>0</v>
      </c>
      <c r="W96">
        <f ca="1">INDEX(rngParamTypes,$N96,16)</f>
        <v>0</v>
      </c>
      <c r="X96">
        <f ca="1">INDEX(rngParamTypes,$N96,17)</f>
        <v>0</v>
      </c>
      <c r="Y96">
        <f ca="1">INDEX(rngParamTypes,$N96,18)</f>
        <v>0</v>
      </c>
    </row>
    <row r="97" spans="1:25" x14ac:dyDescent="0.2">
      <c r="A97" s="16">
        <v>96</v>
      </c>
      <c r="B97" s="37">
        <v>1</v>
      </c>
      <c r="C97" s="16" t="s">
        <v>789</v>
      </c>
      <c r="D97" s="16" t="s">
        <v>789</v>
      </c>
      <c r="E97" s="16"/>
      <c r="F97" s="16" t="s">
        <v>4255</v>
      </c>
      <c r="G97" s="16" t="s">
        <v>349</v>
      </c>
      <c r="H97" s="16" t="s">
        <v>788</v>
      </c>
      <c r="I97" s="16" t="s">
        <v>352</v>
      </c>
      <c r="J97" s="16">
        <v>0</v>
      </c>
      <c r="K97" s="16">
        <v>0.1589873</v>
      </c>
      <c r="L97" s="16">
        <v>28262.357</v>
      </c>
      <c r="M97" s="16">
        <v>0</v>
      </c>
      <c r="N97">
        <f t="array" aca="1" ref="N97" ca="1">MATCH(TRUE,EXACT(I97,OFFSET(rngParamTypes,0,6,,1)),0)</f>
        <v>144</v>
      </c>
      <c r="O97" t="str">
        <f ca="1">IF((INDEX(rngParamTypes,$N97,7)=I97),"",1)</f>
        <v/>
      </c>
      <c r="P97">
        <f ca="1">INDEX(rngParamTypes,$N97,9)</f>
        <v>0</v>
      </c>
      <c r="Q97">
        <f ca="1">INDEX(rngParamTypes,$N97,10)</f>
        <v>0</v>
      </c>
      <c r="R97">
        <f ca="1">INDEX(rngParamTypes,$N97,11)</f>
        <v>0</v>
      </c>
      <c r="S97">
        <f ca="1">INDEX(rngParamTypes,$N97,12)</f>
        <v>0</v>
      </c>
      <c r="T97">
        <f ca="1">INDEX(rngParamTypes,$N97,13)</f>
        <v>0</v>
      </c>
      <c r="U97">
        <f ca="1">INDEX(rngParamTypes,$N97,14)</f>
        <v>0</v>
      </c>
      <c r="V97">
        <f ca="1">INDEX(rngParamTypes,$N97,15)</f>
        <v>0</v>
      </c>
      <c r="W97">
        <f ca="1">INDEX(rngParamTypes,$N97,16)</f>
        <v>0</v>
      </c>
      <c r="X97">
        <f ca="1">INDEX(rngParamTypes,$N97,17)</f>
        <v>0</v>
      </c>
      <c r="Y97">
        <f ca="1">INDEX(rngParamTypes,$N97,18)</f>
        <v>0</v>
      </c>
    </row>
    <row r="98" spans="1:25" x14ac:dyDescent="0.2">
      <c r="A98" s="16">
        <v>97</v>
      </c>
      <c r="B98" s="37">
        <v>1</v>
      </c>
      <c r="C98" s="16" t="s">
        <v>791</v>
      </c>
      <c r="D98" s="16" t="s">
        <v>791</v>
      </c>
      <c r="E98" s="16"/>
      <c r="F98" s="16" t="s">
        <v>3305</v>
      </c>
      <c r="G98" s="16" t="s">
        <v>334</v>
      </c>
      <c r="H98" s="16" t="s">
        <v>790</v>
      </c>
      <c r="I98" s="16" t="s">
        <v>335</v>
      </c>
      <c r="J98" s="16">
        <v>0</v>
      </c>
      <c r="K98" s="16">
        <v>0.1589873</v>
      </c>
      <c r="L98" s="16">
        <v>595707004.79999995</v>
      </c>
      <c r="M98" s="16">
        <v>0</v>
      </c>
      <c r="N98">
        <f t="array" aca="1" ref="N98" ca="1">MATCH(TRUE,EXACT(I98,OFFSET(rngParamTypes,0,6,,1)),0)</f>
        <v>139</v>
      </c>
      <c r="O98" t="str">
        <f ca="1">IF((INDEX(rngParamTypes,$N98,7)=I98),"",1)</f>
        <v/>
      </c>
      <c r="P98">
        <f ca="1">INDEX(rngParamTypes,$N98,9)</f>
        <v>-1</v>
      </c>
      <c r="Q98">
        <f ca="1">INDEX(rngParamTypes,$N98,10)</f>
        <v>4</v>
      </c>
      <c r="R98">
        <f ca="1">INDEX(rngParamTypes,$N98,11)</f>
        <v>1</v>
      </c>
      <c r="S98">
        <f ca="1">INDEX(rngParamTypes,$N98,12)</f>
        <v>0</v>
      </c>
      <c r="T98">
        <f ca="1">INDEX(rngParamTypes,$N98,13)</f>
        <v>0</v>
      </c>
      <c r="U98">
        <f ca="1">INDEX(rngParamTypes,$N98,14)</f>
        <v>0</v>
      </c>
      <c r="V98">
        <f ca="1">INDEX(rngParamTypes,$N98,15)</f>
        <v>0</v>
      </c>
      <c r="W98">
        <f ca="1">INDEX(rngParamTypes,$N98,16)</f>
        <v>0</v>
      </c>
      <c r="X98">
        <f ca="1">INDEX(rngParamTypes,$N98,17)</f>
        <v>0</v>
      </c>
      <c r="Y98">
        <f ca="1">INDEX(rngParamTypes,$N98,18)</f>
        <v>0</v>
      </c>
    </row>
    <row r="99" spans="1:25" x14ac:dyDescent="0.2">
      <c r="A99" s="16">
        <v>98</v>
      </c>
      <c r="B99" s="37">
        <v>1</v>
      </c>
      <c r="C99" s="16" t="s">
        <v>794</v>
      </c>
      <c r="D99" s="16" t="s">
        <v>794</v>
      </c>
      <c r="E99" s="16"/>
      <c r="F99" s="16" t="s">
        <v>4256</v>
      </c>
      <c r="G99" s="16" t="s">
        <v>349</v>
      </c>
      <c r="H99" s="16" t="s">
        <v>793</v>
      </c>
      <c r="I99" s="16" t="s">
        <v>352</v>
      </c>
      <c r="J99" s="16">
        <v>0</v>
      </c>
      <c r="K99" s="16">
        <v>1</v>
      </c>
      <c r="L99" s="16">
        <v>1</v>
      </c>
      <c r="M99" s="16">
        <v>0</v>
      </c>
      <c r="N99">
        <f t="array" aca="1" ref="N99" ca="1">MATCH(TRUE,EXACT(I99,OFFSET(rngParamTypes,0,6,,1)),0)</f>
        <v>144</v>
      </c>
      <c r="O99" t="str">
        <f ca="1">IF((INDEX(rngParamTypes,$N99,7)=I99),"",1)</f>
        <v/>
      </c>
      <c r="P99">
        <f ca="1">INDEX(rngParamTypes,$N99,9)</f>
        <v>0</v>
      </c>
      <c r="Q99">
        <f ca="1">INDEX(rngParamTypes,$N99,10)</f>
        <v>0</v>
      </c>
      <c r="R99">
        <f ca="1">INDEX(rngParamTypes,$N99,11)</f>
        <v>0</v>
      </c>
      <c r="S99">
        <f ca="1">INDEX(rngParamTypes,$N99,12)</f>
        <v>0</v>
      </c>
      <c r="T99">
        <f ca="1">INDEX(rngParamTypes,$N99,13)</f>
        <v>0</v>
      </c>
      <c r="U99">
        <f ca="1">INDEX(rngParamTypes,$N99,14)</f>
        <v>0</v>
      </c>
      <c r="V99">
        <f ca="1">INDEX(rngParamTypes,$N99,15)</f>
        <v>0</v>
      </c>
      <c r="W99">
        <f ca="1">INDEX(rngParamTypes,$N99,16)</f>
        <v>0</v>
      </c>
      <c r="X99">
        <f ca="1">INDEX(rngParamTypes,$N99,17)</f>
        <v>0</v>
      </c>
      <c r="Y99">
        <f ca="1">INDEX(rngParamTypes,$N99,18)</f>
        <v>0</v>
      </c>
    </row>
    <row r="100" spans="1:25" x14ac:dyDescent="0.2">
      <c r="A100" s="16">
        <v>99</v>
      </c>
      <c r="B100" s="37">
        <v>1</v>
      </c>
      <c r="C100" s="16" t="s">
        <v>796</v>
      </c>
      <c r="D100" s="16" t="s">
        <v>796</v>
      </c>
      <c r="E100" s="16">
        <v>2</v>
      </c>
      <c r="F100" s="16" t="s">
        <v>3306</v>
      </c>
      <c r="G100" s="16" t="s">
        <v>3307</v>
      </c>
      <c r="H100" s="16" t="s">
        <v>795</v>
      </c>
      <c r="I100" s="16" t="s">
        <v>329</v>
      </c>
      <c r="J100" s="16">
        <v>0</v>
      </c>
      <c r="K100" s="16">
        <v>156.47630000000001</v>
      </c>
      <c r="L100" s="16">
        <v>1</v>
      </c>
      <c r="M100" s="16">
        <v>0</v>
      </c>
      <c r="N100">
        <f t="array" aca="1" ref="N100" ca="1">MATCH(TRUE,EXACT(I100,OFFSET(rngParamTypes,0,6,,1)),0)</f>
        <v>136</v>
      </c>
      <c r="O100" t="str">
        <f ca="1">IF((INDEX(rngParamTypes,$N100,7)=I100),"",1)</f>
        <v/>
      </c>
      <c r="P100">
        <f ca="1">INDEX(rngParamTypes,$N100,9)</f>
        <v>-1</v>
      </c>
      <c r="Q100">
        <f ca="1">INDEX(rngParamTypes,$N100,10)</f>
        <v>3</v>
      </c>
      <c r="R100">
        <f ca="1">INDEX(rngParamTypes,$N100,11)</f>
        <v>0</v>
      </c>
      <c r="S100">
        <f ca="1">INDEX(rngParamTypes,$N100,12)</f>
        <v>0</v>
      </c>
      <c r="T100">
        <f ca="1">INDEX(rngParamTypes,$N100,13)</f>
        <v>0</v>
      </c>
      <c r="U100">
        <f ca="1">INDEX(rngParamTypes,$N100,14)</f>
        <v>0</v>
      </c>
      <c r="V100">
        <f ca="1">INDEX(rngParamTypes,$N100,15)</f>
        <v>0</v>
      </c>
      <c r="W100">
        <f ca="1">INDEX(rngParamTypes,$N100,16)</f>
        <v>0</v>
      </c>
      <c r="X100">
        <f ca="1">INDEX(rngParamTypes,$N100,17)</f>
        <v>0</v>
      </c>
      <c r="Y100">
        <f ca="1">INDEX(rngParamTypes,$N100,18)</f>
        <v>0</v>
      </c>
    </row>
    <row r="101" spans="1:25" x14ac:dyDescent="0.2">
      <c r="A101" s="16">
        <v>100</v>
      </c>
      <c r="B101" s="37">
        <v>1</v>
      </c>
      <c r="C101" s="16" t="s">
        <v>798</v>
      </c>
      <c r="D101" s="16" t="s">
        <v>798</v>
      </c>
      <c r="E101" s="16">
        <v>2</v>
      </c>
      <c r="F101" s="16" t="s">
        <v>3308</v>
      </c>
      <c r="G101" s="16" t="s">
        <v>3307</v>
      </c>
      <c r="H101" s="16" t="s">
        <v>797</v>
      </c>
      <c r="I101" s="16" t="s">
        <v>329</v>
      </c>
      <c r="J101" s="16">
        <v>0</v>
      </c>
      <c r="K101" s="16">
        <v>175.2535</v>
      </c>
      <c r="L101" s="16">
        <v>1</v>
      </c>
      <c r="M101" s="16">
        <v>0</v>
      </c>
      <c r="N101">
        <f t="array" aca="1" ref="N101" ca="1">MATCH(TRUE,EXACT(I101,OFFSET(rngParamTypes,0,6,,1)),0)</f>
        <v>136</v>
      </c>
      <c r="O101" t="str">
        <f ca="1">IF((INDEX(rngParamTypes,$N101,7)=I101),"",1)</f>
        <v/>
      </c>
      <c r="P101">
        <f ca="1">INDEX(rngParamTypes,$N101,9)</f>
        <v>-1</v>
      </c>
      <c r="Q101">
        <f ca="1">INDEX(rngParamTypes,$N101,10)</f>
        <v>3</v>
      </c>
      <c r="R101">
        <f ca="1">INDEX(rngParamTypes,$N101,11)</f>
        <v>0</v>
      </c>
      <c r="S101">
        <f ca="1">INDEX(rngParamTypes,$N101,12)</f>
        <v>0</v>
      </c>
      <c r="T101">
        <f ca="1">INDEX(rngParamTypes,$N101,13)</f>
        <v>0</v>
      </c>
      <c r="U101">
        <f ca="1">INDEX(rngParamTypes,$N101,14)</f>
        <v>0</v>
      </c>
      <c r="V101">
        <f ca="1">INDEX(rngParamTypes,$N101,15)</f>
        <v>0</v>
      </c>
      <c r="W101">
        <f ca="1">INDEX(rngParamTypes,$N101,16)</f>
        <v>0</v>
      </c>
      <c r="X101">
        <f ca="1">INDEX(rngParamTypes,$N101,17)</f>
        <v>0</v>
      </c>
      <c r="Y101">
        <f ca="1">INDEX(rngParamTypes,$N101,18)</f>
        <v>0</v>
      </c>
    </row>
    <row r="102" spans="1:25" x14ac:dyDescent="0.2">
      <c r="A102" s="16">
        <v>101</v>
      </c>
      <c r="B102" s="37">
        <v>1</v>
      </c>
      <c r="C102" s="16" t="s">
        <v>800</v>
      </c>
      <c r="D102" s="16" t="s">
        <v>800</v>
      </c>
      <c r="E102" s="16">
        <v>2</v>
      </c>
      <c r="F102" s="16" t="s">
        <v>3309</v>
      </c>
      <c r="G102" s="16" t="s">
        <v>321</v>
      </c>
      <c r="H102" s="16" t="s">
        <v>799</v>
      </c>
      <c r="I102" s="16" t="s">
        <v>322</v>
      </c>
      <c r="J102" s="16">
        <v>0</v>
      </c>
      <c r="K102" s="16">
        <v>28316850</v>
      </c>
      <c r="L102" s="16">
        <v>1</v>
      </c>
      <c r="M102" s="16">
        <v>0</v>
      </c>
      <c r="N102">
        <f t="array" aca="1" ref="N102" ca="1">MATCH(TRUE,EXACT(I102,OFFSET(rngParamTypes,0,6,,1)),0)</f>
        <v>134</v>
      </c>
      <c r="O102" t="str">
        <f ca="1">IF((INDEX(rngParamTypes,$N102,7)=I102),"",1)</f>
        <v/>
      </c>
      <c r="P102">
        <f ca="1">INDEX(rngParamTypes,$N102,9)</f>
        <v>0</v>
      </c>
      <c r="Q102">
        <f ca="1">INDEX(rngParamTypes,$N102,10)</f>
        <v>3</v>
      </c>
      <c r="R102">
        <f ca="1">INDEX(rngParamTypes,$N102,11)</f>
        <v>0</v>
      </c>
      <c r="S102">
        <f ca="1">INDEX(rngParamTypes,$N102,12)</f>
        <v>0</v>
      </c>
      <c r="T102">
        <f ca="1">INDEX(rngParamTypes,$N102,13)</f>
        <v>0</v>
      </c>
      <c r="U102">
        <f ca="1">INDEX(rngParamTypes,$N102,14)</f>
        <v>0</v>
      </c>
      <c r="V102">
        <f ca="1">INDEX(rngParamTypes,$N102,15)</f>
        <v>0</v>
      </c>
      <c r="W102">
        <f ca="1">INDEX(rngParamTypes,$N102,16)</f>
        <v>0</v>
      </c>
      <c r="X102">
        <f ca="1">INDEX(rngParamTypes,$N102,17)</f>
        <v>0</v>
      </c>
      <c r="Y102">
        <f ca="1">INDEX(rngParamTypes,$N102,18)</f>
        <v>0</v>
      </c>
    </row>
    <row r="103" spans="1:25" x14ac:dyDescent="0.2">
      <c r="A103" s="16">
        <v>102</v>
      </c>
      <c r="B103" s="37">
        <v>1</v>
      </c>
      <c r="C103" s="16" t="s">
        <v>801</v>
      </c>
      <c r="D103" s="16" t="s">
        <v>801</v>
      </c>
      <c r="E103" s="16"/>
      <c r="F103" s="16" t="s">
        <v>3310</v>
      </c>
      <c r="G103" s="16" t="s">
        <v>87</v>
      </c>
      <c r="H103" s="16" t="s">
        <v>801</v>
      </c>
      <c r="I103" s="16" t="s">
        <v>86</v>
      </c>
      <c r="J103" s="16">
        <v>0</v>
      </c>
      <c r="K103" s="16">
        <v>1</v>
      </c>
      <c r="L103" s="16">
        <v>8</v>
      </c>
      <c r="M103" s="16">
        <v>0</v>
      </c>
      <c r="N103">
        <f t="array" aca="1" ref="N103" ca="1">MATCH(TRUE,EXACT(I103,OFFSET(rngParamTypes,0,6,,1)),0)</f>
        <v>29</v>
      </c>
      <c r="O103" t="str">
        <f ca="1">IF((INDEX(rngParamTypes,$N103,7)=I103),"",1)</f>
        <v/>
      </c>
      <c r="P103">
        <f ca="1">INDEX(rngParamTypes,$N103,9)</f>
        <v>0</v>
      </c>
      <c r="Q103">
        <f ca="1">INDEX(rngParamTypes,$N103,10)</f>
        <v>0</v>
      </c>
      <c r="R103">
        <f ca="1">INDEX(rngParamTypes,$N103,11)</f>
        <v>0</v>
      </c>
      <c r="S103">
        <f ca="1">INDEX(rngParamTypes,$N103,12)</f>
        <v>0</v>
      </c>
      <c r="T103">
        <f ca="1">INDEX(rngParamTypes,$N103,13)</f>
        <v>0</v>
      </c>
      <c r="U103">
        <f ca="1">INDEX(rngParamTypes,$N103,14)</f>
        <v>0</v>
      </c>
      <c r="V103">
        <f ca="1">INDEX(rngParamTypes,$N103,15)</f>
        <v>0</v>
      </c>
      <c r="W103">
        <f ca="1">INDEX(rngParamTypes,$N103,16)</f>
        <v>0</v>
      </c>
      <c r="X103">
        <f ca="1">INDEX(rngParamTypes,$N103,17)</f>
        <v>0</v>
      </c>
      <c r="Y103">
        <f ca="1">INDEX(rngParamTypes,$N103,18)</f>
        <v>0</v>
      </c>
    </row>
    <row r="104" spans="1:25" x14ac:dyDescent="0.2">
      <c r="A104" s="16">
        <v>103</v>
      </c>
      <c r="B104" s="37">
        <v>1</v>
      </c>
      <c r="C104" s="16" t="s">
        <v>803</v>
      </c>
      <c r="D104" s="16" t="s">
        <v>803</v>
      </c>
      <c r="E104" s="16">
        <v>2</v>
      </c>
      <c r="F104" s="16" t="s">
        <v>3311</v>
      </c>
      <c r="G104" s="16" t="s">
        <v>3267</v>
      </c>
      <c r="H104" s="16" t="s">
        <v>802</v>
      </c>
      <c r="I104" s="16" t="s">
        <v>168</v>
      </c>
      <c r="J104" s="16">
        <v>0</v>
      </c>
      <c r="K104" s="16">
        <v>1055.056</v>
      </c>
      <c r="L104" s="16">
        <v>1</v>
      </c>
      <c r="M104" s="16">
        <v>0</v>
      </c>
      <c r="N104">
        <f t="array" aca="1" ref="N104" ca="1">MATCH(TRUE,EXACT(I104,OFFSET(rngParamTypes,0,6,,1)),0)</f>
        <v>56</v>
      </c>
      <c r="O104" t="str">
        <f ca="1">IF((INDEX(rngParamTypes,$N104,7)=I104),"",1)</f>
        <v/>
      </c>
      <c r="P104">
        <f ca="1">INDEX(rngParamTypes,$N104,9)</f>
        <v>1</v>
      </c>
      <c r="Q104">
        <f ca="1">INDEX(rngParamTypes,$N104,10)</f>
        <v>2</v>
      </c>
      <c r="R104">
        <f ca="1">INDEX(rngParamTypes,$N104,11)</f>
        <v>-2</v>
      </c>
      <c r="S104">
        <f ca="1">INDEX(rngParamTypes,$N104,12)</f>
        <v>0</v>
      </c>
      <c r="T104">
        <f ca="1">INDEX(rngParamTypes,$N104,13)</f>
        <v>0</v>
      </c>
      <c r="U104">
        <f ca="1">INDEX(rngParamTypes,$N104,14)</f>
        <v>0</v>
      </c>
      <c r="V104">
        <f ca="1">INDEX(rngParamTypes,$N104,15)</f>
        <v>0</v>
      </c>
      <c r="W104">
        <f ca="1">INDEX(rngParamTypes,$N104,16)</f>
        <v>0</v>
      </c>
      <c r="X104">
        <f ca="1">INDEX(rngParamTypes,$N104,17)</f>
        <v>0</v>
      </c>
      <c r="Y104">
        <f ca="1">INDEX(rngParamTypes,$N104,18)</f>
        <v>0</v>
      </c>
    </row>
    <row r="105" spans="1:25" x14ac:dyDescent="0.2">
      <c r="A105" s="16">
        <v>104</v>
      </c>
      <c r="B105" s="37">
        <v>1</v>
      </c>
      <c r="C105" s="16" t="s">
        <v>805</v>
      </c>
      <c r="D105" s="16" t="s">
        <v>805</v>
      </c>
      <c r="E105" s="16"/>
      <c r="F105" s="16" t="s">
        <v>3312</v>
      </c>
      <c r="G105" s="16" t="s">
        <v>539</v>
      </c>
      <c r="H105" s="16" t="s">
        <v>804</v>
      </c>
      <c r="I105" s="16" t="s">
        <v>541</v>
      </c>
      <c r="J105" s="16">
        <v>0</v>
      </c>
      <c r="K105" s="16">
        <v>0.14422789999999999</v>
      </c>
      <c r="L105" s="16">
        <v>1</v>
      </c>
      <c r="M105" s="16">
        <v>0</v>
      </c>
      <c r="N105">
        <f t="array" aca="1" ref="N105" ca="1">MATCH(TRUE,EXACT(I105,OFFSET(rngParamTypes,0,6,,1)),0)</f>
        <v>214</v>
      </c>
      <c r="O105" t="str">
        <f ca="1">IF((INDEX(rngParamTypes,$N105,7)=I105),"",1)</f>
        <v/>
      </c>
      <c r="P105">
        <f ca="1">INDEX(rngParamTypes,$N105,9)</f>
        <v>1</v>
      </c>
      <c r="Q105">
        <f ca="1">INDEX(rngParamTypes,$N105,10)</f>
        <v>1</v>
      </c>
      <c r="R105">
        <f ca="1">INDEX(rngParamTypes,$N105,11)</f>
        <v>-3</v>
      </c>
      <c r="S105">
        <f ca="1">INDEX(rngParamTypes,$N105,12)</f>
        <v>0</v>
      </c>
      <c r="T105">
        <f ca="1">INDEX(rngParamTypes,$N105,13)</f>
        <v>-1</v>
      </c>
      <c r="U105">
        <f ca="1">INDEX(rngParamTypes,$N105,14)</f>
        <v>0</v>
      </c>
      <c r="V105">
        <f ca="1">INDEX(rngParamTypes,$N105,15)</f>
        <v>0</v>
      </c>
      <c r="W105">
        <f ca="1">INDEX(rngParamTypes,$N105,16)</f>
        <v>0</v>
      </c>
      <c r="X105">
        <f ca="1">INDEX(rngParamTypes,$N105,17)</f>
        <v>0</v>
      </c>
      <c r="Y105">
        <f ca="1">INDEX(rngParamTypes,$N105,18)</f>
        <v>0</v>
      </c>
    </row>
    <row r="106" spans="1:25" x14ac:dyDescent="0.2">
      <c r="A106" s="16">
        <v>105</v>
      </c>
      <c r="B106" s="37">
        <v>1</v>
      </c>
      <c r="C106" s="16" t="s">
        <v>808</v>
      </c>
      <c r="D106" s="16" t="s">
        <v>808</v>
      </c>
      <c r="E106" s="16">
        <v>2</v>
      </c>
      <c r="F106" s="16" t="s">
        <v>4257</v>
      </c>
      <c r="G106" s="16" t="s">
        <v>532</v>
      </c>
      <c r="H106" s="16" t="s">
        <v>807</v>
      </c>
      <c r="I106" s="16" t="s">
        <v>533</v>
      </c>
      <c r="J106" s="16">
        <v>0</v>
      </c>
      <c r="K106" s="16">
        <v>293071.09999999998</v>
      </c>
      <c r="L106" s="16">
        <v>1</v>
      </c>
      <c r="M106" s="16">
        <v>0</v>
      </c>
      <c r="N106">
        <f t="array" aca="1" ref="N106" ca="1">MATCH(TRUE,EXACT(I106,OFFSET(rngParamTypes,0,6,,1)),0)</f>
        <v>211</v>
      </c>
      <c r="O106" t="str">
        <f ca="1">IF((INDEX(rngParamTypes,$N106,7)=I106),"",1)</f>
        <v/>
      </c>
      <c r="P106">
        <f ca="1">INDEX(rngParamTypes,$N106,9)</f>
        <v>1</v>
      </c>
      <c r="Q106">
        <f ca="1">INDEX(rngParamTypes,$N106,10)</f>
        <v>2</v>
      </c>
      <c r="R106">
        <f ca="1">INDEX(rngParamTypes,$N106,11)</f>
        <v>-3</v>
      </c>
      <c r="S106">
        <f ca="1">INDEX(rngParamTypes,$N106,12)</f>
        <v>0</v>
      </c>
      <c r="T106">
        <f ca="1">INDEX(rngParamTypes,$N106,13)</f>
        <v>0</v>
      </c>
      <c r="U106">
        <f ca="1">INDEX(rngParamTypes,$N106,14)</f>
        <v>0</v>
      </c>
      <c r="V106">
        <f ca="1">INDEX(rngParamTypes,$N106,15)</f>
        <v>0</v>
      </c>
      <c r="W106">
        <f ca="1">INDEX(rngParamTypes,$N106,16)</f>
        <v>0</v>
      </c>
      <c r="X106">
        <f ca="1">INDEX(rngParamTypes,$N106,17)</f>
        <v>0</v>
      </c>
      <c r="Y106">
        <f ca="1">INDEX(rngParamTypes,$N106,18)</f>
        <v>0</v>
      </c>
    </row>
    <row r="107" spans="1:25" x14ac:dyDescent="0.2">
      <c r="A107" s="16">
        <v>106</v>
      </c>
      <c r="B107" s="37">
        <v>1</v>
      </c>
      <c r="C107" s="16" t="s">
        <v>810</v>
      </c>
      <c r="D107" s="16" t="s">
        <v>810</v>
      </c>
      <c r="E107" s="16"/>
      <c r="F107" s="16" t="s">
        <v>3313</v>
      </c>
      <c r="G107" s="16" t="s">
        <v>3314</v>
      </c>
      <c r="H107" s="16" t="s">
        <v>809</v>
      </c>
      <c r="I107" s="16" t="s">
        <v>190</v>
      </c>
      <c r="J107" s="16">
        <v>0</v>
      </c>
      <c r="K107" s="16">
        <v>1055.056</v>
      </c>
      <c r="L107" s="16">
        <v>0.1589873</v>
      </c>
      <c r="M107" s="16">
        <v>0</v>
      </c>
      <c r="N107">
        <f t="array" aca="1" ref="N107" ca="1">MATCH(TRUE,EXACT(I107,OFFSET(rngParamTypes,0,6,,1)),0)</f>
        <v>65</v>
      </c>
      <c r="O107" t="str">
        <f ca="1">IF((INDEX(rngParamTypes,$N107,7)=I107),"",1)</f>
        <v/>
      </c>
      <c r="P107">
        <f ca="1">INDEX(rngParamTypes,$N107,9)</f>
        <v>1</v>
      </c>
      <c r="Q107">
        <f ca="1">INDEX(rngParamTypes,$N107,10)</f>
        <v>-1</v>
      </c>
      <c r="R107">
        <f ca="1">INDEX(rngParamTypes,$N107,11)</f>
        <v>-2</v>
      </c>
      <c r="S107">
        <f ca="1">INDEX(rngParamTypes,$N107,12)</f>
        <v>0</v>
      </c>
      <c r="T107">
        <f ca="1">INDEX(rngParamTypes,$N107,13)</f>
        <v>0</v>
      </c>
      <c r="U107">
        <f ca="1">INDEX(rngParamTypes,$N107,14)</f>
        <v>0</v>
      </c>
      <c r="V107">
        <f ca="1">INDEX(rngParamTypes,$N107,15)</f>
        <v>0</v>
      </c>
      <c r="W107">
        <f ca="1">INDEX(rngParamTypes,$N107,16)</f>
        <v>0</v>
      </c>
      <c r="X107">
        <f ca="1">INDEX(rngParamTypes,$N107,17)</f>
        <v>0</v>
      </c>
      <c r="Y107">
        <f ca="1">INDEX(rngParamTypes,$N107,18)</f>
        <v>0</v>
      </c>
    </row>
    <row r="108" spans="1:25" x14ac:dyDescent="0.2">
      <c r="A108" s="16">
        <v>107</v>
      </c>
      <c r="B108" s="37">
        <v>1</v>
      </c>
      <c r="C108" s="16" t="s">
        <v>812</v>
      </c>
      <c r="D108" s="16" t="s">
        <v>812</v>
      </c>
      <c r="E108" s="16"/>
      <c r="F108" s="16" t="s">
        <v>3315</v>
      </c>
      <c r="G108" s="16" t="s">
        <v>586</v>
      </c>
      <c r="H108" s="16" t="s">
        <v>811</v>
      </c>
      <c r="I108" s="16" t="s">
        <v>131</v>
      </c>
      <c r="J108" s="16">
        <v>0</v>
      </c>
      <c r="K108" s="16">
        <v>3.9301480000000002E-4</v>
      </c>
      <c r="L108" s="16">
        <v>1</v>
      </c>
      <c r="M108" s="16">
        <v>0</v>
      </c>
      <c r="N108">
        <f t="array" aca="1" ref="N108" ca="1">MATCH(TRUE,EXACT(I108,OFFSET(rngParamTypes,0,6,,1)),0)</f>
        <v>42</v>
      </c>
      <c r="O108" t="str">
        <f ca="1">IF((INDEX(rngParamTypes,$N108,7)=I108),"",1)</f>
        <v/>
      </c>
      <c r="P108">
        <f ca="1">INDEX(rngParamTypes,$N108,9)</f>
        <v>0</v>
      </c>
      <c r="Q108">
        <f ca="1">INDEX(rngParamTypes,$N108,10)</f>
        <v>0</v>
      </c>
      <c r="R108">
        <f ca="1">INDEX(rngParamTypes,$N108,11)</f>
        <v>0</v>
      </c>
      <c r="S108">
        <f ca="1">INDEX(rngParamTypes,$N108,12)</f>
        <v>0</v>
      </c>
      <c r="T108">
        <f ca="1">INDEX(rngParamTypes,$N108,13)</f>
        <v>0</v>
      </c>
      <c r="U108">
        <f ca="1">INDEX(rngParamTypes,$N108,14)</f>
        <v>0</v>
      </c>
      <c r="V108">
        <f ca="1">INDEX(rngParamTypes,$N108,15)</f>
        <v>0</v>
      </c>
      <c r="W108">
        <f ca="1">INDEX(rngParamTypes,$N108,16)</f>
        <v>0</v>
      </c>
      <c r="X108">
        <f ca="1">INDEX(rngParamTypes,$N108,17)</f>
        <v>0</v>
      </c>
      <c r="Y108">
        <f ca="1">INDEX(rngParamTypes,$N108,18)</f>
        <v>0</v>
      </c>
    </row>
    <row r="109" spans="1:25" x14ac:dyDescent="0.2">
      <c r="A109" s="16">
        <v>108</v>
      </c>
      <c r="B109" s="37">
        <v>1</v>
      </c>
      <c r="C109" s="16" t="s">
        <v>814</v>
      </c>
      <c r="D109" s="16" t="s">
        <v>814</v>
      </c>
      <c r="E109" s="16"/>
      <c r="F109" s="16" t="s">
        <v>3316</v>
      </c>
      <c r="G109" s="16" t="s">
        <v>3314</v>
      </c>
      <c r="H109" s="16" t="s">
        <v>813</v>
      </c>
      <c r="I109" s="16" t="s">
        <v>190</v>
      </c>
      <c r="J109" s="16">
        <v>0</v>
      </c>
      <c r="K109" s="16">
        <v>37258.949999999997</v>
      </c>
      <c r="L109" s="16">
        <v>1</v>
      </c>
      <c r="M109" s="16">
        <v>0</v>
      </c>
      <c r="N109">
        <f t="array" aca="1" ref="N109" ca="1">MATCH(TRUE,EXACT(I109,OFFSET(rngParamTypes,0,6,,1)),0)</f>
        <v>65</v>
      </c>
      <c r="O109" t="str">
        <f ca="1">IF((INDEX(rngParamTypes,$N109,7)=I109),"",1)</f>
        <v/>
      </c>
      <c r="P109">
        <f ca="1">INDEX(rngParamTypes,$N109,9)</f>
        <v>1</v>
      </c>
      <c r="Q109">
        <f ca="1">INDEX(rngParamTypes,$N109,10)</f>
        <v>-1</v>
      </c>
      <c r="R109">
        <f ca="1">INDEX(rngParamTypes,$N109,11)</f>
        <v>-2</v>
      </c>
      <c r="S109">
        <f ca="1">INDEX(rngParamTypes,$N109,12)</f>
        <v>0</v>
      </c>
      <c r="T109">
        <f ca="1">INDEX(rngParamTypes,$N109,13)</f>
        <v>0</v>
      </c>
      <c r="U109">
        <f ca="1">INDEX(rngParamTypes,$N109,14)</f>
        <v>0</v>
      </c>
      <c r="V109">
        <f ca="1">INDEX(rngParamTypes,$N109,15)</f>
        <v>0</v>
      </c>
      <c r="W109">
        <f ca="1">INDEX(rngParamTypes,$N109,16)</f>
        <v>0</v>
      </c>
      <c r="X109">
        <f ca="1">INDEX(rngParamTypes,$N109,17)</f>
        <v>0</v>
      </c>
      <c r="Y109">
        <f ca="1">INDEX(rngParamTypes,$N109,18)</f>
        <v>0</v>
      </c>
    </row>
    <row r="110" spans="1:25" x14ac:dyDescent="0.2">
      <c r="A110" s="16">
        <v>109</v>
      </c>
      <c r="B110" s="37">
        <v>1</v>
      </c>
      <c r="C110" s="16" t="s">
        <v>816</v>
      </c>
      <c r="D110" s="16" t="s">
        <v>816</v>
      </c>
      <c r="E110" s="16"/>
      <c r="F110" s="16" t="s">
        <v>3317</v>
      </c>
      <c r="G110" s="16" t="s">
        <v>3314</v>
      </c>
      <c r="H110" s="16" t="s">
        <v>815</v>
      </c>
      <c r="I110" s="16" t="s">
        <v>190</v>
      </c>
      <c r="J110" s="16">
        <v>0</v>
      </c>
      <c r="K110" s="16">
        <v>232080</v>
      </c>
      <c r="L110" s="16">
        <v>1</v>
      </c>
      <c r="M110" s="16">
        <v>0</v>
      </c>
      <c r="N110">
        <f t="array" aca="1" ref="N110" ca="1">MATCH(TRUE,EXACT(I110,OFFSET(rngParamTypes,0,6,,1)),0)</f>
        <v>65</v>
      </c>
      <c r="O110" t="str">
        <f ca="1">IF((INDEX(rngParamTypes,$N110,7)=I110),"",1)</f>
        <v/>
      </c>
      <c r="P110">
        <f ca="1">INDEX(rngParamTypes,$N110,9)</f>
        <v>1</v>
      </c>
      <c r="Q110">
        <f ca="1">INDEX(rngParamTypes,$N110,10)</f>
        <v>-1</v>
      </c>
      <c r="R110">
        <f ca="1">INDEX(rngParamTypes,$N110,11)</f>
        <v>-2</v>
      </c>
      <c r="S110">
        <f ca="1">INDEX(rngParamTypes,$N110,12)</f>
        <v>0</v>
      </c>
      <c r="T110">
        <f ca="1">INDEX(rngParamTypes,$N110,13)</f>
        <v>0</v>
      </c>
      <c r="U110">
        <f ca="1">INDEX(rngParamTypes,$N110,14)</f>
        <v>0</v>
      </c>
      <c r="V110">
        <f ca="1">INDEX(rngParamTypes,$N110,15)</f>
        <v>0</v>
      </c>
      <c r="W110">
        <f ca="1">INDEX(rngParamTypes,$N110,16)</f>
        <v>0</v>
      </c>
      <c r="X110">
        <f ca="1">INDEX(rngParamTypes,$N110,17)</f>
        <v>0</v>
      </c>
      <c r="Y110">
        <f ca="1">INDEX(rngParamTypes,$N110,18)</f>
        <v>0</v>
      </c>
    </row>
    <row r="111" spans="1:25" x14ac:dyDescent="0.2">
      <c r="A111" s="16">
        <v>110</v>
      </c>
      <c r="B111" s="37">
        <v>1</v>
      </c>
      <c r="C111" s="16" t="s">
        <v>818</v>
      </c>
      <c r="D111" s="16" t="s">
        <v>818</v>
      </c>
      <c r="E111" s="16"/>
      <c r="F111" s="16" t="s">
        <v>3318</v>
      </c>
      <c r="G111" s="16" t="s">
        <v>3314</v>
      </c>
      <c r="H111" s="16" t="s">
        <v>817</v>
      </c>
      <c r="I111" s="16" t="s">
        <v>190</v>
      </c>
      <c r="J111" s="16">
        <v>0</v>
      </c>
      <c r="K111" s="16">
        <v>278716.3</v>
      </c>
      <c r="L111" s="16">
        <v>1</v>
      </c>
      <c r="M111" s="16">
        <v>0</v>
      </c>
      <c r="N111">
        <f t="array" aca="1" ref="N111" ca="1">MATCH(TRUE,EXACT(I111,OFFSET(rngParamTypes,0,6,,1)),0)</f>
        <v>65</v>
      </c>
      <c r="O111" t="str">
        <f ca="1">IF((INDEX(rngParamTypes,$N111,7)=I111),"",1)</f>
        <v/>
      </c>
      <c r="P111">
        <f ca="1">INDEX(rngParamTypes,$N111,9)</f>
        <v>1</v>
      </c>
      <c r="Q111">
        <f ca="1">INDEX(rngParamTypes,$N111,10)</f>
        <v>-1</v>
      </c>
      <c r="R111">
        <f ca="1">INDEX(rngParamTypes,$N111,11)</f>
        <v>-2</v>
      </c>
      <c r="S111">
        <f ca="1">INDEX(rngParamTypes,$N111,12)</f>
        <v>0</v>
      </c>
      <c r="T111">
        <f ca="1">INDEX(rngParamTypes,$N111,13)</f>
        <v>0</v>
      </c>
      <c r="U111">
        <f ca="1">INDEX(rngParamTypes,$N111,14)</f>
        <v>0</v>
      </c>
      <c r="V111">
        <f ca="1">INDEX(rngParamTypes,$N111,15)</f>
        <v>0</v>
      </c>
      <c r="W111">
        <f ca="1">INDEX(rngParamTypes,$N111,16)</f>
        <v>0</v>
      </c>
      <c r="X111">
        <f ca="1">INDEX(rngParamTypes,$N111,17)</f>
        <v>0</v>
      </c>
      <c r="Y111">
        <f ca="1">INDEX(rngParamTypes,$N111,18)</f>
        <v>0</v>
      </c>
    </row>
    <row r="112" spans="1:25" x14ac:dyDescent="0.2">
      <c r="A112" s="16">
        <v>111</v>
      </c>
      <c r="B112" s="37">
        <v>1</v>
      </c>
      <c r="C112" s="16" t="s">
        <v>820</v>
      </c>
      <c r="D112" s="16" t="s">
        <v>820</v>
      </c>
      <c r="E112" s="16">
        <v>2</v>
      </c>
      <c r="F112" s="16" t="s">
        <v>3319</v>
      </c>
      <c r="G112" s="16" t="s">
        <v>532</v>
      </c>
      <c r="H112" s="16" t="s">
        <v>819</v>
      </c>
      <c r="I112" s="16" t="s">
        <v>533</v>
      </c>
      <c r="J112" s="16">
        <v>0</v>
      </c>
      <c r="K112" s="16">
        <v>0.29307109999999997</v>
      </c>
      <c r="L112" s="16">
        <v>1</v>
      </c>
      <c r="M112" s="16">
        <v>0</v>
      </c>
      <c r="N112">
        <f t="array" aca="1" ref="N112" ca="1">MATCH(TRUE,EXACT(I112,OFFSET(rngParamTypes,0,6,,1)),0)</f>
        <v>211</v>
      </c>
      <c r="O112" t="str">
        <f ca="1">IF((INDEX(rngParamTypes,$N112,7)=I112),"",1)</f>
        <v/>
      </c>
      <c r="P112">
        <f ca="1">INDEX(rngParamTypes,$N112,9)</f>
        <v>1</v>
      </c>
      <c r="Q112">
        <f ca="1">INDEX(rngParamTypes,$N112,10)</f>
        <v>2</v>
      </c>
      <c r="R112">
        <f ca="1">INDEX(rngParamTypes,$N112,11)</f>
        <v>-3</v>
      </c>
      <c r="S112">
        <f ca="1">INDEX(rngParamTypes,$N112,12)</f>
        <v>0</v>
      </c>
      <c r="T112">
        <f ca="1">INDEX(rngParamTypes,$N112,13)</f>
        <v>0</v>
      </c>
      <c r="U112">
        <f ca="1">INDEX(rngParamTypes,$N112,14)</f>
        <v>0</v>
      </c>
      <c r="V112">
        <f ca="1">INDEX(rngParamTypes,$N112,15)</f>
        <v>0</v>
      </c>
      <c r="W112">
        <f ca="1">INDEX(rngParamTypes,$N112,16)</f>
        <v>0</v>
      </c>
      <c r="X112">
        <f ca="1">INDEX(rngParamTypes,$N112,17)</f>
        <v>0</v>
      </c>
      <c r="Y112">
        <f ca="1">INDEX(rngParamTypes,$N112,18)</f>
        <v>0</v>
      </c>
    </row>
    <row r="113" spans="1:25" x14ac:dyDescent="0.2">
      <c r="A113" s="16">
        <v>112</v>
      </c>
      <c r="B113" s="37">
        <v>1</v>
      </c>
      <c r="C113" s="16" t="s">
        <v>823</v>
      </c>
      <c r="D113" s="16" t="s">
        <v>823</v>
      </c>
      <c r="E113" s="16"/>
      <c r="F113" s="16" t="s">
        <v>3320</v>
      </c>
      <c r="G113" s="16" t="s">
        <v>540</v>
      </c>
      <c r="H113" s="16" t="s">
        <v>822</v>
      </c>
      <c r="I113" s="16" t="s">
        <v>541</v>
      </c>
      <c r="J113" s="16">
        <v>0</v>
      </c>
      <c r="K113" s="16">
        <v>1.7307349999999999</v>
      </c>
      <c r="L113" s="16">
        <v>1</v>
      </c>
      <c r="M113" s="16">
        <v>0</v>
      </c>
      <c r="N113">
        <f t="array" aca="1" ref="N113" ca="1">MATCH(TRUE,EXACT(I113,OFFSET(rngParamTypes,0,6,,1)),0)</f>
        <v>214</v>
      </c>
      <c r="O113" t="str">
        <f ca="1">IF((INDEX(rngParamTypes,$N113,7)=I113),"",1)</f>
        <v/>
      </c>
      <c r="P113">
        <f ca="1">INDEX(rngParamTypes,$N113,9)</f>
        <v>1</v>
      </c>
      <c r="Q113">
        <f ca="1">INDEX(rngParamTypes,$N113,10)</f>
        <v>1</v>
      </c>
      <c r="R113">
        <f ca="1">INDEX(rngParamTypes,$N113,11)</f>
        <v>-3</v>
      </c>
      <c r="S113">
        <f ca="1">INDEX(rngParamTypes,$N113,12)</f>
        <v>0</v>
      </c>
      <c r="T113">
        <f ca="1">INDEX(rngParamTypes,$N113,13)</f>
        <v>-1</v>
      </c>
      <c r="U113">
        <f ca="1">INDEX(rngParamTypes,$N113,14)</f>
        <v>0</v>
      </c>
      <c r="V113">
        <f ca="1">INDEX(rngParamTypes,$N113,15)</f>
        <v>0</v>
      </c>
      <c r="W113">
        <f ca="1">INDEX(rngParamTypes,$N113,16)</f>
        <v>0</v>
      </c>
      <c r="X113">
        <f ca="1">INDEX(rngParamTypes,$N113,17)</f>
        <v>0</v>
      </c>
      <c r="Y113">
        <f ca="1">INDEX(rngParamTypes,$N113,18)</f>
        <v>0</v>
      </c>
    </row>
    <row r="114" spans="1:25" x14ac:dyDescent="0.2">
      <c r="A114" s="16">
        <v>113</v>
      </c>
      <c r="B114" s="37">
        <v>1</v>
      </c>
      <c r="C114" s="16" t="s">
        <v>826</v>
      </c>
      <c r="D114" s="16" t="s">
        <v>826</v>
      </c>
      <c r="E114" s="16">
        <v>2</v>
      </c>
      <c r="F114" s="16" t="s">
        <v>3321</v>
      </c>
      <c r="G114" s="16" t="s">
        <v>3322</v>
      </c>
      <c r="H114" s="16" t="s">
        <v>825</v>
      </c>
      <c r="I114" s="16" t="s">
        <v>551</v>
      </c>
      <c r="J114" s="16">
        <v>0</v>
      </c>
      <c r="K114" s="16">
        <v>3.1545909999999999</v>
      </c>
      <c r="L114" s="16">
        <v>1</v>
      </c>
      <c r="M114" s="16">
        <v>0</v>
      </c>
      <c r="N114">
        <f t="array" aca="1" ref="N114" ca="1">MATCH(TRUE,EXACT(I114,OFFSET(rngParamTypes,0,6,,1)),0)</f>
        <v>216</v>
      </c>
      <c r="O114" t="str">
        <f ca="1">IF((INDEX(rngParamTypes,$N114,7)=I114),"",1)</f>
        <v/>
      </c>
      <c r="P114">
        <f ca="1">INDEX(rngParamTypes,$N114,9)</f>
        <v>1</v>
      </c>
      <c r="Q114">
        <f ca="1">INDEX(rngParamTypes,$N114,10)</f>
        <v>0</v>
      </c>
      <c r="R114">
        <f ca="1">INDEX(rngParamTypes,$N114,11)</f>
        <v>-3</v>
      </c>
      <c r="S114">
        <f ca="1">INDEX(rngParamTypes,$N114,12)</f>
        <v>0</v>
      </c>
      <c r="T114">
        <f ca="1">INDEX(rngParamTypes,$N114,13)</f>
        <v>0</v>
      </c>
      <c r="U114">
        <f ca="1">INDEX(rngParamTypes,$N114,14)</f>
        <v>0</v>
      </c>
      <c r="V114">
        <f ca="1">INDEX(rngParamTypes,$N114,15)</f>
        <v>0</v>
      </c>
      <c r="W114">
        <f ca="1">INDEX(rngParamTypes,$N114,16)</f>
        <v>0</v>
      </c>
      <c r="X114">
        <f ca="1">INDEX(rngParamTypes,$N114,17)</f>
        <v>0</v>
      </c>
      <c r="Y114">
        <f ca="1">INDEX(rngParamTypes,$N114,18)</f>
        <v>0</v>
      </c>
    </row>
    <row r="115" spans="1:25" x14ac:dyDescent="0.2">
      <c r="A115" s="16">
        <v>114</v>
      </c>
      <c r="B115" s="37">
        <v>1</v>
      </c>
      <c r="C115" s="16" t="s">
        <v>829</v>
      </c>
      <c r="D115" s="16" t="s">
        <v>829</v>
      </c>
      <c r="E115" s="16">
        <v>2</v>
      </c>
      <c r="F115" s="16" t="s">
        <v>3323</v>
      </c>
      <c r="G115" s="16" t="s">
        <v>553</v>
      </c>
      <c r="H115" s="16" t="s">
        <v>828</v>
      </c>
      <c r="I115" s="16" t="s">
        <v>554</v>
      </c>
      <c r="J115" s="16">
        <v>0</v>
      </c>
      <c r="K115" s="16">
        <v>5.6782630000000003</v>
      </c>
      <c r="L115" s="16">
        <v>1</v>
      </c>
      <c r="M115" s="16">
        <v>0</v>
      </c>
      <c r="N115">
        <f t="array" aca="1" ref="N115" ca="1">MATCH(TRUE,EXACT(I115,OFFSET(rngParamTypes,0,6,,1)),0)</f>
        <v>224</v>
      </c>
      <c r="O115" t="str">
        <f ca="1">IF((INDEX(rngParamTypes,$N115,7)=I115),"",1)</f>
        <v/>
      </c>
      <c r="P115">
        <f ca="1">INDEX(rngParamTypes,$N115,9)</f>
        <v>1</v>
      </c>
      <c r="Q115">
        <f ca="1">INDEX(rngParamTypes,$N115,10)</f>
        <v>0</v>
      </c>
      <c r="R115">
        <f ca="1">INDEX(rngParamTypes,$N115,11)</f>
        <v>-3</v>
      </c>
      <c r="S115">
        <f ca="1">INDEX(rngParamTypes,$N115,12)</f>
        <v>0</v>
      </c>
      <c r="T115">
        <f ca="1">INDEX(rngParamTypes,$N115,13)</f>
        <v>-1</v>
      </c>
      <c r="U115">
        <f ca="1">INDEX(rngParamTypes,$N115,14)</f>
        <v>0</v>
      </c>
      <c r="V115">
        <f ca="1">INDEX(rngParamTypes,$N115,15)</f>
        <v>0</v>
      </c>
      <c r="W115">
        <f ca="1">INDEX(rngParamTypes,$N115,16)</f>
        <v>0</v>
      </c>
      <c r="X115">
        <f ca="1">INDEX(rngParamTypes,$N115,17)</f>
        <v>0</v>
      </c>
      <c r="Y115">
        <f ca="1">INDEX(rngParamTypes,$N115,18)</f>
        <v>0</v>
      </c>
    </row>
    <row r="116" spans="1:25" x14ac:dyDescent="0.2">
      <c r="A116" s="16">
        <v>115</v>
      </c>
      <c r="B116" s="37">
        <v>1</v>
      </c>
      <c r="C116" s="16" t="s">
        <v>832</v>
      </c>
      <c r="D116" s="16" t="s">
        <v>832</v>
      </c>
      <c r="E116" s="16">
        <v>2</v>
      </c>
      <c r="F116" s="16" t="s">
        <v>3324</v>
      </c>
      <c r="G116" s="16" t="s">
        <v>553</v>
      </c>
      <c r="H116" s="16" t="s">
        <v>831</v>
      </c>
      <c r="I116" s="16" t="s">
        <v>554</v>
      </c>
      <c r="J116" s="16">
        <v>0</v>
      </c>
      <c r="K116" s="16">
        <v>5.6782630000000003</v>
      </c>
      <c r="L116" s="16">
        <v>1</v>
      </c>
      <c r="M116" s="16">
        <v>0</v>
      </c>
      <c r="N116">
        <f t="array" aca="1" ref="N116" ca="1">MATCH(TRUE,EXACT(I116,OFFSET(rngParamTypes,0,6,,1)),0)</f>
        <v>224</v>
      </c>
      <c r="O116" t="str">
        <f ca="1">IF((INDEX(rngParamTypes,$N116,7)=I116),"",1)</f>
        <v/>
      </c>
      <c r="P116">
        <f ca="1">INDEX(rngParamTypes,$N116,9)</f>
        <v>1</v>
      </c>
      <c r="Q116">
        <f ca="1">INDEX(rngParamTypes,$N116,10)</f>
        <v>0</v>
      </c>
      <c r="R116">
        <f ca="1">INDEX(rngParamTypes,$N116,11)</f>
        <v>-3</v>
      </c>
      <c r="S116">
        <f ca="1">INDEX(rngParamTypes,$N116,12)</f>
        <v>0</v>
      </c>
      <c r="T116">
        <f ca="1">INDEX(rngParamTypes,$N116,13)</f>
        <v>-1</v>
      </c>
      <c r="U116">
        <f ca="1">INDEX(rngParamTypes,$N116,14)</f>
        <v>0</v>
      </c>
      <c r="V116">
        <f ca="1">INDEX(rngParamTypes,$N116,15)</f>
        <v>0</v>
      </c>
      <c r="W116">
        <f ca="1">INDEX(rngParamTypes,$N116,16)</f>
        <v>0</v>
      </c>
      <c r="X116">
        <f ca="1">INDEX(rngParamTypes,$N116,17)</f>
        <v>0</v>
      </c>
      <c r="Y116">
        <f ca="1">INDEX(rngParamTypes,$N116,18)</f>
        <v>0</v>
      </c>
    </row>
    <row r="117" spans="1:25" x14ac:dyDescent="0.2">
      <c r="A117" s="16">
        <v>116</v>
      </c>
      <c r="B117" s="37">
        <v>1</v>
      </c>
      <c r="C117" s="16" t="s">
        <v>834</v>
      </c>
      <c r="D117" s="16" t="s">
        <v>834</v>
      </c>
      <c r="E117" s="16"/>
      <c r="F117" s="16" t="s">
        <v>3325</v>
      </c>
      <c r="G117" s="16" t="s">
        <v>559</v>
      </c>
      <c r="H117" s="16" t="s">
        <v>833</v>
      </c>
      <c r="I117" s="16" t="s">
        <v>560</v>
      </c>
      <c r="J117" s="16">
        <v>0</v>
      </c>
      <c r="K117" s="16">
        <v>10.34971</v>
      </c>
      <c r="L117" s="16">
        <v>1</v>
      </c>
      <c r="M117" s="16">
        <v>0</v>
      </c>
      <c r="N117">
        <f t="array" aca="1" ref="N117" ca="1">MATCH(TRUE,EXACT(I117,OFFSET(rngParamTypes,0,6,,1)),0)</f>
        <v>226</v>
      </c>
      <c r="O117" t="str">
        <f ca="1">IF((INDEX(rngParamTypes,$N117,7)=I117),"",1)</f>
        <v/>
      </c>
      <c r="P117">
        <f ca="1">INDEX(rngParamTypes,$N117,9)</f>
        <v>1</v>
      </c>
      <c r="Q117">
        <f ca="1">INDEX(rngParamTypes,$N117,10)</f>
        <v>-1</v>
      </c>
      <c r="R117">
        <f ca="1">INDEX(rngParamTypes,$N117,11)</f>
        <v>-3</v>
      </c>
      <c r="S117">
        <f ca="1">INDEX(rngParamTypes,$N117,12)</f>
        <v>0</v>
      </c>
      <c r="T117">
        <f ca="1">INDEX(rngParamTypes,$N117,13)</f>
        <v>0</v>
      </c>
      <c r="U117">
        <f ca="1">INDEX(rngParamTypes,$N117,14)</f>
        <v>0</v>
      </c>
      <c r="V117">
        <f ca="1">INDEX(rngParamTypes,$N117,15)</f>
        <v>0</v>
      </c>
      <c r="W117">
        <f ca="1">INDEX(rngParamTypes,$N117,16)</f>
        <v>0</v>
      </c>
      <c r="X117">
        <f ca="1">INDEX(rngParamTypes,$N117,17)</f>
        <v>0</v>
      </c>
      <c r="Y117">
        <f ca="1">INDEX(rngParamTypes,$N117,18)</f>
        <v>0</v>
      </c>
    </row>
    <row r="118" spans="1:25" x14ac:dyDescent="0.2">
      <c r="A118" s="16">
        <v>117</v>
      </c>
      <c r="B118" s="37">
        <v>1</v>
      </c>
      <c r="C118" s="16" t="s">
        <v>837</v>
      </c>
      <c r="D118" s="16" t="s">
        <v>837</v>
      </c>
      <c r="E118" s="16"/>
      <c r="F118" s="16" t="s">
        <v>3326</v>
      </c>
      <c r="G118" s="16" t="s">
        <v>562</v>
      </c>
      <c r="H118" s="16" t="s">
        <v>836</v>
      </c>
      <c r="I118" s="16" t="s">
        <v>563</v>
      </c>
      <c r="J118" s="16">
        <v>0</v>
      </c>
      <c r="K118" s="16">
        <v>18.629470000000001</v>
      </c>
      <c r="L118" s="16">
        <v>1</v>
      </c>
      <c r="M118" s="16">
        <v>0</v>
      </c>
      <c r="N118">
        <f t="array" aca="1" ref="N118" ca="1">MATCH(TRUE,EXACT(I118,OFFSET(rngParamTypes,0,6,,1)),0)</f>
        <v>227</v>
      </c>
      <c r="O118" t="str">
        <f ca="1">IF((INDEX(rngParamTypes,$N118,7)=I118),"",1)</f>
        <v/>
      </c>
      <c r="P118">
        <f ca="1">INDEX(rngParamTypes,$N118,9)</f>
        <v>1</v>
      </c>
      <c r="Q118">
        <f ca="1">INDEX(rngParamTypes,$N118,10)</f>
        <v>-1</v>
      </c>
      <c r="R118">
        <f ca="1">INDEX(rngParamTypes,$N118,11)</f>
        <v>-3</v>
      </c>
      <c r="S118">
        <f ca="1">INDEX(rngParamTypes,$N118,12)</f>
        <v>0</v>
      </c>
      <c r="T118">
        <f ca="1">INDEX(rngParamTypes,$N118,13)</f>
        <v>-1</v>
      </c>
      <c r="U118">
        <f ca="1">INDEX(rngParamTypes,$N118,14)</f>
        <v>0</v>
      </c>
      <c r="V118">
        <f ca="1">INDEX(rngParamTypes,$N118,15)</f>
        <v>0</v>
      </c>
      <c r="W118">
        <f ca="1">INDEX(rngParamTypes,$N118,16)</f>
        <v>0</v>
      </c>
      <c r="X118">
        <f ca="1">INDEX(rngParamTypes,$N118,17)</f>
        <v>0</v>
      </c>
      <c r="Y118">
        <f ca="1">INDEX(rngParamTypes,$N118,18)</f>
        <v>0</v>
      </c>
    </row>
    <row r="119" spans="1:25" x14ac:dyDescent="0.2">
      <c r="A119" s="16">
        <v>118</v>
      </c>
      <c r="B119" s="37">
        <v>1</v>
      </c>
      <c r="C119" s="16" t="s">
        <v>840</v>
      </c>
      <c r="D119" s="16" t="s">
        <v>840</v>
      </c>
      <c r="E119" s="16">
        <v>2</v>
      </c>
      <c r="F119" s="16" t="s">
        <v>3327</v>
      </c>
      <c r="G119" s="16" t="s">
        <v>553</v>
      </c>
      <c r="H119" s="16" t="s">
        <v>839</v>
      </c>
      <c r="I119" s="16" t="s">
        <v>554</v>
      </c>
      <c r="J119" s="16">
        <v>0</v>
      </c>
      <c r="K119" s="16">
        <v>0.29307109999999997</v>
      </c>
      <c r="L119" s="16">
        <v>1</v>
      </c>
      <c r="M119" s="16">
        <v>0</v>
      </c>
      <c r="N119">
        <f t="array" aca="1" ref="N119" ca="1">MATCH(TRUE,EXACT(I119,OFFSET(rngParamTypes,0,6,,1)),0)</f>
        <v>224</v>
      </c>
      <c r="O119" t="str">
        <f ca="1">IF((INDEX(rngParamTypes,$N119,7)=I119),"",1)</f>
        <v/>
      </c>
      <c r="P119">
        <f ca="1">INDEX(rngParamTypes,$N119,9)</f>
        <v>1</v>
      </c>
      <c r="Q119">
        <f ca="1">INDEX(rngParamTypes,$N119,10)</f>
        <v>0</v>
      </c>
      <c r="R119">
        <f ca="1">INDEX(rngParamTypes,$N119,11)</f>
        <v>-3</v>
      </c>
      <c r="S119">
        <f ca="1">INDEX(rngParamTypes,$N119,12)</f>
        <v>0</v>
      </c>
      <c r="T119">
        <f ca="1">INDEX(rngParamTypes,$N119,13)</f>
        <v>-1</v>
      </c>
      <c r="U119">
        <f ca="1">INDEX(rngParamTypes,$N119,14)</f>
        <v>0</v>
      </c>
      <c r="V119">
        <f ca="1">INDEX(rngParamTypes,$N119,15)</f>
        <v>0</v>
      </c>
      <c r="W119">
        <f ca="1">INDEX(rngParamTypes,$N119,16)</f>
        <v>0</v>
      </c>
      <c r="X119">
        <f ca="1">INDEX(rngParamTypes,$N119,17)</f>
        <v>0</v>
      </c>
      <c r="Y119">
        <f ca="1">INDEX(rngParamTypes,$N119,18)</f>
        <v>0</v>
      </c>
    </row>
    <row r="120" spans="1:25" x14ac:dyDescent="0.2">
      <c r="A120" s="16">
        <v>119</v>
      </c>
      <c r="B120" s="37">
        <v>1</v>
      </c>
      <c r="C120" s="16" t="s">
        <v>843</v>
      </c>
      <c r="D120" s="16" t="s">
        <v>843</v>
      </c>
      <c r="E120" s="16">
        <v>2</v>
      </c>
      <c r="F120" s="16" t="s">
        <v>3328</v>
      </c>
      <c r="G120" s="16" t="s">
        <v>174</v>
      </c>
      <c r="H120" s="16" t="s">
        <v>842</v>
      </c>
      <c r="I120" s="16" t="s">
        <v>175</v>
      </c>
      <c r="J120" s="16">
        <v>0</v>
      </c>
      <c r="K120" s="16">
        <v>2326</v>
      </c>
      <c r="L120" s="16">
        <v>1</v>
      </c>
      <c r="M120" s="16">
        <v>0</v>
      </c>
      <c r="N120">
        <f t="array" aca="1" ref="N120" ca="1">MATCH(TRUE,EXACT(I120,OFFSET(rngParamTypes,0,6,,1)),0)</f>
        <v>62</v>
      </c>
      <c r="O120" t="str">
        <f ca="1">IF((INDEX(rngParamTypes,$N120,7)=I120),"",1)</f>
        <v/>
      </c>
      <c r="P120">
        <f ca="1">INDEX(rngParamTypes,$N120,9)</f>
        <v>0</v>
      </c>
      <c r="Q120">
        <f ca="1">INDEX(rngParamTypes,$N120,10)</f>
        <v>2</v>
      </c>
      <c r="R120">
        <f ca="1">INDEX(rngParamTypes,$N120,11)</f>
        <v>-2</v>
      </c>
      <c r="S120">
        <f ca="1">INDEX(rngParamTypes,$N120,12)</f>
        <v>0</v>
      </c>
      <c r="T120">
        <f ca="1">INDEX(rngParamTypes,$N120,13)</f>
        <v>0</v>
      </c>
      <c r="U120">
        <f ca="1">INDEX(rngParamTypes,$N120,14)</f>
        <v>0</v>
      </c>
      <c r="V120">
        <f ca="1">INDEX(rngParamTypes,$N120,15)</f>
        <v>0</v>
      </c>
      <c r="W120">
        <f ca="1">INDEX(rngParamTypes,$N120,16)</f>
        <v>0</v>
      </c>
      <c r="X120">
        <f ca="1">INDEX(rngParamTypes,$N120,17)</f>
        <v>0</v>
      </c>
      <c r="Y120">
        <f ca="1">INDEX(rngParamTypes,$N120,18)</f>
        <v>0</v>
      </c>
    </row>
    <row r="121" spans="1:25" x14ac:dyDescent="0.2">
      <c r="A121" s="16">
        <v>120</v>
      </c>
      <c r="B121" s="37">
        <v>1</v>
      </c>
      <c r="C121" s="16" t="s">
        <v>845</v>
      </c>
      <c r="D121" s="16" t="s">
        <v>845</v>
      </c>
      <c r="E121" s="16">
        <v>2</v>
      </c>
      <c r="F121" s="16" t="s">
        <v>3329</v>
      </c>
      <c r="G121" s="16" t="s">
        <v>3330</v>
      </c>
      <c r="H121" s="16" t="s">
        <v>844</v>
      </c>
      <c r="I121" s="16" t="s">
        <v>179</v>
      </c>
      <c r="J121" s="16">
        <v>0</v>
      </c>
      <c r="K121" s="16">
        <v>4186.8</v>
      </c>
      <c r="L121" s="16">
        <v>1</v>
      </c>
      <c r="M121" s="16">
        <v>0</v>
      </c>
      <c r="N121">
        <f t="array" aca="1" ref="N121" ca="1">MATCH(TRUE,EXACT(I121,OFFSET(rngParamTypes,0,6,,1)),0)</f>
        <v>63</v>
      </c>
      <c r="O121" t="str">
        <f ca="1">IF((INDEX(rngParamTypes,$N121,7)=I121),"",1)</f>
        <v/>
      </c>
      <c r="P121">
        <f ca="1">INDEX(rngParamTypes,$N121,9)</f>
        <v>0</v>
      </c>
      <c r="Q121">
        <f ca="1">INDEX(rngParamTypes,$N121,10)</f>
        <v>2</v>
      </c>
      <c r="R121">
        <f ca="1">INDEX(rngParamTypes,$N121,11)</f>
        <v>-2</v>
      </c>
      <c r="S121">
        <f ca="1">INDEX(rngParamTypes,$N121,12)</f>
        <v>0</v>
      </c>
      <c r="T121">
        <f ca="1">INDEX(rngParamTypes,$N121,13)</f>
        <v>-1</v>
      </c>
      <c r="U121">
        <f ca="1">INDEX(rngParamTypes,$N121,14)</f>
        <v>0</v>
      </c>
      <c r="V121">
        <f ca="1">INDEX(rngParamTypes,$N121,15)</f>
        <v>0</v>
      </c>
      <c r="W121">
        <f ca="1">INDEX(rngParamTypes,$N121,16)</f>
        <v>0</v>
      </c>
      <c r="X121">
        <f ca="1">INDEX(rngParamTypes,$N121,17)</f>
        <v>0</v>
      </c>
      <c r="Y121">
        <f ca="1">INDEX(rngParamTypes,$N121,18)</f>
        <v>0</v>
      </c>
    </row>
    <row r="122" spans="1:25" x14ac:dyDescent="0.2">
      <c r="A122" s="16">
        <v>121</v>
      </c>
      <c r="B122" s="37">
        <v>1</v>
      </c>
      <c r="C122" s="16" t="s">
        <v>847</v>
      </c>
      <c r="D122" s="16" t="s">
        <v>847</v>
      </c>
      <c r="E122" s="16">
        <v>2</v>
      </c>
      <c r="F122" s="16" t="s">
        <v>3331</v>
      </c>
      <c r="G122" s="16" t="s">
        <v>3330</v>
      </c>
      <c r="H122" s="16" t="s">
        <v>846</v>
      </c>
      <c r="I122" s="16" t="s">
        <v>179</v>
      </c>
      <c r="J122" s="16">
        <v>0</v>
      </c>
      <c r="K122" s="16">
        <v>4186.8</v>
      </c>
      <c r="L122" s="16">
        <v>1</v>
      </c>
      <c r="M122" s="16">
        <v>0</v>
      </c>
      <c r="N122">
        <f t="array" aca="1" ref="N122" ca="1">MATCH(TRUE,EXACT(I122,OFFSET(rngParamTypes,0,6,,1)),0)</f>
        <v>63</v>
      </c>
      <c r="O122" t="str">
        <f ca="1">IF((INDEX(rngParamTypes,$N122,7)=I122),"",1)</f>
        <v/>
      </c>
      <c r="P122">
        <f ca="1">INDEX(rngParamTypes,$N122,9)</f>
        <v>0</v>
      </c>
      <c r="Q122">
        <f ca="1">INDEX(rngParamTypes,$N122,10)</f>
        <v>2</v>
      </c>
      <c r="R122">
        <f ca="1">INDEX(rngParamTypes,$N122,11)</f>
        <v>-2</v>
      </c>
      <c r="S122">
        <f ca="1">INDEX(rngParamTypes,$N122,12)</f>
        <v>0</v>
      </c>
      <c r="T122">
        <f ca="1">INDEX(rngParamTypes,$N122,13)</f>
        <v>-1</v>
      </c>
      <c r="U122">
        <f ca="1">INDEX(rngParamTypes,$N122,14)</f>
        <v>0</v>
      </c>
      <c r="V122">
        <f ca="1">INDEX(rngParamTypes,$N122,15)</f>
        <v>0</v>
      </c>
      <c r="W122">
        <f ca="1">INDEX(rngParamTypes,$N122,16)</f>
        <v>0</v>
      </c>
      <c r="X122">
        <f ca="1">INDEX(rngParamTypes,$N122,17)</f>
        <v>0</v>
      </c>
      <c r="Y122">
        <f ca="1">INDEX(rngParamTypes,$N122,18)</f>
        <v>0</v>
      </c>
    </row>
    <row r="123" spans="1:25" x14ac:dyDescent="0.2">
      <c r="A123" s="16">
        <v>122</v>
      </c>
      <c r="B123" s="37">
        <v>1</v>
      </c>
      <c r="C123" s="16" t="s">
        <v>849</v>
      </c>
      <c r="D123" s="16" t="s">
        <v>849</v>
      </c>
      <c r="E123" s="16">
        <v>2</v>
      </c>
      <c r="F123" s="16" t="s">
        <v>3332</v>
      </c>
      <c r="G123" s="16" t="s">
        <v>532</v>
      </c>
      <c r="H123" s="16" t="s">
        <v>848</v>
      </c>
      <c r="I123" s="16" t="s">
        <v>533</v>
      </c>
      <c r="J123" s="16">
        <v>0</v>
      </c>
      <c r="K123" s="16">
        <v>17.58427</v>
      </c>
      <c r="L123" s="16">
        <v>1</v>
      </c>
      <c r="M123" s="16">
        <v>0</v>
      </c>
      <c r="N123">
        <f t="array" aca="1" ref="N123" ca="1">MATCH(TRUE,EXACT(I123,OFFSET(rngParamTypes,0,6,,1)),0)</f>
        <v>211</v>
      </c>
      <c r="O123" t="str">
        <f ca="1">IF((INDEX(rngParamTypes,$N123,7)=I123),"",1)</f>
        <v/>
      </c>
      <c r="P123">
        <f ca="1">INDEX(rngParamTypes,$N123,9)</f>
        <v>1</v>
      </c>
      <c r="Q123">
        <f ca="1">INDEX(rngParamTypes,$N123,10)</f>
        <v>2</v>
      </c>
      <c r="R123">
        <f ca="1">INDEX(rngParamTypes,$N123,11)</f>
        <v>-3</v>
      </c>
      <c r="S123">
        <f ca="1">INDEX(rngParamTypes,$N123,12)</f>
        <v>0</v>
      </c>
      <c r="T123">
        <f ca="1">INDEX(rngParamTypes,$N123,13)</f>
        <v>0</v>
      </c>
      <c r="U123">
        <f ca="1">INDEX(rngParamTypes,$N123,14)</f>
        <v>0</v>
      </c>
      <c r="V123">
        <f ca="1">INDEX(rngParamTypes,$N123,15)</f>
        <v>0</v>
      </c>
      <c r="W123">
        <f ca="1">INDEX(rngParamTypes,$N123,16)</f>
        <v>0</v>
      </c>
      <c r="X123">
        <f ca="1">INDEX(rngParamTypes,$N123,17)</f>
        <v>0</v>
      </c>
      <c r="Y123">
        <f ca="1">INDEX(rngParamTypes,$N123,18)</f>
        <v>0</v>
      </c>
    </row>
    <row r="124" spans="1:25" x14ac:dyDescent="0.2">
      <c r="A124" s="16">
        <v>123</v>
      </c>
      <c r="B124" s="37">
        <v>1</v>
      </c>
      <c r="C124" s="16" t="s">
        <v>851</v>
      </c>
      <c r="D124" s="16" t="s">
        <v>851</v>
      </c>
      <c r="E124" s="16"/>
      <c r="F124" s="16" t="s">
        <v>3333</v>
      </c>
      <c r="G124" s="16" t="s">
        <v>3334</v>
      </c>
      <c r="H124" s="16" t="s">
        <v>850</v>
      </c>
      <c r="I124" s="16" t="s">
        <v>195</v>
      </c>
      <c r="J124" s="16">
        <v>0</v>
      </c>
      <c r="K124" s="16">
        <v>2.3260000000000001</v>
      </c>
      <c r="L124" s="16">
        <v>1</v>
      </c>
      <c r="M124" s="16">
        <v>0</v>
      </c>
      <c r="N124">
        <f t="array" aca="1" ref="N124" ca="1">MATCH(TRUE,EXACT(I124,OFFSET(rngParamTypes,0,6,,1)),0)</f>
        <v>74</v>
      </c>
      <c r="O124" t="str">
        <f ca="1">IF((INDEX(rngParamTypes,$N124,7)=I124),"",1)</f>
        <v/>
      </c>
      <c r="P124">
        <f ca="1">INDEX(rngParamTypes,$N124,9)</f>
        <v>1</v>
      </c>
      <c r="Q124">
        <f ca="1">INDEX(rngParamTypes,$N124,10)</f>
        <v>2</v>
      </c>
      <c r="R124">
        <f ca="1">INDEX(rngParamTypes,$N124,11)</f>
        <v>-2</v>
      </c>
      <c r="S124">
        <f ca="1">INDEX(rngParamTypes,$N124,12)</f>
        <v>0</v>
      </c>
      <c r="T124">
        <f ca="1">INDEX(rngParamTypes,$N124,13)</f>
        <v>0</v>
      </c>
      <c r="U124">
        <f ca="1">INDEX(rngParamTypes,$N124,14)</f>
        <v>-1</v>
      </c>
      <c r="V124">
        <f ca="1">INDEX(rngParamTypes,$N124,15)</f>
        <v>0</v>
      </c>
      <c r="W124">
        <f ca="1">INDEX(rngParamTypes,$N124,16)</f>
        <v>0</v>
      </c>
      <c r="X124">
        <f ca="1">INDEX(rngParamTypes,$N124,17)</f>
        <v>0</v>
      </c>
      <c r="Y124">
        <f ca="1">INDEX(rngParamTypes,$N124,18)</f>
        <v>0</v>
      </c>
    </row>
    <row r="125" spans="1:25" x14ac:dyDescent="0.2">
      <c r="A125" s="16">
        <v>124</v>
      </c>
      <c r="B125" s="37">
        <v>1</v>
      </c>
      <c r="C125" s="16" t="s">
        <v>852</v>
      </c>
      <c r="D125" s="16" t="s">
        <v>852</v>
      </c>
      <c r="E125" s="16"/>
      <c r="F125" s="16" t="s">
        <v>4258</v>
      </c>
      <c r="G125" s="16" t="s">
        <v>3334</v>
      </c>
      <c r="H125" s="16" t="s">
        <v>850</v>
      </c>
      <c r="I125" s="16" t="s">
        <v>195</v>
      </c>
      <c r="J125" s="16">
        <v>0</v>
      </c>
      <c r="K125" s="16">
        <v>2326</v>
      </c>
      <c r="L125" s="16">
        <v>1</v>
      </c>
      <c r="M125" s="16">
        <v>0</v>
      </c>
      <c r="N125">
        <f t="array" aca="1" ref="N125" ca="1">MATCH(TRUE,EXACT(I125,OFFSET(rngParamTypes,0,6,,1)),0)</f>
        <v>74</v>
      </c>
      <c r="O125" t="str">
        <f ca="1">IF((INDEX(rngParamTypes,$N125,7)=I125),"",1)</f>
        <v/>
      </c>
      <c r="P125">
        <f ca="1">INDEX(rngParamTypes,$N125,9)</f>
        <v>1</v>
      </c>
      <c r="Q125">
        <f ca="1">INDEX(rngParamTypes,$N125,10)</f>
        <v>2</v>
      </c>
      <c r="R125">
        <f ca="1">INDEX(rngParamTypes,$N125,11)</f>
        <v>-2</v>
      </c>
      <c r="S125">
        <f ca="1">INDEX(rngParamTypes,$N125,12)</f>
        <v>0</v>
      </c>
      <c r="T125">
        <f ca="1">INDEX(rngParamTypes,$N125,13)</f>
        <v>0</v>
      </c>
      <c r="U125">
        <f ca="1">INDEX(rngParamTypes,$N125,14)</f>
        <v>-1</v>
      </c>
      <c r="V125">
        <f ca="1">INDEX(rngParamTypes,$N125,15)</f>
        <v>0</v>
      </c>
      <c r="W125">
        <f ca="1">INDEX(rngParamTypes,$N125,16)</f>
        <v>0</v>
      </c>
      <c r="X125">
        <f ca="1">INDEX(rngParamTypes,$N125,17)</f>
        <v>0</v>
      </c>
      <c r="Y125">
        <f ca="1">INDEX(rngParamTypes,$N125,18)</f>
        <v>0</v>
      </c>
    </row>
    <row r="126" spans="1:25" x14ac:dyDescent="0.2">
      <c r="A126" s="16">
        <v>125</v>
      </c>
      <c r="B126" s="37">
        <v>1</v>
      </c>
      <c r="C126" s="16" t="s">
        <v>854</v>
      </c>
      <c r="D126" s="16" t="s">
        <v>854</v>
      </c>
      <c r="E126" s="16">
        <v>2</v>
      </c>
      <c r="F126" s="16" t="s">
        <v>3335</v>
      </c>
      <c r="G126" s="16" t="s">
        <v>3336</v>
      </c>
      <c r="H126" s="16" t="s">
        <v>853</v>
      </c>
      <c r="I126" s="16" t="s">
        <v>200</v>
      </c>
      <c r="J126" s="16">
        <v>0</v>
      </c>
      <c r="K126" s="16">
        <v>4.1867999999999999</v>
      </c>
      <c r="L126" s="16">
        <v>1</v>
      </c>
      <c r="M126" s="16">
        <v>0</v>
      </c>
      <c r="N126">
        <f t="array" aca="1" ref="N126" ca="1">MATCH(TRUE,EXACT(I126,OFFSET(rngParamTypes,0,6,,1)),0)</f>
        <v>77</v>
      </c>
      <c r="O126" t="str">
        <f ca="1">IF((INDEX(rngParamTypes,$N126,7)=I126),"",1)</f>
        <v/>
      </c>
      <c r="P126">
        <f ca="1">INDEX(rngParamTypes,$N126,9)</f>
        <v>1</v>
      </c>
      <c r="Q126">
        <f ca="1">INDEX(rngParamTypes,$N126,10)</f>
        <v>2</v>
      </c>
      <c r="R126">
        <f ca="1">INDEX(rngParamTypes,$N126,11)</f>
        <v>-2</v>
      </c>
      <c r="S126">
        <f ca="1">INDEX(rngParamTypes,$N126,12)</f>
        <v>0</v>
      </c>
      <c r="T126">
        <f ca="1">INDEX(rngParamTypes,$N126,13)</f>
        <v>-1</v>
      </c>
      <c r="U126">
        <f ca="1">INDEX(rngParamTypes,$N126,14)</f>
        <v>-1</v>
      </c>
      <c r="V126">
        <f ca="1">INDEX(rngParamTypes,$N126,15)</f>
        <v>0</v>
      </c>
      <c r="W126">
        <f ca="1">INDEX(rngParamTypes,$N126,16)</f>
        <v>0</v>
      </c>
      <c r="X126">
        <f ca="1">INDEX(rngParamTypes,$N126,17)</f>
        <v>0</v>
      </c>
      <c r="Y126">
        <f ca="1">INDEX(rngParamTypes,$N126,18)</f>
        <v>0</v>
      </c>
    </row>
    <row r="127" spans="1:25" x14ac:dyDescent="0.2">
      <c r="A127" s="16">
        <v>126</v>
      </c>
      <c r="B127" s="37">
        <v>1</v>
      </c>
      <c r="C127" s="16" t="s">
        <v>855</v>
      </c>
      <c r="D127" s="16" t="s">
        <v>855</v>
      </c>
      <c r="E127" s="16">
        <v>2</v>
      </c>
      <c r="F127" s="16" t="s">
        <v>4259</v>
      </c>
      <c r="G127" s="16" t="s">
        <v>3336</v>
      </c>
      <c r="H127" s="16" t="s">
        <v>853</v>
      </c>
      <c r="I127" s="16" t="s">
        <v>200</v>
      </c>
      <c r="J127" s="16">
        <v>0</v>
      </c>
      <c r="K127" s="16">
        <v>4186.8</v>
      </c>
      <c r="L127" s="16">
        <v>1</v>
      </c>
      <c r="M127" s="16">
        <v>0</v>
      </c>
      <c r="N127">
        <f t="array" aca="1" ref="N127" ca="1">MATCH(TRUE,EXACT(I127,OFFSET(rngParamTypes,0,6,,1)),0)</f>
        <v>77</v>
      </c>
      <c r="O127" t="str">
        <f ca="1">IF((INDEX(rngParamTypes,$N127,7)=I127),"",1)</f>
        <v/>
      </c>
      <c r="P127">
        <f ca="1">INDEX(rngParamTypes,$N127,9)</f>
        <v>1</v>
      </c>
      <c r="Q127">
        <f ca="1">INDEX(rngParamTypes,$N127,10)</f>
        <v>2</v>
      </c>
      <c r="R127">
        <f ca="1">INDEX(rngParamTypes,$N127,11)</f>
        <v>-2</v>
      </c>
      <c r="S127">
        <f ca="1">INDEX(rngParamTypes,$N127,12)</f>
        <v>0</v>
      </c>
      <c r="T127">
        <f ca="1">INDEX(rngParamTypes,$N127,13)</f>
        <v>-1</v>
      </c>
      <c r="U127">
        <f ca="1">INDEX(rngParamTypes,$N127,14)</f>
        <v>-1</v>
      </c>
      <c r="V127">
        <f ca="1">INDEX(rngParamTypes,$N127,15)</f>
        <v>0</v>
      </c>
      <c r="W127">
        <f ca="1">INDEX(rngParamTypes,$N127,16)</f>
        <v>0</v>
      </c>
      <c r="X127">
        <f ca="1">INDEX(rngParamTypes,$N127,17)</f>
        <v>0</v>
      </c>
      <c r="Y127">
        <f ca="1">INDEX(rngParamTypes,$N127,18)</f>
        <v>0</v>
      </c>
    </row>
    <row r="128" spans="1:25" x14ac:dyDescent="0.2">
      <c r="A128" s="16">
        <v>127</v>
      </c>
      <c r="B128" s="37">
        <v>1</v>
      </c>
      <c r="C128" s="16" t="s">
        <v>857</v>
      </c>
      <c r="D128" s="16" t="s">
        <v>857</v>
      </c>
      <c r="E128" s="16">
        <v>2</v>
      </c>
      <c r="F128" s="16" t="s">
        <v>3337</v>
      </c>
      <c r="G128" s="16" t="s">
        <v>532</v>
      </c>
      <c r="H128" s="16" t="s">
        <v>856</v>
      </c>
      <c r="I128" s="16" t="s">
        <v>533</v>
      </c>
      <c r="J128" s="16">
        <v>0</v>
      </c>
      <c r="K128" s="16">
        <v>1055.056</v>
      </c>
      <c r="L128" s="16">
        <v>1</v>
      </c>
      <c r="M128" s="16">
        <v>0</v>
      </c>
      <c r="N128">
        <f t="array" aca="1" ref="N128" ca="1">MATCH(TRUE,EXACT(I128,OFFSET(rngParamTypes,0,6,,1)),0)</f>
        <v>211</v>
      </c>
      <c r="O128" t="str">
        <f ca="1">IF((INDEX(rngParamTypes,$N128,7)=I128),"",1)</f>
        <v/>
      </c>
      <c r="P128">
        <f ca="1">INDEX(rngParamTypes,$N128,9)</f>
        <v>1</v>
      </c>
      <c r="Q128">
        <f ca="1">INDEX(rngParamTypes,$N128,10)</f>
        <v>2</v>
      </c>
      <c r="R128">
        <f ca="1">INDEX(rngParamTypes,$N128,11)</f>
        <v>-3</v>
      </c>
      <c r="S128">
        <f ca="1">INDEX(rngParamTypes,$N128,12)</f>
        <v>0</v>
      </c>
      <c r="T128">
        <f ca="1">INDEX(rngParamTypes,$N128,13)</f>
        <v>0</v>
      </c>
      <c r="U128">
        <f ca="1">INDEX(rngParamTypes,$N128,14)</f>
        <v>0</v>
      </c>
      <c r="V128">
        <f ca="1">INDEX(rngParamTypes,$N128,15)</f>
        <v>0</v>
      </c>
      <c r="W128">
        <f ca="1">INDEX(rngParamTypes,$N128,16)</f>
        <v>0</v>
      </c>
      <c r="X128">
        <f ca="1">INDEX(rngParamTypes,$N128,17)</f>
        <v>0</v>
      </c>
      <c r="Y128">
        <f ca="1">INDEX(rngParamTypes,$N128,18)</f>
        <v>0</v>
      </c>
    </row>
    <row r="129" spans="1:25" x14ac:dyDescent="0.2">
      <c r="A129" s="16">
        <v>128</v>
      </c>
      <c r="B129" s="37">
        <v>1</v>
      </c>
      <c r="C129" s="16" t="s">
        <v>859</v>
      </c>
      <c r="D129" s="16" t="s">
        <v>859</v>
      </c>
      <c r="E129" s="16">
        <v>2</v>
      </c>
      <c r="F129" s="16" t="s">
        <v>3338</v>
      </c>
      <c r="G129" s="16" t="s">
        <v>3322</v>
      </c>
      <c r="H129" s="16" t="s">
        <v>858</v>
      </c>
      <c r="I129" s="16" t="s">
        <v>551</v>
      </c>
      <c r="J129" s="16">
        <v>0</v>
      </c>
      <c r="K129" s="16">
        <v>11356.53</v>
      </c>
      <c r="L129" s="16">
        <v>1</v>
      </c>
      <c r="M129" s="16">
        <v>0</v>
      </c>
      <c r="N129">
        <f t="array" aca="1" ref="N129" ca="1">MATCH(TRUE,EXACT(I129,OFFSET(rngParamTypes,0,6,,1)),0)</f>
        <v>216</v>
      </c>
      <c r="O129" t="str">
        <f ca="1">IF((INDEX(rngParamTypes,$N129,7)=I129),"",1)</f>
        <v/>
      </c>
      <c r="P129">
        <f ca="1">INDEX(rngParamTypes,$N129,9)</f>
        <v>1</v>
      </c>
      <c r="Q129">
        <f ca="1">INDEX(rngParamTypes,$N129,10)</f>
        <v>0</v>
      </c>
      <c r="R129">
        <f ca="1">INDEX(rngParamTypes,$N129,11)</f>
        <v>-3</v>
      </c>
      <c r="S129">
        <f ca="1">INDEX(rngParamTypes,$N129,12)</f>
        <v>0</v>
      </c>
      <c r="T129">
        <f ca="1">INDEX(rngParamTypes,$N129,13)</f>
        <v>0</v>
      </c>
      <c r="U129">
        <f ca="1">INDEX(rngParamTypes,$N129,14)</f>
        <v>0</v>
      </c>
      <c r="V129">
        <f ca="1">INDEX(rngParamTypes,$N129,15)</f>
        <v>0</v>
      </c>
      <c r="W129">
        <f ca="1">INDEX(rngParamTypes,$N129,16)</f>
        <v>0</v>
      </c>
      <c r="X129">
        <f ca="1">INDEX(rngParamTypes,$N129,17)</f>
        <v>0</v>
      </c>
      <c r="Y129">
        <f ca="1">INDEX(rngParamTypes,$N129,18)</f>
        <v>0</v>
      </c>
    </row>
    <row r="130" spans="1:25" x14ac:dyDescent="0.2">
      <c r="A130" s="16">
        <v>129</v>
      </c>
      <c r="B130" s="37">
        <v>1</v>
      </c>
      <c r="C130" s="16" t="s">
        <v>861</v>
      </c>
      <c r="D130" s="16" t="s">
        <v>861</v>
      </c>
      <c r="E130" s="16">
        <v>2</v>
      </c>
      <c r="F130" s="16" t="s">
        <v>3339</v>
      </c>
      <c r="G130" s="16" t="s">
        <v>553</v>
      </c>
      <c r="H130" s="16" t="s">
        <v>860</v>
      </c>
      <c r="I130" s="16" t="s">
        <v>554</v>
      </c>
      <c r="J130" s="16">
        <v>0</v>
      </c>
      <c r="K130" s="16">
        <v>20441.75</v>
      </c>
      <c r="L130" s="16">
        <v>1</v>
      </c>
      <c r="M130" s="16">
        <v>0</v>
      </c>
      <c r="N130">
        <f t="array" aca="1" ref="N130" ca="1">MATCH(TRUE,EXACT(I130,OFFSET(rngParamTypes,0,6,,1)),0)</f>
        <v>224</v>
      </c>
      <c r="O130" t="str">
        <f ca="1">IF((INDEX(rngParamTypes,$N130,7)=I130),"",1)</f>
        <v/>
      </c>
      <c r="P130">
        <f ca="1">INDEX(rngParamTypes,$N130,9)</f>
        <v>1</v>
      </c>
      <c r="Q130">
        <f ca="1">INDEX(rngParamTypes,$N130,10)</f>
        <v>0</v>
      </c>
      <c r="R130">
        <f ca="1">INDEX(rngParamTypes,$N130,11)</f>
        <v>-3</v>
      </c>
      <c r="S130">
        <f ca="1">INDEX(rngParamTypes,$N130,12)</f>
        <v>0</v>
      </c>
      <c r="T130">
        <f ca="1">INDEX(rngParamTypes,$N130,13)</f>
        <v>-1</v>
      </c>
      <c r="U130">
        <f ca="1">INDEX(rngParamTypes,$N130,14)</f>
        <v>0</v>
      </c>
      <c r="V130">
        <f ca="1">INDEX(rngParamTypes,$N130,15)</f>
        <v>0</v>
      </c>
      <c r="W130">
        <f ca="1">INDEX(rngParamTypes,$N130,16)</f>
        <v>0</v>
      </c>
      <c r="X130">
        <f ca="1">INDEX(rngParamTypes,$N130,17)</f>
        <v>0</v>
      </c>
      <c r="Y130">
        <f ca="1">INDEX(rngParamTypes,$N130,18)</f>
        <v>0</v>
      </c>
    </row>
    <row r="131" spans="1:25" x14ac:dyDescent="0.2">
      <c r="A131" s="16">
        <v>130</v>
      </c>
      <c r="B131" s="37">
        <v>1</v>
      </c>
      <c r="C131" s="16" t="s">
        <v>863</v>
      </c>
      <c r="D131" s="16" t="s">
        <v>863</v>
      </c>
      <c r="E131" s="16"/>
      <c r="F131" s="16" t="s">
        <v>3340</v>
      </c>
      <c r="G131" s="16" t="s">
        <v>559</v>
      </c>
      <c r="H131" s="16" t="s">
        <v>862</v>
      </c>
      <c r="I131" s="16" t="s">
        <v>560</v>
      </c>
      <c r="J131" s="16">
        <v>0</v>
      </c>
      <c r="K131" s="16">
        <v>37258.949999999997</v>
      </c>
      <c r="L131" s="16">
        <v>1</v>
      </c>
      <c r="M131" s="16">
        <v>0</v>
      </c>
      <c r="N131">
        <f t="array" aca="1" ref="N131" ca="1">MATCH(TRUE,EXACT(I131,OFFSET(rngParamTypes,0,6,,1)),0)</f>
        <v>226</v>
      </c>
      <c r="O131" t="str">
        <f ca="1">IF((INDEX(rngParamTypes,$N131,7)=I131),"",1)</f>
        <v/>
      </c>
      <c r="P131">
        <f ca="1">INDEX(rngParamTypes,$N131,9)</f>
        <v>1</v>
      </c>
      <c r="Q131">
        <f ca="1">INDEX(rngParamTypes,$N131,10)</f>
        <v>-1</v>
      </c>
      <c r="R131">
        <f ca="1">INDEX(rngParamTypes,$N131,11)</f>
        <v>-3</v>
      </c>
      <c r="S131">
        <f ca="1">INDEX(rngParamTypes,$N131,12)</f>
        <v>0</v>
      </c>
      <c r="T131">
        <f ca="1">INDEX(rngParamTypes,$N131,13)</f>
        <v>0</v>
      </c>
      <c r="U131">
        <f ca="1">INDEX(rngParamTypes,$N131,14)</f>
        <v>0</v>
      </c>
      <c r="V131">
        <f ca="1">INDEX(rngParamTypes,$N131,15)</f>
        <v>0</v>
      </c>
      <c r="W131">
        <f ca="1">INDEX(rngParamTypes,$N131,16)</f>
        <v>0</v>
      </c>
      <c r="X131">
        <f ca="1">INDEX(rngParamTypes,$N131,17)</f>
        <v>0</v>
      </c>
      <c r="Y131">
        <f ca="1">INDEX(rngParamTypes,$N131,18)</f>
        <v>0</v>
      </c>
    </row>
    <row r="132" spans="1:25" x14ac:dyDescent="0.2">
      <c r="A132" s="16">
        <v>131</v>
      </c>
      <c r="B132" s="37">
        <v>1</v>
      </c>
      <c r="C132" s="16" t="s">
        <v>865</v>
      </c>
      <c r="D132" s="16" t="s">
        <v>865</v>
      </c>
      <c r="E132" s="16"/>
      <c r="F132" s="16" t="s">
        <v>3341</v>
      </c>
      <c r="G132" s="16" t="s">
        <v>562</v>
      </c>
      <c r="H132" s="16" t="s">
        <v>864</v>
      </c>
      <c r="I132" s="16" t="s">
        <v>563</v>
      </c>
      <c r="J132" s="16">
        <v>0</v>
      </c>
      <c r="K132" s="16">
        <v>67066.11</v>
      </c>
      <c r="L132" s="16">
        <v>1</v>
      </c>
      <c r="M132" s="16">
        <v>0</v>
      </c>
      <c r="N132">
        <f t="array" aca="1" ref="N132" ca="1">MATCH(TRUE,EXACT(I132,OFFSET(rngParamTypes,0,6,,1)),0)</f>
        <v>227</v>
      </c>
      <c r="O132" t="str">
        <f ca="1">IF((INDEX(rngParamTypes,$N132,7)=I132),"",1)</f>
        <v/>
      </c>
      <c r="P132">
        <f ca="1">INDEX(rngParamTypes,$N132,9)</f>
        <v>1</v>
      </c>
      <c r="Q132">
        <f ca="1">INDEX(rngParamTypes,$N132,10)</f>
        <v>-1</v>
      </c>
      <c r="R132">
        <f ca="1">INDEX(rngParamTypes,$N132,11)</f>
        <v>-3</v>
      </c>
      <c r="S132">
        <f ca="1">INDEX(rngParamTypes,$N132,12)</f>
        <v>0</v>
      </c>
      <c r="T132">
        <f ca="1">INDEX(rngParamTypes,$N132,13)</f>
        <v>-1</v>
      </c>
      <c r="U132">
        <f ca="1">INDEX(rngParamTypes,$N132,14)</f>
        <v>0</v>
      </c>
      <c r="V132">
        <f ca="1">INDEX(rngParamTypes,$N132,15)</f>
        <v>0</v>
      </c>
      <c r="W132">
        <f ca="1">INDEX(rngParamTypes,$N132,16)</f>
        <v>0</v>
      </c>
      <c r="X132">
        <f ca="1">INDEX(rngParamTypes,$N132,17)</f>
        <v>0</v>
      </c>
      <c r="Y132">
        <f ca="1">INDEX(rngParamTypes,$N132,18)</f>
        <v>0</v>
      </c>
    </row>
    <row r="133" spans="1:25" x14ac:dyDescent="0.2">
      <c r="A133" s="16">
        <v>132</v>
      </c>
      <c r="B133" s="37">
        <v>1</v>
      </c>
      <c r="C133" s="16" t="s">
        <v>867</v>
      </c>
      <c r="D133" s="16" t="s">
        <v>867</v>
      </c>
      <c r="E133" s="16">
        <v>2</v>
      </c>
      <c r="F133" s="16" t="s">
        <v>3342</v>
      </c>
      <c r="G133" s="16" t="s">
        <v>443</v>
      </c>
      <c r="H133" s="16" t="s">
        <v>866</v>
      </c>
      <c r="I133" s="16" t="s">
        <v>444</v>
      </c>
      <c r="J133" s="16">
        <v>0</v>
      </c>
      <c r="K133" s="16">
        <v>6.2831853070000001</v>
      </c>
      <c r="L133" s="16">
        <v>1</v>
      </c>
      <c r="M133" s="16">
        <v>0</v>
      </c>
      <c r="N133">
        <f t="array" aca="1" ref="N133" ca="1">MATCH(TRUE,EXACT(I133,OFFSET(rngParamTypes,0,6,,1)),0)</f>
        <v>178</v>
      </c>
      <c r="O133" t="str">
        <f ca="1">IF((INDEX(rngParamTypes,$N133,7)=I133),"",1)</f>
        <v/>
      </c>
      <c r="P133">
        <f ca="1">INDEX(rngParamTypes,$N133,9)</f>
        <v>0</v>
      </c>
      <c r="Q133">
        <f ca="1">INDEX(rngParamTypes,$N133,10)</f>
        <v>0</v>
      </c>
      <c r="R133">
        <f ca="1">INDEX(rngParamTypes,$N133,11)</f>
        <v>0</v>
      </c>
      <c r="S133">
        <f ca="1">INDEX(rngParamTypes,$N133,12)</f>
        <v>0</v>
      </c>
      <c r="T133">
        <f ca="1">INDEX(rngParamTypes,$N133,13)</f>
        <v>0</v>
      </c>
      <c r="U133">
        <f ca="1">INDEX(rngParamTypes,$N133,14)</f>
        <v>0</v>
      </c>
      <c r="V133">
        <f ca="1">INDEX(rngParamTypes,$N133,15)</f>
        <v>0</v>
      </c>
      <c r="W133">
        <f ca="1">INDEX(rngParamTypes,$N133,16)</f>
        <v>1</v>
      </c>
      <c r="X133">
        <f ca="1">INDEX(rngParamTypes,$N133,17)</f>
        <v>0</v>
      </c>
      <c r="Y133">
        <f ca="1">INDEX(rngParamTypes,$N133,18)</f>
        <v>0</v>
      </c>
    </row>
    <row r="134" spans="1:25" x14ac:dyDescent="0.2">
      <c r="A134" s="16">
        <v>133</v>
      </c>
      <c r="B134" s="37">
        <v>1</v>
      </c>
      <c r="C134" s="16" t="s">
        <v>869</v>
      </c>
      <c r="D134" s="16" t="s">
        <v>869</v>
      </c>
      <c r="E134" s="16"/>
      <c r="F134" s="16" t="s">
        <v>3343</v>
      </c>
      <c r="G134" s="16" t="s">
        <v>102</v>
      </c>
      <c r="H134" s="16" t="s">
        <v>868</v>
      </c>
      <c r="I134" s="16" t="s">
        <v>103</v>
      </c>
      <c r="J134" s="16">
        <v>0</v>
      </c>
      <c r="K134" s="16">
        <v>1</v>
      </c>
      <c r="L134" s="16">
        <v>1E-4</v>
      </c>
      <c r="M134" s="16">
        <v>0</v>
      </c>
      <c r="N134">
        <f t="array" aca="1" ref="N134" ca="1">MATCH(TRUE,EXACT(I134,OFFSET(rngParamTypes,0,6,,1)),0)</f>
        <v>35</v>
      </c>
      <c r="O134" t="str">
        <f ca="1">IF((INDEX(rngParamTypes,$N134,7)=I134),"",1)</f>
        <v/>
      </c>
      <c r="P134">
        <f ca="1">INDEX(rngParamTypes,$N134,9)</f>
        <v>0</v>
      </c>
      <c r="Q134">
        <f ca="1">INDEX(rngParamTypes,$N134,10)</f>
        <v>-2</v>
      </c>
      <c r="R134">
        <f ca="1">INDEX(rngParamTypes,$N134,11)</f>
        <v>1</v>
      </c>
      <c r="S134">
        <f ca="1">INDEX(rngParamTypes,$N134,12)</f>
        <v>1</v>
      </c>
      <c r="T134">
        <f ca="1">INDEX(rngParamTypes,$N134,13)</f>
        <v>0</v>
      </c>
      <c r="U134">
        <f ca="1">INDEX(rngParamTypes,$N134,14)</f>
        <v>0</v>
      </c>
      <c r="V134">
        <f ca="1">INDEX(rngParamTypes,$N134,15)</f>
        <v>0</v>
      </c>
      <c r="W134">
        <f ca="1">INDEX(rngParamTypes,$N134,16)</f>
        <v>0</v>
      </c>
      <c r="X134">
        <f ca="1">INDEX(rngParamTypes,$N134,17)</f>
        <v>0</v>
      </c>
      <c r="Y134">
        <f ca="1">INDEX(rngParamTypes,$N134,18)</f>
        <v>0</v>
      </c>
    </row>
    <row r="135" spans="1:25" x14ac:dyDescent="0.2">
      <c r="A135" s="16">
        <v>134</v>
      </c>
      <c r="B135" s="37">
        <v>1</v>
      </c>
      <c r="C135" s="16" t="s">
        <v>871</v>
      </c>
      <c r="D135" s="16" t="s">
        <v>871</v>
      </c>
      <c r="E135" s="16"/>
      <c r="F135" s="16" t="s">
        <v>3344</v>
      </c>
      <c r="G135" s="16" t="s">
        <v>105</v>
      </c>
      <c r="H135" s="16" t="s">
        <v>870</v>
      </c>
      <c r="I135" s="16" t="s">
        <v>106</v>
      </c>
      <c r="J135" s="16">
        <v>0</v>
      </c>
      <c r="K135" s="16">
        <v>1</v>
      </c>
      <c r="L135" s="16">
        <v>9.9999999999999995E-7</v>
      </c>
      <c r="M135" s="16">
        <v>0</v>
      </c>
      <c r="N135">
        <f t="array" aca="1" ref="N135" ca="1">MATCH(TRUE,EXACT(I135,OFFSET(rngParamTypes,0,6,,1)),0)</f>
        <v>36</v>
      </c>
      <c r="O135" t="str">
        <f ca="1">IF((INDEX(rngParamTypes,$N135,7)=I135),"",1)</f>
        <v/>
      </c>
      <c r="P135">
        <f ca="1">INDEX(rngParamTypes,$N135,9)</f>
        <v>0</v>
      </c>
      <c r="Q135">
        <f ca="1">INDEX(rngParamTypes,$N135,10)</f>
        <v>-3</v>
      </c>
      <c r="R135">
        <f ca="1">INDEX(rngParamTypes,$N135,11)</f>
        <v>1</v>
      </c>
      <c r="S135">
        <f ca="1">INDEX(rngParamTypes,$N135,12)</f>
        <v>1</v>
      </c>
      <c r="T135">
        <f ca="1">INDEX(rngParamTypes,$N135,13)</f>
        <v>0</v>
      </c>
      <c r="U135">
        <f ca="1">INDEX(rngParamTypes,$N135,14)</f>
        <v>0</v>
      </c>
      <c r="V135">
        <f ca="1">INDEX(rngParamTypes,$N135,15)</f>
        <v>0</v>
      </c>
      <c r="W135">
        <f ca="1">INDEX(rngParamTypes,$N135,16)</f>
        <v>0</v>
      </c>
      <c r="X135">
        <f ca="1">INDEX(rngParamTypes,$N135,17)</f>
        <v>0</v>
      </c>
      <c r="Y135">
        <f ca="1">INDEX(rngParamTypes,$N135,18)</f>
        <v>0</v>
      </c>
    </row>
    <row r="136" spans="1:25" x14ac:dyDescent="0.2">
      <c r="A136" s="16">
        <v>135</v>
      </c>
      <c r="B136" s="37">
        <v>1</v>
      </c>
      <c r="C136" s="16" t="s">
        <v>873</v>
      </c>
      <c r="D136" s="16" t="s">
        <v>873</v>
      </c>
      <c r="E136" s="16"/>
      <c r="F136" s="16" t="s">
        <v>3345</v>
      </c>
      <c r="G136" s="16" t="s">
        <v>99</v>
      </c>
      <c r="H136" s="16" t="s">
        <v>872</v>
      </c>
      <c r="I136" s="16" t="s">
        <v>100</v>
      </c>
      <c r="J136" s="16">
        <v>0</v>
      </c>
      <c r="K136" s="16">
        <v>1000</v>
      </c>
      <c r="L136" s="16">
        <v>1</v>
      </c>
      <c r="M136" s="16">
        <v>0</v>
      </c>
      <c r="N136">
        <f t="array" aca="1" ref="N136" ca="1">MATCH(TRUE,EXACT(I136,OFFSET(rngParamTypes,0,6,,1)),0)</f>
        <v>34</v>
      </c>
      <c r="O136" t="str">
        <f ca="1">IF((INDEX(rngParamTypes,$N136,7)=I136),"",1)</f>
        <v/>
      </c>
      <c r="P136">
        <f ca="1">INDEX(rngParamTypes,$N136,9)</f>
        <v>-1</v>
      </c>
      <c r="Q136">
        <f ca="1">INDEX(rngParamTypes,$N136,10)</f>
        <v>0</v>
      </c>
      <c r="R136">
        <f ca="1">INDEX(rngParamTypes,$N136,11)</f>
        <v>1</v>
      </c>
      <c r="S136">
        <f ca="1">INDEX(rngParamTypes,$N136,12)</f>
        <v>1</v>
      </c>
      <c r="T136">
        <f ca="1">INDEX(rngParamTypes,$N136,13)</f>
        <v>0</v>
      </c>
      <c r="U136">
        <f ca="1">INDEX(rngParamTypes,$N136,14)</f>
        <v>0</v>
      </c>
      <c r="V136">
        <f ca="1">INDEX(rngParamTypes,$N136,15)</f>
        <v>0</v>
      </c>
      <c r="W136">
        <f ca="1">INDEX(rngParamTypes,$N136,16)</f>
        <v>0</v>
      </c>
      <c r="X136">
        <f ca="1">INDEX(rngParamTypes,$N136,17)</f>
        <v>0</v>
      </c>
      <c r="Y136">
        <f ca="1">INDEX(rngParamTypes,$N136,18)</f>
        <v>0</v>
      </c>
    </row>
    <row r="137" spans="1:25" x14ac:dyDescent="0.2">
      <c r="A137" s="16">
        <v>136</v>
      </c>
      <c r="B137" s="37">
        <v>1</v>
      </c>
      <c r="C137" s="16" t="s">
        <v>875</v>
      </c>
      <c r="D137" s="16" t="s">
        <v>875</v>
      </c>
      <c r="E137" s="16"/>
      <c r="F137" s="16" t="s">
        <v>3346</v>
      </c>
      <c r="G137" s="16" t="s">
        <v>102</v>
      </c>
      <c r="H137" s="16" t="s">
        <v>874</v>
      </c>
      <c r="I137" s="16" t="s">
        <v>103</v>
      </c>
      <c r="J137" s="16">
        <v>0</v>
      </c>
      <c r="K137" s="16">
        <v>1</v>
      </c>
      <c r="L137" s="16">
        <v>9.9999999999999995E-7</v>
      </c>
      <c r="M137" s="16">
        <v>0</v>
      </c>
      <c r="N137">
        <f t="array" aca="1" ref="N137" ca="1">MATCH(TRUE,EXACT(I137,OFFSET(rngParamTypes,0,6,,1)),0)</f>
        <v>35</v>
      </c>
      <c r="O137" t="str">
        <f ca="1">IF((INDEX(rngParamTypes,$N137,7)=I137),"",1)</f>
        <v/>
      </c>
      <c r="P137">
        <f ca="1">INDEX(rngParamTypes,$N137,9)</f>
        <v>0</v>
      </c>
      <c r="Q137">
        <f ca="1">INDEX(rngParamTypes,$N137,10)</f>
        <v>-2</v>
      </c>
      <c r="R137">
        <f ca="1">INDEX(rngParamTypes,$N137,11)</f>
        <v>1</v>
      </c>
      <c r="S137">
        <f ca="1">INDEX(rngParamTypes,$N137,12)</f>
        <v>1</v>
      </c>
      <c r="T137">
        <f ca="1">INDEX(rngParamTypes,$N137,13)</f>
        <v>0</v>
      </c>
      <c r="U137">
        <f ca="1">INDEX(rngParamTypes,$N137,14)</f>
        <v>0</v>
      </c>
      <c r="V137">
        <f ca="1">INDEX(rngParamTypes,$N137,15)</f>
        <v>0</v>
      </c>
      <c r="W137">
        <f ca="1">INDEX(rngParamTypes,$N137,16)</f>
        <v>0</v>
      </c>
      <c r="X137">
        <f ca="1">INDEX(rngParamTypes,$N137,17)</f>
        <v>0</v>
      </c>
      <c r="Y137">
        <f ca="1">INDEX(rngParamTypes,$N137,18)</f>
        <v>0</v>
      </c>
    </row>
    <row r="138" spans="1:25" x14ac:dyDescent="0.2">
      <c r="A138" s="16">
        <v>137</v>
      </c>
      <c r="B138" s="37">
        <v>1</v>
      </c>
      <c r="C138" s="16" t="s">
        <v>877</v>
      </c>
      <c r="D138" s="16" t="s">
        <v>877</v>
      </c>
      <c r="E138" s="16"/>
      <c r="F138" s="16" t="s">
        <v>3347</v>
      </c>
      <c r="G138" s="16" t="s">
        <v>105</v>
      </c>
      <c r="H138" s="16" t="s">
        <v>876</v>
      </c>
      <c r="I138" s="16" t="s">
        <v>106</v>
      </c>
      <c r="J138" s="16">
        <v>0</v>
      </c>
      <c r="K138" s="16">
        <v>1</v>
      </c>
      <c r="L138" s="16">
        <v>1.0000000000000001E-9</v>
      </c>
      <c r="M138" s="16">
        <v>0</v>
      </c>
      <c r="N138">
        <f t="array" aca="1" ref="N138" ca="1">MATCH(TRUE,EXACT(I138,OFFSET(rngParamTypes,0,6,,1)),0)</f>
        <v>36</v>
      </c>
      <c r="O138" t="str">
        <f ca="1">IF((INDEX(rngParamTypes,$N138,7)=I138),"",1)</f>
        <v/>
      </c>
      <c r="P138">
        <f ca="1">INDEX(rngParamTypes,$N138,9)</f>
        <v>0</v>
      </c>
      <c r="Q138">
        <f ca="1">INDEX(rngParamTypes,$N138,10)</f>
        <v>-3</v>
      </c>
      <c r="R138">
        <f ca="1">INDEX(rngParamTypes,$N138,11)</f>
        <v>1</v>
      </c>
      <c r="S138">
        <f ca="1">INDEX(rngParamTypes,$N138,12)</f>
        <v>1</v>
      </c>
      <c r="T138">
        <f ca="1">INDEX(rngParamTypes,$N138,13)</f>
        <v>0</v>
      </c>
      <c r="U138">
        <f ca="1">INDEX(rngParamTypes,$N138,14)</f>
        <v>0</v>
      </c>
      <c r="V138">
        <f ca="1">INDEX(rngParamTypes,$N138,15)</f>
        <v>0</v>
      </c>
      <c r="W138">
        <f ca="1">INDEX(rngParamTypes,$N138,16)</f>
        <v>0</v>
      </c>
      <c r="X138">
        <f ca="1">INDEX(rngParamTypes,$N138,17)</f>
        <v>0</v>
      </c>
      <c r="Y138">
        <f ca="1">INDEX(rngParamTypes,$N138,18)</f>
        <v>0</v>
      </c>
    </row>
    <row r="139" spans="1:25" x14ac:dyDescent="0.2">
      <c r="A139" s="16">
        <v>138</v>
      </c>
      <c r="B139" s="37">
        <v>1</v>
      </c>
      <c r="C139" s="16" t="s">
        <v>879</v>
      </c>
      <c r="D139" s="16" t="s">
        <v>879</v>
      </c>
      <c r="E139" s="16"/>
      <c r="F139" s="16" t="s">
        <v>3348</v>
      </c>
      <c r="G139" s="16" t="s">
        <v>4428</v>
      </c>
      <c r="H139" s="16" t="s">
        <v>878</v>
      </c>
      <c r="I139" s="16" t="s">
        <v>458</v>
      </c>
      <c r="J139" s="16">
        <v>0</v>
      </c>
      <c r="K139" s="16">
        <v>6.2831853070000001</v>
      </c>
      <c r="L139" s="16">
        <v>1</v>
      </c>
      <c r="M139" s="16">
        <v>0</v>
      </c>
      <c r="N139">
        <f t="array" aca="1" ref="N139" ca="1">MATCH(TRUE,EXACT(I139,OFFSET(rngParamTypes,0,6,,1)),0)</f>
        <v>181</v>
      </c>
      <c r="O139" t="str">
        <f ca="1">IF((INDEX(rngParamTypes,$N139,7)=I139),"",1)</f>
        <v/>
      </c>
      <c r="P139">
        <f ca="1">INDEX(rngParamTypes,$N139,9)</f>
        <v>0</v>
      </c>
      <c r="Q139">
        <f ca="1">INDEX(rngParamTypes,$N139,10)</f>
        <v>0</v>
      </c>
      <c r="R139">
        <f ca="1">INDEX(rngParamTypes,$N139,11)</f>
        <v>-1</v>
      </c>
      <c r="S139">
        <f ca="1">INDEX(rngParamTypes,$N139,12)</f>
        <v>0</v>
      </c>
      <c r="T139">
        <f ca="1">INDEX(rngParamTypes,$N139,13)</f>
        <v>0</v>
      </c>
      <c r="U139">
        <f ca="1">INDEX(rngParamTypes,$N139,14)</f>
        <v>0</v>
      </c>
      <c r="V139">
        <f ca="1">INDEX(rngParamTypes,$N139,15)</f>
        <v>0</v>
      </c>
      <c r="W139">
        <f ca="1">INDEX(rngParamTypes,$N139,16)</f>
        <v>1</v>
      </c>
      <c r="X139">
        <f ca="1">INDEX(rngParamTypes,$N139,17)</f>
        <v>0</v>
      </c>
      <c r="Y139">
        <f ca="1">INDEX(rngParamTypes,$N139,18)</f>
        <v>0</v>
      </c>
    </row>
    <row r="140" spans="1:25" x14ac:dyDescent="0.2">
      <c r="A140" s="16">
        <v>139</v>
      </c>
      <c r="B140" s="37">
        <v>1</v>
      </c>
      <c r="C140" s="16" t="s">
        <v>881</v>
      </c>
      <c r="D140" s="16" t="s">
        <v>881</v>
      </c>
      <c r="E140" s="16">
        <v>2</v>
      </c>
      <c r="F140" s="16" t="s">
        <v>3349</v>
      </c>
      <c r="G140" s="16" t="s">
        <v>3267</v>
      </c>
      <c r="H140" s="16" t="s">
        <v>880</v>
      </c>
      <c r="I140" s="16" t="s">
        <v>168</v>
      </c>
      <c r="J140" s="16">
        <v>0</v>
      </c>
      <c r="K140" s="16">
        <v>4.1840000000000002</v>
      </c>
      <c r="L140" s="16">
        <v>1</v>
      </c>
      <c r="M140" s="16">
        <v>0</v>
      </c>
      <c r="N140">
        <f t="array" aca="1" ref="N140" ca="1">MATCH(TRUE,EXACT(I140,OFFSET(rngParamTypes,0,6,,1)),0)</f>
        <v>56</v>
      </c>
      <c r="O140" t="str">
        <f ca="1">IF((INDEX(rngParamTypes,$N140,7)=I140),"",1)</f>
        <v/>
      </c>
      <c r="P140">
        <f ca="1">INDEX(rngParamTypes,$N140,9)</f>
        <v>1</v>
      </c>
      <c r="Q140">
        <f ca="1">INDEX(rngParamTypes,$N140,10)</f>
        <v>2</v>
      </c>
      <c r="R140">
        <f ca="1">INDEX(rngParamTypes,$N140,11)</f>
        <v>-2</v>
      </c>
      <c r="S140">
        <f ca="1">INDEX(rngParamTypes,$N140,12)</f>
        <v>0</v>
      </c>
      <c r="T140">
        <f ca="1">INDEX(rngParamTypes,$N140,13)</f>
        <v>0</v>
      </c>
      <c r="U140">
        <f ca="1">INDEX(rngParamTypes,$N140,14)</f>
        <v>0</v>
      </c>
      <c r="V140">
        <f ca="1">INDEX(rngParamTypes,$N140,15)</f>
        <v>0</v>
      </c>
      <c r="W140">
        <f ca="1">INDEX(rngParamTypes,$N140,16)</f>
        <v>0</v>
      </c>
      <c r="X140">
        <f ca="1">INDEX(rngParamTypes,$N140,17)</f>
        <v>0</v>
      </c>
      <c r="Y140">
        <f ca="1">INDEX(rngParamTypes,$N140,18)</f>
        <v>0</v>
      </c>
    </row>
    <row r="141" spans="1:25" x14ac:dyDescent="0.2">
      <c r="A141" s="16">
        <v>140</v>
      </c>
      <c r="B141" s="37">
        <v>1</v>
      </c>
      <c r="C141" s="16" t="s">
        <v>883</v>
      </c>
      <c r="D141" s="16" t="s">
        <v>883</v>
      </c>
      <c r="E141" s="16"/>
      <c r="F141" s="16" t="s">
        <v>3350</v>
      </c>
      <c r="G141" s="16" t="s">
        <v>3314</v>
      </c>
      <c r="H141" s="16" t="s">
        <v>882</v>
      </c>
      <c r="I141" s="16" t="s">
        <v>190</v>
      </c>
      <c r="J141" s="16">
        <v>0</v>
      </c>
      <c r="K141" s="16">
        <v>4.1840000000000002</v>
      </c>
      <c r="L141" s="16">
        <v>9.9999999999999995E-7</v>
      </c>
      <c r="M141" s="16">
        <v>0</v>
      </c>
      <c r="N141">
        <f t="array" aca="1" ref="N141" ca="1">MATCH(TRUE,EXACT(I141,OFFSET(rngParamTypes,0,6,,1)),0)</f>
        <v>65</v>
      </c>
      <c r="O141" t="str">
        <f ca="1">IF((INDEX(rngParamTypes,$N141,7)=I141),"",1)</f>
        <v/>
      </c>
      <c r="P141">
        <f ca="1">INDEX(rngParamTypes,$N141,9)</f>
        <v>1</v>
      </c>
      <c r="Q141">
        <f ca="1">INDEX(rngParamTypes,$N141,10)</f>
        <v>-1</v>
      </c>
      <c r="R141">
        <f ca="1">INDEX(rngParamTypes,$N141,11)</f>
        <v>-2</v>
      </c>
      <c r="S141">
        <f ca="1">INDEX(rngParamTypes,$N141,12)</f>
        <v>0</v>
      </c>
      <c r="T141">
        <f ca="1">INDEX(rngParamTypes,$N141,13)</f>
        <v>0</v>
      </c>
      <c r="U141">
        <f ca="1">INDEX(rngParamTypes,$N141,14)</f>
        <v>0</v>
      </c>
      <c r="V141">
        <f ca="1">INDEX(rngParamTypes,$N141,15)</f>
        <v>0</v>
      </c>
      <c r="W141">
        <f ca="1">INDEX(rngParamTypes,$N141,16)</f>
        <v>0</v>
      </c>
      <c r="X141">
        <f ca="1">INDEX(rngParamTypes,$N141,17)</f>
        <v>0</v>
      </c>
      <c r="Y141">
        <f ca="1">INDEX(rngParamTypes,$N141,18)</f>
        <v>0</v>
      </c>
    </row>
    <row r="142" spans="1:25" x14ac:dyDescent="0.2">
      <c r="A142" s="16">
        <v>141</v>
      </c>
      <c r="B142" s="37">
        <v>1</v>
      </c>
      <c r="C142" s="16" t="s">
        <v>885</v>
      </c>
      <c r="D142" s="16" t="s">
        <v>885</v>
      </c>
      <c r="E142" s="16">
        <v>2</v>
      </c>
      <c r="F142" s="16" t="s">
        <v>3351</v>
      </c>
      <c r="G142" s="16" t="s">
        <v>174</v>
      </c>
      <c r="H142" s="16" t="s">
        <v>884</v>
      </c>
      <c r="I142" s="16" t="s">
        <v>175</v>
      </c>
      <c r="J142" s="16">
        <v>0</v>
      </c>
      <c r="K142" s="16">
        <v>4184</v>
      </c>
      <c r="L142" s="16">
        <v>1</v>
      </c>
      <c r="M142" s="16">
        <v>0</v>
      </c>
      <c r="N142">
        <f t="array" aca="1" ref="N142" ca="1">MATCH(TRUE,EXACT(I142,OFFSET(rngParamTypes,0,6,,1)),0)</f>
        <v>62</v>
      </c>
      <c r="O142" t="str">
        <f ca="1">IF((INDEX(rngParamTypes,$N142,7)=I142),"",1)</f>
        <v/>
      </c>
      <c r="P142">
        <f ca="1">INDEX(rngParamTypes,$N142,9)</f>
        <v>0</v>
      </c>
      <c r="Q142">
        <f ca="1">INDEX(rngParamTypes,$N142,10)</f>
        <v>2</v>
      </c>
      <c r="R142">
        <f ca="1">INDEX(rngParamTypes,$N142,11)</f>
        <v>-2</v>
      </c>
      <c r="S142">
        <f ca="1">INDEX(rngParamTypes,$N142,12)</f>
        <v>0</v>
      </c>
      <c r="T142">
        <f ca="1">INDEX(rngParamTypes,$N142,13)</f>
        <v>0</v>
      </c>
      <c r="U142">
        <f ca="1">INDEX(rngParamTypes,$N142,14)</f>
        <v>0</v>
      </c>
      <c r="V142">
        <f ca="1">INDEX(rngParamTypes,$N142,15)</f>
        <v>0</v>
      </c>
      <c r="W142">
        <f ca="1">INDEX(rngParamTypes,$N142,16)</f>
        <v>0</v>
      </c>
      <c r="X142">
        <f ca="1">INDEX(rngParamTypes,$N142,17)</f>
        <v>0</v>
      </c>
      <c r="Y142">
        <f ca="1">INDEX(rngParamTypes,$N142,18)</f>
        <v>0</v>
      </c>
    </row>
    <row r="143" spans="1:25" x14ac:dyDescent="0.2">
      <c r="A143" s="16">
        <v>142</v>
      </c>
      <c r="B143" s="37">
        <v>1</v>
      </c>
      <c r="C143" s="16" t="s">
        <v>887</v>
      </c>
      <c r="D143" s="16" t="s">
        <v>887</v>
      </c>
      <c r="E143" s="16">
        <v>2</v>
      </c>
      <c r="F143" s="16" t="s">
        <v>3352</v>
      </c>
      <c r="G143" s="16" t="s">
        <v>3330</v>
      </c>
      <c r="H143" s="16" t="s">
        <v>886</v>
      </c>
      <c r="I143" s="16" t="s">
        <v>179</v>
      </c>
      <c r="J143" s="16">
        <v>0</v>
      </c>
      <c r="K143" s="16">
        <v>4184</v>
      </c>
      <c r="L143" s="16">
        <v>1</v>
      </c>
      <c r="M143" s="16">
        <v>0</v>
      </c>
      <c r="N143">
        <f t="array" aca="1" ref="N143" ca="1">MATCH(TRUE,EXACT(I143,OFFSET(rngParamTypes,0,6,,1)),0)</f>
        <v>63</v>
      </c>
      <c r="O143" t="str">
        <f ca="1">IF((INDEX(rngParamTypes,$N143,7)=I143),"",1)</f>
        <v/>
      </c>
      <c r="P143">
        <f ca="1">INDEX(rngParamTypes,$N143,9)</f>
        <v>0</v>
      </c>
      <c r="Q143">
        <f ca="1">INDEX(rngParamTypes,$N143,10)</f>
        <v>2</v>
      </c>
      <c r="R143">
        <f ca="1">INDEX(rngParamTypes,$N143,11)</f>
        <v>-2</v>
      </c>
      <c r="S143">
        <f ca="1">INDEX(rngParamTypes,$N143,12)</f>
        <v>0</v>
      </c>
      <c r="T143">
        <f ca="1">INDEX(rngParamTypes,$N143,13)</f>
        <v>-1</v>
      </c>
      <c r="U143">
        <f ca="1">INDEX(rngParamTypes,$N143,14)</f>
        <v>0</v>
      </c>
      <c r="V143">
        <f ca="1">INDEX(rngParamTypes,$N143,15)</f>
        <v>0</v>
      </c>
      <c r="W143">
        <f ca="1">INDEX(rngParamTypes,$N143,16)</f>
        <v>0</v>
      </c>
      <c r="X143">
        <f ca="1">INDEX(rngParamTypes,$N143,17)</f>
        <v>0</v>
      </c>
      <c r="Y143">
        <f ca="1">INDEX(rngParamTypes,$N143,18)</f>
        <v>0</v>
      </c>
    </row>
    <row r="144" spans="1:25" x14ac:dyDescent="0.2">
      <c r="A144" s="16">
        <v>143</v>
      </c>
      <c r="B144" s="37">
        <v>1</v>
      </c>
      <c r="C144" s="16" t="s">
        <v>889</v>
      </c>
      <c r="D144" s="16" t="s">
        <v>889</v>
      </c>
      <c r="E144" s="16"/>
      <c r="F144" s="16" t="s">
        <v>3353</v>
      </c>
      <c r="G144" s="16" t="s">
        <v>540</v>
      </c>
      <c r="H144" s="16" t="s">
        <v>888</v>
      </c>
      <c r="I144" s="16" t="s">
        <v>541</v>
      </c>
      <c r="J144" s="16">
        <v>0</v>
      </c>
      <c r="K144" s="16">
        <v>0.1162222</v>
      </c>
      <c r="L144" s="16">
        <v>1</v>
      </c>
      <c r="M144" s="16">
        <v>0</v>
      </c>
      <c r="N144">
        <f t="array" aca="1" ref="N144" ca="1">MATCH(TRUE,EXACT(I144,OFFSET(rngParamTypes,0,6,,1)),0)</f>
        <v>214</v>
      </c>
      <c r="O144" t="str">
        <f ca="1">IF((INDEX(rngParamTypes,$N144,7)=I144),"",1)</f>
        <v/>
      </c>
      <c r="P144">
        <f ca="1">INDEX(rngParamTypes,$N144,9)</f>
        <v>1</v>
      </c>
      <c r="Q144">
        <f ca="1">INDEX(rngParamTypes,$N144,10)</f>
        <v>1</v>
      </c>
      <c r="R144">
        <f ca="1">INDEX(rngParamTypes,$N144,11)</f>
        <v>-3</v>
      </c>
      <c r="S144">
        <f ca="1">INDEX(rngParamTypes,$N144,12)</f>
        <v>0</v>
      </c>
      <c r="T144">
        <f ca="1">INDEX(rngParamTypes,$N144,13)</f>
        <v>-1</v>
      </c>
      <c r="U144">
        <f ca="1">INDEX(rngParamTypes,$N144,14)</f>
        <v>0</v>
      </c>
      <c r="V144">
        <f ca="1">INDEX(rngParamTypes,$N144,15)</f>
        <v>0</v>
      </c>
      <c r="W144">
        <f ca="1">INDEX(rngParamTypes,$N144,16)</f>
        <v>0</v>
      </c>
      <c r="X144">
        <f ca="1">INDEX(rngParamTypes,$N144,17)</f>
        <v>0</v>
      </c>
      <c r="Y144">
        <f ca="1">INDEX(rngParamTypes,$N144,18)</f>
        <v>0</v>
      </c>
    </row>
    <row r="145" spans="1:25" x14ac:dyDescent="0.2">
      <c r="A145" s="16">
        <v>144</v>
      </c>
      <c r="B145" s="37">
        <v>1</v>
      </c>
      <c r="C145" s="16" t="s">
        <v>891</v>
      </c>
      <c r="D145" s="16" t="s">
        <v>891</v>
      </c>
      <c r="E145" s="16">
        <v>2</v>
      </c>
      <c r="F145" s="16" t="s">
        <v>3354</v>
      </c>
      <c r="G145" s="16" t="s">
        <v>3322</v>
      </c>
      <c r="H145" s="16" t="s">
        <v>890</v>
      </c>
      <c r="I145" s="16" t="s">
        <v>551</v>
      </c>
      <c r="J145" s="16">
        <v>0</v>
      </c>
      <c r="K145" s="16">
        <v>11.62222</v>
      </c>
      <c r="L145" s="16">
        <v>1</v>
      </c>
      <c r="M145" s="16">
        <v>0</v>
      </c>
      <c r="N145">
        <f t="array" aca="1" ref="N145" ca="1">MATCH(TRUE,EXACT(I145,OFFSET(rngParamTypes,0,6,,1)),0)</f>
        <v>216</v>
      </c>
      <c r="O145" t="str">
        <f ca="1">IF((INDEX(rngParamTypes,$N145,7)=I145),"",1)</f>
        <v/>
      </c>
      <c r="P145">
        <f ca="1">INDEX(rngParamTypes,$N145,9)</f>
        <v>1</v>
      </c>
      <c r="Q145">
        <f ca="1">INDEX(rngParamTypes,$N145,10)</f>
        <v>0</v>
      </c>
      <c r="R145">
        <f ca="1">INDEX(rngParamTypes,$N145,11)</f>
        <v>-3</v>
      </c>
      <c r="S145">
        <f ca="1">INDEX(rngParamTypes,$N145,12)</f>
        <v>0</v>
      </c>
      <c r="T145">
        <f ca="1">INDEX(rngParamTypes,$N145,13)</f>
        <v>0</v>
      </c>
      <c r="U145">
        <f ca="1">INDEX(rngParamTypes,$N145,14)</f>
        <v>0</v>
      </c>
      <c r="V145">
        <f ca="1">INDEX(rngParamTypes,$N145,15)</f>
        <v>0</v>
      </c>
      <c r="W145">
        <f ca="1">INDEX(rngParamTypes,$N145,16)</f>
        <v>0</v>
      </c>
      <c r="X145">
        <f ca="1">INDEX(rngParamTypes,$N145,17)</f>
        <v>0</v>
      </c>
      <c r="Y145">
        <f ca="1">INDEX(rngParamTypes,$N145,18)</f>
        <v>0</v>
      </c>
    </row>
    <row r="146" spans="1:25" x14ac:dyDescent="0.2">
      <c r="A146" s="16">
        <v>145</v>
      </c>
      <c r="B146" s="37">
        <v>1</v>
      </c>
      <c r="C146" s="16" t="s">
        <v>893</v>
      </c>
      <c r="D146" s="16" t="s">
        <v>893</v>
      </c>
      <c r="E146" s="16">
        <v>2</v>
      </c>
      <c r="F146" s="16" t="s">
        <v>3355</v>
      </c>
      <c r="G146" s="16" t="s">
        <v>553</v>
      </c>
      <c r="H146" s="16" t="s">
        <v>892</v>
      </c>
      <c r="I146" s="16" t="s">
        <v>554</v>
      </c>
      <c r="J146" s="16">
        <v>0</v>
      </c>
      <c r="K146" s="16">
        <v>11.62222</v>
      </c>
      <c r="L146" s="16">
        <v>1</v>
      </c>
      <c r="M146" s="16">
        <v>0</v>
      </c>
      <c r="N146">
        <f t="array" aca="1" ref="N146" ca="1">MATCH(TRUE,EXACT(I146,OFFSET(rngParamTypes,0,6,,1)),0)</f>
        <v>224</v>
      </c>
      <c r="O146" t="str">
        <f ca="1">IF((INDEX(rngParamTypes,$N146,7)=I146),"",1)</f>
        <v/>
      </c>
      <c r="P146">
        <f ca="1">INDEX(rngParamTypes,$N146,9)</f>
        <v>1</v>
      </c>
      <c r="Q146">
        <f ca="1">INDEX(rngParamTypes,$N146,10)</f>
        <v>0</v>
      </c>
      <c r="R146">
        <f ca="1">INDEX(rngParamTypes,$N146,11)</f>
        <v>-3</v>
      </c>
      <c r="S146">
        <f ca="1">INDEX(rngParamTypes,$N146,12)</f>
        <v>0</v>
      </c>
      <c r="T146">
        <f ca="1">INDEX(rngParamTypes,$N146,13)</f>
        <v>-1</v>
      </c>
      <c r="U146">
        <f ca="1">INDEX(rngParamTypes,$N146,14)</f>
        <v>0</v>
      </c>
      <c r="V146">
        <f ca="1">INDEX(rngParamTypes,$N146,15)</f>
        <v>0</v>
      </c>
      <c r="W146">
        <f ca="1">INDEX(rngParamTypes,$N146,16)</f>
        <v>0</v>
      </c>
      <c r="X146">
        <f ca="1">INDEX(rngParamTypes,$N146,17)</f>
        <v>0</v>
      </c>
      <c r="Y146">
        <f ca="1">INDEX(rngParamTypes,$N146,18)</f>
        <v>0</v>
      </c>
    </row>
    <row r="147" spans="1:25" x14ac:dyDescent="0.2">
      <c r="A147" s="16">
        <v>146</v>
      </c>
      <c r="B147" s="37">
        <v>1</v>
      </c>
      <c r="C147" s="16" t="s">
        <v>895</v>
      </c>
      <c r="D147" s="16" t="s">
        <v>895</v>
      </c>
      <c r="E147" s="16"/>
      <c r="F147" s="16" t="s">
        <v>3356</v>
      </c>
      <c r="G147" s="16" t="s">
        <v>559</v>
      </c>
      <c r="H147" s="16" t="s">
        <v>894</v>
      </c>
      <c r="I147" s="16" t="s">
        <v>560</v>
      </c>
      <c r="J147" s="16">
        <v>0</v>
      </c>
      <c r="K147" s="16">
        <v>1162.222</v>
      </c>
      <c r="L147" s="16">
        <v>1</v>
      </c>
      <c r="M147" s="16">
        <v>0</v>
      </c>
      <c r="N147">
        <f t="array" aca="1" ref="N147" ca="1">MATCH(TRUE,EXACT(I147,OFFSET(rngParamTypes,0,6,,1)),0)</f>
        <v>226</v>
      </c>
      <c r="O147" t="str">
        <f ca="1">IF((INDEX(rngParamTypes,$N147,7)=I147),"",1)</f>
        <v/>
      </c>
      <c r="P147">
        <f ca="1">INDEX(rngParamTypes,$N147,9)</f>
        <v>1</v>
      </c>
      <c r="Q147">
        <f ca="1">INDEX(rngParamTypes,$N147,10)</f>
        <v>-1</v>
      </c>
      <c r="R147">
        <f ca="1">INDEX(rngParamTypes,$N147,11)</f>
        <v>-3</v>
      </c>
      <c r="S147">
        <f ca="1">INDEX(rngParamTypes,$N147,12)</f>
        <v>0</v>
      </c>
      <c r="T147">
        <f ca="1">INDEX(rngParamTypes,$N147,13)</f>
        <v>0</v>
      </c>
      <c r="U147">
        <f ca="1">INDEX(rngParamTypes,$N147,14)</f>
        <v>0</v>
      </c>
      <c r="V147">
        <f ca="1">INDEX(rngParamTypes,$N147,15)</f>
        <v>0</v>
      </c>
      <c r="W147">
        <f ca="1">INDEX(rngParamTypes,$N147,16)</f>
        <v>0</v>
      </c>
      <c r="X147">
        <f ca="1">INDEX(rngParamTypes,$N147,17)</f>
        <v>0</v>
      </c>
      <c r="Y147">
        <f ca="1">INDEX(rngParamTypes,$N147,18)</f>
        <v>0</v>
      </c>
    </row>
    <row r="148" spans="1:25" x14ac:dyDescent="0.2">
      <c r="A148" s="16">
        <v>147</v>
      </c>
      <c r="B148" s="37">
        <v>1</v>
      </c>
      <c r="C148" s="16" t="s">
        <v>897</v>
      </c>
      <c r="D148" s="16" t="s">
        <v>897</v>
      </c>
      <c r="E148" s="16">
        <v>2</v>
      </c>
      <c r="F148" s="16" t="s">
        <v>3357</v>
      </c>
      <c r="G148" s="16" t="s">
        <v>174</v>
      </c>
      <c r="H148" s="16" t="s">
        <v>896</v>
      </c>
      <c r="I148" s="16" t="s">
        <v>175</v>
      </c>
      <c r="J148" s="16">
        <v>0</v>
      </c>
      <c r="K148" s="16">
        <v>4.1840000000000002</v>
      </c>
      <c r="L148" s="16">
        <v>1</v>
      </c>
      <c r="M148" s="16">
        <v>0</v>
      </c>
      <c r="N148">
        <f t="array" aca="1" ref="N148" ca="1">MATCH(TRUE,EXACT(I148,OFFSET(rngParamTypes,0,6,,1)),0)</f>
        <v>62</v>
      </c>
      <c r="O148" t="str">
        <f ca="1">IF((INDEX(rngParamTypes,$N148,7)=I148),"",1)</f>
        <v/>
      </c>
      <c r="P148">
        <f ca="1">INDEX(rngParamTypes,$N148,9)</f>
        <v>0</v>
      </c>
      <c r="Q148">
        <f ca="1">INDEX(rngParamTypes,$N148,10)</f>
        <v>2</v>
      </c>
      <c r="R148">
        <f ca="1">INDEX(rngParamTypes,$N148,11)</f>
        <v>-2</v>
      </c>
      <c r="S148">
        <f ca="1">INDEX(rngParamTypes,$N148,12)</f>
        <v>0</v>
      </c>
      <c r="T148">
        <f ca="1">INDEX(rngParamTypes,$N148,13)</f>
        <v>0</v>
      </c>
      <c r="U148">
        <f ca="1">INDEX(rngParamTypes,$N148,14)</f>
        <v>0</v>
      </c>
      <c r="V148">
        <f ca="1">INDEX(rngParamTypes,$N148,15)</f>
        <v>0</v>
      </c>
      <c r="W148">
        <f ca="1">INDEX(rngParamTypes,$N148,16)</f>
        <v>0</v>
      </c>
      <c r="X148">
        <f ca="1">INDEX(rngParamTypes,$N148,17)</f>
        <v>0</v>
      </c>
      <c r="Y148">
        <f ca="1">INDEX(rngParamTypes,$N148,18)</f>
        <v>0</v>
      </c>
    </row>
    <row r="149" spans="1:25" x14ac:dyDescent="0.2">
      <c r="A149" s="16">
        <v>148</v>
      </c>
      <c r="B149" s="37">
        <v>1</v>
      </c>
      <c r="C149" s="16" t="s">
        <v>899</v>
      </c>
      <c r="D149" s="16" t="s">
        <v>899</v>
      </c>
      <c r="E149" s="16">
        <v>2</v>
      </c>
      <c r="F149" s="16" t="s">
        <v>3358</v>
      </c>
      <c r="G149" s="16" t="s">
        <v>174</v>
      </c>
      <c r="H149" s="16" t="s">
        <v>898</v>
      </c>
      <c r="I149" s="16" t="s">
        <v>175</v>
      </c>
      <c r="J149" s="16">
        <v>0</v>
      </c>
      <c r="K149" s="16">
        <v>9.2241409999999995</v>
      </c>
      <c r="L149" s="16">
        <v>1</v>
      </c>
      <c r="M149" s="16">
        <v>0</v>
      </c>
      <c r="N149">
        <f t="array" aca="1" ref="N149" ca="1">MATCH(TRUE,EXACT(I149,OFFSET(rngParamTypes,0,6,,1)),0)</f>
        <v>62</v>
      </c>
      <c r="O149" t="str">
        <f ca="1">IF((INDEX(rngParamTypes,$N149,7)=I149),"",1)</f>
        <v/>
      </c>
      <c r="P149">
        <f ca="1">INDEX(rngParamTypes,$N149,9)</f>
        <v>0</v>
      </c>
      <c r="Q149">
        <f ca="1">INDEX(rngParamTypes,$N149,10)</f>
        <v>2</v>
      </c>
      <c r="R149">
        <f ca="1">INDEX(rngParamTypes,$N149,11)</f>
        <v>-2</v>
      </c>
      <c r="S149">
        <f ca="1">INDEX(rngParamTypes,$N149,12)</f>
        <v>0</v>
      </c>
      <c r="T149">
        <f ca="1">INDEX(rngParamTypes,$N149,13)</f>
        <v>0</v>
      </c>
      <c r="U149">
        <f ca="1">INDEX(rngParamTypes,$N149,14)</f>
        <v>0</v>
      </c>
      <c r="V149">
        <f ca="1">INDEX(rngParamTypes,$N149,15)</f>
        <v>0</v>
      </c>
      <c r="W149">
        <f ca="1">INDEX(rngParamTypes,$N149,16)</f>
        <v>0</v>
      </c>
      <c r="X149">
        <f ca="1">INDEX(rngParamTypes,$N149,17)</f>
        <v>0</v>
      </c>
      <c r="Y149">
        <f ca="1">INDEX(rngParamTypes,$N149,18)</f>
        <v>0</v>
      </c>
    </row>
    <row r="150" spans="1:25" x14ac:dyDescent="0.2">
      <c r="A150" s="16">
        <v>149</v>
      </c>
      <c r="B150" s="37">
        <v>1</v>
      </c>
      <c r="C150" s="16" t="s">
        <v>901</v>
      </c>
      <c r="D150" s="16" t="s">
        <v>901</v>
      </c>
      <c r="E150" s="16"/>
      <c r="F150" s="16" t="s">
        <v>3359</v>
      </c>
      <c r="G150" s="16" t="s">
        <v>3314</v>
      </c>
      <c r="H150" s="16" t="s">
        <v>900</v>
      </c>
      <c r="I150" s="16" t="s">
        <v>190</v>
      </c>
      <c r="J150" s="16">
        <v>0</v>
      </c>
      <c r="K150" s="16">
        <v>4184000</v>
      </c>
      <c r="L150" s="16">
        <v>1</v>
      </c>
      <c r="M150" s="16">
        <v>0</v>
      </c>
      <c r="N150">
        <f t="array" aca="1" ref="N150" ca="1">MATCH(TRUE,EXACT(I150,OFFSET(rngParamTypes,0,6,,1)),0)</f>
        <v>65</v>
      </c>
      <c r="O150" t="str">
        <f ca="1">IF((INDEX(rngParamTypes,$N150,7)=I150),"",1)</f>
        <v/>
      </c>
      <c r="P150">
        <f ca="1">INDEX(rngParamTypes,$N150,9)</f>
        <v>1</v>
      </c>
      <c r="Q150">
        <f ca="1">INDEX(rngParamTypes,$N150,10)</f>
        <v>-1</v>
      </c>
      <c r="R150">
        <f ca="1">INDEX(rngParamTypes,$N150,11)</f>
        <v>-2</v>
      </c>
      <c r="S150">
        <f ca="1">INDEX(rngParamTypes,$N150,12)</f>
        <v>0</v>
      </c>
      <c r="T150">
        <f ca="1">INDEX(rngParamTypes,$N150,13)</f>
        <v>0</v>
      </c>
      <c r="U150">
        <f ca="1">INDEX(rngParamTypes,$N150,14)</f>
        <v>0</v>
      </c>
      <c r="V150">
        <f ca="1">INDEX(rngParamTypes,$N150,15)</f>
        <v>0</v>
      </c>
      <c r="W150">
        <f ca="1">INDEX(rngParamTypes,$N150,16)</f>
        <v>0</v>
      </c>
      <c r="X150">
        <f ca="1">INDEX(rngParamTypes,$N150,17)</f>
        <v>0</v>
      </c>
      <c r="Y150">
        <f ca="1">INDEX(rngParamTypes,$N150,18)</f>
        <v>0</v>
      </c>
    </row>
    <row r="151" spans="1:25" x14ac:dyDescent="0.2">
      <c r="A151" s="16">
        <v>150</v>
      </c>
      <c r="B151" s="37">
        <v>1</v>
      </c>
      <c r="C151" s="16" t="s">
        <v>903</v>
      </c>
      <c r="D151" s="16" t="s">
        <v>903</v>
      </c>
      <c r="E151" s="16"/>
      <c r="F151" s="16" t="s">
        <v>3360</v>
      </c>
      <c r="G151" s="16" t="s">
        <v>3314</v>
      </c>
      <c r="H151" s="16" t="s">
        <v>902</v>
      </c>
      <c r="I151" s="16" t="s">
        <v>190</v>
      </c>
      <c r="J151" s="16">
        <v>0</v>
      </c>
      <c r="K151" s="16">
        <v>4.1840000000000002</v>
      </c>
      <c r="L151" s="16">
        <v>1.0000000000000001E-9</v>
      </c>
      <c r="M151" s="16">
        <v>0</v>
      </c>
      <c r="N151">
        <f t="array" aca="1" ref="N151" ca="1">MATCH(TRUE,EXACT(I151,OFFSET(rngParamTypes,0,6,,1)),0)</f>
        <v>65</v>
      </c>
      <c r="O151" t="str">
        <f ca="1">IF((INDEX(rngParamTypes,$N151,7)=I151),"",1)</f>
        <v/>
      </c>
      <c r="P151">
        <f ca="1">INDEX(rngParamTypes,$N151,9)</f>
        <v>1</v>
      </c>
      <c r="Q151">
        <f ca="1">INDEX(rngParamTypes,$N151,10)</f>
        <v>-1</v>
      </c>
      <c r="R151">
        <f ca="1">INDEX(rngParamTypes,$N151,11)</f>
        <v>-2</v>
      </c>
      <c r="S151">
        <f ca="1">INDEX(rngParamTypes,$N151,12)</f>
        <v>0</v>
      </c>
      <c r="T151">
        <f ca="1">INDEX(rngParamTypes,$N151,13)</f>
        <v>0</v>
      </c>
      <c r="U151">
        <f ca="1">INDEX(rngParamTypes,$N151,14)</f>
        <v>0</v>
      </c>
      <c r="V151">
        <f ca="1">INDEX(rngParamTypes,$N151,15)</f>
        <v>0</v>
      </c>
      <c r="W151">
        <f ca="1">INDEX(rngParamTypes,$N151,16)</f>
        <v>0</v>
      </c>
      <c r="X151">
        <f ca="1">INDEX(rngParamTypes,$N151,17)</f>
        <v>0</v>
      </c>
      <c r="Y151">
        <f ca="1">INDEX(rngParamTypes,$N151,18)</f>
        <v>0</v>
      </c>
    </row>
    <row r="152" spans="1:25" x14ac:dyDescent="0.2">
      <c r="A152" s="16">
        <v>151</v>
      </c>
      <c r="B152" s="37">
        <v>1</v>
      </c>
      <c r="C152" s="16" t="s">
        <v>905</v>
      </c>
      <c r="D152" s="16" t="s">
        <v>905</v>
      </c>
      <c r="E152" s="16">
        <v>2</v>
      </c>
      <c r="F152" s="16" t="s">
        <v>3361</v>
      </c>
      <c r="G152" s="16" t="s">
        <v>3336</v>
      </c>
      <c r="H152" s="16" t="s">
        <v>904</v>
      </c>
      <c r="I152" s="16" t="s">
        <v>200</v>
      </c>
      <c r="J152" s="16">
        <v>0</v>
      </c>
      <c r="K152" s="16">
        <v>4.1840000000000002</v>
      </c>
      <c r="L152" s="16">
        <v>1</v>
      </c>
      <c r="M152" s="16">
        <v>0</v>
      </c>
      <c r="N152">
        <f t="array" aca="1" ref="N152" ca="1">MATCH(TRUE,EXACT(I152,OFFSET(rngParamTypes,0,6,,1)),0)</f>
        <v>77</v>
      </c>
      <c r="O152" t="str">
        <f ca="1">IF((INDEX(rngParamTypes,$N152,7)=I152),"",1)</f>
        <v/>
      </c>
      <c r="P152">
        <f ca="1">INDEX(rngParamTypes,$N152,9)</f>
        <v>1</v>
      </c>
      <c r="Q152">
        <f ca="1">INDEX(rngParamTypes,$N152,10)</f>
        <v>2</v>
      </c>
      <c r="R152">
        <f ca="1">INDEX(rngParamTypes,$N152,11)</f>
        <v>-2</v>
      </c>
      <c r="S152">
        <f ca="1">INDEX(rngParamTypes,$N152,12)</f>
        <v>0</v>
      </c>
      <c r="T152">
        <f ca="1">INDEX(rngParamTypes,$N152,13)</f>
        <v>-1</v>
      </c>
      <c r="U152">
        <f ca="1">INDEX(rngParamTypes,$N152,14)</f>
        <v>-1</v>
      </c>
      <c r="V152">
        <f ca="1">INDEX(rngParamTypes,$N152,15)</f>
        <v>0</v>
      </c>
      <c r="W152">
        <f ca="1">INDEX(rngParamTypes,$N152,16)</f>
        <v>0</v>
      </c>
      <c r="X152">
        <f ca="1">INDEX(rngParamTypes,$N152,17)</f>
        <v>0</v>
      </c>
      <c r="Y152">
        <f ca="1">INDEX(rngParamTypes,$N152,18)</f>
        <v>0</v>
      </c>
    </row>
    <row r="153" spans="1:25" x14ac:dyDescent="0.2">
      <c r="A153" s="16">
        <v>152</v>
      </c>
      <c r="B153" s="37">
        <v>1</v>
      </c>
      <c r="C153" s="16" t="s">
        <v>906</v>
      </c>
      <c r="D153" s="16" t="s">
        <v>906</v>
      </c>
      <c r="E153" s="16">
        <v>2</v>
      </c>
      <c r="F153" s="16" t="s">
        <v>4260</v>
      </c>
      <c r="G153" s="16" t="s">
        <v>3336</v>
      </c>
      <c r="H153" s="16" t="s">
        <v>904</v>
      </c>
      <c r="I153" s="16" t="s">
        <v>200</v>
      </c>
      <c r="J153" s="16">
        <v>0</v>
      </c>
      <c r="K153" s="16">
        <v>4184</v>
      </c>
      <c r="L153" s="16">
        <v>1</v>
      </c>
      <c r="M153" s="16">
        <v>0</v>
      </c>
      <c r="N153">
        <f t="array" aca="1" ref="N153" ca="1">MATCH(TRUE,EXACT(I153,OFFSET(rngParamTypes,0,6,,1)),0)</f>
        <v>77</v>
      </c>
      <c r="O153" t="str">
        <f ca="1">IF((INDEX(rngParamTypes,$N153,7)=I153),"",1)</f>
        <v/>
      </c>
      <c r="P153">
        <f ca="1">INDEX(rngParamTypes,$N153,9)</f>
        <v>1</v>
      </c>
      <c r="Q153">
        <f ca="1">INDEX(rngParamTypes,$N153,10)</f>
        <v>2</v>
      </c>
      <c r="R153">
        <f ca="1">INDEX(rngParamTypes,$N153,11)</f>
        <v>-2</v>
      </c>
      <c r="S153">
        <f ca="1">INDEX(rngParamTypes,$N153,12)</f>
        <v>0</v>
      </c>
      <c r="T153">
        <f ca="1">INDEX(rngParamTypes,$N153,13)</f>
        <v>-1</v>
      </c>
      <c r="U153">
        <f ca="1">INDEX(rngParamTypes,$N153,14)</f>
        <v>-1</v>
      </c>
      <c r="V153">
        <f ca="1">INDEX(rngParamTypes,$N153,15)</f>
        <v>0</v>
      </c>
      <c r="W153">
        <f ca="1">INDEX(rngParamTypes,$N153,16)</f>
        <v>0</v>
      </c>
      <c r="X153">
        <f ca="1">INDEX(rngParamTypes,$N153,17)</f>
        <v>0</v>
      </c>
      <c r="Y153">
        <f ca="1">INDEX(rngParamTypes,$N153,18)</f>
        <v>0</v>
      </c>
    </row>
    <row r="154" spans="1:25" x14ac:dyDescent="0.2">
      <c r="A154" s="16">
        <v>153</v>
      </c>
      <c r="B154" s="37">
        <v>1</v>
      </c>
      <c r="C154" s="16" t="s">
        <v>908</v>
      </c>
      <c r="D154" s="16" t="s">
        <v>908</v>
      </c>
      <c r="E154" s="16"/>
      <c r="F154" s="16" t="s">
        <v>3362</v>
      </c>
      <c r="G154" s="16" t="s">
        <v>540</v>
      </c>
      <c r="H154" s="16" t="s">
        <v>907</v>
      </c>
      <c r="I154" s="16" t="s">
        <v>541</v>
      </c>
      <c r="J154" s="16">
        <v>0</v>
      </c>
      <c r="K154" s="16">
        <v>418.4</v>
      </c>
      <c r="L154" s="16">
        <v>1</v>
      </c>
      <c r="M154" s="16">
        <v>0</v>
      </c>
      <c r="N154">
        <f t="array" aca="1" ref="N154" ca="1">MATCH(TRUE,EXACT(I154,OFFSET(rngParamTypes,0,6,,1)),0)</f>
        <v>214</v>
      </c>
      <c r="O154" t="str">
        <f ca="1">IF((INDEX(rngParamTypes,$N154,7)=I154),"",1)</f>
        <v/>
      </c>
      <c r="P154">
        <f ca="1">INDEX(rngParamTypes,$N154,9)</f>
        <v>1</v>
      </c>
      <c r="Q154">
        <f ca="1">INDEX(rngParamTypes,$N154,10)</f>
        <v>1</v>
      </c>
      <c r="R154">
        <f ca="1">INDEX(rngParamTypes,$N154,11)</f>
        <v>-3</v>
      </c>
      <c r="S154">
        <f ca="1">INDEX(rngParamTypes,$N154,12)</f>
        <v>0</v>
      </c>
      <c r="T154">
        <f ca="1">INDEX(rngParamTypes,$N154,13)</f>
        <v>-1</v>
      </c>
      <c r="U154">
        <f ca="1">INDEX(rngParamTypes,$N154,14)</f>
        <v>0</v>
      </c>
      <c r="V154">
        <f ca="1">INDEX(rngParamTypes,$N154,15)</f>
        <v>0</v>
      </c>
      <c r="W154">
        <f ca="1">INDEX(rngParamTypes,$N154,16)</f>
        <v>0</v>
      </c>
      <c r="X154">
        <f ca="1">INDEX(rngParamTypes,$N154,17)</f>
        <v>0</v>
      </c>
      <c r="Y154">
        <f ca="1">INDEX(rngParamTypes,$N154,18)</f>
        <v>0</v>
      </c>
    </row>
    <row r="155" spans="1:25" x14ac:dyDescent="0.2">
      <c r="A155" s="16">
        <v>154</v>
      </c>
      <c r="B155" s="37">
        <v>1</v>
      </c>
      <c r="C155" s="16" t="s">
        <v>910</v>
      </c>
      <c r="D155" s="16" t="s">
        <v>910</v>
      </c>
      <c r="E155" s="16">
        <v>2</v>
      </c>
      <c r="F155" s="16" t="s">
        <v>3363</v>
      </c>
      <c r="G155" s="16" t="s">
        <v>553</v>
      </c>
      <c r="H155" s="16" t="s">
        <v>909</v>
      </c>
      <c r="I155" s="16" t="s">
        <v>554</v>
      </c>
      <c r="J155" s="16">
        <v>0</v>
      </c>
      <c r="K155" s="16">
        <v>41840</v>
      </c>
      <c r="L155" s="16">
        <v>1</v>
      </c>
      <c r="M155" s="16">
        <v>0</v>
      </c>
      <c r="N155">
        <f t="array" aca="1" ref="N155" ca="1">MATCH(TRUE,EXACT(I155,OFFSET(rngParamTypes,0,6,,1)),0)</f>
        <v>224</v>
      </c>
      <c r="O155" t="str">
        <f ca="1">IF((INDEX(rngParamTypes,$N155,7)=I155),"",1)</f>
        <v/>
      </c>
      <c r="P155">
        <f ca="1">INDEX(rngParamTypes,$N155,9)</f>
        <v>1</v>
      </c>
      <c r="Q155">
        <f ca="1">INDEX(rngParamTypes,$N155,10)</f>
        <v>0</v>
      </c>
      <c r="R155">
        <f ca="1">INDEX(rngParamTypes,$N155,11)</f>
        <v>-3</v>
      </c>
      <c r="S155">
        <f ca="1">INDEX(rngParamTypes,$N155,12)</f>
        <v>0</v>
      </c>
      <c r="T155">
        <f ca="1">INDEX(rngParamTypes,$N155,13)</f>
        <v>-1</v>
      </c>
      <c r="U155">
        <f ca="1">INDEX(rngParamTypes,$N155,14)</f>
        <v>0</v>
      </c>
      <c r="V155">
        <f ca="1">INDEX(rngParamTypes,$N155,15)</f>
        <v>0</v>
      </c>
      <c r="W155">
        <f ca="1">INDEX(rngParamTypes,$N155,16)</f>
        <v>0</v>
      </c>
      <c r="X155">
        <f ca="1">INDEX(rngParamTypes,$N155,17)</f>
        <v>0</v>
      </c>
      <c r="Y155">
        <f ca="1">INDEX(rngParamTypes,$N155,18)</f>
        <v>0</v>
      </c>
    </row>
    <row r="156" spans="1:25" x14ac:dyDescent="0.2">
      <c r="A156" s="16">
        <v>155</v>
      </c>
      <c r="B156" s="37">
        <v>1</v>
      </c>
      <c r="C156" s="16" t="s">
        <v>912</v>
      </c>
      <c r="D156" s="16" t="s">
        <v>912</v>
      </c>
      <c r="E156" s="16"/>
      <c r="F156" s="16" t="s">
        <v>3364</v>
      </c>
      <c r="G156" s="16" t="s">
        <v>559</v>
      </c>
      <c r="H156" s="16" t="s">
        <v>911</v>
      </c>
      <c r="I156" s="16" t="s">
        <v>560</v>
      </c>
      <c r="J156" s="16">
        <v>0</v>
      </c>
      <c r="K156" s="16">
        <v>4184000</v>
      </c>
      <c r="L156" s="16">
        <v>1</v>
      </c>
      <c r="M156" s="16">
        <v>0</v>
      </c>
      <c r="N156">
        <f t="array" aca="1" ref="N156" ca="1">MATCH(TRUE,EXACT(I156,OFFSET(rngParamTypes,0,6,,1)),0)</f>
        <v>226</v>
      </c>
      <c r="O156" t="str">
        <f ca="1">IF((INDEX(rngParamTypes,$N156,7)=I156),"",1)</f>
        <v/>
      </c>
      <c r="P156">
        <f ca="1">INDEX(rngParamTypes,$N156,9)</f>
        <v>1</v>
      </c>
      <c r="Q156">
        <f ca="1">INDEX(rngParamTypes,$N156,10)</f>
        <v>-1</v>
      </c>
      <c r="R156">
        <f ca="1">INDEX(rngParamTypes,$N156,11)</f>
        <v>-3</v>
      </c>
      <c r="S156">
        <f ca="1">INDEX(rngParamTypes,$N156,12)</f>
        <v>0</v>
      </c>
      <c r="T156">
        <f ca="1">INDEX(rngParamTypes,$N156,13)</f>
        <v>0</v>
      </c>
      <c r="U156">
        <f ca="1">INDEX(rngParamTypes,$N156,14)</f>
        <v>0</v>
      </c>
      <c r="V156">
        <f ca="1">INDEX(rngParamTypes,$N156,15)</f>
        <v>0</v>
      </c>
      <c r="W156">
        <f ca="1">INDEX(rngParamTypes,$N156,16)</f>
        <v>0</v>
      </c>
      <c r="X156">
        <f ca="1">INDEX(rngParamTypes,$N156,17)</f>
        <v>0</v>
      </c>
      <c r="Y156">
        <f ca="1">INDEX(rngParamTypes,$N156,18)</f>
        <v>0</v>
      </c>
    </row>
    <row r="157" spans="1:25" x14ac:dyDescent="0.2">
      <c r="A157" s="16">
        <v>156</v>
      </c>
      <c r="B157" s="37">
        <v>1</v>
      </c>
      <c r="C157" s="16" t="s">
        <v>914</v>
      </c>
      <c r="D157" s="16" t="s">
        <v>914</v>
      </c>
      <c r="E157" s="16">
        <v>2</v>
      </c>
      <c r="F157" s="16" t="s">
        <v>3365</v>
      </c>
      <c r="G157" s="16" t="s">
        <v>443</v>
      </c>
      <c r="H157" s="16" t="s">
        <v>913</v>
      </c>
      <c r="I157" s="16" t="s">
        <v>444</v>
      </c>
      <c r="J157" s="16">
        <v>0</v>
      </c>
      <c r="K157" s="16">
        <v>3.1415926535898002</v>
      </c>
      <c r="L157" s="16">
        <v>2000000</v>
      </c>
      <c r="M157" s="16">
        <v>0</v>
      </c>
      <c r="N157">
        <f t="array" aca="1" ref="N157" ca="1">MATCH(TRUE,EXACT(I157,OFFSET(rngParamTypes,0,6,,1)),0)</f>
        <v>178</v>
      </c>
      <c r="O157" t="str">
        <f ca="1">IF((INDEX(rngParamTypes,$N157,7)=I157),"",1)</f>
        <v/>
      </c>
      <c r="P157">
        <f ca="1">INDEX(rngParamTypes,$N157,9)</f>
        <v>0</v>
      </c>
      <c r="Q157">
        <f ca="1">INDEX(rngParamTypes,$N157,10)</f>
        <v>0</v>
      </c>
      <c r="R157">
        <f ca="1">INDEX(rngParamTypes,$N157,11)</f>
        <v>0</v>
      </c>
      <c r="S157">
        <f ca="1">INDEX(rngParamTypes,$N157,12)</f>
        <v>0</v>
      </c>
      <c r="T157">
        <f ca="1">INDEX(rngParamTypes,$N157,13)</f>
        <v>0</v>
      </c>
      <c r="U157">
        <f ca="1">INDEX(rngParamTypes,$N157,14)</f>
        <v>0</v>
      </c>
      <c r="V157">
        <f ca="1">INDEX(rngParamTypes,$N157,15)</f>
        <v>0</v>
      </c>
      <c r="W157">
        <f ca="1">INDEX(rngParamTypes,$N157,16)</f>
        <v>1</v>
      </c>
      <c r="X157">
        <f ca="1">INDEX(rngParamTypes,$N157,17)</f>
        <v>0</v>
      </c>
      <c r="Y157">
        <f ca="1">INDEX(rngParamTypes,$N157,18)</f>
        <v>0</v>
      </c>
    </row>
    <row r="158" spans="1:25" x14ac:dyDescent="0.2">
      <c r="A158" s="16">
        <v>157</v>
      </c>
      <c r="B158" s="37">
        <v>1</v>
      </c>
      <c r="C158" s="16" t="s">
        <v>916</v>
      </c>
      <c r="D158" s="16" t="s">
        <v>916</v>
      </c>
      <c r="E158" s="16">
        <v>2</v>
      </c>
      <c r="F158" s="16" t="s">
        <v>3366</v>
      </c>
      <c r="G158" s="16" t="s">
        <v>3367</v>
      </c>
      <c r="H158" s="16" t="s">
        <v>915</v>
      </c>
      <c r="I158" s="16" t="s">
        <v>131</v>
      </c>
      <c r="J158" s="16">
        <v>0</v>
      </c>
      <c r="K158" s="16">
        <v>0.01</v>
      </c>
      <c r="L158" s="16">
        <v>1</v>
      </c>
      <c r="M158" s="16">
        <v>0</v>
      </c>
      <c r="N158">
        <f t="array" aca="1" ref="N158" ca="1">MATCH(TRUE,EXACT(I158,OFFSET(rngParamTypes,0,6,,1)),0)</f>
        <v>42</v>
      </c>
      <c r="O158" t="str">
        <f ca="1">IF((INDEX(rngParamTypes,$N158,7)=I158),"",1)</f>
        <v/>
      </c>
      <c r="P158">
        <f ca="1">INDEX(rngParamTypes,$N158,9)</f>
        <v>0</v>
      </c>
      <c r="Q158">
        <f ca="1">INDEX(rngParamTypes,$N158,10)</f>
        <v>0</v>
      </c>
      <c r="R158">
        <f ca="1">INDEX(rngParamTypes,$N158,11)</f>
        <v>0</v>
      </c>
      <c r="S158">
        <f ca="1">INDEX(rngParamTypes,$N158,12)</f>
        <v>0</v>
      </c>
      <c r="T158">
        <f ca="1">INDEX(rngParamTypes,$N158,13)</f>
        <v>0</v>
      </c>
      <c r="U158">
        <f ca="1">INDEX(rngParamTypes,$N158,14)</f>
        <v>0</v>
      </c>
      <c r="V158">
        <f ca="1">INDEX(rngParamTypes,$N158,15)</f>
        <v>0</v>
      </c>
      <c r="W158">
        <f ca="1">INDEX(rngParamTypes,$N158,16)</f>
        <v>0</v>
      </c>
      <c r="X158">
        <f ca="1">INDEX(rngParamTypes,$N158,17)</f>
        <v>0</v>
      </c>
      <c r="Y158">
        <f ca="1">INDEX(rngParamTypes,$N158,18)</f>
        <v>0</v>
      </c>
    </row>
    <row r="159" spans="1:25" x14ac:dyDescent="0.2">
      <c r="A159" s="16">
        <v>158</v>
      </c>
      <c r="B159" s="37">
        <v>1</v>
      </c>
      <c r="C159" s="16" t="s">
        <v>918</v>
      </c>
      <c r="D159" s="16" t="s">
        <v>918</v>
      </c>
      <c r="E159" s="16">
        <v>2</v>
      </c>
      <c r="F159" s="16" t="s">
        <v>3368</v>
      </c>
      <c r="G159" s="16" t="s">
        <v>443</v>
      </c>
      <c r="H159" s="16" t="s">
        <v>917</v>
      </c>
      <c r="I159" s="16" t="s">
        <v>444</v>
      </c>
      <c r="J159" s="16">
        <v>0</v>
      </c>
      <c r="K159" s="16">
        <v>3.1415926535898002</v>
      </c>
      <c r="L159" s="16">
        <v>20000</v>
      </c>
      <c r="M159" s="16">
        <v>0</v>
      </c>
      <c r="N159">
        <f t="array" aca="1" ref="N159" ca="1">MATCH(TRUE,EXACT(I159,OFFSET(rngParamTypes,0,6,,1)),0)</f>
        <v>178</v>
      </c>
      <c r="O159" t="str">
        <f ca="1">IF((INDEX(rngParamTypes,$N159,7)=I159),"",1)</f>
        <v/>
      </c>
      <c r="P159">
        <f ca="1">INDEX(rngParamTypes,$N159,9)</f>
        <v>0</v>
      </c>
      <c r="Q159">
        <f ca="1">INDEX(rngParamTypes,$N159,10)</f>
        <v>0</v>
      </c>
      <c r="R159">
        <f ca="1">INDEX(rngParamTypes,$N159,11)</f>
        <v>0</v>
      </c>
      <c r="S159">
        <f ca="1">INDEX(rngParamTypes,$N159,12)</f>
        <v>0</v>
      </c>
      <c r="T159">
        <f ca="1">INDEX(rngParamTypes,$N159,13)</f>
        <v>0</v>
      </c>
      <c r="U159">
        <f ca="1">INDEX(rngParamTypes,$N159,14)</f>
        <v>0</v>
      </c>
      <c r="V159">
        <f ca="1">INDEX(rngParamTypes,$N159,15)</f>
        <v>0</v>
      </c>
      <c r="W159">
        <f ca="1">INDEX(rngParamTypes,$N159,16)</f>
        <v>1</v>
      </c>
      <c r="X159">
        <f ca="1">INDEX(rngParamTypes,$N159,17)</f>
        <v>0</v>
      </c>
      <c r="Y159">
        <f ca="1">INDEX(rngParamTypes,$N159,18)</f>
        <v>0</v>
      </c>
    </row>
    <row r="160" spans="1:25" x14ac:dyDescent="0.2">
      <c r="A160" s="16">
        <v>159</v>
      </c>
      <c r="B160" s="37">
        <v>1</v>
      </c>
      <c r="C160" s="16" t="s">
        <v>919</v>
      </c>
      <c r="D160" s="16" t="s">
        <v>919</v>
      </c>
      <c r="E160" s="16">
        <v>2</v>
      </c>
      <c r="F160" s="16" t="s">
        <v>3369</v>
      </c>
      <c r="G160" s="16" t="s">
        <v>531</v>
      </c>
      <c r="H160" s="16" t="s">
        <v>919</v>
      </c>
      <c r="I160" s="16" t="s">
        <v>533</v>
      </c>
      <c r="J160" s="16">
        <v>0</v>
      </c>
      <c r="K160" s="16">
        <v>735.49900000000002</v>
      </c>
      <c r="L160" s="16">
        <v>1</v>
      </c>
      <c r="M160" s="16">
        <v>0</v>
      </c>
      <c r="N160">
        <f t="array" aca="1" ref="N160" ca="1">MATCH(TRUE,EXACT(I160,OFFSET(rngParamTypes,0,6,,1)),0)</f>
        <v>211</v>
      </c>
      <c r="O160" t="str">
        <f ca="1">IF((INDEX(rngParamTypes,$N160,7)=I160),"",1)</f>
        <v/>
      </c>
      <c r="P160">
        <f ca="1">INDEX(rngParamTypes,$N160,9)</f>
        <v>1</v>
      </c>
      <c r="Q160">
        <f ca="1">INDEX(rngParamTypes,$N160,10)</f>
        <v>2</v>
      </c>
      <c r="R160">
        <f ca="1">INDEX(rngParamTypes,$N160,11)</f>
        <v>-3</v>
      </c>
      <c r="S160">
        <f ca="1">INDEX(rngParamTypes,$N160,12)</f>
        <v>0</v>
      </c>
      <c r="T160">
        <f ca="1">INDEX(rngParamTypes,$N160,13)</f>
        <v>0</v>
      </c>
      <c r="U160">
        <f ca="1">INDEX(rngParamTypes,$N160,14)</f>
        <v>0</v>
      </c>
      <c r="V160">
        <f ca="1">INDEX(rngParamTypes,$N160,15)</f>
        <v>0</v>
      </c>
      <c r="W160">
        <f ca="1">INDEX(rngParamTypes,$N160,16)</f>
        <v>0</v>
      </c>
      <c r="X160">
        <f ca="1">INDEX(rngParamTypes,$N160,17)</f>
        <v>0</v>
      </c>
      <c r="Y160">
        <f ca="1">INDEX(rngParamTypes,$N160,18)</f>
        <v>0</v>
      </c>
    </row>
    <row r="161" spans="1:25" x14ac:dyDescent="0.2">
      <c r="A161" s="16">
        <v>160</v>
      </c>
      <c r="B161" s="37">
        <v>1</v>
      </c>
      <c r="C161" s="16" t="s">
        <v>921</v>
      </c>
      <c r="D161" s="16" t="s">
        <v>921</v>
      </c>
      <c r="E161" s="16">
        <v>2</v>
      </c>
      <c r="F161" s="16" t="s">
        <v>3370</v>
      </c>
      <c r="G161" s="16" t="s">
        <v>3267</v>
      </c>
      <c r="H161" s="16" t="s">
        <v>920</v>
      </c>
      <c r="I161" s="16" t="s">
        <v>168</v>
      </c>
      <c r="J161" s="16">
        <v>0</v>
      </c>
      <c r="K161" s="16">
        <v>2647796</v>
      </c>
      <c r="L161" s="16">
        <v>1</v>
      </c>
      <c r="M161" s="16">
        <v>0</v>
      </c>
      <c r="N161">
        <f t="array" aca="1" ref="N161" ca="1">MATCH(TRUE,EXACT(I161,OFFSET(rngParamTypes,0,6,,1)),0)</f>
        <v>56</v>
      </c>
      <c r="O161" t="str">
        <f ca="1">IF((INDEX(rngParamTypes,$N161,7)=I161),"",1)</f>
        <v/>
      </c>
      <c r="P161">
        <f ca="1">INDEX(rngParamTypes,$N161,9)</f>
        <v>1</v>
      </c>
      <c r="Q161">
        <f ca="1">INDEX(rngParamTypes,$N161,10)</f>
        <v>2</v>
      </c>
      <c r="R161">
        <f ca="1">INDEX(rngParamTypes,$N161,11)</f>
        <v>-2</v>
      </c>
      <c r="S161">
        <f ca="1">INDEX(rngParamTypes,$N161,12)</f>
        <v>0</v>
      </c>
      <c r="T161">
        <f ca="1">INDEX(rngParamTypes,$N161,13)</f>
        <v>0</v>
      </c>
      <c r="U161">
        <f ca="1">INDEX(rngParamTypes,$N161,14)</f>
        <v>0</v>
      </c>
      <c r="V161">
        <f ca="1">INDEX(rngParamTypes,$N161,15)</f>
        <v>0</v>
      </c>
      <c r="W161">
        <f ca="1">INDEX(rngParamTypes,$N161,16)</f>
        <v>0</v>
      </c>
      <c r="X161">
        <f ca="1">INDEX(rngParamTypes,$N161,17)</f>
        <v>0</v>
      </c>
      <c r="Y161">
        <f ca="1">INDEX(rngParamTypes,$N161,18)</f>
        <v>0</v>
      </c>
    </row>
    <row r="162" spans="1:25" x14ac:dyDescent="0.2">
      <c r="A162" s="16">
        <v>161</v>
      </c>
      <c r="B162" s="37">
        <v>1</v>
      </c>
      <c r="C162" s="16" t="s">
        <v>923</v>
      </c>
      <c r="D162" s="16" t="s">
        <v>923</v>
      </c>
      <c r="E162" s="16">
        <v>2</v>
      </c>
      <c r="F162" s="16" t="s">
        <v>3371</v>
      </c>
      <c r="G162" s="16" t="s">
        <v>3372</v>
      </c>
      <c r="H162" s="16" t="s">
        <v>922</v>
      </c>
      <c r="I162" s="16" t="s">
        <v>290</v>
      </c>
      <c r="J162" s="16">
        <v>0</v>
      </c>
      <c r="K162" s="16">
        <v>20.116782400000002</v>
      </c>
      <c r="L162" s="16">
        <v>1</v>
      </c>
      <c r="M162" s="16">
        <v>0</v>
      </c>
      <c r="N162">
        <f t="array" aca="1" ref="N162" ca="1">MATCH(TRUE,EXACT(I162,OFFSET(rngParamTypes,0,6,,1)),0)</f>
        <v>109</v>
      </c>
      <c r="O162" t="str">
        <f ca="1">IF((INDEX(rngParamTypes,$N162,7)=I162),"",1)</f>
        <v/>
      </c>
      <c r="P162">
        <f ca="1">INDEX(rngParamTypes,$N162,9)</f>
        <v>0</v>
      </c>
      <c r="Q162">
        <f ca="1">INDEX(rngParamTypes,$N162,10)</f>
        <v>1</v>
      </c>
      <c r="R162">
        <f ca="1">INDEX(rngParamTypes,$N162,11)</f>
        <v>0</v>
      </c>
      <c r="S162">
        <f ca="1">INDEX(rngParamTypes,$N162,12)</f>
        <v>0</v>
      </c>
      <c r="T162">
        <f ca="1">INDEX(rngParamTypes,$N162,13)</f>
        <v>0</v>
      </c>
      <c r="U162">
        <f ca="1">INDEX(rngParamTypes,$N162,14)</f>
        <v>0</v>
      </c>
      <c r="V162">
        <f ca="1">INDEX(rngParamTypes,$N162,15)</f>
        <v>0</v>
      </c>
      <c r="W162">
        <f ca="1">INDEX(rngParamTypes,$N162,16)</f>
        <v>0</v>
      </c>
      <c r="X162">
        <f ca="1">INDEX(rngParamTypes,$N162,17)</f>
        <v>0</v>
      </c>
      <c r="Y162">
        <f ca="1">INDEX(rngParamTypes,$N162,18)</f>
        <v>0</v>
      </c>
    </row>
    <row r="163" spans="1:25" x14ac:dyDescent="0.2">
      <c r="A163" s="16">
        <v>162</v>
      </c>
      <c r="B163" s="37">
        <v>1</v>
      </c>
      <c r="C163" s="16" t="s">
        <v>925</v>
      </c>
      <c r="D163" s="16" t="s">
        <v>925</v>
      </c>
      <c r="E163" s="16">
        <v>2</v>
      </c>
      <c r="F163" s="16" t="s">
        <v>3373</v>
      </c>
      <c r="G163" s="16" t="s">
        <v>3372</v>
      </c>
      <c r="H163" s="16" t="s">
        <v>924</v>
      </c>
      <c r="I163" s="16" t="s">
        <v>290</v>
      </c>
      <c r="J163" s="16">
        <v>0</v>
      </c>
      <c r="K163" s="16">
        <v>792</v>
      </c>
      <c r="L163" s="16">
        <v>39.370113000000003</v>
      </c>
      <c r="M163" s="16">
        <v>0</v>
      </c>
      <c r="N163">
        <f t="array" aca="1" ref="N163" ca="1">MATCH(TRUE,EXACT(I163,OFFSET(rngParamTypes,0,6,,1)),0)</f>
        <v>109</v>
      </c>
      <c r="O163" t="str">
        <f ca="1">IF((INDEX(rngParamTypes,$N163,7)=I163),"",1)</f>
        <v/>
      </c>
      <c r="P163">
        <f ca="1">INDEX(rngParamTypes,$N163,9)</f>
        <v>0</v>
      </c>
      <c r="Q163">
        <f ca="1">INDEX(rngParamTypes,$N163,10)</f>
        <v>1</v>
      </c>
      <c r="R163">
        <f ca="1">INDEX(rngParamTypes,$N163,11)</f>
        <v>0</v>
      </c>
      <c r="S163">
        <f ca="1">INDEX(rngParamTypes,$N163,12)</f>
        <v>0</v>
      </c>
      <c r="T163">
        <f ca="1">INDEX(rngParamTypes,$N163,13)</f>
        <v>0</v>
      </c>
      <c r="U163">
        <f ca="1">INDEX(rngParamTypes,$N163,14)</f>
        <v>0</v>
      </c>
      <c r="V163">
        <f ca="1">INDEX(rngParamTypes,$N163,15)</f>
        <v>0</v>
      </c>
      <c r="W163">
        <f ca="1">INDEX(rngParamTypes,$N163,16)</f>
        <v>0</v>
      </c>
      <c r="X163">
        <f ca="1">INDEX(rngParamTypes,$N163,17)</f>
        <v>0</v>
      </c>
      <c r="Y163">
        <f ca="1">INDEX(rngParamTypes,$N163,18)</f>
        <v>0</v>
      </c>
    </row>
    <row r="164" spans="1:25" x14ac:dyDescent="0.2">
      <c r="A164" s="16">
        <v>163</v>
      </c>
      <c r="B164" s="37">
        <v>1</v>
      </c>
      <c r="C164" s="16" t="s">
        <v>927</v>
      </c>
      <c r="D164" s="16" t="s">
        <v>927</v>
      </c>
      <c r="E164" s="16">
        <v>2</v>
      </c>
      <c r="F164" s="16" t="s">
        <v>3374</v>
      </c>
      <c r="G164" s="16" t="s">
        <v>3372</v>
      </c>
      <c r="H164" s="16" t="s">
        <v>926</v>
      </c>
      <c r="I164" s="16" t="s">
        <v>290</v>
      </c>
      <c r="J164" s="16">
        <v>0</v>
      </c>
      <c r="K164" s="16">
        <v>20.116619490000001</v>
      </c>
      <c r="L164" s="16">
        <v>1</v>
      </c>
      <c r="M164" s="16">
        <v>0</v>
      </c>
      <c r="N164">
        <f t="array" aca="1" ref="N164" ca="1">MATCH(TRUE,EXACT(I164,OFFSET(rngParamTypes,0,6,,1)),0)</f>
        <v>109</v>
      </c>
      <c r="O164" t="str">
        <f ca="1">IF((INDEX(rngParamTypes,$N164,7)=I164),"",1)</f>
        <v/>
      </c>
      <c r="P164">
        <f ca="1">INDEX(rngParamTypes,$N164,9)</f>
        <v>0</v>
      </c>
      <c r="Q164">
        <f ca="1">INDEX(rngParamTypes,$N164,10)</f>
        <v>1</v>
      </c>
      <c r="R164">
        <f ca="1">INDEX(rngParamTypes,$N164,11)</f>
        <v>0</v>
      </c>
      <c r="S164">
        <f ca="1">INDEX(rngParamTypes,$N164,12)</f>
        <v>0</v>
      </c>
      <c r="T164">
        <f ca="1">INDEX(rngParamTypes,$N164,13)</f>
        <v>0</v>
      </c>
      <c r="U164">
        <f ca="1">INDEX(rngParamTypes,$N164,14)</f>
        <v>0</v>
      </c>
      <c r="V164">
        <f ca="1">INDEX(rngParamTypes,$N164,15)</f>
        <v>0</v>
      </c>
      <c r="W164">
        <f ca="1">INDEX(rngParamTypes,$N164,16)</f>
        <v>0</v>
      </c>
      <c r="X164">
        <f ca="1">INDEX(rngParamTypes,$N164,17)</f>
        <v>0</v>
      </c>
      <c r="Y164">
        <f ca="1">INDEX(rngParamTypes,$N164,18)</f>
        <v>0</v>
      </c>
    </row>
    <row r="165" spans="1:25" x14ac:dyDescent="0.2">
      <c r="A165" s="16">
        <v>164</v>
      </c>
      <c r="B165" s="37">
        <v>1</v>
      </c>
      <c r="C165" s="16" t="s">
        <v>929</v>
      </c>
      <c r="D165" s="16" t="s">
        <v>929</v>
      </c>
      <c r="E165" s="16">
        <v>2</v>
      </c>
      <c r="F165" s="16" t="s">
        <v>3375</v>
      </c>
      <c r="G165" s="16" t="s">
        <v>3372</v>
      </c>
      <c r="H165" s="16" t="s">
        <v>928</v>
      </c>
      <c r="I165" s="16" t="s">
        <v>290</v>
      </c>
      <c r="J165" s="16">
        <v>0</v>
      </c>
      <c r="K165" s="16">
        <v>792</v>
      </c>
      <c r="L165" s="16">
        <v>39.370147000000003</v>
      </c>
      <c r="M165" s="16">
        <v>0</v>
      </c>
      <c r="N165">
        <f t="array" aca="1" ref="N165" ca="1">MATCH(TRUE,EXACT(I165,OFFSET(rngParamTypes,0,6,,1)),0)</f>
        <v>109</v>
      </c>
      <c r="O165" t="str">
        <f ca="1">IF((INDEX(rngParamTypes,$N165,7)=I165),"",1)</f>
        <v/>
      </c>
      <c r="P165">
        <f ca="1">INDEX(rngParamTypes,$N165,9)</f>
        <v>0</v>
      </c>
      <c r="Q165">
        <f ca="1">INDEX(rngParamTypes,$N165,10)</f>
        <v>1</v>
      </c>
      <c r="R165">
        <f ca="1">INDEX(rngParamTypes,$N165,11)</f>
        <v>0</v>
      </c>
      <c r="S165">
        <f ca="1">INDEX(rngParamTypes,$N165,12)</f>
        <v>0</v>
      </c>
      <c r="T165">
        <f ca="1">INDEX(rngParamTypes,$N165,13)</f>
        <v>0</v>
      </c>
      <c r="U165">
        <f ca="1">INDEX(rngParamTypes,$N165,14)</f>
        <v>0</v>
      </c>
      <c r="V165">
        <f ca="1">INDEX(rngParamTypes,$N165,15)</f>
        <v>0</v>
      </c>
      <c r="W165">
        <f ca="1">INDEX(rngParamTypes,$N165,16)</f>
        <v>0</v>
      </c>
      <c r="X165">
        <f ca="1">INDEX(rngParamTypes,$N165,17)</f>
        <v>0</v>
      </c>
      <c r="Y165">
        <f ca="1">INDEX(rngParamTypes,$N165,18)</f>
        <v>0</v>
      </c>
    </row>
    <row r="166" spans="1:25" x14ac:dyDescent="0.2">
      <c r="A166" s="16">
        <v>165</v>
      </c>
      <c r="B166" s="37">
        <v>1</v>
      </c>
      <c r="C166" s="16" t="s">
        <v>931</v>
      </c>
      <c r="D166" s="16" t="s">
        <v>931</v>
      </c>
      <c r="E166" s="16">
        <v>2</v>
      </c>
      <c r="F166" s="16" t="s">
        <v>3376</v>
      </c>
      <c r="G166" s="16" t="s">
        <v>3267</v>
      </c>
      <c r="H166" s="16" t="s">
        <v>930</v>
      </c>
      <c r="I166" s="16" t="s">
        <v>168</v>
      </c>
      <c r="J166" s="16">
        <v>0</v>
      </c>
      <c r="K166" s="16">
        <v>1899.1010000000001</v>
      </c>
      <c r="L166" s="16">
        <v>1</v>
      </c>
      <c r="M166" s="16">
        <v>0</v>
      </c>
      <c r="N166">
        <f t="array" aca="1" ref="N166" ca="1">MATCH(TRUE,EXACT(I166,OFFSET(rngParamTypes,0,6,,1)),0)</f>
        <v>56</v>
      </c>
      <c r="O166" t="str">
        <f ca="1">IF((INDEX(rngParamTypes,$N166,7)=I166),"",1)</f>
        <v/>
      </c>
      <c r="P166">
        <f ca="1">INDEX(rngParamTypes,$N166,9)</f>
        <v>1</v>
      </c>
      <c r="Q166">
        <f ca="1">INDEX(rngParamTypes,$N166,10)</f>
        <v>2</v>
      </c>
      <c r="R166">
        <f ca="1">INDEX(rngParamTypes,$N166,11)</f>
        <v>-2</v>
      </c>
      <c r="S166">
        <f ca="1">INDEX(rngParamTypes,$N166,12)</f>
        <v>0</v>
      </c>
      <c r="T166">
        <f ca="1">INDEX(rngParamTypes,$N166,13)</f>
        <v>0</v>
      </c>
      <c r="U166">
        <f ca="1">INDEX(rngParamTypes,$N166,14)</f>
        <v>0</v>
      </c>
      <c r="V166">
        <f ca="1">INDEX(rngParamTypes,$N166,15)</f>
        <v>0</v>
      </c>
      <c r="W166">
        <f ca="1">INDEX(rngParamTypes,$N166,16)</f>
        <v>0</v>
      </c>
      <c r="X166">
        <f ca="1">INDEX(rngParamTypes,$N166,17)</f>
        <v>0</v>
      </c>
      <c r="Y166">
        <f ca="1">INDEX(rngParamTypes,$N166,18)</f>
        <v>0</v>
      </c>
    </row>
    <row r="167" spans="1:25" x14ac:dyDescent="0.2">
      <c r="A167" s="16">
        <v>166</v>
      </c>
      <c r="B167" s="37">
        <v>1</v>
      </c>
      <c r="C167" s="16" t="s">
        <v>933</v>
      </c>
      <c r="D167" s="16" t="s">
        <v>933</v>
      </c>
      <c r="E167" s="16">
        <v>2</v>
      </c>
      <c r="F167" s="16" t="s">
        <v>3377</v>
      </c>
      <c r="G167" s="16" t="s">
        <v>3372</v>
      </c>
      <c r="H167" s="16" t="s">
        <v>932</v>
      </c>
      <c r="I167" s="16" t="s">
        <v>290</v>
      </c>
      <c r="J167" s="16">
        <v>0</v>
      </c>
      <c r="K167" s="16">
        <v>792</v>
      </c>
      <c r="L167" s="16">
        <v>39.369999999999997</v>
      </c>
      <c r="M167" s="16">
        <v>0</v>
      </c>
      <c r="N167">
        <f t="array" aca="1" ref="N167" ca="1">MATCH(TRUE,EXACT(I167,OFFSET(rngParamTypes,0,6,,1)),0)</f>
        <v>109</v>
      </c>
      <c r="O167" t="str">
        <f ca="1">IF((INDEX(rngParamTypes,$N167,7)=I167),"",1)</f>
        <v/>
      </c>
      <c r="P167">
        <f ca="1">INDEX(rngParamTypes,$N167,9)</f>
        <v>0</v>
      </c>
      <c r="Q167">
        <f ca="1">INDEX(rngParamTypes,$N167,10)</f>
        <v>1</v>
      </c>
      <c r="R167">
        <f ca="1">INDEX(rngParamTypes,$N167,11)</f>
        <v>0</v>
      </c>
      <c r="S167">
        <f ca="1">INDEX(rngParamTypes,$N167,12)</f>
        <v>0</v>
      </c>
      <c r="T167">
        <f ca="1">INDEX(rngParamTypes,$N167,13)</f>
        <v>0</v>
      </c>
      <c r="U167">
        <f ca="1">INDEX(rngParamTypes,$N167,14)</f>
        <v>0</v>
      </c>
      <c r="V167">
        <f ca="1">INDEX(rngParamTypes,$N167,15)</f>
        <v>0</v>
      </c>
      <c r="W167">
        <f ca="1">INDEX(rngParamTypes,$N167,16)</f>
        <v>0</v>
      </c>
      <c r="X167">
        <f ca="1">INDEX(rngParamTypes,$N167,17)</f>
        <v>0</v>
      </c>
      <c r="Y167">
        <f ca="1">INDEX(rngParamTypes,$N167,18)</f>
        <v>0</v>
      </c>
    </row>
    <row r="168" spans="1:25" x14ac:dyDescent="0.2">
      <c r="A168" s="16">
        <v>167</v>
      </c>
      <c r="B168" s="37">
        <v>1</v>
      </c>
      <c r="C168" s="16" t="s">
        <v>935</v>
      </c>
      <c r="D168" s="16" t="s">
        <v>935</v>
      </c>
      <c r="E168" s="16"/>
      <c r="F168" s="16" t="s">
        <v>3378</v>
      </c>
      <c r="G168" s="16" t="s">
        <v>80</v>
      </c>
      <c r="H168" s="16" t="s">
        <v>934</v>
      </c>
      <c r="I168" s="16" t="s">
        <v>81</v>
      </c>
      <c r="J168" s="16">
        <v>0</v>
      </c>
      <c r="K168" s="16">
        <v>37000000000</v>
      </c>
      <c r="L168" s="16">
        <v>1</v>
      </c>
      <c r="M168" s="16">
        <v>0</v>
      </c>
      <c r="N168">
        <f t="array" aca="1" ref="N168" ca="1">MATCH(TRUE,EXACT(I168,OFFSET(rngParamTypes,0,6,,1)),0)</f>
        <v>27</v>
      </c>
      <c r="O168" t="str">
        <f ca="1">IF((INDEX(rngParamTypes,$N168,7)=I168),"",1)</f>
        <v/>
      </c>
      <c r="P168">
        <f ca="1">INDEX(rngParamTypes,$N168,9)</f>
        <v>0</v>
      </c>
      <c r="Q168">
        <f ca="1">INDEX(rngParamTypes,$N168,10)</f>
        <v>0</v>
      </c>
      <c r="R168">
        <f ca="1">INDEX(rngParamTypes,$N168,11)</f>
        <v>-1</v>
      </c>
      <c r="S168">
        <f ca="1">INDEX(rngParamTypes,$N168,12)</f>
        <v>0</v>
      </c>
      <c r="T168">
        <f ca="1">INDEX(rngParamTypes,$N168,13)</f>
        <v>0</v>
      </c>
      <c r="U168">
        <f ca="1">INDEX(rngParamTypes,$N168,14)</f>
        <v>0</v>
      </c>
      <c r="V168">
        <f ca="1">INDEX(rngParamTypes,$N168,15)</f>
        <v>0</v>
      </c>
      <c r="W168">
        <f ca="1">INDEX(rngParamTypes,$N168,16)</f>
        <v>0</v>
      </c>
      <c r="X168">
        <f ca="1">INDEX(rngParamTypes,$N168,17)</f>
        <v>0</v>
      </c>
      <c r="Y168">
        <f ca="1">INDEX(rngParamTypes,$N168,18)</f>
        <v>0</v>
      </c>
    </row>
    <row r="169" spans="1:25" x14ac:dyDescent="0.2">
      <c r="A169" s="16">
        <v>168</v>
      </c>
      <c r="B169" s="37">
        <v>1</v>
      </c>
      <c r="C169" s="16" t="s">
        <v>937</v>
      </c>
      <c r="D169" s="16" t="s">
        <v>937</v>
      </c>
      <c r="E169" s="16">
        <v>2</v>
      </c>
      <c r="F169" s="16" t="s">
        <v>3379</v>
      </c>
      <c r="G169" s="16" t="s">
        <v>3380</v>
      </c>
      <c r="H169" s="16" t="s">
        <v>936</v>
      </c>
      <c r="I169" s="16" t="s">
        <v>290</v>
      </c>
      <c r="J169" s="16">
        <v>0</v>
      </c>
      <c r="K169" s="16">
        <v>0.01</v>
      </c>
      <c r="L169" s="16">
        <v>1</v>
      </c>
      <c r="M169" s="16">
        <v>0</v>
      </c>
      <c r="N169">
        <f t="array" aca="1" ref="N169" ca="1">MATCH(TRUE,EXACT(I169,OFFSET(rngParamTypes,0,6,,1)),0)</f>
        <v>109</v>
      </c>
      <c r="O169" t="str">
        <f ca="1">IF((INDEX(rngParamTypes,$N169,7)=I169),"",1)</f>
        <v/>
      </c>
      <c r="P169">
        <f ca="1">INDEX(rngParamTypes,$N169,9)</f>
        <v>0</v>
      </c>
      <c r="Q169">
        <f ca="1">INDEX(rngParamTypes,$N169,10)</f>
        <v>1</v>
      </c>
      <c r="R169">
        <f ca="1">INDEX(rngParamTypes,$N169,11)</f>
        <v>0</v>
      </c>
      <c r="S169">
        <f ca="1">INDEX(rngParamTypes,$N169,12)</f>
        <v>0</v>
      </c>
      <c r="T169">
        <f ca="1">INDEX(rngParamTypes,$N169,13)</f>
        <v>0</v>
      </c>
      <c r="U169">
        <f ca="1">INDEX(rngParamTypes,$N169,14)</f>
        <v>0</v>
      </c>
      <c r="V169">
        <f ca="1">INDEX(rngParamTypes,$N169,15)</f>
        <v>0</v>
      </c>
      <c r="W169">
        <f ca="1">INDEX(rngParamTypes,$N169,16)</f>
        <v>0</v>
      </c>
      <c r="X169">
        <f ca="1">INDEX(rngParamTypes,$N169,17)</f>
        <v>0</v>
      </c>
      <c r="Y169">
        <f ca="1">INDEX(rngParamTypes,$N169,18)</f>
        <v>0</v>
      </c>
    </row>
    <row r="170" spans="1:25" x14ac:dyDescent="0.2">
      <c r="A170" s="16">
        <v>169</v>
      </c>
      <c r="B170" s="37">
        <v>1</v>
      </c>
      <c r="C170" s="16" t="s">
        <v>939</v>
      </c>
      <c r="D170" s="16" t="s">
        <v>939</v>
      </c>
      <c r="E170" s="16">
        <v>2</v>
      </c>
      <c r="F170" s="16" t="s">
        <v>3381</v>
      </c>
      <c r="G170" s="16" t="s">
        <v>296</v>
      </c>
      <c r="H170" s="16" t="s">
        <v>938</v>
      </c>
      <c r="I170" s="16" t="s">
        <v>297</v>
      </c>
      <c r="J170" s="16">
        <v>0</v>
      </c>
      <c r="K170" s="16">
        <v>0.01</v>
      </c>
      <c r="L170" s="16">
        <v>31558150</v>
      </c>
      <c r="M170" s="16">
        <v>0</v>
      </c>
      <c r="N170">
        <f t="array" aca="1" ref="N170" ca="1">MATCH(TRUE,EXACT(I170,OFFSET(rngParamTypes,0,6,,1)),0)</f>
        <v>123</v>
      </c>
      <c r="O170" t="str">
        <f ca="1">IF((INDEX(rngParamTypes,$N170,7)=I170),"",1)</f>
        <v/>
      </c>
      <c r="P170">
        <f ca="1">INDEX(rngParamTypes,$N170,9)</f>
        <v>0</v>
      </c>
      <c r="Q170">
        <f ca="1">INDEX(rngParamTypes,$N170,10)</f>
        <v>1</v>
      </c>
      <c r="R170">
        <f ca="1">INDEX(rngParamTypes,$N170,11)</f>
        <v>-1</v>
      </c>
      <c r="S170">
        <f ca="1">INDEX(rngParamTypes,$N170,12)</f>
        <v>0</v>
      </c>
      <c r="T170">
        <f ca="1">INDEX(rngParamTypes,$N170,13)</f>
        <v>0</v>
      </c>
      <c r="U170">
        <f ca="1">INDEX(rngParamTypes,$N170,14)</f>
        <v>0</v>
      </c>
      <c r="V170">
        <f ca="1">INDEX(rngParamTypes,$N170,15)</f>
        <v>0</v>
      </c>
      <c r="W170">
        <f ca="1">INDEX(rngParamTypes,$N170,16)</f>
        <v>0</v>
      </c>
      <c r="X170">
        <f ca="1">INDEX(rngParamTypes,$N170,17)</f>
        <v>0</v>
      </c>
      <c r="Y170">
        <f ca="1">INDEX(rngParamTypes,$N170,18)</f>
        <v>0</v>
      </c>
    </row>
    <row r="171" spans="1:25" x14ac:dyDescent="0.2">
      <c r="A171" s="16">
        <v>170</v>
      </c>
      <c r="B171" s="37">
        <v>1</v>
      </c>
      <c r="C171" s="16" t="s">
        <v>941</v>
      </c>
      <c r="D171" s="16" t="s">
        <v>941</v>
      </c>
      <c r="E171" s="16">
        <v>2</v>
      </c>
      <c r="F171" s="16" t="s">
        <v>3382</v>
      </c>
      <c r="G171" s="16" t="s">
        <v>296</v>
      </c>
      <c r="H171" s="16" t="s">
        <v>940</v>
      </c>
      <c r="I171" s="16" t="s">
        <v>297</v>
      </c>
      <c r="J171" s="16">
        <v>0</v>
      </c>
      <c r="K171" s="16">
        <v>0.01</v>
      </c>
      <c r="L171" s="16">
        <v>1</v>
      </c>
      <c r="M171" s="16">
        <v>0</v>
      </c>
      <c r="N171">
        <f t="array" aca="1" ref="N171" ca="1">MATCH(TRUE,EXACT(I171,OFFSET(rngParamTypes,0,6,,1)),0)</f>
        <v>123</v>
      </c>
      <c r="O171" t="str">
        <f ca="1">IF((INDEX(rngParamTypes,$N171,7)=I171),"",1)</f>
        <v/>
      </c>
      <c r="P171">
        <f ca="1">INDEX(rngParamTypes,$N171,9)</f>
        <v>0</v>
      </c>
      <c r="Q171">
        <f ca="1">INDEX(rngParamTypes,$N171,10)</f>
        <v>1</v>
      </c>
      <c r="R171">
        <f ca="1">INDEX(rngParamTypes,$N171,11)</f>
        <v>-1</v>
      </c>
      <c r="S171">
        <f ca="1">INDEX(rngParamTypes,$N171,12)</f>
        <v>0</v>
      </c>
      <c r="T171">
        <f ca="1">INDEX(rngParamTypes,$N171,13)</f>
        <v>0</v>
      </c>
      <c r="U171">
        <f ca="1">INDEX(rngParamTypes,$N171,14)</f>
        <v>0</v>
      </c>
      <c r="V171">
        <f ca="1">INDEX(rngParamTypes,$N171,15)</f>
        <v>0</v>
      </c>
      <c r="W171">
        <f ca="1">INDEX(rngParamTypes,$N171,16)</f>
        <v>0</v>
      </c>
      <c r="X171">
        <f ca="1">INDEX(rngParamTypes,$N171,17)</f>
        <v>0</v>
      </c>
      <c r="Y171">
        <f ca="1">INDEX(rngParamTypes,$N171,18)</f>
        <v>0</v>
      </c>
    </row>
    <row r="172" spans="1:25" x14ac:dyDescent="0.2">
      <c r="A172" s="16">
        <v>171</v>
      </c>
      <c r="B172" s="37">
        <v>1</v>
      </c>
      <c r="C172" s="16" t="s">
        <v>943</v>
      </c>
      <c r="D172" s="16" t="s">
        <v>943</v>
      </c>
      <c r="E172" s="16">
        <v>2</v>
      </c>
      <c r="F172" s="16" t="s">
        <v>3383</v>
      </c>
      <c r="G172" s="16" t="s">
        <v>299</v>
      </c>
      <c r="H172" s="16" t="s">
        <v>942</v>
      </c>
      <c r="I172" s="16" t="s">
        <v>300</v>
      </c>
      <c r="J172" s="16">
        <v>0</v>
      </c>
      <c r="K172" s="16">
        <v>0.01</v>
      </c>
      <c r="L172" s="16">
        <v>1</v>
      </c>
      <c r="M172" s="16">
        <v>0</v>
      </c>
      <c r="N172">
        <f t="array" aca="1" ref="N172" ca="1">MATCH(TRUE,EXACT(I172,OFFSET(rngParamTypes,0,6,,1)),0)</f>
        <v>124</v>
      </c>
      <c r="O172" t="str">
        <f ca="1">IF((INDEX(rngParamTypes,$N172,7)=I172),"",1)</f>
        <v/>
      </c>
      <c r="P172">
        <f ca="1">INDEX(rngParamTypes,$N172,9)</f>
        <v>0</v>
      </c>
      <c r="Q172">
        <f ca="1">INDEX(rngParamTypes,$N172,10)</f>
        <v>1</v>
      </c>
      <c r="R172">
        <f ca="1">INDEX(rngParamTypes,$N172,11)</f>
        <v>-2</v>
      </c>
      <c r="S172">
        <f ca="1">INDEX(rngParamTypes,$N172,12)</f>
        <v>0</v>
      </c>
      <c r="T172">
        <f ca="1">INDEX(rngParamTypes,$N172,13)</f>
        <v>0</v>
      </c>
      <c r="U172">
        <f ca="1">INDEX(rngParamTypes,$N172,14)</f>
        <v>0</v>
      </c>
      <c r="V172">
        <f ca="1">INDEX(rngParamTypes,$N172,15)</f>
        <v>0</v>
      </c>
      <c r="W172">
        <f ca="1">INDEX(rngParamTypes,$N172,16)</f>
        <v>0</v>
      </c>
      <c r="X172">
        <f ca="1">INDEX(rngParamTypes,$N172,17)</f>
        <v>0</v>
      </c>
      <c r="Y172">
        <f ca="1">INDEX(rngParamTypes,$N172,18)</f>
        <v>0</v>
      </c>
    </row>
    <row r="173" spans="1:25" x14ac:dyDescent="0.2">
      <c r="A173" s="16">
        <v>172</v>
      </c>
      <c r="B173" s="37">
        <v>1</v>
      </c>
      <c r="C173" s="16" t="s">
        <v>945</v>
      </c>
      <c r="D173" s="16" t="s">
        <v>945</v>
      </c>
      <c r="E173" s="16">
        <v>2</v>
      </c>
      <c r="F173" s="16" t="s">
        <v>3384</v>
      </c>
      <c r="G173" s="16" t="s">
        <v>302</v>
      </c>
      <c r="H173" s="16" t="s">
        <v>944</v>
      </c>
      <c r="I173" s="16" t="s">
        <v>303</v>
      </c>
      <c r="J173" s="16">
        <v>0</v>
      </c>
      <c r="K173" s="16">
        <v>1E-4</v>
      </c>
      <c r="L173" s="16">
        <v>1</v>
      </c>
      <c r="M173" s="16">
        <v>0</v>
      </c>
      <c r="N173">
        <f t="array" aca="1" ref="N173" ca="1">MATCH(TRUE,EXACT(I173,OFFSET(rngParamTypes,0,6,,1)),0)</f>
        <v>125</v>
      </c>
      <c r="O173" t="str">
        <f ca="1">IF((INDEX(rngParamTypes,$N173,7)=I173),"",1)</f>
        <v/>
      </c>
      <c r="P173">
        <f ca="1">INDEX(rngParamTypes,$N173,9)</f>
        <v>0</v>
      </c>
      <c r="Q173">
        <f ca="1">INDEX(rngParamTypes,$N173,10)</f>
        <v>2</v>
      </c>
      <c r="R173">
        <f ca="1">INDEX(rngParamTypes,$N173,11)</f>
        <v>0</v>
      </c>
      <c r="S173">
        <f ca="1">INDEX(rngParamTypes,$N173,12)</f>
        <v>0</v>
      </c>
      <c r="T173">
        <f ca="1">INDEX(rngParamTypes,$N173,13)</f>
        <v>0</v>
      </c>
      <c r="U173">
        <f ca="1">INDEX(rngParamTypes,$N173,14)</f>
        <v>0</v>
      </c>
      <c r="V173">
        <f ca="1">INDEX(rngParamTypes,$N173,15)</f>
        <v>0</v>
      </c>
      <c r="W173">
        <f ca="1">INDEX(rngParamTypes,$N173,16)</f>
        <v>0</v>
      </c>
      <c r="X173">
        <f ca="1">INDEX(rngParamTypes,$N173,17)</f>
        <v>0</v>
      </c>
      <c r="Y173">
        <f ca="1">INDEX(rngParamTypes,$N173,18)</f>
        <v>0</v>
      </c>
    </row>
    <row r="174" spans="1:25" x14ac:dyDescent="0.2">
      <c r="A174" s="16">
        <v>173</v>
      </c>
      <c r="B174" s="37">
        <v>1</v>
      </c>
      <c r="C174" s="16" t="s">
        <v>947</v>
      </c>
      <c r="D174" s="16" t="s">
        <v>947</v>
      </c>
      <c r="E174" s="16"/>
      <c r="F174" s="16" t="s">
        <v>3385</v>
      </c>
      <c r="G174" s="16" t="s">
        <v>305</v>
      </c>
      <c r="H174" s="16" t="s">
        <v>946</v>
      </c>
      <c r="I174" s="16" t="s">
        <v>306</v>
      </c>
      <c r="J174" s="16">
        <v>0</v>
      </c>
      <c r="K174" s="16">
        <v>0.1</v>
      </c>
      <c r="L174" s="16">
        <v>1</v>
      </c>
      <c r="M174" s="16">
        <v>0</v>
      </c>
      <c r="N174">
        <f t="array" aca="1" ref="N174" ca="1">MATCH(TRUE,EXACT(I174,OFFSET(rngParamTypes,0,6,,1)),0)</f>
        <v>126</v>
      </c>
      <c r="O174" t="str">
        <f ca="1">IF((INDEX(rngParamTypes,$N174,7)=I174),"",1)</f>
        <v/>
      </c>
      <c r="P174">
        <f ca="1">INDEX(rngParamTypes,$N174,9)</f>
        <v>-1</v>
      </c>
      <c r="Q174">
        <f ca="1">INDEX(rngParamTypes,$N174,10)</f>
        <v>2</v>
      </c>
      <c r="R174">
        <f ca="1">INDEX(rngParamTypes,$N174,11)</f>
        <v>0</v>
      </c>
      <c r="S174">
        <f ca="1">INDEX(rngParamTypes,$N174,12)</f>
        <v>0</v>
      </c>
      <c r="T174">
        <f ca="1">INDEX(rngParamTypes,$N174,13)</f>
        <v>0</v>
      </c>
      <c r="U174">
        <f ca="1">INDEX(rngParamTypes,$N174,14)</f>
        <v>0</v>
      </c>
      <c r="V174">
        <f ca="1">INDEX(rngParamTypes,$N174,15)</f>
        <v>0</v>
      </c>
      <c r="W174">
        <f ca="1">INDEX(rngParamTypes,$N174,16)</f>
        <v>0</v>
      </c>
      <c r="X174">
        <f ca="1">INDEX(rngParamTypes,$N174,17)</f>
        <v>0</v>
      </c>
      <c r="Y174">
        <f ca="1">INDEX(rngParamTypes,$N174,18)</f>
        <v>0</v>
      </c>
    </row>
    <row r="175" spans="1:25" x14ac:dyDescent="0.2">
      <c r="A175" s="16">
        <v>174</v>
      </c>
      <c r="B175" s="37">
        <v>1</v>
      </c>
      <c r="C175" s="16" t="s">
        <v>949</v>
      </c>
      <c r="D175" s="16" t="s">
        <v>949</v>
      </c>
      <c r="E175" s="16">
        <v>2</v>
      </c>
      <c r="F175" s="16" t="s">
        <v>3386</v>
      </c>
      <c r="G175" s="16" t="s">
        <v>3387</v>
      </c>
      <c r="H175" s="16" t="s">
        <v>948</v>
      </c>
      <c r="I175" s="16" t="s">
        <v>319</v>
      </c>
      <c r="J175" s="16">
        <v>0</v>
      </c>
      <c r="K175" s="16">
        <v>1E-4</v>
      </c>
      <c r="L175" s="16">
        <v>1</v>
      </c>
      <c r="M175" s="16">
        <v>0</v>
      </c>
      <c r="N175">
        <f t="array" aca="1" ref="N175" ca="1">MATCH(TRUE,EXACT(I175,OFFSET(rngParamTypes,0,6,,1)),0)</f>
        <v>130</v>
      </c>
      <c r="O175" t="str">
        <f ca="1">IF((INDEX(rngParamTypes,$N175,7)=I175),"",1)</f>
        <v/>
      </c>
      <c r="P175">
        <f ca="1">INDEX(rngParamTypes,$N175,9)</f>
        <v>0</v>
      </c>
      <c r="Q175">
        <f ca="1">INDEX(rngParamTypes,$N175,10)</f>
        <v>2</v>
      </c>
      <c r="R175">
        <f ca="1">INDEX(rngParamTypes,$N175,11)</f>
        <v>-1</v>
      </c>
      <c r="S175">
        <f ca="1">INDEX(rngParamTypes,$N175,12)</f>
        <v>0</v>
      </c>
      <c r="T175">
        <f ca="1">INDEX(rngParamTypes,$N175,13)</f>
        <v>0</v>
      </c>
      <c r="U175">
        <f ca="1">INDEX(rngParamTypes,$N175,14)</f>
        <v>0</v>
      </c>
      <c r="V175">
        <f ca="1">INDEX(rngParamTypes,$N175,15)</f>
        <v>0</v>
      </c>
      <c r="W175">
        <f ca="1">INDEX(rngParamTypes,$N175,16)</f>
        <v>0</v>
      </c>
      <c r="X175">
        <f ca="1">INDEX(rngParamTypes,$N175,17)</f>
        <v>0</v>
      </c>
      <c r="Y175">
        <f ca="1">INDEX(rngParamTypes,$N175,18)</f>
        <v>0</v>
      </c>
    </row>
    <row r="176" spans="1:25" x14ac:dyDescent="0.2">
      <c r="A176" s="16">
        <v>175</v>
      </c>
      <c r="B176" s="37">
        <v>1</v>
      </c>
      <c r="C176" s="16" t="s">
        <v>951</v>
      </c>
      <c r="D176" s="16" t="s">
        <v>951</v>
      </c>
      <c r="E176" s="16">
        <v>2</v>
      </c>
      <c r="F176" s="16" t="s">
        <v>3388</v>
      </c>
      <c r="G176" s="16" t="s">
        <v>321</v>
      </c>
      <c r="H176" s="16" t="s">
        <v>950</v>
      </c>
      <c r="I176" s="16" t="s">
        <v>322</v>
      </c>
      <c r="J176" s="16">
        <v>0</v>
      </c>
      <c r="K176" s="16">
        <v>9.9999999999999995E-7</v>
      </c>
      <c r="L176" s="16">
        <v>1</v>
      </c>
      <c r="M176" s="16">
        <v>0</v>
      </c>
      <c r="N176">
        <f t="array" aca="1" ref="N176" ca="1">MATCH(TRUE,EXACT(I176,OFFSET(rngParamTypes,0,6,,1)),0)</f>
        <v>134</v>
      </c>
      <c r="O176" t="str">
        <f ca="1">IF((INDEX(rngParamTypes,$N176,7)=I176),"",1)</f>
        <v/>
      </c>
      <c r="P176">
        <f ca="1">INDEX(rngParamTypes,$N176,9)</f>
        <v>0</v>
      </c>
      <c r="Q176">
        <f ca="1">INDEX(rngParamTypes,$N176,10)</f>
        <v>3</v>
      </c>
      <c r="R176">
        <f ca="1">INDEX(rngParamTypes,$N176,11)</f>
        <v>0</v>
      </c>
      <c r="S176">
        <f ca="1">INDEX(rngParamTypes,$N176,12)</f>
        <v>0</v>
      </c>
      <c r="T176">
        <f ca="1">INDEX(rngParamTypes,$N176,13)</f>
        <v>0</v>
      </c>
      <c r="U176">
        <f ca="1">INDEX(rngParamTypes,$N176,14)</f>
        <v>0</v>
      </c>
      <c r="V176">
        <f ca="1">INDEX(rngParamTypes,$N176,15)</f>
        <v>0</v>
      </c>
      <c r="W176">
        <f ca="1">INDEX(rngParamTypes,$N176,16)</f>
        <v>0</v>
      </c>
      <c r="X176">
        <f ca="1">INDEX(rngParamTypes,$N176,17)</f>
        <v>0</v>
      </c>
      <c r="Y176">
        <f ca="1">INDEX(rngParamTypes,$N176,18)</f>
        <v>0</v>
      </c>
    </row>
    <row r="177" spans="1:25" x14ac:dyDescent="0.2">
      <c r="A177" s="16">
        <v>176</v>
      </c>
      <c r="B177" s="37">
        <v>1</v>
      </c>
      <c r="C177" s="16" t="s">
        <v>953</v>
      </c>
      <c r="D177" s="16" t="s">
        <v>953</v>
      </c>
      <c r="E177" s="16">
        <v>2</v>
      </c>
      <c r="F177" s="16" t="s">
        <v>4261</v>
      </c>
      <c r="G177" s="16" t="s">
        <v>343</v>
      </c>
      <c r="H177" s="16" t="s">
        <v>952</v>
      </c>
      <c r="I177" s="16" t="s">
        <v>344</v>
      </c>
      <c r="J177" s="16">
        <v>0</v>
      </c>
      <c r="K177" s="16">
        <v>9.9999999999999995E-7</v>
      </c>
      <c r="L177" s="16">
        <v>1800</v>
      </c>
      <c r="M177" s="16">
        <v>0</v>
      </c>
      <c r="N177">
        <f t="array" aca="1" ref="N177" ca="1">MATCH(TRUE,EXACT(I177,OFFSET(rngParamTypes,0,6,,1)),0)</f>
        <v>141</v>
      </c>
      <c r="O177" t="str">
        <f ca="1">IF((INDEX(rngParamTypes,$N177,7)=I177),"",1)</f>
        <v/>
      </c>
      <c r="P177">
        <f ca="1">INDEX(rngParamTypes,$N177,9)</f>
        <v>0</v>
      </c>
      <c r="Q177">
        <f ca="1">INDEX(rngParamTypes,$N177,10)</f>
        <v>3</v>
      </c>
      <c r="R177">
        <f ca="1">INDEX(rngParamTypes,$N177,11)</f>
        <v>-1</v>
      </c>
      <c r="S177">
        <f ca="1">INDEX(rngParamTypes,$N177,12)</f>
        <v>0</v>
      </c>
      <c r="T177">
        <f ca="1">INDEX(rngParamTypes,$N177,13)</f>
        <v>0</v>
      </c>
      <c r="U177">
        <f ca="1">INDEX(rngParamTypes,$N177,14)</f>
        <v>0</v>
      </c>
      <c r="V177">
        <f ca="1">INDEX(rngParamTypes,$N177,15)</f>
        <v>0</v>
      </c>
      <c r="W177">
        <f ca="1">INDEX(rngParamTypes,$N177,16)</f>
        <v>0</v>
      </c>
      <c r="X177">
        <f ca="1">INDEX(rngParamTypes,$N177,17)</f>
        <v>0</v>
      </c>
      <c r="Y177">
        <f ca="1">INDEX(rngParamTypes,$N177,18)</f>
        <v>0</v>
      </c>
    </row>
    <row r="178" spans="1:25" x14ac:dyDescent="0.2">
      <c r="A178" s="16">
        <v>177</v>
      </c>
      <c r="B178" s="37">
        <v>1</v>
      </c>
      <c r="C178" s="16" t="s">
        <v>955</v>
      </c>
      <c r="D178" s="16" t="s">
        <v>955</v>
      </c>
      <c r="E178" s="16"/>
      <c r="F178" s="16" t="s">
        <v>3389</v>
      </c>
      <c r="G178" s="16" t="s">
        <v>659</v>
      </c>
      <c r="H178" s="16" t="s">
        <v>954</v>
      </c>
      <c r="I178" s="16" t="s">
        <v>131</v>
      </c>
      <c r="J178" s="16">
        <v>0</v>
      </c>
      <c r="K178" s="16">
        <v>1</v>
      </c>
      <c r="L178" s="16">
        <v>1</v>
      </c>
      <c r="M178" s="16">
        <v>0</v>
      </c>
      <c r="N178">
        <f t="array" aca="1" ref="N178" ca="1">MATCH(TRUE,EXACT(I178,OFFSET(rngParamTypes,0,6,,1)),0)</f>
        <v>42</v>
      </c>
      <c r="O178" t="str">
        <f ca="1">IF((INDEX(rngParamTypes,$N178,7)=I178),"",1)</f>
        <v/>
      </c>
      <c r="P178">
        <f ca="1">INDEX(rngParamTypes,$N178,9)</f>
        <v>0</v>
      </c>
      <c r="Q178">
        <f ca="1">INDEX(rngParamTypes,$N178,10)</f>
        <v>0</v>
      </c>
      <c r="R178">
        <f ca="1">INDEX(rngParamTypes,$N178,11)</f>
        <v>0</v>
      </c>
      <c r="S178">
        <f ca="1">INDEX(rngParamTypes,$N178,12)</f>
        <v>0</v>
      </c>
      <c r="T178">
        <f ca="1">INDEX(rngParamTypes,$N178,13)</f>
        <v>0</v>
      </c>
      <c r="U178">
        <f ca="1">INDEX(rngParamTypes,$N178,14)</f>
        <v>0</v>
      </c>
      <c r="V178">
        <f ca="1">INDEX(rngParamTypes,$N178,15)</f>
        <v>0</v>
      </c>
      <c r="W178">
        <f ca="1">INDEX(rngParamTypes,$N178,16)</f>
        <v>0</v>
      </c>
      <c r="X178">
        <f ca="1">INDEX(rngParamTypes,$N178,17)</f>
        <v>0</v>
      </c>
      <c r="Y178">
        <f ca="1">INDEX(rngParamTypes,$N178,18)</f>
        <v>0</v>
      </c>
    </row>
    <row r="179" spans="1:25" x14ac:dyDescent="0.2">
      <c r="A179" s="16">
        <v>178</v>
      </c>
      <c r="B179" s="37">
        <v>1</v>
      </c>
      <c r="C179" s="16" t="s">
        <v>957</v>
      </c>
      <c r="D179" s="16" t="s">
        <v>957</v>
      </c>
      <c r="E179" s="16">
        <v>2</v>
      </c>
      <c r="F179" s="16" t="s">
        <v>3390</v>
      </c>
      <c r="G179" s="16" t="s">
        <v>3307</v>
      </c>
      <c r="H179" s="16" t="s">
        <v>956</v>
      </c>
      <c r="I179" s="16" t="s">
        <v>329</v>
      </c>
      <c r="J179" s="16">
        <v>0</v>
      </c>
      <c r="K179" s="16">
        <v>1E-3</v>
      </c>
      <c r="L179" s="16">
        <v>1</v>
      </c>
      <c r="M179" s="16">
        <v>0</v>
      </c>
      <c r="N179">
        <f t="array" aca="1" ref="N179" ca="1">MATCH(TRUE,EXACT(I179,OFFSET(rngParamTypes,0,6,,1)),0)</f>
        <v>136</v>
      </c>
      <c r="O179" t="str">
        <f ca="1">IF((INDEX(rngParamTypes,$N179,7)=I179),"",1)</f>
        <v/>
      </c>
      <c r="P179">
        <f ca="1">INDEX(rngParamTypes,$N179,9)</f>
        <v>-1</v>
      </c>
      <c r="Q179">
        <f ca="1">INDEX(rngParamTypes,$N179,10)</f>
        <v>3</v>
      </c>
      <c r="R179">
        <f ca="1">INDEX(rngParamTypes,$N179,11)</f>
        <v>0</v>
      </c>
      <c r="S179">
        <f ca="1">INDEX(rngParamTypes,$N179,12)</f>
        <v>0</v>
      </c>
      <c r="T179">
        <f ca="1">INDEX(rngParamTypes,$N179,13)</f>
        <v>0</v>
      </c>
      <c r="U179">
        <f ca="1">INDEX(rngParamTypes,$N179,14)</f>
        <v>0</v>
      </c>
      <c r="V179">
        <f ca="1">INDEX(rngParamTypes,$N179,15)</f>
        <v>0</v>
      </c>
      <c r="W179">
        <f ca="1">INDEX(rngParamTypes,$N179,16)</f>
        <v>0</v>
      </c>
      <c r="X179">
        <f ca="1">INDEX(rngParamTypes,$N179,17)</f>
        <v>0</v>
      </c>
      <c r="Y179">
        <f ca="1">INDEX(rngParamTypes,$N179,18)</f>
        <v>0</v>
      </c>
    </row>
    <row r="180" spans="1:25" x14ac:dyDescent="0.2">
      <c r="A180" s="16">
        <v>179</v>
      </c>
      <c r="B180" s="37">
        <v>1</v>
      </c>
      <c r="C180" s="16" t="s">
        <v>959</v>
      </c>
      <c r="D180" s="16" t="s">
        <v>959</v>
      </c>
      <c r="E180" s="16">
        <v>2</v>
      </c>
      <c r="F180" s="16" t="s">
        <v>3391</v>
      </c>
      <c r="G180" s="16" t="s">
        <v>343</v>
      </c>
      <c r="H180" s="16" t="s">
        <v>958</v>
      </c>
      <c r="I180" s="16" t="s">
        <v>344</v>
      </c>
      <c r="J180" s="16">
        <v>0</v>
      </c>
      <c r="K180" s="16">
        <v>9.9999999999999995E-7</v>
      </c>
      <c r="L180" s="16">
        <v>3600</v>
      </c>
      <c r="M180" s="16">
        <v>0</v>
      </c>
      <c r="N180">
        <f t="array" aca="1" ref="N180" ca="1">MATCH(TRUE,EXACT(I180,OFFSET(rngParamTypes,0,6,,1)),0)</f>
        <v>141</v>
      </c>
      <c r="O180" t="str">
        <f ca="1">IF((INDEX(rngParamTypes,$N180,7)=I180),"",1)</f>
        <v/>
      </c>
      <c r="P180">
        <f ca="1">INDEX(rngParamTypes,$N180,9)</f>
        <v>0</v>
      </c>
      <c r="Q180">
        <f ca="1">INDEX(rngParamTypes,$N180,10)</f>
        <v>3</v>
      </c>
      <c r="R180">
        <f ca="1">INDEX(rngParamTypes,$N180,11)</f>
        <v>-1</v>
      </c>
      <c r="S180">
        <f ca="1">INDEX(rngParamTypes,$N180,12)</f>
        <v>0</v>
      </c>
      <c r="T180">
        <f ca="1">INDEX(rngParamTypes,$N180,13)</f>
        <v>0</v>
      </c>
      <c r="U180">
        <f ca="1">INDEX(rngParamTypes,$N180,14)</f>
        <v>0</v>
      </c>
      <c r="V180">
        <f ca="1">INDEX(rngParamTypes,$N180,15)</f>
        <v>0</v>
      </c>
      <c r="W180">
        <f ca="1">INDEX(rngParamTypes,$N180,16)</f>
        <v>0</v>
      </c>
      <c r="X180">
        <f ca="1">INDEX(rngParamTypes,$N180,17)</f>
        <v>0</v>
      </c>
      <c r="Y180">
        <f ca="1">INDEX(rngParamTypes,$N180,18)</f>
        <v>0</v>
      </c>
    </row>
    <row r="181" spans="1:25" x14ac:dyDescent="0.2">
      <c r="A181" s="16">
        <v>180</v>
      </c>
      <c r="B181" s="37">
        <v>1</v>
      </c>
      <c r="C181" s="16" t="s">
        <v>961</v>
      </c>
      <c r="D181" s="16" t="s">
        <v>961</v>
      </c>
      <c r="E181" s="16"/>
      <c r="F181" s="16" t="s">
        <v>3392</v>
      </c>
      <c r="G181" s="16" t="s">
        <v>659</v>
      </c>
      <c r="H181" s="16" t="s">
        <v>960</v>
      </c>
      <c r="I181" s="16" t="s">
        <v>131</v>
      </c>
      <c r="J181" s="16">
        <v>0</v>
      </c>
      <c r="K181" s="16">
        <v>9.9999999999999995E-7</v>
      </c>
      <c r="L181" s="16">
        <v>1</v>
      </c>
      <c r="M181" s="16">
        <v>0</v>
      </c>
      <c r="N181">
        <f t="array" aca="1" ref="N181" ca="1">MATCH(TRUE,EXACT(I181,OFFSET(rngParamTypes,0,6,,1)),0)</f>
        <v>42</v>
      </c>
      <c r="O181" t="str">
        <f ca="1">IF((INDEX(rngParamTypes,$N181,7)=I181),"",1)</f>
        <v/>
      </c>
      <c r="P181">
        <f ca="1">INDEX(rngParamTypes,$N181,9)</f>
        <v>0</v>
      </c>
      <c r="Q181">
        <f ca="1">INDEX(rngParamTypes,$N181,10)</f>
        <v>0</v>
      </c>
      <c r="R181">
        <f ca="1">INDEX(rngParamTypes,$N181,11)</f>
        <v>0</v>
      </c>
      <c r="S181">
        <f ca="1">INDEX(rngParamTypes,$N181,12)</f>
        <v>0</v>
      </c>
      <c r="T181">
        <f ca="1">INDEX(rngParamTypes,$N181,13)</f>
        <v>0</v>
      </c>
      <c r="U181">
        <f ca="1">INDEX(rngParamTypes,$N181,14)</f>
        <v>0</v>
      </c>
      <c r="V181">
        <f ca="1">INDEX(rngParamTypes,$N181,15)</f>
        <v>0</v>
      </c>
      <c r="W181">
        <f ca="1">INDEX(rngParamTypes,$N181,16)</f>
        <v>0</v>
      </c>
      <c r="X181">
        <f ca="1">INDEX(rngParamTypes,$N181,17)</f>
        <v>0</v>
      </c>
      <c r="Y181">
        <f ca="1">INDEX(rngParamTypes,$N181,18)</f>
        <v>0</v>
      </c>
    </row>
    <row r="182" spans="1:25" x14ac:dyDescent="0.2">
      <c r="A182" s="16">
        <v>181</v>
      </c>
      <c r="B182" s="37">
        <v>1</v>
      </c>
      <c r="C182" s="16" t="s">
        <v>963</v>
      </c>
      <c r="D182" s="16" t="s">
        <v>963</v>
      </c>
      <c r="E182" s="16">
        <v>2</v>
      </c>
      <c r="F182" s="16" t="s">
        <v>3393</v>
      </c>
      <c r="G182" s="16" t="s">
        <v>343</v>
      </c>
      <c r="H182" s="16" t="s">
        <v>962</v>
      </c>
      <c r="I182" s="16" t="s">
        <v>344</v>
      </c>
      <c r="J182" s="16">
        <v>0</v>
      </c>
      <c r="K182" s="16">
        <v>9.9999999999999995E-7</v>
      </c>
      <c r="L182" s="16">
        <v>60</v>
      </c>
      <c r="M182" s="16">
        <v>0</v>
      </c>
      <c r="N182">
        <f t="array" aca="1" ref="N182" ca="1">MATCH(TRUE,EXACT(I182,OFFSET(rngParamTypes,0,6,,1)),0)</f>
        <v>141</v>
      </c>
      <c r="O182" t="str">
        <f ca="1">IF((INDEX(rngParamTypes,$N182,7)=I182),"",1)</f>
        <v/>
      </c>
      <c r="P182">
        <f ca="1">INDEX(rngParamTypes,$N182,9)</f>
        <v>0</v>
      </c>
      <c r="Q182">
        <f ca="1">INDEX(rngParamTypes,$N182,10)</f>
        <v>3</v>
      </c>
      <c r="R182">
        <f ca="1">INDEX(rngParamTypes,$N182,11)</f>
        <v>-1</v>
      </c>
      <c r="S182">
        <f ca="1">INDEX(rngParamTypes,$N182,12)</f>
        <v>0</v>
      </c>
      <c r="T182">
        <f ca="1">INDEX(rngParamTypes,$N182,13)</f>
        <v>0</v>
      </c>
      <c r="U182">
        <f ca="1">INDEX(rngParamTypes,$N182,14)</f>
        <v>0</v>
      </c>
      <c r="V182">
        <f ca="1">INDEX(rngParamTypes,$N182,15)</f>
        <v>0</v>
      </c>
      <c r="W182">
        <f ca="1">INDEX(rngParamTypes,$N182,16)</f>
        <v>0</v>
      </c>
      <c r="X182">
        <f ca="1">INDEX(rngParamTypes,$N182,17)</f>
        <v>0</v>
      </c>
      <c r="Y182">
        <f ca="1">INDEX(rngParamTypes,$N182,18)</f>
        <v>0</v>
      </c>
    </row>
    <row r="183" spans="1:25" x14ac:dyDescent="0.2">
      <c r="A183" s="16">
        <v>182</v>
      </c>
      <c r="B183" s="37">
        <v>1</v>
      </c>
      <c r="C183" s="16" t="s">
        <v>965</v>
      </c>
      <c r="D183" s="16" t="s">
        <v>965</v>
      </c>
      <c r="E183" s="16">
        <v>2</v>
      </c>
      <c r="F183" s="16" t="s">
        <v>3394</v>
      </c>
      <c r="G183" s="16" t="s">
        <v>343</v>
      </c>
      <c r="H183" s="16" t="s">
        <v>964</v>
      </c>
      <c r="I183" s="16" t="s">
        <v>344</v>
      </c>
      <c r="J183" s="16">
        <v>0</v>
      </c>
      <c r="K183" s="16">
        <v>9.9999999999999995E-7</v>
      </c>
      <c r="L183" s="16">
        <v>1</v>
      </c>
      <c r="M183" s="16">
        <v>0</v>
      </c>
      <c r="N183">
        <f t="array" aca="1" ref="N183" ca="1">MATCH(TRUE,EXACT(I183,OFFSET(rngParamTypes,0,6,,1)),0)</f>
        <v>141</v>
      </c>
      <c r="O183" t="str">
        <f ca="1">IF((INDEX(rngParamTypes,$N183,7)=I183),"",1)</f>
        <v/>
      </c>
      <c r="P183">
        <f ca="1">INDEX(rngParamTypes,$N183,9)</f>
        <v>0</v>
      </c>
      <c r="Q183">
        <f ca="1">INDEX(rngParamTypes,$N183,10)</f>
        <v>3</v>
      </c>
      <c r="R183">
        <f ca="1">INDEX(rngParamTypes,$N183,11)</f>
        <v>-1</v>
      </c>
      <c r="S183">
        <f ca="1">INDEX(rngParamTypes,$N183,12)</f>
        <v>0</v>
      </c>
      <c r="T183">
        <f ca="1">INDEX(rngParamTypes,$N183,13)</f>
        <v>0</v>
      </c>
      <c r="U183">
        <f ca="1">INDEX(rngParamTypes,$N183,14)</f>
        <v>0</v>
      </c>
      <c r="V183">
        <f ca="1">INDEX(rngParamTypes,$N183,15)</f>
        <v>0</v>
      </c>
      <c r="W183">
        <f ca="1">INDEX(rngParamTypes,$N183,16)</f>
        <v>0</v>
      </c>
      <c r="X183">
        <f ca="1">INDEX(rngParamTypes,$N183,17)</f>
        <v>0</v>
      </c>
      <c r="Y183">
        <f ca="1">INDEX(rngParamTypes,$N183,18)</f>
        <v>0</v>
      </c>
    </row>
    <row r="184" spans="1:25" x14ac:dyDescent="0.2">
      <c r="A184" s="16">
        <v>183</v>
      </c>
      <c r="B184" s="37">
        <v>1</v>
      </c>
      <c r="C184" s="16" t="s">
        <v>967</v>
      </c>
      <c r="D184" s="16" t="s">
        <v>967</v>
      </c>
      <c r="E184" s="16"/>
      <c r="F184" s="16" t="s">
        <v>3395</v>
      </c>
      <c r="G184" s="16" t="s">
        <v>354</v>
      </c>
      <c r="H184" s="16" t="s">
        <v>966</v>
      </c>
      <c r="I184" s="16" t="s">
        <v>356</v>
      </c>
      <c r="J184" s="16">
        <v>0</v>
      </c>
      <c r="K184" s="16">
        <v>1E-8</v>
      </c>
      <c r="L184" s="16">
        <v>1</v>
      </c>
      <c r="M184" s="16">
        <v>0</v>
      </c>
      <c r="N184">
        <f t="array" aca="1" ref="N184" ca="1">MATCH(TRUE,EXACT(I184,OFFSET(rngParamTypes,0,6,,1)),0)</f>
        <v>145</v>
      </c>
      <c r="O184" t="str">
        <f ca="1">IF((INDEX(rngParamTypes,$N184,7)=I184),"",1)</f>
        <v/>
      </c>
      <c r="P184">
        <f ca="1">INDEX(rngParamTypes,$N184,9)</f>
        <v>0</v>
      </c>
      <c r="Q184">
        <f ca="1">INDEX(rngParamTypes,$N184,10)</f>
        <v>4</v>
      </c>
      <c r="R184">
        <f ca="1">INDEX(rngParamTypes,$N184,11)</f>
        <v>0</v>
      </c>
      <c r="S184">
        <f ca="1">INDEX(rngParamTypes,$N184,12)</f>
        <v>0</v>
      </c>
      <c r="T184">
        <f ca="1">INDEX(rngParamTypes,$N184,13)</f>
        <v>0</v>
      </c>
      <c r="U184">
        <f ca="1">INDEX(rngParamTypes,$N184,14)</f>
        <v>0</v>
      </c>
      <c r="V184">
        <f ca="1">INDEX(rngParamTypes,$N184,15)</f>
        <v>0</v>
      </c>
      <c r="W184">
        <f ca="1">INDEX(rngParamTypes,$N184,16)</f>
        <v>0</v>
      </c>
      <c r="X184">
        <f ca="1">INDEX(rngParamTypes,$N184,17)</f>
        <v>0</v>
      </c>
      <c r="Y184">
        <f ca="1">INDEX(rngParamTypes,$N184,18)</f>
        <v>0</v>
      </c>
    </row>
    <row r="185" spans="1:25" x14ac:dyDescent="0.2">
      <c r="A185" s="16">
        <v>184</v>
      </c>
      <c r="B185" s="37">
        <v>1</v>
      </c>
      <c r="C185" s="16" t="s">
        <v>969</v>
      </c>
      <c r="D185" s="16" t="s">
        <v>969</v>
      </c>
      <c r="E185" s="16">
        <v>2</v>
      </c>
      <c r="F185" s="16" t="s">
        <v>4262</v>
      </c>
      <c r="G185" s="16" t="s">
        <v>3270</v>
      </c>
      <c r="H185" s="16" t="s">
        <v>968</v>
      </c>
      <c r="I185" s="16" t="s">
        <v>416</v>
      </c>
      <c r="J185" s="16">
        <v>0</v>
      </c>
      <c r="K185" s="16">
        <v>98.063800000000001</v>
      </c>
      <c r="L185" s="16">
        <v>1</v>
      </c>
      <c r="M185" s="16">
        <v>0</v>
      </c>
      <c r="N185">
        <f t="array" aca="1" ref="N185" ca="1">MATCH(TRUE,EXACT(I185,OFFSET(rngParamTypes,0,6,,1)),0)</f>
        <v>167</v>
      </c>
      <c r="O185" t="str">
        <f ca="1">IF((INDEX(rngParamTypes,$N185,7)=I185),"",1)</f>
        <v/>
      </c>
      <c r="P185">
        <f ca="1">INDEX(rngParamTypes,$N185,9)</f>
        <v>1</v>
      </c>
      <c r="Q185">
        <f ca="1">INDEX(rngParamTypes,$N185,10)</f>
        <v>-1</v>
      </c>
      <c r="R185">
        <f ca="1">INDEX(rngParamTypes,$N185,11)</f>
        <v>-2</v>
      </c>
      <c r="S185">
        <f ca="1">INDEX(rngParamTypes,$N185,12)</f>
        <v>0</v>
      </c>
      <c r="T185">
        <f ca="1">INDEX(rngParamTypes,$N185,13)</f>
        <v>0</v>
      </c>
      <c r="U185">
        <f ca="1">INDEX(rngParamTypes,$N185,14)</f>
        <v>0</v>
      </c>
      <c r="V185">
        <f ca="1">INDEX(rngParamTypes,$N185,15)</f>
        <v>0</v>
      </c>
      <c r="W185">
        <f ca="1">INDEX(rngParamTypes,$N185,16)</f>
        <v>0</v>
      </c>
      <c r="X185">
        <f ca="1">INDEX(rngParamTypes,$N185,17)</f>
        <v>0</v>
      </c>
      <c r="Y185">
        <f ca="1">INDEX(rngParamTypes,$N185,18)</f>
        <v>0</v>
      </c>
    </row>
    <row r="186" spans="1:25" x14ac:dyDescent="0.2">
      <c r="A186" s="16">
        <v>185</v>
      </c>
      <c r="B186" s="37">
        <v>1</v>
      </c>
      <c r="C186" s="16" t="s">
        <v>971</v>
      </c>
      <c r="D186" s="16" t="s">
        <v>971</v>
      </c>
      <c r="E186" s="16">
        <v>1</v>
      </c>
      <c r="F186" s="16" t="s">
        <v>3396</v>
      </c>
      <c r="G186" s="16" t="s">
        <v>419</v>
      </c>
      <c r="H186" s="16" t="s">
        <v>970</v>
      </c>
      <c r="I186" s="16" t="s">
        <v>421</v>
      </c>
      <c r="J186" s="16">
        <v>0</v>
      </c>
      <c r="K186" s="16">
        <v>1E-3</v>
      </c>
      <c r="L186" s="16">
        <v>1</v>
      </c>
      <c r="M186" s="16">
        <v>0</v>
      </c>
      <c r="N186">
        <f t="array" aca="1" ref="N186" ca="1">MATCH(TRUE,EXACT(I186,OFFSET(rngParamTypes,0,6,,1)),0)</f>
        <v>169</v>
      </c>
      <c r="O186" t="str">
        <f ca="1">IF((INDEX(rngParamTypes,$N186,7)=I186),"",1)</f>
        <v/>
      </c>
      <c r="P186">
        <f ca="1">INDEX(rngParamTypes,$N186,9)</f>
        <v>1</v>
      </c>
      <c r="Q186">
        <f ca="1">INDEX(rngParamTypes,$N186,10)</f>
        <v>-1</v>
      </c>
      <c r="R186">
        <f ca="1">INDEX(rngParamTypes,$N186,11)</f>
        <v>-1</v>
      </c>
      <c r="S186">
        <f ca="1">INDEX(rngParamTypes,$N186,12)</f>
        <v>0</v>
      </c>
      <c r="T186">
        <f ca="1">INDEX(rngParamTypes,$N186,13)</f>
        <v>0</v>
      </c>
      <c r="U186">
        <f ca="1">INDEX(rngParamTypes,$N186,14)</f>
        <v>0</v>
      </c>
      <c r="V186">
        <f ca="1">INDEX(rngParamTypes,$N186,15)</f>
        <v>0</v>
      </c>
      <c r="W186">
        <f ca="1">INDEX(rngParamTypes,$N186,16)</f>
        <v>0</v>
      </c>
      <c r="X186">
        <f ca="1">INDEX(rngParamTypes,$N186,17)</f>
        <v>0</v>
      </c>
      <c r="Y186">
        <f ca="1">INDEX(rngParamTypes,$N186,18)</f>
        <v>0</v>
      </c>
    </row>
    <row r="187" spans="1:25" x14ac:dyDescent="0.2">
      <c r="A187" s="16">
        <v>186</v>
      </c>
      <c r="B187" s="37">
        <v>1</v>
      </c>
      <c r="C187" s="16" t="s">
        <v>973</v>
      </c>
      <c r="D187" s="16" t="s">
        <v>973</v>
      </c>
      <c r="E187" s="16">
        <v>2</v>
      </c>
      <c r="F187" s="16" t="s">
        <v>3397</v>
      </c>
      <c r="G187" s="16" t="s">
        <v>469</v>
      </c>
      <c r="H187" s="16" t="s">
        <v>972</v>
      </c>
      <c r="I187" s="16" t="s">
        <v>470</v>
      </c>
      <c r="J187" s="16">
        <v>0</v>
      </c>
      <c r="K187" s="16">
        <v>0.01</v>
      </c>
      <c r="L187" s="16">
        <v>1</v>
      </c>
      <c r="M187" s="16">
        <v>0</v>
      </c>
      <c r="N187">
        <f t="array" aca="1" ref="N187" ca="1">MATCH(TRUE,EXACT(I187,OFFSET(rngParamTypes,0,6,,1)),0)</f>
        <v>190</v>
      </c>
      <c r="O187" t="str">
        <f ca="1">IF((INDEX(rngParamTypes,$N187,7)=I187),"",1)</f>
        <v/>
      </c>
      <c r="P187">
        <f ca="1">INDEX(rngParamTypes,$N187,9)</f>
        <v>0</v>
      </c>
      <c r="Q187">
        <f ca="1">INDEX(rngParamTypes,$N187,10)</f>
        <v>0</v>
      </c>
      <c r="R187">
        <f ca="1">INDEX(rngParamTypes,$N187,11)</f>
        <v>1</v>
      </c>
      <c r="S187">
        <f ca="1">INDEX(rngParamTypes,$N187,12)</f>
        <v>0</v>
      </c>
      <c r="T187">
        <f ca="1">INDEX(rngParamTypes,$N187,13)</f>
        <v>0</v>
      </c>
      <c r="U187">
        <f ca="1">INDEX(rngParamTypes,$N187,14)</f>
        <v>0</v>
      </c>
      <c r="V187">
        <f ca="1">INDEX(rngParamTypes,$N187,15)</f>
        <v>0</v>
      </c>
      <c r="W187">
        <f ca="1">INDEX(rngParamTypes,$N187,16)</f>
        <v>0</v>
      </c>
      <c r="X187">
        <f ca="1">INDEX(rngParamTypes,$N187,17)</f>
        <v>0</v>
      </c>
      <c r="Y187">
        <f ca="1">INDEX(rngParamTypes,$N187,18)</f>
        <v>0</v>
      </c>
    </row>
    <row r="188" spans="1:25" x14ac:dyDescent="0.2">
      <c r="A188" s="16">
        <v>187</v>
      </c>
      <c r="B188" s="37">
        <v>1</v>
      </c>
      <c r="C188" s="16" t="s">
        <v>975</v>
      </c>
      <c r="D188" s="16" t="s">
        <v>975</v>
      </c>
      <c r="E188" s="16">
        <v>2</v>
      </c>
      <c r="F188" s="16" t="s">
        <v>3398</v>
      </c>
      <c r="G188" s="16" t="s">
        <v>3399</v>
      </c>
      <c r="H188" s="16" t="s">
        <v>974</v>
      </c>
      <c r="I188" s="16" t="s">
        <v>319</v>
      </c>
      <c r="J188" s="16">
        <v>0</v>
      </c>
      <c r="K188" s="16">
        <v>9.9999999999999995E-7</v>
      </c>
      <c r="L188" s="16">
        <v>1</v>
      </c>
      <c r="M188" s="16">
        <v>0</v>
      </c>
      <c r="N188">
        <f t="array" aca="1" ref="N188" ca="1">MATCH(TRUE,EXACT(I188,OFFSET(rngParamTypes,0,6,,1)),0)</f>
        <v>130</v>
      </c>
      <c r="O188" t="str">
        <f ca="1">IF((INDEX(rngParamTypes,$N188,7)=I188),"",1)</f>
        <v/>
      </c>
      <c r="P188">
        <f ca="1">INDEX(rngParamTypes,$N188,9)</f>
        <v>0</v>
      </c>
      <c r="Q188">
        <f ca="1">INDEX(rngParamTypes,$N188,10)</f>
        <v>2</v>
      </c>
      <c r="R188">
        <f ca="1">INDEX(rngParamTypes,$N188,11)</f>
        <v>-1</v>
      </c>
      <c r="S188">
        <f ca="1">INDEX(rngParamTypes,$N188,12)</f>
        <v>0</v>
      </c>
      <c r="T188">
        <f ca="1">INDEX(rngParamTypes,$N188,13)</f>
        <v>0</v>
      </c>
      <c r="U188">
        <f ca="1">INDEX(rngParamTypes,$N188,14)</f>
        <v>0</v>
      </c>
      <c r="V188">
        <f ca="1">INDEX(rngParamTypes,$N188,15)</f>
        <v>0</v>
      </c>
      <c r="W188">
        <f ca="1">INDEX(rngParamTypes,$N188,16)</f>
        <v>0</v>
      </c>
      <c r="X188">
        <f ca="1">INDEX(rngParamTypes,$N188,17)</f>
        <v>0</v>
      </c>
      <c r="Y188">
        <f ca="1">INDEX(rngParamTypes,$N188,18)</f>
        <v>0</v>
      </c>
    </row>
    <row r="189" spans="1:25" x14ac:dyDescent="0.2">
      <c r="A189" s="16">
        <v>188</v>
      </c>
      <c r="B189" s="37">
        <v>1</v>
      </c>
      <c r="C189" s="16" t="s">
        <v>977</v>
      </c>
      <c r="D189" s="16" t="s">
        <v>977</v>
      </c>
      <c r="E189" s="16">
        <v>2</v>
      </c>
      <c r="F189" s="16" t="s">
        <v>3400</v>
      </c>
      <c r="G189" s="16" t="s">
        <v>220</v>
      </c>
      <c r="H189" s="16" t="s">
        <v>976</v>
      </c>
      <c r="I189" s="16" t="s">
        <v>221</v>
      </c>
      <c r="J189" s="16">
        <v>0</v>
      </c>
      <c r="K189" s="16">
        <v>2.0000000000000001E-4</v>
      </c>
      <c r="L189" s="16">
        <v>1</v>
      </c>
      <c r="M189" s="16">
        <v>0</v>
      </c>
      <c r="N189">
        <f t="array" aca="1" ref="N189" ca="1">MATCH(TRUE,EXACT(I189,OFFSET(rngParamTypes,0,6,,1)),0)</f>
        <v>87</v>
      </c>
      <c r="O189" t="str">
        <f ca="1">IF((INDEX(rngParamTypes,$N189,7)=I189),"",1)</f>
        <v/>
      </c>
      <c r="P189">
        <f ca="1">INDEX(rngParamTypes,$N189,9)</f>
        <v>1</v>
      </c>
      <c r="Q189">
        <f ca="1">INDEX(rngParamTypes,$N189,10)</f>
        <v>0</v>
      </c>
      <c r="R189">
        <f ca="1">INDEX(rngParamTypes,$N189,11)</f>
        <v>0</v>
      </c>
      <c r="S189">
        <f ca="1">INDEX(rngParamTypes,$N189,12)</f>
        <v>0</v>
      </c>
      <c r="T189">
        <f ca="1">INDEX(rngParamTypes,$N189,13)</f>
        <v>0</v>
      </c>
      <c r="U189">
        <f ca="1">INDEX(rngParamTypes,$N189,14)</f>
        <v>0</v>
      </c>
      <c r="V189">
        <f ca="1">INDEX(rngParamTypes,$N189,15)</f>
        <v>0</v>
      </c>
      <c r="W189">
        <f ca="1">INDEX(rngParamTypes,$N189,16)</f>
        <v>0</v>
      </c>
      <c r="X189">
        <f ca="1">INDEX(rngParamTypes,$N189,17)</f>
        <v>0</v>
      </c>
      <c r="Y189">
        <f ca="1">INDEX(rngParamTypes,$N189,18)</f>
        <v>0</v>
      </c>
    </row>
    <row r="190" spans="1:25" x14ac:dyDescent="0.2">
      <c r="A190" s="16">
        <v>189</v>
      </c>
      <c r="B190" s="37">
        <v>1</v>
      </c>
      <c r="C190" s="16" t="s">
        <v>979</v>
      </c>
      <c r="D190" s="16" t="s">
        <v>979</v>
      </c>
      <c r="E190" s="16"/>
      <c r="F190" s="16" t="s">
        <v>3401</v>
      </c>
      <c r="G190" s="16" t="s">
        <v>722</v>
      </c>
      <c r="H190" s="16" t="s">
        <v>978</v>
      </c>
      <c r="I190" s="16" t="s">
        <v>20</v>
      </c>
      <c r="J190" s="16">
        <v>0</v>
      </c>
      <c r="K190" s="16">
        <v>0.1</v>
      </c>
      <c r="L190" s="16">
        <v>1</v>
      </c>
      <c r="M190" s="16">
        <v>0</v>
      </c>
      <c r="N190">
        <f t="array" aca="1" ref="N190" ca="1">MATCH(TRUE,EXACT(I190,OFFSET(rngParamTypes,0,6,,1)),0)</f>
        <v>5</v>
      </c>
      <c r="O190" t="str">
        <f ca="1">IF((INDEX(rngParamTypes,$N190,7)=I190),"",1)</f>
        <v/>
      </c>
      <c r="P190">
        <f ca="1">INDEX(rngParamTypes,$N190,9)</f>
        <v>0</v>
      </c>
      <c r="Q190">
        <f ca="1">INDEX(rngParamTypes,$N190,10)</f>
        <v>-1</v>
      </c>
      <c r="R190">
        <f ca="1">INDEX(rngParamTypes,$N190,11)</f>
        <v>0</v>
      </c>
      <c r="S190">
        <f ca="1">INDEX(rngParamTypes,$N190,12)</f>
        <v>0</v>
      </c>
      <c r="T190">
        <f ca="1">INDEX(rngParamTypes,$N190,13)</f>
        <v>0</v>
      </c>
      <c r="U190">
        <f ca="1">INDEX(rngParamTypes,$N190,14)</f>
        <v>0</v>
      </c>
      <c r="V190">
        <f ca="1">INDEX(rngParamTypes,$N190,15)</f>
        <v>0</v>
      </c>
      <c r="W190">
        <f ca="1">INDEX(rngParamTypes,$N190,16)</f>
        <v>0</v>
      </c>
      <c r="X190">
        <f ca="1">INDEX(rngParamTypes,$N190,17)</f>
        <v>0</v>
      </c>
      <c r="Y190">
        <f ca="1">INDEX(rngParamTypes,$N190,18)</f>
        <v>0</v>
      </c>
    </row>
    <row r="191" spans="1:25" x14ac:dyDescent="0.2">
      <c r="A191" s="16">
        <v>190</v>
      </c>
      <c r="B191" s="37">
        <v>1</v>
      </c>
      <c r="C191" s="16" t="s">
        <v>981</v>
      </c>
      <c r="D191" s="16" t="s">
        <v>981</v>
      </c>
      <c r="E191" s="16">
        <v>2</v>
      </c>
      <c r="F191" s="16" t="s">
        <v>4263</v>
      </c>
      <c r="G191" s="16" t="s">
        <v>321</v>
      </c>
      <c r="H191" s="16" t="s">
        <v>980</v>
      </c>
      <c r="I191" s="16" t="s">
        <v>322</v>
      </c>
      <c r="J191" s="16">
        <v>0</v>
      </c>
      <c r="K191" s="16">
        <v>2.8316850000000001E-2</v>
      </c>
      <c r="L191" s="16">
        <v>1</v>
      </c>
      <c r="M191" s="16">
        <v>0</v>
      </c>
      <c r="N191">
        <f t="array" aca="1" ref="N191" ca="1">MATCH(TRUE,EXACT(I191,OFFSET(rngParamTypes,0,6,,1)),0)</f>
        <v>134</v>
      </c>
      <c r="O191" t="str">
        <f ca="1">IF((INDEX(rngParamTypes,$N191,7)=I191),"",1)</f>
        <v/>
      </c>
      <c r="P191">
        <f ca="1">INDEX(rngParamTypes,$N191,9)</f>
        <v>0</v>
      </c>
      <c r="Q191">
        <f ca="1">INDEX(rngParamTypes,$N191,10)</f>
        <v>3</v>
      </c>
      <c r="R191">
        <f ca="1">INDEX(rngParamTypes,$N191,11)</f>
        <v>0</v>
      </c>
      <c r="S191">
        <f ca="1">INDEX(rngParamTypes,$N191,12)</f>
        <v>0</v>
      </c>
      <c r="T191">
        <f ca="1">INDEX(rngParamTypes,$N191,13)</f>
        <v>0</v>
      </c>
      <c r="U191">
        <f ca="1">INDEX(rngParamTypes,$N191,14)</f>
        <v>0</v>
      </c>
      <c r="V191">
        <f ca="1">INDEX(rngParamTypes,$N191,15)</f>
        <v>0</v>
      </c>
      <c r="W191">
        <f ca="1">INDEX(rngParamTypes,$N191,16)</f>
        <v>0</v>
      </c>
      <c r="X191">
        <f ca="1">INDEX(rngParamTypes,$N191,17)</f>
        <v>0</v>
      </c>
      <c r="Y191">
        <f ca="1">INDEX(rngParamTypes,$N191,18)</f>
        <v>0</v>
      </c>
    </row>
    <row r="192" spans="1:25" x14ac:dyDescent="0.2">
      <c r="A192" s="16">
        <v>191</v>
      </c>
      <c r="B192" s="37">
        <v>1</v>
      </c>
      <c r="C192" s="16" t="s">
        <v>984</v>
      </c>
      <c r="D192" s="16" t="s">
        <v>984</v>
      </c>
      <c r="E192" s="16">
        <v>2</v>
      </c>
      <c r="F192" s="16" t="s">
        <v>4264</v>
      </c>
      <c r="G192" s="16" t="s">
        <v>321</v>
      </c>
      <c r="H192" s="16" t="s">
        <v>983</v>
      </c>
      <c r="I192" s="16" t="s">
        <v>322</v>
      </c>
      <c r="J192" s="16">
        <v>0</v>
      </c>
      <c r="K192" s="16">
        <v>1.6387060000000002E-5</v>
      </c>
      <c r="L192" s="16">
        <v>1</v>
      </c>
      <c r="M192" s="16">
        <v>0</v>
      </c>
      <c r="N192">
        <f t="array" aca="1" ref="N192" ca="1">MATCH(TRUE,EXACT(I192,OFFSET(rngParamTypes,0,6,,1)),0)</f>
        <v>134</v>
      </c>
      <c r="O192" t="str">
        <f ca="1">IF((INDEX(rngParamTypes,$N192,7)=I192),"",1)</f>
        <v/>
      </c>
      <c r="P192">
        <f ca="1">INDEX(rngParamTypes,$N192,9)</f>
        <v>0</v>
      </c>
      <c r="Q192">
        <f ca="1">INDEX(rngParamTypes,$N192,10)</f>
        <v>3</v>
      </c>
      <c r="R192">
        <f ca="1">INDEX(rngParamTypes,$N192,11)</f>
        <v>0</v>
      </c>
      <c r="S192">
        <f ca="1">INDEX(rngParamTypes,$N192,12)</f>
        <v>0</v>
      </c>
      <c r="T192">
        <f ca="1">INDEX(rngParamTypes,$N192,13)</f>
        <v>0</v>
      </c>
      <c r="U192">
        <f ca="1">INDEX(rngParamTypes,$N192,14)</f>
        <v>0</v>
      </c>
      <c r="V192">
        <f ca="1">INDEX(rngParamTypes,$N192,15)</f>
        <v>0</v>
      </c>
      <c r="W192">
        <f ca="1">INDEX(rngParamTypes,$N192,16)</f>
        <v>0</v>
      </c>
      <c r="X192">
        <f ca="1">INDEX(rngParamTypes,$N192,17)</f>
        <v>0</v>
      </c>
      <c r="Y192">
        <f ca="1">INDEX(rngParamTypes,$N192,18)</f>
        <v>0</v>
      </c>
    </row>
    <row r="193" spans="1:25" x14ac:dyDescent="0.2">
      <c r="A193" s="16">
        <v>192</v>
      </c>
      <c r="B193" s="37">
        <v>1</v>
      </c>
      <c r="C193" s="16" t="s">
        <v>987</v>
      </c>
      <c r="D193" s="16" t="s">
        <v>987</v>
      </c>
      <c r="E193" s="16">
        <v>2</v>
      </c>
      <c r="F193" s="16" t="s">
        <v>4265</v>
      </c>
      <c r="G193" s="16" t="s">
        <v>321</v>
      </c>
      <c r="H193" s="16" t="s">
        <v>986</v>
      </c>
      <c r="I193" s="16" t="s">
        <v>322</v>
      </c>
      <c r="J193" s="16">
        <v>0</v>
      </c>
      <c r="K193" s="16">
        <v>0.76455490000000004</v>
      </c>
      <c r="L193" s="16">
        <v>1</v>
      </c>
      <c r="M193" s="16">
        <v>0</v>
      </c>
      <c r="N193">
        <f t="array" aca="1" ref="N193" ca="1">MATCH(TRUE,EXACT(I193,OFFSET(rngParamTypes,0,6,,1)),0)</f>
        <v>134</v>
      </c>
      <c r="O193" t="str">
        <f ca="1">IF((INDEX(rngParamTypes,$N193,7)=I193),"",1)</f>
        <v/>
      </c>
      <c r="P193">
        <f ca="1">INDEX(rngParamTypes,$N193,9)</f>
        <v>0</v>
      </c>
      <c r="Q193">
        <f ca="1">INDEX(rngParamTypes,$N193,10)</f>
        <v>3</v>
      </c>
      <c r="R193">
        <f ca="1">INDEX(rngParamTypes,$N193,11)</f>
        <v>0</v>
      </c>
      <c r="S193">
        <f ca="1">INDEX(rngParamTypes,$N193,12)</f>
        <v>0</v>
      </c>
      <c r="T193">
        <f ca="1">INDEX(rngParamTypes,$N193,13)</f>
        <v>0</v>
      </c>
      <c r="U193">
        <f ca="1">INDEX(rngParamTypes,$N193,14)</f>
        <v>0</v>
      </c>
      <c r="V193">
        <f ca="1">INDEX(rngParamTypes,$N193,15)</f>
        <v>0</v>
      </c>
      <c r="W193">
        <f ca="1">INDEX(rngParamTypes,$N193,16)</f>
        <v>0</v>
      </c>
      <c r="X193">
        <f ca="1">INDEX(rngParamTypes,$N193,17)</f>
        <v>0</v>
      </c>
      <c r="Y193">
        <f ca="1">INDEX(rngParamTypes,$N193,18)</f>
        <v>0</v>
      </c>
    </row>
    <row r="194" spans="1:25" x14ac:dyDescent="0.2">
      <c r="A194" s="16">
        <v>193</v>
      </c>
      <c r="B194" s="37">
        <v>1</v>
      </c>
      <c r="C194" s="16" t="s">
        <v>990</v>
      </c>
      <c r="D194" s="16" t="s">
        <v>990</v>
      </c>
      <c r="E194" s="16">
        <v>2</v>
      </c>
      <c r="F194" s="16" t="s">
        <v>3402</v>
      </c>
      <c r="G194" s="16" t="s">
        <v>321</v>
      </c>
      <c r="H194" s="16" t="s">
        <v>989</v>
      </c>
      <c r="I194" s="16" t="s">
        <v>322</v>
      </c>
      <c r="J194" s="16">
        <v>0</v>
      </c>
      <c r="K194" s="16">
        <v>4168182000</v>
      </c>
      <c r="L194" s="16">
        <v>1</v>
      </c>
      <c r="M194" s="16">
        <v>0</v>
      </c>
      <c r="N194">
        <f t="array" aca="1" ref="N194" ca="1">MATCH(TRUE,EXACT(I194,OFFSET(rngParamTypes,0,6,,1)),0)</f>
        <v>134</v>
      </c>
      <c r="O194" t="str">
        <f ca="1">IF((INDEX(rngParamTypes,$N194,7)=I194),"",1)</f>
        <v/>
      </c>
      <c r="P194">
        <f ca="1">INDEX(rngParamTypes,$N194,9)</f>
        <v>0</v>
      </c>
      <c r="Q194">
        <f ca="1">INDEX(rngParamTypes,$N194,10)</f>
        <v>3</v>
      </c>
      <c r="R194">
        <f ca="1">INDEX(rngParamTypes,$N194,11)</f>
        <v>0</v>
      </c>
      <c r="S194">
        <f ca="1">INDEX(rngParamTypes,$N194,12)</f>
        <v>0</v>
      </c>
      <c r="T194">
        <f ca="1">INDEX(rngParamTypes,$N194,13)</f>
        <v>0</v>
      </c>
      <c r="U194">
        <f ca="1">INDEX(rngParamTypes,$N194,14)</f>
        <v>0</v>
      </c>
      <c r="V194">
        <f ca="1">INDEX(rngParamTypes,$N194,15)</f>
        <v>0</v>
      </c>
      <c r="W194">
        <f ca="1">INDEX(rngParamTypes,$N194,16)</f>
        <v>0</v>
      </c>
      <c r="X194">
        <f ca="1">INDEX(rngParamTypes,$N194,17)</f>
        <v>0</v>
      </c>
      <c r="Y194">
        <f ca="1">INDEX(rngParamTypes,$N194,18)</f>
        <v>0</v>
      </c>
    </row>
    <row r="195" spans="1:25" x14ac:dyDescent="0.2">
      <c r="A195" s="16">
        <v>194</v>
      </c>
      <c r="B195" s="37">
        <v>1</v>
      </c>
      <c r="C195" s="16" t="s">
        <v>934</v>
      </c>
      <c r="D195" s="16" t="s">
        <v>934</v>
      </c>
      <c r="E195" s="16"/>
      <c r="F195" s="16" t="s">
        <v>3403</v>
      </c>
      <c r="G195" s="16" t="s">
        <v>80</v>
      </c>
      <c r="H195" s="16" t="s">
        <v>934</v>
      </c>
      <c r="I195" s="16" t="s">
        <v>81</v>
      </c>
      <c r="J195" s="16">
        <v>0</v>
      </c>
      <c r="K195" s="16">
        <v>37000000000</v>
      </c>
      <c r="L195" s="16">
        <v>1</v>
      </c>
      <c r="M195" s="16">
        <v>0</v>
      </c>
      <c r="N195">
        <f t="array" aca="1" ref="N195" ca="1">MATCH(TRUE,EXACT(I195,OFFSET(rngParamTypes,0,6,,1)),0)</f>
        <v>27</v>
      </c>
      <c r="O195" t="str">
        <f ca="1">IF((INDEX(rngParamTypes,$N195,7)=I195),"",1)</f>
        <v/>
      </c>
      <c r="P195">
        <f ca="1">INDEX(rngParamTypes,$N195,9)</f>
        <v>0</v>
      </c>
      <c r="Q195">
        <f ca="1">INDEX(rngParamTypes,$N195,10)</f>
        <v>0</v>
      </c>
      <c r="R195">
        <f ca="1">INDEX(rngParamTypes,$N195,11)</f>
        <v>-1</v>
      </c>
      <c r="S195">
        <f ca="1">INDEX(rngParamTypes,$N195,12)</f>
        <v>0</v>
      </c>
      <c r="T195">
        <f ca="1">INDEX(rngParamTypes,$N195,13)</f>
        <v>0</v>
      </c>
      <c r="U195">
        <f ca="1">INDEX(rngParamTypes,$N195,14)</f>
        <v>0</v>
      </c>
      <c r="V195">
        <f ca="1">INDEX(rngParamTypes,$N195,15)</f>
        <v>0</v>
      </c>
      <c r="W195">
        <f ca="1">INDEX(rngParamTypes,$N195,16)</f>
        <v>0</v>
      </c>
      <c r="X195">
        <f ca="1">INDEX(rngParamTypes,$N195,17)</f>
        <v>0</v>
      </c>
      <c r="Y195">
        <f ca="1">INDEX(rngParamTypes,$N195,18)</f>
        <v>0</v>
      </c>
    </row>
    <row r="196" spans="1:25" x14ac:dyDescent="0.2">
      <c r="A196" s="16">
        <v>195</v>
      </c>
      <c r="B196" s="37">
        <v>1</v>
      </c>
      <c r="C196" s="16" t="s">
        <v>993</v>
      </c>
      <c r="D196" s="16" t="s">
        <v>993</v>
      </c>
      <c r="E196" s="16">
        <v>2</v>
      </c>
      <c r="F196" s="16" t="s">
        <v>3404</v>
      </c>
      <c r="G196" s="16" t="s">
        <v>531</v>
      </c>
      <c r="H196" s="16" t="s">
        <v>992</v>
      </c>
      <c r="I196" s="16" t="s">
        <v>533</v>
      </c>
      <c r="J196" s="16">
        <v>0</v>
      </c>
      <c r="K196" s="16">
        <v>735.49900000000002</v>
      </c>
      <c r="L196" s="16">
        <v>1</v>
      </c>
      <c r="M196" s="16">
        <v>0</v>
      </c>
      <c r="N196">
        <f t="array" aca="1" ref="N196" ca="1">MATCH(TRUE,EXACT(I196,OFFSET(rngParamTypes,0,6,,1)),0)</f>
        <v>211</v>
      </c>
      <c r="O196" t="str">
        <f ca="1">IF((INDEX(rngParamTypes,$N196,7)=I196),"",1)</f>
        <v/>
      </c>
      <c r="P196">
        <f ca="1">INDEX(rngParamTypes,$N196,9)</f>
        <v>1</v>
      </c>
      <c r="Q196">
        <f ca="1">INDEX(rngParamTypes,$N196,10)</f>
        <v>2</v>
      </c>
      <c r="R196">
        <f ca="1">INDEX(rngParamTypes,$N196,11)</f>
        <v>-3</v>
      </c>
      <c r="S196">
        <f ca="1">INDEX(rngParamTypes,$N196,12)</f>
        <v>0</v>
      </c>
      <c r="T196">
        <f ca="1">INDEX(rngParamTypes,$N196,13)</f>
        <v>0</v>
      </c>
      <c r="U196">
        <f ca="1">INDEX(rngParamTypes,$N196,14)</f>
        <v>0</v>
      </c>
      <c r="V196">
        <f ca="1">INDEX(rngParamTypes,$N196,15)</f>
        <v>0</v>
      </c>
      <c r="W196">
        <f ca="1">INDEX(rngParamTypes,$N196,16)</f>
        <v>0</v>
      </c>
      <c r="X196">
        <f ca="1">INDEX(rngParamTypes,$N196,17)</f>
        <v>0</v>
      </c>
      <c r="Y196">
        <f ca="1">INDEX(rngParamTypes,$N196,18)</f>
        <v>0</v>
      </c>
    </row>
    <row r="197" spans="1:25" x14ac:dyDescent="0.2">
      <c r="A197" s="16">
        <v>196</v>
      </c>
      <c r="B197" s="37">
        <v>1</v>
      </c>
      <c r="C197" s="16" t="s">
        <v>995</v>
      </c>
      <c r="D197" s="16" t="s">
        <v>995</v>
      </c>
      <c r="E197" s="16">
        <v>2</v>
      </c>
      <c r="F197" s="16" t="s">
        <v>3405</v>
      </c>
      <c r="G197" s="16" t="s">
        <v>3267</v>
      </c>
      <c r="H197" s="16" t="s">
        <v>994</v>
      </c>
      <c r="I197" s="16" t="s">
        <v>168</v>
      </c>
      <c r="J197" s="16">
        <v>0</v>
      </c>
      <c r="K197" s="16">
        <v>2647796</v>
      </c>
      <c r="L197" s="16">
        <v>1</v>
      </c>
      <c r="M197" s="16">
        <v>0</v>
      </c>
      <c r="N197">
        <f t="array" aca="1" ref="N197" ca="1">MATCH(TRUE,EXACT(I197,OFFSET(rngParamTypes,0,6,,1)),0)</f>
        <v>56</v>
      </c>
      <c r="O197" t="str">
        <f ca="1">IF((INDEX(rngParamTypes,$N197,7)=I197),"",1)</f>
        <v/>
      </c>
      <c r="P197">
        <f ca="1">INDEX(rngParamTypes,$N197,9)</f>
        <v>1</v>
      </c>
      <c r="Q197">
        <f ca="1">INDEX(rngParamTypes,$N197,10)</f>
        <v>2</v>
      </c>
      <c r="R197">
        <f ca="1">INDEX(rngParamTypes,$N197,11)</f>
        <v>-2</v>
      </c>
      <c r="S197">
        <f ca="1">INDEX(rngParamTypes,$N197,12)</f>
        <v>0</v>
      </c>
      <c r="T197">
        <f ca="1">INDEX(rngParamTypes,$N197,13)</f>
        <v>0</v>
      </c>
      <c r="U197">
        <f ca="1">INDEX(rngParamTypes,$N197,14)</f>
        <v>0</v>
      </c>
      <c r="V197">
        <f ca="1">INDEX(rngParamTypes,$N197,15)</f>
        <v>0</v>
      </c>
      <c r="W197">
        <f ca="1">INDEX(rngParamTypes,$N197,16)</f>
        <v>0</v>
      </c>
      <c r="X197">
        <f ca="1">INDEX(rngParamTypes,$N197,17)</f>
        <v>0</v>
      </c>
      <c r="Y197">
        <f ca="1">INDEX(rngParamTypes,$N197,18)</f>
        <v>0</v>
      </c>
    </row>
    <row r="198" spans="1:25" x14ac:dyDescent="0.2">
      <c r="A198" s="16">
        <v>197</v>
      </c>
      <c r="B198" s="37">
        <v>1</v>
      </c>
      <c r="C198" s="16" t="s">
        <v>997</v>
      </c>
      <c r="D198" s="16" t="s">
        <v>997</v>
      </c>
      <c r="E198" s="16">
        <v>2</v>
      </c>
      <c r="F198" s="16" t="s">
        <v>3406</v>
      </c>
      <c r="G198" s="16" t="s">
        <v>220</v>
      </c>
      <c r="H198" s="16" t="s">
        <v>996</v>
      </c>
      <c r="I198" s="16" t="s">
        <v>221</v>
      </c>
      <c r="J198" s="16">
        <v>0</v>
      </c>
      <c r="K198" s="16">
        <v>50.802349999999997</v>
      </c>
      <c r="L198" s="16">
        <v>1</v>
      </c>
      <c r="M198" s="16">
        <v>0</v>
      </c>
      <c r="N198">
        <f t="array" aca="1" ref="N198" ca="1">MATCH(TRUE,EXACT(I198,OFFSET(rngParamTypes,0,6,,1)),0)</f>
        <v>87</v>
      </c>
      <c r="O198" t="str">
        <f ca="1">IF((INDEX(rngParamTypes,$N198,7)=I198),"",1)</f>
        <v/>
      </c>
      <c r="P198">
        <f ca="1">INDEX(rngParamTypes,$N198,9)</f>
        <v>1</v>
      </c>
      <c r="Q198">
        <f ca="1">INDEX(rngParamTypes,$N198,10)</f>
        <v>0</v>
      </c>
      <c r="R198">
        <f ca="1">INDEX(rngParamTypes,$N198,11)</f>
        <v>0</v>
      </c>
      <c r="S198">
        <f ca="1">INDEX(rngParamTypes,$N198,12)</f>
        <v>0</v>
      </c>
      <c r="T198">
        <f ca="1">INDEX(rngParamTypes,$N198,13)</f>
        <v>0</v>
      </c>
      <c r="U198">
        <f ca="1">INDEX(rngParamTypes,$N198,14)</f>
        <v>0</v>
      </c>
      <c r="V198">
        <f ca="1">INDEX(rngParamTypes,$N198,15)</f>
        <v>0</v>
      </c>
      <c r="W198">
        <f ca="1">INDEX(rngParamTypes,$N198,16)</f>
        <v>0</v>
      </c>
      <c r="X198">
        <f ca="1">INDEX(rngParamTypes,$N198,17)</f>
        <v>0</v>
      </c>
      <c r="Y198">
        <f ca="1">INDEX(rngParamTypes,$N198,18)</f>
        <v>0</v>
      </c>
    </row>
    <row r="199" spans="1:25" x14ac:dyDescent="0.2">
      <c r="A199" s="16">
        <v>198</v>
      </c>
      <c r="B199" s="37">
        <v>1</v>
      </c>
      <c r="C199" s="16" t="s">
        <v>999</v>
      </c>
      <c r="D199" s="16" t="s">
        <v>999</v>
      </c>
      <c r="E199" s="16">
        <v>2</v>
      </c>
      <c r="F199" s="16" t="s">
        <v>3407</v>
      </c>
      <c r="G199" s="16" t="s">
        <v>220</v>
      </c>
      <c r="H199" s="16" t="s">
        <v>998</v>
      </c>
      <c r="I199" s="16" t="s">
        <v>221</v>
      </c>
      <c r="J199" s="16">
        <v>0</v>
      </c>
      <c r="K199" s="16">
        <v>45.35924</v>
      </c>
      <c r="L199" s="16">
        <v>1</v>
      </c>
      <c r="M199" s="16">
        <v>0</v>
      </c>
      <c r="N199">
        <f t="array" aca="1" ref="N199" ca="1">MATCH(TRUE,EXACT(I199,OFFSET(rngParamTypes,0,6,,1)),0)</f>
        <v>87</v>
      </c>
      <c r="O199" t="str">
        <f ca="1">IF((INDEX(rngParamTypes,$N199,7)=I199),"",1)</f>
        <v/>
      </c>
      <c r="P199">
        <f ca="1">INDEX(rngParamTypes,$N199,9)</f>
        <v>1</v>
      </c>
      <c r="Q199">
        <f ca="1">INDEX(rngParamTypes,$N199,10)</f>
        <v>0</v>
      </c>
      <c r="R199">
        <f ca="1">INDEX(rngParamTypes,$N199,11)</f>
        <v>0</v>
      </c>
      <c r="S199">
        <f ca="1">INDEX(rngParamTypes,$N199,12)</f>
        <v>0</v>
      </c>
      <c r="T199">
        <f ca="1">INDEX(rngParamTypes,$N199,13)</f>
        <v>0</v>
      </c>
      <c r="U199">
        <f ca="1">INDEX(rngParamTypes,$N199,14)</f>
        <v>0</v>
      </c>
      <c r="V199">
        <f ca="1">INDEX(rngParamTypes,$N199,15)</f>
        <v>0</v>
      </c>
      <c r="W199">
        <f ca="1">INDEX(rngParamTypes,$N199,16)</f>
        <v>0</v>
      </c>
      <c r="X199">
        <f ca="1">INDEX(rngParamTypes,$N199,17)</f>
        <v>0</v>
      </c>
      <c r="Y199">
        <f ca="1">INDEX(rngParamTypes,$N199,18)</f>
        <v>0</v>
      </c>
    </row>
    <row r="200" spans="1:25" x14ac:dyDescent="0.2">
      <c r="A200" s="16">
        <v>199</v>
      </c>
      <c r="B200" s="37">
        <v>1</v>
      </c>
      <c r="C200" s="16" t="s">
        <v>581</v>
      </c>
      <c r="D200" s="16" t="s">
        <v>581</v>
      </c>
      <c r="E200" s="16"/>
      <c r="F200" s="16" t="s">
        <v>3408</v>
      </c>
      <c r="G200" s="16" t="s">
        <v>1001</v>
      </c>
      <c r="H200" s="16" t="s">
        <v>1000</v>
      </c>
      <c r="I200" s="16" t="s">
        <v>303</v>
      </c>
      <c r="J200" s="16">
        <v>0</v>
      </c>
      <c r="K200" s="16">
        <v>9.8692299999999991E-13</v>
      </c>
      <c r="L200" s="16">
        <v>1</v>
      </c>
      <c r="M200" s="16">
        <v>0</v>
      </c>
      <c r="N200">
        <f t="array" aca="1" ref="N200" ca="1">MATCH(TRUE,EXACT(I200,OFFSET(rngParamTypes,0,6,,1)),0)</f>
        <v>125</v>
      </c>
      <c r="O200" t="str">
        <f ca="1">IF((INDEX(rngParamTypes,$N200,7)=I200),"",1)</f>
        <v/>
      </c>
      <c r="P200">
        <f ca="1">INDEX(rngParamTypes,$N200,9)</f>
        <v>0</v>
      </c>
      <c r="Q200">
        <f ca="1">INDEX(rngParamTypes,$N200,10)</f>
        <v>2</v>
      </c>
      <c r="R200">
        <f ca="1">INDEX(rngParamTypes,$N200,11)</f>
        <v>0</v>
      </c>
      <c r="S200">
        <f ca="1">INDEX(rngParamTypes,$N200,12)</f>
        <v>0</v>
      </c>
      <c r="T200">
        <f ca="1">INDEX(rngParamTypes,$N200,13)</f>
        <v>0</v>
      </c>
      <c r="U200">
        <f ca="1">INDEX(rngParamTypes,$N200,14)</f>
        <v>0</v>
      </c>
      <c r="V200">
        <f ca="1">INDEX(rngParamTypes,$N200,15)</f>
        <v>0</v>
      </c>
      <c r="W200">
        <f ca="1">INDEX(rngParamTypes,$N200,16)</f>
        <v>0</v>
      </c>
      <c r="X200">
        <f ca="1">INDEX(rngParamTypes,$N200,17)</f>
        <v>0</v>
      </c>
      <c r="Y200">
        <f ca="1">INDEX(rngParamTypes,$N200,18)</f>
        <v>0</v>
      </c>
    </row>
    <row r="201" spans="1:25" x14ac:dyDescent="0.2">
      <c r="A201" s="16">
        <v>200</v>
      </c>
      <c r="B201" s="37">
        <v>1</v>
      </c>
      <c r="C201" s="16" t="s">
        <v>1003</v>
      </c>
      <c r="D201" s="16" t="s">
        <v>1003</v>
      </c>
      <c r="E201" s="16">
        <v>2</v>
      </c>
      <c r="F201" s="16" t="s">
        <v>3409</v>
      </c>
      <c r="G201" s="16" t="s">
        <v>469</v>
      </c>
      <c r="H201" s="16" t="s">
        <v>1002</v>
      </c>
      <c r="I201" s="16" t="s">
        <v>470</v>
      </c>
      <c r="J201" s="16">
        <v>0</v>
      </c>
      <c r="K201" s="16">
        <v>86400</v>
      </c>
      <c r="L201" s="16">
        <v>1</v>
      </c>
      <c r="M201" s="16">
        <v>0</v>
      </c>
      <c r="N201">
        <f t="array" aca="1" ref="N201" ca="1">MATCH(TRUE,EXACT(I201,OFFSET(rngParamTypes,0,6,,1)),0)</f>
        <v>190</v>
      </c>
      <c r="O201" t="str">
        <f ca="1">IF((INDEX(rngParamTypes,$N201,7)=I201),"",1)</f>
        <v/>
      </c>
      <c r="P201">
        <f ca="1">INDEX(rngParamTypes,$N201,9)</f>
        <v>0</v>
      </c>
      <c r="Q201">
        <f ca="1">INDEX(rngParamTypes,$N201,10)</f>
        <v>0</v>
      </c>
      <c r="R201">
        <f ca="1">INDEX(rngParamTypes,$N201,11)</f>
        <v>1</v>
      </c>
      <c r="S201">
        <f ca="1">INDEX(rngParamTypes,$N201,12)</f>
        <v>0</v>
      </c>
      <c r="T201">
        <f ca="1">INDEX(rngParamTypes,$N201,13)</f>
        <v>0</v>
      </c>
      <c r="U201">
        <f ca="1">INDEX(rngParamTypes,$N201,14)</f>
        <v>0</v>
      </c>
      <c r="V201">
        <f ca="1">INDEX(rngParamTypes,$N201,15)</f>
        <v>0</v>
      </c>
      <c r="W201">
        <f ca="1">INDEX(rngParamTypes,$N201,16)</f>
        <v>0</v>
      </c>
      <c r="X201">
        <f ca="1">INDEX(rngParamTypes,$N201,17)</f>
        <v>0</v>
      </c>
      <c r="Y201">
        <f ca="1">INDEX(rngParamTypes,$N201,18)</f>
        <v>0</v>
      </c>
    </row>
    <row r="202" spans="1:25" x14ac:dyDescent="0.2">
      <c r="A202" s="16">
        <v>201</v>
      </c>
      <c r="B202" s="37">
        <v>1</v>
      </c>
      <c r="C202" s="16" t="s">
        <v>1006</v>
      </c>
      <c r="D202" s="16" t="s">
        <v>1006</v>
      </c>
      <c r="E202" s="16"/>
      <c r="F202" s="16" t="s">
        <v>3410</v>
      </c>
      <c r="G202" s="16" t="s">
        <v>1005</v>
      </c>
      <c r="H202" s="16" t="s">
        <v>1004</v>
      </c>
      <c r="I202" s="16" t="s">
        <v>322</v>
      </c>
      <c r="J202" s="16">
        <v>0</v>
      </c>
      <c r="K202" s="16">
        <v>3.008141E-13</v>
      </c>
      <c r="L202" s="16">
        <v>1</v>
      </c>
      <c r="M202" s="16">
        <v>0</v>
      </c>
      <c r="N202">
        <f t="array" aca="1" ref="N202" ca="1">MATCH(TRUE,EXACT(I202,OFFSET(rngParamTypes,0,6,,1)),0)</f>
        <v>134</v>
      </c>
      <c r="O202" t="str">
        <f ca="1">IF((INDEX(rngParamTypes,$N202,7)=I202),"",1)</f>
        <v/>
      </c>
      <c r="P202">
        <f ca="1">INDEX(rngParamTypes,$N202,9)</f>
        <v>0</v>
      </c>
      <c r="Q202">
        <f ca="1">INDEX(rngParamTypes,$N202,10)</f>
        <v>3</v>
      </c>
      <c r="R202">
        <f ca="1">INDEX(rngParamTypes,$N202,11)</f>
        <v>0</v>
      </c>
      <c r="S202">
        <f ca="1">INDEX(rngParamTypes,$N202,12)</f>
        <v>0</v>
      </c>
      <c r="T202">
        <f ca="1">INDEX(rngParamTypes,$N202,13)</f>
        <v>0</v>
      </c>
      <c r="U202">
        <f ca="1">INDEX(rngParamTypes,$N202,14)</f>
        <v>0</v>
      </c>
      <c r="V202">
        <f ca="1">INDEX(rngParamTypes,$N202,15)</f>
        <v>0</v>
      </c>
      <c r="W202">
        <f ca="1">INDEX(rngParamTypes,$N202,16)</f>
        <v>0</v>
      </c>
      <c r="X202">
        <f ca="1">INDEX(rngParamTypes,$N202,17)</f>
        <v>0</v>
      </c>
      <c r="Y202">
        <f ca="1">INDEX(rngParamTypes,$N202,18)</f>
        <v>0</v>
      </c>
    </row>
    <row r="203" spans="1:25" x14ac:dyDescent="0.2">
      <c r="A203" s="16">
        <v>202</v>
      </c>
      <c r="B203" s="37">
        <v>1</v>
      </c>
      <c r="C203" s="16" t="s">
        <v>1008</v>
      </c>
      <c r="D203" s="16" t="s">
        <v>1008</v>
      </c>
      <c r="E203" s="16"/>
      <c r="F203" s="16" t="s">
        <v>3411</v>
      </c>
      <c r="G203" s="16" t="s">
        <v>1005</v>
      </c>
      <c r="H203" s="16" t="s">
        <v>1007</v>
      </c>
      <c r="I203" s="16" t="s">
        <v>322</v>
      </c>
      <c r="J203" s="16">
        <v>0</v>
      </c>
      <c r="K203" s="16">
        <v>9.8692299999999991E-13</v>
      </c>
      <c r="L203" s="16">
        <v>1</v>
      </c>
      <c r="M203" s="16">
        <v>0</v>
      </c>
      <c r="N203">
        <f t="array" aca="1" ref="N203" ca="1">MATCH(TRUE,EXACT(I203,OFFSET(rngParamTypes,0,6,,1)),0)</f>
        <v>134</v>
      </c>
      <c r="O203" t="str">
        <f ca="1">IF((INDEX(rngParamTypes,$N203,7)=I203),"",1)</f>
        <v/>
      </c>
      <c r="P203">
        <f ca="1">INDEX(rngParamTypes,$N203,9)</f>
        <v>0</v>
      </c>
      <c r="Q203">
        <f ca="1">INDEX(rngParamTypes,$N203,10)</f>
        <v>3</v>
      </c>
      <c r="R203">
        <f ca="1">INDEX(rngParamTypes,$N203,11)</f>
        <v>0</v>
      </c>
      <c r="S203">
        <f ca="1">INDEX(rngParamTypes,$N203,12)</f>
        <v>0</v>
      </c>
      <c r="T203">
        <f ca="1">INDEX(rngParamTypes,$N203,13)</f>
        <v>0</v>
      </c>
      <c r="U203">
        <f ca="1">INDEX(rngParamTypes,$N203,14)</f>
        <v>0</v>
      </c>
      <c r="V203">
        <f ca="1">INDEX(rngParamTypes,$N203,15)</f>
        <v>0</v>
      </c>
      <c r="W203">
        <f ca="1">INDEX(rngParamTypes,$N203,16)</f>
        <v>0</v>
      </c>
      <c r="X203">
        <f ca="1">INDEX(rngParamTypes,$N203,17)</f>
        <v>0</v>
      </c>
      <c r="Y203">
        <f ca="1">INDEX(rngParamTypes,$N203,18)</f>
        <v>0</v>
      </c>
    </row>
    <row r="204" spans="1:25" x14ac:dyDescent="0.2">
      <c r="A204" s="16">
        <v>203</v>
      </c>
      <c r="B204" s="37">
        <v>1</v>
      </c>
      <c r="C204" s="16" t="s">
        <v>1010</v>
      </c>
      <c r="D204" s="16" t="s">
        <v>1010</v>
      </c>
      <c r="E204" s="16"/>
      <c r="F204" s="16" t="s">
        <v>3412</v>
      </c>
      <c r="G204" s="16" t="s">
        <v>481</v>
      </c>
      <c r="H204" s="16" t="s">
        <v>1009</v>
      </c>
      <c r="I204" s="16" t="s">
        <v>482</v>
      </c>
      <c r="J204" s="16">
        <v>0</v>
      </c>
      <c r="K204" s="16">
        <v>86400</v>
      </c>
      <c r="L204" s="16">
        <v>0.1589873</v>
      </c>
      <c r="M204" s="16">
        <v>0</v>
      </c>
      <c r="N204">
        <f t="array" aca="1" ref="N204" ca="1">MATCH(TRUE,EXACT(I204,OFFSET(rngParamTypes,0,6,,1)),0)</f>
        <v>195</v>
      </c>
      <c r="O204" t="str">
        <f ca="1">IF((INDEX(rngParamTypes,$N204,7)=I204),"",1)</f>
        <v/>
      </c>
      <c r="P204">
        <f ca="1">INDEX(rngParamTypes,$N204,9)</f>
        <v>0</v>
      </c>
      <c r="Q204">
        <f ca="1">INDEX(rngParamTypes,$N204,10)</f>
        <v>-3</v>
      </c>
      <c r="R204">
        <f ca="1">INDEX(rngParamTypes,$N204,11)</f>
        <v>1</v>
      </c>
      <c r="S204">
        <f ca="1">INDEX(rngParamTypes,$N204,12)</f>
        <v>0</v>
      </c>
      <c r="T204">
        <f ca="1">INDEX(rngParamTypes,$N204,13)</f>
        <v>0</v>
      </c>
      <c r="U204">
        <f ca="1">INDEX(rngParamTypes,$N204,14)</f>
        <v>0</v>
      </c>
      <c r="V204">
        <f ca="1">INDEX(rngParamTypes,$N204,15)</f>
        <v>0</v>
      </c>
      <c r="W204">
        <f ca="1">INDEX(rngParamTypes,$N204,16)</f>
        <v>0</v>
      </c>
      <c r="X204">
        <f ca="1">INDEX(rngParamTypes,$N204,17)</f>
        <v>0</v>
      </c>
      <c r="Y204">
        <f ca="1">INDEX(rngParamTypes,$N204,18)</f>
        <v>0</v>
      </c>
    </row>
    <row r="205" spans="1:25" x14ac:dyDescent="0.2">
      <c r="A205" s="16">
        <v>204</v>
      </c>
      <c r="B205" s="37">
        <v>1</v>
      </c>
      <c r="C205" s="16" t="s">
        <v>1012</v>
      </c>
      <c r="D205" s="16" t="s">
        <v>1012</v>
      </c>
      <c r="E205" s="16"/>
      <c r="F205" s="16" t="s">
        <v>3413</v>
      </c>
      <c r="G205" s="16" t="s">
        <v>481</v>
      </c>
      <c r="H205" s="16" t="s">
        <v>1011</v>
      </c>
      <c r="I205" s="16" t="s">
        <v>482</v>
      </c>
      <c r="J205" s="16">
        <v>0</v>
      </c>
      <c r="K205" s="16">
        <v>86400</v>
      </c>
      <c r="L205" s="16">
        <v>2.8316846592000001E-2</v>
      </c>
      <c r="M205" s="16">
        <v>0</v>
      </c>
      <c r="N205">
        <f t="array" aca="1" ref="N205" ca="1">MATCH(TRUE,EXACT(I205,OFFSET(rngParamTypes,0,6,,1)),0)</f>
        <v>195</v>
      </c>
      <c r="O205" t="str">
        <f ca="1">IF((INDEX(rngParamTypes,$N205,7)=I205),"",1)</f>
        <v/>
      </c>
      <c r="P205">
        <f ca="1">INDEX(rngParamTypes,$N205,9)</f>
        <v>0</v>
      </c>
      <c r="Q205">
        <f ca="1">INDEX(rngParamTypes,$N205,10)</f>
        <v>-3</v>
      </c>
      <c r="R205">
        <f ca="1">INDEX(rngParamTypes,$N205,11)</f>
        <v>1</v>
      </c>
      <c r="S205">
        <f ca="1">INDEX(rngParamTypes,$N205,12)</f>
        <v>0</v>
      </c>
      <c r="T205">
        <f ca="1">INDEX(rngParamTypes,$N205,13)</f>
        <v>0</v>
      </c>
      <c r="U205">
        <f ca="1">INDEX(rngParamTypes,$N205,14)</f>
        <v>0</v>
      </c>
      <c r="V205">
        <f ca="1">INDEX(rngParamTypes,$N205,15)</f>
        <v>0</v>
      </c>
      <c r="W205">
        <f ca="1">INDEX(rngParamTypes,$N205,16)</f>
        <v>0</v>
      </c>
      <c r="X205">
        <f ca="1">INDEX(rngParamTypes,$N205,17)</f>
        <v>0</v>
      </c>
      <c r="Y205">
        <f ca="1">INDEX(rngParamTypes,$N205,18)</f>
        <v>0</v>
      </c>
    </row>
    <row r="206" spans="1:25" x14ac:dyDescent="0.2">
      <c r="A206" s="16">
        <v>205</v>
      </c>
      <c r="B206" s="37">
        <v>1</v>
      </c>
      <c r="C206" s="16" t="s">
        <v>1014</v>
      </c>
      <c r="D206" s="16" t="s">
        <v>1014</v>
      </c>
      <c r="E206" s="16"/>
      <c r="F206" s="16" t="s">
        <v>4266</v>
      </c>
      <c r="G206" s="16" t="s">
        <v>481</v>
      </c>
      <c r="H206" s="16" t="s">
        <v>1013</v>
      </c>
      <c r="I206" s="16" t="s">
        <v>482</v>
      </c>
      <c r="J206" s="16">
        <v>0</v>
      </c>
      <c r="K206" s="16">
        <v>86400</v>
      </c>
      <c r="L206" s="16">
        <v>28.316846592000001</v>
      </c>
      <c r="M206" s="16">
        <v>0</v>
      </c>
      <c r="N206">
        <f t="array" aca="1" ref="N206" ca="1">MATCH(TRUE,EXACT(I206,OFFSET(rngParamTypes,0,6,,1)),0)</f>
        <v>195</v>
      </c>
      <c r="O206" t="str">
        <f ca="1">IF((INDEX(rngParamTypes,$N206,7)=I206),"",1)</f>
        <v/>
      </c>
      <c r="P206">
        <f ca="1">INDEX(rngParamTypes,$N206,9)</f>
        <v>0</v>
      </c>
      <c r="Q206">
        <f ca="1">INDEX(rngParamTypes,$N206,10)</f>
        <v>-3</v>
      </c>
      <c r="R206">
        <f ca="1">INDEX(rngParamTypes,$N206,11)</f>
        <v>1</v>
      </c>
      <c r="S206">
        <f ca="1">INDEX(rngParamTypes,$N206,12)</f>
        <v>0</v>
      </c>
      <c r="T206">
        <f ca="1">INDEX(rngParamTypes,$N206,13)</f>
        <v>0</v>
      </c>
      <c r="U206">
        <f ca="1">INDEX(rngParamTypes,$N206,14)</f>
        <v>0</v>
      </c>
      <c r="V206">
        <f ca="1">INDEX(rngParamTypes,$N206,15)</f>
        <v>0</v>
      </c>
      <c r="W206">
        <f ca="1">INDEX(rngParamTypes,$N206,16)</f>
        <v>0</v>
      </c>
      <c r="X206">
        <f ca="1">INDEX(rngParamTypes,$N206,17)</f>
        <v>0</v>
      </c>
      <c r="Y206">
        <f ca="1">INDEX(rngParamTypes,$N206,18)</f>
        <v>0</v>
      </c>
    </row>
    <row r="207" spans="1:25" x14ac:dyDescent="0.2">
      <c r="A207" s="16">
        <v>206</v>
      </c>
      <c r="B207" s="37">
        <v>1</v>
      </c>
      <c r="C207" s="16" t="s">
        <v>1016</v>
      </c>
      <c r="D207" s="16" t="s">
        <v>1016</v>
      </c>
      <c r="E207" s="16"/>
      <c r="F207" s="16" t="s">
        <v>3414</v>
      </c>
      <c r="G207" s="16" t="s">
        <v>481</v>
      </c>
      <c r="H207" s="16" t="s">
        <v>1015</v>
      </c>
      <c r="I207" s="16" t="s">
        <v>482</v>
      </c>
      <c r="J207" s="16">
        <v>0</v>
      </c>
      <c r="K207" s="16">
        <v>86400</v>
      </c>
      <c r="L207" s="16">
        <v>1</v>
      </c>
      <c r="M207" s="16">
        <v>0</v>
      </c>
      <c r="N207">
        <f t="array" aca="1" ref="N207" ca="1">MATCH(TRUE,EXACT(I207,OFFSET(rngParamTypes,0,6,,1)),0)</f>
        <v>195</v>
      </c>
      <c r="O207" t="str">
        <f ca="1">IF((INDEX(rngParamTypes,$N207,7)=I207),"",1)</f>
        <v/>
      </c>
      <c r="P207">
        <f ca="1">INDEX(rngParamTypes,$N207,9)</f>
        <v>0</v>
      </c>
      <c r="Q207">
        <f ca="1">INDEX(rngParamTypes,$N207,10)</f>
        <v>-3</v>
      </c>
      <c r="R207">
        <f ca="1">INDEX(rngParamTypes,$N207,11)</f>
        <v>1</v>
      </c>
      <c r="S207">
        <f ca="1">INDEX(rngParamTypes,$N207,12)</f>
        <v>0</v>
      </c>
      <c r="T207">
        <f ca="1">INDEX(rngParamTypes,$N207,13)</f>
        <v>0</v>
      </c>
      <c r="U207">
        <f ca="1">INDEX(rngParamTypes,$N207,14)</f>
        <v>0</v>
      </c>
      <c r="V207">
        <f ca="1">INDEX(rngParamTypes,$N207,15)</f>
        <v>0</v>
      </c>
      <c r="W207">
        <f ca="1">INDEX(rngParamTypes,$N207,16)</f>
        <v>0</v>
      </c>
      <c r="X207">
        <f ca="1">INDEX(rngParamTypes,$N207,17)</f>
        <v>0</v>
      </c>
      <c r="Y207">
        <f ca="1">INDEX(rngParamTypes,$N207,18)</f>
        <v>0</v>
      </c>
    </row>
    <row r="208" spans="1:25" x14ac:dyDescent="0.2">
      <c r="A208" s="16">
        <v>207</v>
      </c>
      <c r="B208" s="37">
        <v>1</v>
      </c>
      <c r="C208" s="16" t="s">
        <v>1018</v>
      </c>
      <c r="D208" s="16" t="s">
        <v>1018</v>
      </c>
      <c r="E208" s="16">
        <v>2</v>
      </c>
      <c r="F208" s="16" t="s">
        <v>3415</v>
      </c>
      <c r="G208" s="16" t="s">
        <v>378</v>
      </c>
      <c r="H208" s="16" t="s">
        <v>1017</v>
      </c>
      <c r="I208" s="16" t="s">
        <v>379</v>
      </c>
      <c r="J208" s="16">
        <v>0</v>
      </c>
      <c r="K208" s="16">
        <v>10</v>
      </c>
      <c r="L208" s="16">
        <v>1</v>
      </c>
      <c r="M208" s="16">
        <v>0</v>
      </c>
      <c r="N208">
        <f t="array" aca="1" ref="N208" ca="1">MATCH(TRUE,EXACT(I208,OFFSET(rngParamTypes,0,6,,1)),0)</f>
        <v>154</v>
      </c>
      <c r="O208" t="str">
        <f ca="1">IF((INDEX(rngParamTypes,$N208,7)=I208),"",1)</f>
        <v/>
      </c>
      <c r="P208">
        <f ca="1">INDEX(rngParamTypes,$N208,9)</f>
        <v>1</v>
      </c>
      <c r="Q208">
        <f ca="1">INDEX(rngParamTypes,$N208,10)</f>
        <v>1</v>
      </c>
      <c r="R208">
        <f ca="1">INDEX(rngParamTypes,$N208,11)</f>
        <v>-2</v>
      </c>
      <c r="S208">
        <f ca="1">INDEX(rngParamTypes,$N208,12)</f>
        <v>0</v>
      </c>
      <c r="T208">
        <f ca="1">INDEX(rngParamTypes,$N208,13)</f>
        <v>0</v>
      </c>
      <c r="U208">
        <f ca="1">INDEX(rngParamTypes,$N208,14)</f>
        <v>0</v>
      </c>
      <c r="V208">
        <f ca="1">INDEX(rngParamTypes,$N208,15)</f>
        <v>0</v>
      </c>
      <c r="W208">
        <f ca="1">INDEX(rngParamTypes,$N208,16)</f>
        <v>0</v>
      </c>
      <c r="X208">
        <f ca="1">INDEX(rngParamTypes,$N208,17)</f>
        <v>0</v>
      </c>
      <c r="Y208">
        <f ca="1">INDEX(rngParamTypes,$N208,18)</f>
        <v>0</v>
      </c>
    </row>
    <row r="209" spans="1:25" x14ac:dyDescent="0.2">
      <c r="A209" s="16">
        <v>208</v>
      </c>
      <c r="B209" s="37">
        <v>1</v>
      </c>
      <c r="C209" s="16" t="s">
        <v>1020</v>
      </c>
      <c r="D209" s="16" t="s">
        <v>1020</v>
      </c>
      <c r="E209" s="16"/>
      <c r="F209" s="16" t="s">
        <v>3416</v>
      </c>
      <c r="G209" s="16" t="s">
        <v>3417</v>
      </c>
      <c r="H209" s="16" t="s">
        <v>1019</v>
      </c>
      <c r="I209" s="16" t="s">
        <v>168</v>
      </c>
      <c r="J209" s="16">
        <v>0</v>
      </c>
      <c r="K209" s="16">
        <v>10</v>
      </c>
      <c r="L209" s="16">
        <v>1</v>
      </c>
      <c r="M209" s="16">
        <v>0</v>
      </c>
      <c r="N209">
        <f t="array" aca="1" ref="N209" ca="1">MATCH(TRUE,EXACT(I209,OFFSET(rngParamTypes,0,6,,1)),0)</f>
        <v>56</v>
      </c>
      <c r="O209" t="str">
        <f ca="1">IF((INDEX(rngParamTypes,$N209,7)=I209),"",1)</f>
        <v/>
      </c>
      <c r="P209">
        <f ca="1">INDEX(rngParamTypes,$N209,9)</f>
        <v>1</v>
      </c>
      <c r="Q209">
        <f ca="1">INDEX(rngParamTypes,$N209,10)</f>
        <v>2</v>
      </c>
      <c r="R209">
        <f ca="1">INDEX(rngParamTypes,$N209,11)</f>
        <v>-2</v>
      </c>
      <c r="S209">
        <f ca="1">INDEX(rngParamTypes,$N209,12)</f>
        <v>0</v>
      </c>
      <c r="T209">
        <f ca="1">INDEX(rngParamTypes,$N209,13)</f>
        <v>0</v>
      </c>
      <c r="U209">
        <f ca="1">INDEX(rngParamTypes,$N209,14)</f>
        <v>0</v>
      </c>
      <c r="V209">
        <f ca="1">INDEX(rngParamTypes,$N209,15)</f>
        <v>0</v>
      </c>
      <c r="W209">
        <f ca="1">INDEX(rngParamTypes,$N209,16)</f>
        <v>0</v>
      </c>
      <c r="X209">
        <f ca="1">INDEX(rngParamTypes,$N209,17)</f>
        <v>0</v>
      </c>
      <c r="Y209">
        <f ca="1">INDEX(rngParamTypes,$N209,18)</f>
        <v>0</v>
      </c>
    </row>
    <row r="210" spans="1:25" x14ac:dyDescent="0.2">
      <c r="A210" s="16">
        <v>209</v>
      </c>
      <c r="B210" s="37">
        <v>1</v>
      </c>
      <c r="C210" s="16" t="s">
        <v>1022</v>
      </c>
      <c r="D210" s="16" t="s">
        <v>1022</v>
      </c>
      <c r="E210" s="16">
        <v>2</v>
      </c>
      <c r="F210" s="16" t="s">
        <v>3418</v>
      </c>
      <c r="G210" s="16" t="s">
        <v>3253</v>
      </c>
      <c r="H210" s="16" t="s">
        <v>1021</v>
      </c>
      <c r="I210" s="16" t="s">
        <v>252</v>
      </c>
      <c r="J210" s="16">
        <v>141500</v>
      </c>
      <c r="K210" s="16">
        <v>0</v>
      </c>
      <c r="L210" s="16">
        <v>131.5</v>
      </c>
      <c r="M210" s="16">
        <v>1</v>
      </c>
      <c r="N210">
        <f t="array" aca="1" ref="N210" ca="1">MATCH(TRUE,EXACT(I210,OFFSET(rngParamTypes,0,6,,1)),0)</f>
        <v>99</v>
      </c>
      <c r="O210" t="str">
        <f ca="1">IF((INDEX(rngParamTypes,$N210,7)=I210),"",1)</f>
        <v/>
      </c>
      <c r="P210">
        <f ca="1">INDEX(rngParamTypes,$N210,9)</f>
        <v>1</v>
      </c>
      <c r="Q210">
        <f ca="1">INDEX(rngParamTypes,$N210,10)</f>
        <v>-3</v>
      </c>
      <c r="R210">
        <f ca="1">INDEX(rngParamTypes,$N210,11)</f>
        <v>0</v>
      </c>
      <c r="S210">
        <f ca="1">INDEX(rngParamTypes,$N210,12)</f>
        <v>0</v>
      </c>
      <c r="T210">
        <f ca="1">INDEX(rngParamTypes,$N210,13)</f>
        <v>0</v>
      </c>
      <c r="U210">
        <f ca="1">INDEX(rngParamTypes,$N210,14)</f>
        <v>0</v>
      </c>
      <c r="V210">
        <f ca="1">INDEX(rngParamTypes,$N210,15)</f>
        <v>0</v>
      </c>
      <c r="W210">
        <f ca="1">INDEX(rngParamTypes,$N210,16)</f>
        <v>0</v>
      </c>
      <c r="X210">
        <f ca="1">INDEX(rngParamTypes,$N210,17)</f>
        <v>0</v>
      </c>
      <c r="Y210">
        <f ca="1">INDEX(rngParamTypes,$N210,18)</f>
        <v>0</v>
      </c>
    </row>
    <row r="211" spans="1:25" x14ac:dyDescent="0.2">
      <c r="A211" s="16">
        <v>210</v>
      </c>
      <c r="B211" s="37">
        <v>1</v>
      </c>
      <c r="C211" s="16" t="s">
        <v>1024</v>
      </c>
      <c r="D211" s="16" t="s">
        <v>1024</v>
      </c>
      <c r="E211" s="16"/>
      <c r="F211" s="16" t="s">
        <v>3419</v>
      </c>
      <c r="G211" s="16" t="s">
        <v>60</v>
      </c>
      <c r="H211" s="16" t="s">
        <v>1023</v>
      </c>
      <c r="I211" s="16" t="s">
        <v>61</v>
      </c>
      <c r="J211" s="16">
        <v>0</v>
      </c>
      <c r="K211" s="16">
        <v>0.1</v>
      </c>
      <c r="L211" s="16">
        <v>1</v>
      </c>
      <c r="M211" s="16">
        <v>0</v>
      </c>
      <c r="N211">
        <f t="array" aca="1" ref="N211" ca="1">MATCH(TRUE,EXACT(I211,OFFSET(rngParamTypes,0,6,,1)),0)</f>
        <v>23</v>
      </c>
      <c r="O211" t="str">
        <f ca="1">IF((INDEX(rngParamTypes,$N211,7)=I211),"",1)</f>
        <v/>
      </c>
      <c r="P211">
        <f ca="1">INDEX(rngParamTypes,$N211,9)</f>
        <v>0</v>
      </c>
      <c r="Q211">
        <f ca="1">INDEX(rngParamTypes,$N211,10)</f>
        <v>0</v>
      </c>
      <c r="R211">
        <f ca="1">INDEX(rngParamTypes,$N211,11)</f>
        <v>0</v>
      </c>
      <c r="S211">
        <f ca="1">INDEX(rngParamTypes,$N211,12)</f>
        <v>0</v>
      </c>
      <c r="T211">
        <f ca="1">INDEX(rngParamTypes,$N211,13)</f>
        <v>0</v>
      </c>
      <c r="U211">
        <f ca="1">INDEX(rngParamTypes,$N211,14)</f>
        <v>0</v>
      </c>
      <c r="V211">
        <f ca="1">INDEX(rngParamTypes,$N211,15)</f>
        <v>0</v>
      </c>
      <c r="W211">
        <f ca="1">INDEX(rngParamTypes,$N211,16)</f>
        <v>0</v>
      </c>
      <c r="X211">
        <f ca="1">INDEX(rngParamTypes,$N211,17)</f>
        <v>0</v>
      </c>
      <c r="Y211">
        <f ca="1">INDEX(rngParamTypes,$N211,18)</f>
        <v>0</v>
      </c>
    </row>
    <row r="212" spans="1:25" x14ac:dyDescent="0.2">
      <c r="A212" s="16">
        <v>211</v>
      </c>
      <c r="B212" s="37">
        <v>1</v>
      </c>
      <c r="C212" s="16" t="s">
        <v>1026</v>
      </c>
      <c r="D212" s="16" t="s">
        <v>1026</v>
      </c>
      <c r="E212" s="16"/>
      <c r="F212" s="16" t="s">
        <v>3420</v>
      </c>
      <c r="G212" s="16" t="s">
        <v>65</v>
      </c>
      <c r="H212" s="16" t="s">
        <v>1025</v>
      </c>
      <c r="I212" s="16" t="s">
        <v>66</v>
      </c>
      <c r="J212" s="16">
        <v>0</v>
      </c>
      <c r="K212" s="16">
        <v>0.1</v>
      </c>
      <c r="L212" s="16">
        <v>0.30480000000000002</v>
      </c>
      <c r="M212" s="16">
        <v>0</v>
      </c>
      <c r="N212">
        <f t="array" aca="1" ref="N212" ca="1">MATCH(TRUE,EXACT(I212,OFFSET(rngParamTypes,0,6,,1)),0)</f>
        <v>24</v>
      </c>
      <c r="O212" t="str">
        <f ca="1">IF((INDEX(rngParamTypes,$N212,7)=I212),"",1)</f>
        <v/>
      </c>
      <c r="P212">
        <f ca="1">INDEX(rngParamTypes,$N212,9)</f>
        <v>0</v>
      </c>
      <c r="Q212">
        <f ca="1">INDEX(rngParamTypes,$N212,10)</f>
        <v>-1</v>
      </c>
      <c r="R212">
        <f ca="1">INDEX(rngParamTypes,$N212,11)</f>
        <v>0</v>
      </c>
      <c r="S212">
        <f ca="1">INDEX(rngParamTypes,$N212,12)</f>
        <v>0</v>
      </c>
      <c r="T212">
        <f ca="1">INDEX(rngParamTypes,$N212,13)</f>
        <v>0</v>
      </c>
      <c r="U212">
        <f ca="1">INDEX(rngParamTypes,$N212,14)</f>
        <v>0</v>
      </c>
      <c r="V212">
        <f ca="1">INDEX(rngParamTypes,$N212,15)</f>
        <v>0</v>
      </c>
      <c r="W212">
        <f ca="1">INDEX(rngParamTypes,$N212,16)</f>
        <v>0</v>
      </c>
      <c r="X212">
        <f ca="1">INDEX(rngParamTypes,$N212,17)</f>
        <v>0</v>
      </c>
      <c r="Y212">
        <f ca="1">INDEX(rngParamTypes,$N212,18)</f>
        <v>0</v>
      </c>
    </row>
    <row r="213" spans="1:25" x14ac:dyDescent="0.2">
      <c r="A213" s="16">
        <v>212</v>
      </c>
      <c r="B213" s="37">
        <v>1</v>
      </c>
      <c r="C213" s="16" t="s">
        <v>1028</v>
      </c>
      <c r="D213" s="16" t="s">
        <v>1028</v>
      </c>
      <c r="E213" s="16"/>
      <c r="F213" s="16" t="s">
        <v>3421</v>
      </c>
      <c r="G213" s="16" t="s">
        <v>65</v>
      </c>
      <c r="H213" s="16" t="s">
        <v>1027</v>
      </c>
      <c r="I213" s="16" t="s">
        <v>66</v>
      </c>
      <c r="J213" s="16">
        <v>0</v>
      </c>
      <c r="K213" s="16">
        <v>0.1</v>
      </c>
      <c r="L213" s="16">
        <v>1</v>
      </c>
      <c r="M213" s="16">
        <v>0</v>
      </c>
      <c r="N213">
        <f t="array" aca="1" ref="N213" ca="1">MATCH(TRUE,EXACT(I213,OFFSET(rngParamTypes,0,6,,1)),0)</f>
        <v>24</v>
      </c>
      <c r="O213" t="str">
        <f ca="1">IF((INDEX(rngParamTypes,$N213,7)=I213),"",1)</f>
        <v/>
      </c>
      <c r="P213">
        <f ca="1">INDEX(rngParamTypes,$N213,9)</f>
        <v>0</v>
      </c>
      <c r="Q213">
        <f ca="1">INDEX(rngParamTypes,$N213,10)</f>
        <v>-1</v>
      </c>
      <c r="R213">
        <f ca="1">INDEX(rngParamTypes,$N213,11)</f>
        <v>0</v>
      </c>
      <c r="S213">
        <f ca="1">INDEX(rngParamTypes,$N213,12)</f>
        <v>0</v>
      </c>
      <c r="T213">
        <f ca="1">INDEX(rngParamTypes,$N213,13)</f>
        <v>0</v>
      </c>
      <c r="U213">
        <f ca="1">INDEX(rngParamTypes,$N213,14)</f>
        <v>0</v>
      </c>
      <c r="V213">
        <f ca="1">INDEX(rngParamTypes,$N213,15)</f>
        <v>0</v>
      </c>
      <c r="W213">
        <f ca="1">INDEX(rngParamTypes,$N213,16)</f>
        <v>0</v>
      </c>
      <c r="X213">
        <f ca="1">INDEX(rngParamTypes,$N213,17)</f>
        <v>0</v>
      </c>
      <c r="Y213">
        <f ca="1">INDEX(rngParamTypes,$N213,18)</f>
        <v>0</v>
      </c>
    </row>
    <row r="214" spans="1:25" x14ac:dyDescent="0.2">
      <c r="A214" s="16">
        <v>213</v>
      </c>
      <c r="B214" s="37">
        <v>1</v>
      </c>
      <c r="C214" s="16" t="s">
        <v>1030</v>
      </c>
      <c r="D214" s="16" t="s">
        <v>1030</v>
      </c>
      <c r="E214" s="16"/>
      <c r="F214" s="16" t="s">
        <v>3422</v>
      </c>
      <c r="G214" s="16" t="s">
        <v>65</v>
      </c>
      <c r="H214" s="16" t="s">
        <v>1029</v>
      </c>
      <c r="I214" s="16" t="s">
        <v>66</v>
      </c>
      <c r="J214" s="16">
        <v>0</v>
      </c>
      <c r="K214" s="16">
        <v>1E-4</v>
      </c>
      <c r="L214" s="16">
        <v>1</v>
      </c>
      <c r="M214" s="16">
        <v>0</v>
      </c>
      <c r="N214">
        <f t="array" aca="1" ref="N214" ca="1">MATCH(TRUE,EXACT(I214,OFFSET(rngParamTypes,0,6,,1)),0)</f>
        <v>24</v>
      </c>
      <c r="O214" t="str">
        <f ca="1">IF((INDEX(rngParamTypes,$N214,7)=I214),"",1)</f>
        <v/>
      </c>
      <c r="P214">
        <f ca="1">INDEX(rngParamTypes,$N214,9)</f>
        <v>0</v>
      </c>
      <c r="Q214">
        <f ca="1">INDEX(rngParamTypes,$N214,10)</f>
        <v>-1</v>
      </c>
      <c r="R214">
        <f ca="1">INDEX(rngParamTypes,$N214,11)</f>
        <v>0</v>
      </c>
      <c r="S214">
        <f ca="1">INDEX(rngParamTypes,$N214,12)</f>
        <v>0</v>
      </c>
      <c r="T214">
        <f ca="1">INDEX(rngParamTypes,$N214,13)</f>
        <v>0</v>
      </c>
      <c r="U214">
        <f ca="1">INDEX(rngParamTypes,$N214,14)</f>
        <v>0</v>
      </c>
      <c r="V214">
        <f ca="1">INDEX(rngParamTypes,$N214,15)</f>
        <v>0</v>
      </c>
      <c r="W214">
        <f ca="1">INDEX(rngParamTypes,$N214,16)</f>
        <v>0</v>
      </c>
      <c r="X214">
        <f ca="1">INDEX(rngParamTypes,$N214,17)</f>
        <v>0</v>
      </c>
      <c r="Y214">
        <f ca="1">INDEX(rngParamTypes,$N214,18)</f>
        <v>0</v>
      </c>
    </row>
    <row r="215" spans="1:25" x14ac:dyDescent="0.2">
      <c r="A215" s="16">
        <v>214</v>
      </c>
      <c r="B215" s="37">
        <v>1</v>
      </c>
      <c r="C215" s="16" t="s">
        <v>1032</v>
      </c>
      <c r="D215" s="16" t="s">
        <v>1032</v>
      </c>
      <c r="E215" s="16"/>
      <c r="F215" s="16" t="s">
        <v>3423</v>
      </c>
      <c r="G215" s="16" t="s">
        <v>69</v>
      </c>
      <c r="H215" s="16" t="s">
        <v>1031</v>
      </c>
      <c r="I215" s="16" t="s">
        <v>70</v>
      </c>
      <c r="J215" s="16">
        <v>0</v>
      </c>
      <c r="K215" s="16">
        <v>0.1</v>
      </c>
      <c r="L215" s="16">
        <v>1</v>
      </c>
      <c r="M215" s="16">
        <v>0</v>
      </c>
      <c r="N215">
        <f t="array" aca="1" ref="N215" ca="1">MATCH(TRUE,EXACT(I215,OFFSET(rngParamTypes,0,6,,1)),0)</f>
        <v>25</v>
      </c>
      <c r="O215" t="str">
        <f ca="1">IF((INDEX(rngParamTypes,$N215,7)=I215),"",1)</f>
        <v/>
      </c>
      <c r="P215">
        <f ca="1">INDEX(rngParamTypes,$N215,9)</f>
        <v>0</v>
      </c>
      <c r="Q215">
        <f ca="1">INDEX(rngParamTypes,$N215,10)</f>
        <v>0</v>
      </c>
      <c r="R215">
        <f ca="1">INDEX(rngParamTypes,$N215,11)</f>
        <v>0</v>
      </c>
      <c r="S215">
        <f ca="1">INDEX(rngParamTypes,$N215,12)</f>
        <v>0</v>
      </c>
      <c r="T215">
        <f ca="1">INDEX(rngParamTypes,$N215,13)</f>
        <v>0</v>
      </c>
      <c r="U215">
        <f ca="1">INDEX(rngParamTypes,$N215,14)</f>
        <v>0</v>
      </c>
      <c r="V215">
        <f ca="1">INDEX(rngParamTypes,$N215,15)</f>
        <v>0</v>
      </c>
      <c r="W215">
        <f ca="1">INDEX(rngParamTypes,$N215,16)</f>
        <v>0</v>
      </c>
      <c r="X215">
        <f ca="1">INDEX(rngParamTypes,$N215,17)</f>
        <v>0</v>
      </c>
      <c r="Y215">
        <f ca="1">INDEX(rngParamTypes,$N215,18)</f>
        <v>0</v>
      </c>
    </row>
    <row r="216" spans="1:25" x14ac:dyDescent="0.2">
      <c r="A216" s="16">
        <v>215</v>
      </c>
      <c r="B216" s="37">
        <v>1</v>
      </c>
      <c r="C216" s="16" t="s">
        <v>1034</v>
      </c>
      <c r="D216" s="16" t="s">
        <v>1034</v>
      </c>
      <c r="E216" s="16">
        <v>2</v>
      </c>
      <c r="F216" s="16" t="s">
        <v>3424</v>
      </c>
      <c r="G216" s="16" t="s">
        <v>203</v>
      </c>
      <c r="H216" s="16" t="s">
        <v>1033</v>
      </c>
      <c r="I216" s="16" t="s">
        <v>204</v>
      </c>
      <c r="J216" s="16">
        <v>0</v>
      </c>
      <c r="K216" s="16">
        <v>1</v>
      </c>
      <c r="L216" s="16">
        <v>1</v>
      </c>
      <c r="M216" s="16">
        <v>0</v>
      </c>
      <c r="N216">
        <f t="array" aca="1" ref="N216" ca="1">MATCH(TRUE,EXACT(I216,OFFSET(rngParamTypes,0,6,,1)),0)</f>
        <v>80</v>
      </c>
      <c r="O216" t="str">
        <f ca="1">IF((INDEX(rngParamTypes,$N216,7)=I216),"",1)</f>
        <v/>
      </c>
      <c r="P216">
        <f ca="1">INDEX(rngParamTypes,$N216,9)</f>
        <v>0</v>
      </c>
      <c r="Q216">
        <f ca="1">INDEX(rngParamTypes,$N216,10)</f>
        <v>0</v>
      </c>
      <c r="R216">
        <f ca="1">INDEX(rngParamTypes,$N216,11)</f>
        <v>0</v>
      </c>
      <c r="S216">
        <f ca="1">INDEX(rngParamTypes,$N216,12)</f>
        <v>0</v>
      </c>
      <c r="T216">
        <f ca="1">INDEX(rngParamTypes,$N216,13)</f>
        <v>1</v>
      </c>
      <c r="U216">
        <f ca="1">INDEX(rngParamTypes,$N216,14)</f>
        <v>0</v>
      </c>
      <c r="V216">
        <f ca="1">INDEX(rngParamTypes,$N216,15)</f>
        <v>0</v>
      </c>
      <c r="W216">
        <f ca="1">INDEX(rngParamTypes,$N216,16)</f>
        <v>0</v>
      </c>
      <c r="X216">
        <f ca="1">INDEX(rngParamTypes,$N216,17)</f>
        <v>0</v>
      </c>
      <c r="Y216">
        <f ca="1">INDEX(rngParamTypes,$N216,18)</f>
        <v>0</v>
      </c>
    </row>
    <row r="217" spans="1:25" x14ac:dyDescent="0.2">
      <c r="A217" s="16">
        <v>216</v>
      </c>
      <c r="B217" s="37">
        <v>1</v>
      </c>
      <c r="C217" s="16" t="s">
        <v>1037</v>
      </c>
      <c r="D217" s="16" t="s">
        <v>1037</v>
      </c>
      <c r="E217" s="16">
        <v>2</v>
      </c>
      <c r="F217" s="16" t="s">
        <v>3425</v>
      </c>
      <c r="G217" s="16" t="s">
        <v>203</v>
      </c>
      <c r="H217" s="16" t="s">
        <v>1036</v>
      </c>
      <c r="I217" s="16" t="s">
        <v>204</v>
      </c>
      <c r="J217" s="16">
        <v>0</v>
      </c>
      <c r="K217" s="16">
        <v>5</v>
      </c>
      <c r="L217" s="16">
        <v>9</v>
      </c>
      <c r="M217" s="16">
        <v>0</v>
      </c>
      <c r="N217">
        <f t="array" aca="1" ref="N217" ca="1">MATCH(TRUE,EXACT(I217,OFFSET(rngParamTypes,0,6,,1)),0)</f>
        <v>80</v>
      </c>
      <c r="O217" t="str">
        <f ca="1">IF((INDEX(rngParamTypes,$N217,7)=I217),"",1)</f>
        <v/>
      </c>
      <c r="P217">
        <f ca="1">INDEX(rngParamTypes,$N217,9)</f>
        <v>0</v>
      </c>
      <c r="Q217">
        <f ca="1">INDEX(rngParamTypes,$N217,10)</f>
        <v>0</v>
      </c>
      <c r="R217">
        <f ca="1">INDEX(rngParamTypes,$N217,11)</f>
        <v>0</v>
      </c>
      <c r="S217">
        <f ca="1">INDEX(rngParamTypes,$N217,12)</f>
        <v>0</v>
      </c>
      <c r="T217">
        <f ca="1">INDEX(rngParamTypes,$N217,13)</f>
        <v>1</v>
      </c>
      <c r="U217">
        <f ca="1">INDEX(rngParamTypes,$N217,14)</f>
        <v>0</v>
      </c>
      <c r="V217">
        <f ca="1">INDEX(rngParamTypes,$N217,15)</f>
        <v>0</v>
      </c>
      <c r="W217">
        <f ca="1">INDEX(rngParamTypes,$N217,16)</f>
        <v>0</v>
      </c>
      <c r="X217">
        <f ca="1">INDEX(rngParamTypes,$N217,17)</f>
        <v>0</v>
      </c>
      <c r="Y217">
        <f ca="1">INDEX(rngParamTypes,$N217,18)</f>
        <v>0</v>
      </c>
    </row>
    <row r="218" spans="1:25" x14ac:dyDescent="0.2">
      <c r="A218" s="16">
        <v>217</v>
      </c>
      <c r="B218" s="37">
        <v>1</v>
      </c>
      <c r="C218" s="16" t="s">
        <v>1040</v>
      </c>
      <c r="D218" s="16" t="s">
        <v>1040</v>
      </c>
      <c r="E218" s="16">
        <v>2</v>
      </c>
      <c r="F218" s="16" t="s">
        <v>3426</v>
      </c>
      <c r="G218" s="16" t="s">
        <v>203</v>
      </c>
      <c r="H218" s="16" t="s">
        <v>1039</v>
      </c>
      <c r="I218" s="16" t="s">
        <v>204</v>
      </c>
      <c r="J218" s="16">
        <v>0</v>
      </c>
      <c r="K218" s="16">
        <v>1</v>
      </c>
      <c r="L218" s="16">
        <v>1</v>
      </c>
      <c r="M218" s="16">
        <v>0</v>
      </c>
      <c r="N218">
        <f t="array" aca="1" ref="N218" ca="1">MATCH(TRUE,EXACT(I218,OFFSET(rngParamTypes,0,6,,1)),0)</f>
        <v>80</v>
      </c>
      <c r="O218" t="str">
        <f ca="1">IF((INDEX(rngParamTypes,$N218,7)=I218),"",1)</f>
        <v/>
      </c>
      <c r="P218">
        <f ca="1">INDEX(rngParamTypes,$N218,9)</f>
        <v>0</v>
      </c>
      <c r="Q218">
        <f ca="1">INDEX(rngParamTypes,$N218,10)</f>
        <v>0</v>
      </c>
      <c r="R218">
        <f ca="1">INDEX(rngParamTypes,$N218,11)</f>
        <v>0</v>
      </c>
      <c r="S218">
        <f ca="1">INDEX(rngParamTypes,$N218,12)</f>
        <v>0</v>
      </c>
      <c r="T218">
        <f ca="1">INDEX(rngParamTypes,$N218,13)</f>
        <v>1</v>
      </c>
      <c r="U218">
        <f ca="1">INDEX(rngParamTypes,$N218,14)</f>
        <v>0</v>
      </c>
      <c r="V218">
        <f ca="1">INDEX(rngParamTypes,$N218,15)</f>
        <v>0</v>
      </c>
      <c r="W218">
        <f ca="1">INDEX(rngParamTypes,$N218,16)</f>
        <v>0</v>
      </c>
      <c r="X218">
        <f ca="1">INDEX(rngParamTypes,$N218,17)</f>
        <v>0</v>
      </c>
      <c r="Y218">
        <f ca="1">INDEX(rngParamTypes,$N218,18)</f>
        <v>0</v>
      </c>
    </row>
    <row r="219" spans="1:25" x14ac:dyDescent="0.2">
      <c r="A219" s="16">
        <v>218</v>
      </c>
      <c r="B219" s="37">
        <v>1</v>
      </c>
      <c r="C219" s="16" t="s">
        <v>1042</v>
      </c>
      <c r="D219" s="16" t="s">
        <v>1042</v>
      </c>
      <c r="E219" s="16">
        <v>2</v>
      </c>
      <c r="F219" s="16" t="s">
        <v>3427</v>
      </c>
      <c r="G219" s="16" t="s">
        <v>203</v>
      </c>
      <c r="H219" s="16" t="s">
        <v>1041</v>
      </c>
      <c r="I219" s="16" t="s">
        <v>204</v>
      </c>
      <c r="J219" s="16">
        <v>0</v>
      </c>
      <c r="K219" s="16">
        <v>5</v>
      </c>
      <c r="L219" s="16">
        <v>9</v>
      </c>
      <c r="M219" s="16">
        <v>0</v>
      </c>
      <c r="N219">
        <f t="array" aca="1" ref="N219" ca="1">MATCH(TRUE,EXACT(I219,OFFSET(rngParamTypes,0,6,,1)),0)</f>
        <v>80</v>
      </c>
      <c r="O219" t="str">
        <f ca="1">IF((INDEX(rngParamTypes,$N219,7)=I219),"",1)</f>
        <v/>
      </c>
      <c r="P219">
        <f ca="1">INDEX(rngParamTypes,$N219,9)</f>
        <v>0</v>
      </c>
      <c r="Q219">
        <f ca="1">INDEX(rngParamTypes,$N219,10)</f>
        <v>0</v>
      </c>
      <c r="R219">
        <f ca="1">INDEX(rngParamTypes,$N219,11)</f>
        <v>0</v>
      </c>
      <c r="S219">
        <f ca="1">INDEX(rngParamTypes,$N219,12)</f>
        <v>0</v>
      </c>
      <c r="T219">
        <f ca="1">INDEX(rngParamTypes,$N219,13)</f>
        <v>1</v>
      </c>
      <c r="U219">
        <f ca="1">INDEX(rngParamTypes,$N219,14)</f>
        <v>0</v>
      </c>
      <c r="V219">
        <f ca="1">INDEX(rngParamTypes,$N219,15)</f>
        <v>0</v>
      </c>
      <c r="W219">
        <f ca="1">INDEX(rngParamTypes,$N219,16)</f>
        <v>0</v>
      </c>
      <c r="X219">
        <f ca="1">INDEX(rngParamTypes,$N219,17)</f>
        <v>0</v>
      </c>
      <c r="Y219">
        <f ca="1">INDEX(rngParamTypes,$N219,18)</f>
        <v>0</v>
      </c>
    </row>
    <row r="220" spans="1:25" x14ac:dyDescent="0.2">
      <c r="A220" s="16">
        <v>219</v>
      </c>
      <c r="B220" s="37">
        <v>1</v>
      </c>
      <c r="C220" s="16" t="s">
        <v>1045</v>
      </c>
      <c r="D220" s="16" t="s">
        <v>1045</v>
      </c>
      <c r="E220" s="16">
        <v>2</v>
      </c>
      <c r="F220" s="16" t="s">
        <v>3428</v>
      </c>
      <c r="G220" s="16" t="s">
        <v>443</v>
      </c>
      <c r="H220" s="16" t="s">
        <v>1044</v>
      </c>
      <c r="I220" s="16" t="s">
        <v>444</v>
      </c>
      <c r="J220" s="16">
        <v>0</v>
      </c>
      <c r="K220" s="16">
        <v>1.745329E-2</v>
      </c>
      <c r="L220" s="16">
        <v>1</v>
      </c>
      <c r="M220" s="16">
        <v>0</v>
      </c>
      <c r="N220">
        <f t="array" aca="1" ref="N220" ca="1">MATCH(TRUE,EXACT(I220,OFFSET(rngParamTypes,0,6,,1)),0)</f>
        <v>178</v>
      </c>
      <c r="O220" t="str">
        <f ca="1">IF((INDEX(rngParamTypes,$N220,7)=I220),"",1)</f>
        <v/>
      </c>
      <c r="P220">
        <f ca="1">INDEX(rngParamTypes,$N220,9)</f>
        <v>0</v>
      </c>
      <c r="Q220">
        <f ca="1">INDEX(rngParamTypes,$N220,10)</f>
        <v>0</v>
      </c>
      <c r="R220">
        <f ca="1">INDEX(rngParamTypes,$N220,11)</f>
        <v>0</v>
      </c>
      <c r="S220">
        <f ca="1">INDEX(rngParamTypes,$N220,12)</f>
        <v>0</v>
      </c>
      <c r="T220">
        <f ca="1">INDEX(rngParamTypes,$N220,13)</f>
        <v>0</v>
      </c>
      <c r="U220">
        <f ca="1">INDEX(rngParamTypes,$N220,14)</f>
        <v>0</v>
      </c>
      <c r="V220">
        <f ca="1">INDEX(rngParamTypes,$N220,15)</f>
        <v>0</v>
      </c>
      <c r="W220">
        <f ca="1">INDEX(rngParamTypes,$N220,16)</f>
        <v>1</v>
      </c>
      <c r="X220">
        <f ca="1">INDEX(rngParamTypes,$N220,17)</f>
        <v>0</v>
      </c>
      <c r="Y220">
        <f ca="1">INDEX(rngParamTypes,$N220,18)</f>
        <v>0</v>
      </c>
    </row>
    <row r="221" spans="1:25" x14ac:dyDescent="0.2">
      <c r="A221" s="16">
        <v>220</v>
      </c>
      <c r="B221" s="37">
        <v>1</v>
      </c>
      <c r="C221" s="16" t="s">
        <v>1047</v>
      </c>
      <c r="D221" s="16" t="s">
        <v>1047</v>
      </c>
      <c r="E221" s="16"/>
      <c r="F221" s="16" t="s">
        <v>4267</v>
      </c>
      <c r="G221" s="16" t="s">
        <v>447</v>
      </c>
      <c r="H221" s="16" t="s">
        <v>1046</v>
      </c>
      <c r="I221" s="16" t="s">
        <v>448</v>
      </c>
      <c r="J221" s="16">
        <v>0</v>
      </c>
      <c r="K221" s="16">
        <v>1.745329E-2</v>
      </c>
      <c r="L221" s="16">
        <v>30.48</v>
      </c>
      <c r="M221" s="16">
        <v>0</v>
      </c>
      <c r="N221">
        <f t="array" aca="1" ref="N221" ca="1">MATCH(TRUE,EXACT(I221,OFFSET(rngParamTypes,0,6,,1)),0)</f>
        <v>179</v>
      </c>
      <c r="O221" t="str">
        <f ca="1">IF((INDEX(rngParamTypes,$N221,7)=I221),"",1)</f>
        <v/>
      </c>
      <c r="P221">
        <f ca="1">INDEX(rngParamTypes,$N221,9)</f>
        <v>0</v>
      </c>
      <c r="Q221">
        <f ca="1">INDEX(rngParamTypes,$N221,10)</f>
        <v>-1</v>
      </c>
      <c r="R221">
        <f ca="1">INDEX(rngParamTypes,$N221,11)</f>
        <v>0</v>
      </c>
      <c r="S221">
        <f ca="1">INDEX(rngParamTypes,$N221,12)</f>
        <v>0</v>
      </c>
      <c r="T221">
        <f ca="1">INDEX(rngParamTypes,$N221,13)</f>
        <v>0</v>
      </c>
      <c r="U221">
        <f ca="1">INDEX(rngParamTypes,$N221,14)</f>
        <v>0</v>
      </c>
      <c r="V221">
        <f ca="1">INDEX(rngParamTypes,$N221,15)</f>
        <v>0</v>
      </c>
      <c r="W221">
        <f ca="1">INDEX(rngParamTypes,$N221,16)</f>
        <v>1</v>
      </c>
      <c r="X221">
        <f ca="1">INDEX(rngParamTypes,$N221,17)</f>
        <v>0</v>
      </c>
      <c r="Y221">
        <f ca="1">INDEX(rngParamTypes,$N221,18)</f>
        <v>0</v>
      </c>
    </row>
    <row r="222" spans="1:25" x14ac:dyDescent="0.2">
      <c r="A222" s="16">
        <v>221</v>
      </c>
      <c r="B222" s="37">
        <v>1</v>
      </c>
      <c r="C222" s="16" t="s">
        <v>1049</v>
      </c>
      <c r="D222" s="16" t="s">
        <v>1049</v>
      </c>
      <c r="E222" s="16"/>
      <c r="F222" s="16" t="s">
        <v>4268</v>
      </c>
      <c r="G222" s="16" t="s">
        <v>447</v>
      </c>
      <c r="H222" s="16" t="s">
        <v>1048</v>
      </c>
      <c r="I222" s="16" t="s">
        <v>448</v>
      </c>
      <c r="J222" s="16">
        <v>0</v>
      </c>
      <c r="K222" s="16">
        <v>1.745329E-2</v>
      </c>
      <c r="L222" s="16">
        <v>9.1440000000000001</v>
      </c>
      <c r="M222" s="16">
        <v>0</v>
      </c>
      <c r="N222">
        <f t="array" aca="1" ref="N222" ca="1">MATCH(TRUE,EXACT(I222,OFFSET(rngParamTypes,0,6,,1)),0)</f>
        <v>179</v>
      </c>
      <c r="O222" t="str">
        <f ca="1">IF((INDEX(rngParamTypes,$N222,7)=I222),"",1)</f>
        <v/>
      </c>
      <c r="P222">
        <f ca="1">INDEX(rngParamTypes,$N222,9)</f>
        <v>0</v>
      </c>
      <c r="Q222">
        <f ca="1">INDEX(rngParamTypes,$N222,10)</f>
        <v>-1</v>
      </c>
      <c r="R222">
        <f ca="1">INDEX(rngParamTypes,$N222,11)</f>
        <v>0</v>
      </c>
      <c r="S222">
        <f ca="1">INDEX(rngParamTypes,$N222,12)</f>
        <v>0</v>
      </c>
      <c r="T222">
        <f ca="1">INDEX(rngParamTypes,$N222,13)</f>
        <v>0</v>
      </c>
      <c r="U222">
        <f ca="1">INDEX(rngParamTypes,$N222,14)</f>
        <v>0</v>
      </c>
      <c r="V222">
        <f ca="1">INDEX(rngParamTypes,$N222,15)</f>
        <v>0</v>
      </c>
      <c r="W222">
        <f ca="1">INDEX(rngParamTypes,$N222,16)</f>
        <v>1</v>
      </c>
      <c r="X222">
        <f ca="1">INDEX(rngParamTypes,$N222,17)</f>
        <v>0</v>
      </c>
      <c r="Y222">
        <f ca="1">INDEX(rngParamTypes,$N222,18)</f>
        <v>0</v>
      </c>
    </row>
    <row r="223" spans="1:25" x14ac:dyDescent="0.2">
      <c r="A223" s="16">
        <v>222</v>
      </c>
      <c r="B223" s="37">
        <v>1</v>
      </c>
      <c r="C223" s="16" t="s">
        <v>1051</v>
      </c>
      <c r="D223" s="16" t="s">
        <v>1051</v>
      </c>
      <c r="E223" s="16"/>
      <c r="F223" s="16" t="s">
        <v>4269</v>
      </c>
      <c r="G223" s="16" t="s">
        <v>447</v>
      </c>
      <c r="H223" s="16" t="s">
        <v>1050</v>
      </c>
      <c r="I223" s="16" t="s">
        <v>448</v>
      </c>
      <c r="J223" s="16">
        <v>0</v>
      </c>
      <c r="K223" s="16">
        <v>1.745329E-2</v>
      </c>
      <c r="L223" s="16">
        <v>30</v>
      </c>
      <c r="M223" s="16">
        <v>0</v>
      </c>
      <c r="N223">
        <f t="array" aca="1" ref="N223" ca="1">MATCH(TRUE,EXACT(I223,OFFSET(rngParamTypes,0,6,,1)),0)</f>
        <v>179</v>
      </c>
      <c r="O223" t="str">
        <f ca="1">IF((INDEX(rngParamTypes,$N223,7)=I223),"",1)</f>
        <v/>
      </c>
      <c r="P223">
        <f ca="1">INDEX(rngParamTypes,$N223,9)</f>
        <v>0</v>
      </c>
      <c r="Q223">
        <f ca="1">INDEX(rngParamTypes,$N223,10)</f>
        <v>-1</v>
      </c>
      <c r="R223">
        <f ca="1">INDEX(rngParamTypes,$N223,11)</f>
        <v>0</v>
      </c>
      <c r="S223">
        <f ca="1">INDEX(rngParamTypes,$N223,12)</f>
        <v>0</v>
      </c>
      <c r="T223">
        <f ca="1">INDEX(rngParamTypes,$N223,13)</f>
        <v>0</v>
      </c>
      <c r="U223">
        <f ca="1">INDEX(rngParamTypes,$N223,14)</f>
        <v>0</v>
      </c>
      <c r="V223">
        <f ca="1">INDEX(rngParamTypes,$N223,15)</f>
        <v>0</v>
      </c>
      <c r="W223">
        <f ca="1">INDEX(rngParamTypes,$N223,16)</f>
        <v>1</v>
      </c>
      <c r="X223">
        <f ca="1">INDEX(rngParamTypes,$N223,17)</f>
        <v>0</v>
      </c>
      <c r="Y223">
        <f ca="1">INDEX(rngParamTypes,$N223,18)</f>
        <v>0</v>
      </c>
    </row>
    <row r="224" spans="1:25" x14ac:dyDescent="0.2">
      <c r="A224" s="16">
        <v>223</v>
      </c>
      <c r="B224" s="37">
        <v>1</v>
      </c>
      <c r="C224" s="16" t="s">
        <v>1053</v>
      </c>
      <c r="D224" s="16" t="s">
        <v>1053</v>
      </c>
      <c r="E224" s="16"/>
      <c r="F224" s="16" t="s">
        <v>3429</v>
      </c>
      <c r="G224" s="16" t="s">
        <v>447</v>
      </c>
      <c r="H224" s="16" t="s">
        <v>1052</v>
      </c>
      <c r="I224" s="16" t="s">
        <v>448</v>
      </c>
      <c r="J224" s="16">
        <v>0</v>
      </c>
      <c r="K224" s="16">
        <v>1.745329E-2</v>
      </c>
      <c r="L224" s="16">
        <v>0.30480000000000002</v>
      </c>
      <c r="M224" s="16">
        <v>0</v>
      </c>
      <c r="N224">
        <f t="array" aca="1" ref="N224" ca="1">MATCH(TRUE,EXACT(I224,OFFSET(rngParamTypes,0,6,,1)),0)</f>
        <v>179</v>
      </c>
      <c r="O224" t="str">
        <f ca="1">IF((INDEX(rngParamTypes,$N224,7)=I224),"",1)</f>
        <v/>
      </c>
      <c r="P224">
        <f ca="1">INDEX(rngParamTypes,$N224,9)</f>
        <v>0</v>
      </c>
      <c r="Q224">
        <f ca="1">INDEX(rngParamTypes,$N224,10)</f>
        <v>-1</v>
      </c>
      <c r="R224">
        <f ca="1">INDEX(rngParamTypes,$N224,11)</f>
        <v>0</v>
      </c>
      <c r="S224">
        <f ca="1">INDEX(rngParamTypes,$N224,12)</f>
        <v>0</v>
      </c>
      <c r="T224">
        <f ca="1">INDEX(rngParamTypes,$N224,13)</f>
        <v>0</v>
      </c>
      <c r="U224">
        <f ca="1">INDEX(rngParamTypes,$N224,14)</f>
        <v>0</v>
      </c>
      <c r="V224">
        <f ca="1">INDEX(rngParamTypes,$N224,15)</f>
        <v>0</v>
      </c>
      <c r="W224">
        <f ca="1">INDEX(rngParamTypes,$N224,16)</f>
        <v>1</v>
      </c>
      <c r="X224">
        <f ca="1">INDEX(rngParamTypes,$N224,17)</f>
        <v>0</v>
      </c>
      <c r="Y224">
        <f ca="1">INDEX(rngParamTypes,$N224,18)</f>
        <v>0</v>
      </c>
    </row>
    <row r="225" spans="1:25" x14ac:dyDescent="0.2">
      <c r="A225" s="16">
        <v>224</v>
      </c>
      <c r="B225" s="37">
        <v>1</v>
      </c>
      <c r="C225" s="16" t="s">
        <v>1054</v>
      </c>
      <c r="D225" s="16" t="s">
        <v>1054</v>
      </c>
      <c r="E225" s="16"/>
      <c r="F225" s="16" t="s">
        <v>4270</v>
      </c>
      <c r="G225" s="16" t="s">
        <v>447</v>
      </c>
      <c r="H225" s="16" t="s">
        <v>1046</v>
      </c>
      <c r="I225" s="16" t="s">
        <v>448</v>
      </c>
      <c r="J225" s="16">
        <v>0</v>
      </c>
      <c r="K225" s="16">
        <v>1.745329E-2</v>
      </c>
      <c r="L225" s="16">
        <v>30.48</v>
      </c>
      <c r="M225" s="16">
        <v>0</v>
      </c>
      <c r="N225">
        <f t="array" aca="1" ref="N225" ca="1">MATCH(TRUE,EXACT(I225,OFFSET(rngParamTypes,0,6,,1)),0)</f>
        <v>179</v>
      </c>
      <c r="O225" t="str">
        <f ca="1">IF((INDEX(rngParamTypes,$N225,7)=I225),"",1)</f>
        <v/>
      </c>
      <c r="P225">
        <f ca="1">INDEX(rngParamTypes,$N225,9)</f>
        <v>0</v>
      </c>
      <c r="Q225">
        <f ca="1">INDEX(rngParamTypes,$N225,10)</f>
        <v>-1</v>
      </c>
      <c r="R225">
        <f ca="1">INDEX(rngParamTypes,$N225,11)</f>
        <v>0</v>
      </c>
      <c r="S225">
        <f ca="1">INDEX(rngParamTypes,$N225,12)</f>
        <v>0</v>
      </c>
      <c r="T225">
        <f ca="1">INDEX(rngParamTypes,$N225,13)</f>
        <v>0</v>
      </c>
      <c r="U225">
        <f ca="1">INDEX(rngParamTypes,$N225,14)</f>
        <v>0</v>
      </c>
      <c r="V225">
        <f ca="1">INDEX(rngParamTypes,$N225,15)</f>
        <v>0</v>
      </c>
      <c r="W225">
        <f ca="1">INDEX(rngParamTypes,$N225,16)</f>
        <v>1</v>
      </c>
      <c r="X225">
        <f ca="1">INDEX(rngParamTypes,$N225,17)</f>
        <v>0</v>
      </c>
      <c r="Y225">
        <f ca="1">INDEX(rngParamTypes,$N225,18)</f>
        <v>0</v>
      </c>
    </row>
    <row r="226" spans="1:25" x14ac:dyDescent="0.2">
      <c r="A226" s="16">
        <v>225</v>
      </c>
      <c r="B226" s="37">
        <v>1</v>
      </c>
      <c r="C226" s="16" t="s">
        <v>1056</v>
      </c>
      <c r="D226" s="16" t="s">
        <v>1056</v>
      </c>
      <c r="E226" s="16"/>
      <c r="F226" s="16" t="s">
        <v>3430</v>
      </c>
      <c r="G226" s="16" t="s">
        <v>3431</v>
      </c>
      <c r="H226" s="16" t="s">
        <v>1055</v>
      </c>
      <c r="I226" s="16" t="s">
        <v>458</v>
      </c>
      <c r="J226" s="16">
        <v>0</v>
      </c>
      <c r="K226" s="16">
        <v>1.745329E-2</v>
      </c>
      <c r="L226" s="16">
        <v>3600</v>
      </c>
      <c r="M226" s="16">
        <v>0</v>
      </c>
      <c r="N226">
        <f t="array" aca="1" ref="N226" ca="1">MATCH(TRUE,EXACT(I226,OFFSET(rngParamTypes,0,6,,1)),0)</f>
        <v>181</v>
      </c>
      <c r="O226" t="str">
        <f ca="1">IF((INDEX(rngParamTypes,$N226,7)=I226),"",1)</f>
        <v/>
      </c>
      <c r="P226">
        <f ca="1">INDEX(rngParamTypes,$N226,9)</f>
        <v>0</v>
      </c>
      <c r="Q226">
        <f ca="1">INDEX(rngParamTypes,$N226,10)</f>
        <v>0</v>
      </c>
      <c r="R226">
        <f ca="1">INDEX(rngParamTypes,$N226,11)</f>
        <v>-1</v>
      </c>
      <c r="S226">
        <f ca="1">INDEX(rngParamTypes,$N226,12)</f>
        <v>0</v>
      </c>
      <c r="T226">
        <f ca="1">INDEX(rngParamTypes,$N226,13)</f>
        <v>0</v>
      </c>
      <c r="U226">
        <f ca="1">INDEX(rngParamTypes,$N226,14)</f>
        <v>0</v>
      </c>
      <c r="V226">
        <f ca="1">INDEX(rngParamTypes,$N226,15)</f>
        <v>0</v>
      </c>
      <c r="W226">
        <f ca="1">INDEX(rngParamTypes,$N226,16)</f>
        <v>1</v>
      </c>
      <c r="X226">
        <f ca="1">INDEX(rngParamTypes,$N226,17)</f>
        <v>0</v>
      </c>
      <c r="Y226">
        <f ca="1">INDEX(rngParamTypes,$N226,18)</f>
        <v>0</v>
      </c>
    </row>
    <row r="227" spans="1:25" x14ac:dyDescent="0.2">
      <c r="A227" s="16">
        <v>226</v>
      </c>
      <c r="B227" s="37">
        <v>1</v>
      </c>
      <c r="C227" s="16" t="s">
        <v>1058</v>
      </c>
      <c r="D227" s="16" t="s">
        <v>1058</v>
      </c>
      <c r="E227" s="16"/>
      <c r="F227" s="16" t="s">
        <v>3432</v>
      </c>
      <c r="G227" s="16" t="s">
        <v>447</v>
      </c>
      <c r="H227" s="16" t="s">
        <v>1057</v>
      </c>
      <c r="I227" s="16" t="s">
        <v>448</v>
      </c>
      <c r="J227" s="16">
        <v>0</v>
      </c>
      <c r="K227" s="16">
        <v>1.745329E-2</v>
      </c>
      <c r="L227" s="16">
        <v>1</v>
      </c>
      <c r="M227" s="16">
        <v>0</v>
      </c>
      <c r="N227">
        <f t="array" aca="1" ref="N227" ca="1">MATCH(TRUE,EXACT(I227,OFFSET(rngParamTypes,0,6,,1)),0)</f>
        <v>179</v>
      </c>
      <c r="O227" t="str">
        <f ca="1">IF((INDEX(rngParamTypes,$N227,7)=I227),"",1)</f>
        <v/>
      </c>
      <c r="P227">
        <f ca="1">INDEX(rngParamTypes,$N227,9)</f>
        <v>0</v>
      </c>
      <c r="Q227">
        <f ca="1">INDEX(rngParamTypes,$N227,10)</f>
        <v>-1</v>
      </c>
      <c r="R227">
        <f ca="1">INDEX(rngParamTypes,$N227,11)</f>
        <v>0</v>
      </c>
      <c r="S227">
        <f ca="1">INDEX(rngParamTypes,$N227,12)</f>
        <v>0</v>
      </c>
      <c r="T227">
        <f ca="1">INDEX(rngParamTypes,$N227,13)</f>
        <v>0</v>
      </c>
      <c r="U227">
        <f ca="1">INDEX(rngParamTypes,$N227,14)</f>
        <v>0</v>
      </c>
      <c r="V227">
        <f ca="1">INDEX(rngParamTypes,$N227,15)</f>
        <v>0</v>
      </c>
      <c r="W227">
        <f ca="1">INDEX(rngParamTypes,$N227,16)</f>
        <v>1</v>
      </c>
      <c r="X227">
        <f ca="1">INDEX(rngParamTypes,$N227,17)</f>
        <v>0</v>
      </c>
      <c r="Y227">
        <f ca="1">INDEX(rngParamTypes,$N227,18)</f>
        <v>0</v>
      </c>
    </row>
    <row r="228" spans="1:25" x14ac:dyDescent="0.2">
      <c r="A228" s="16">
        <v>227</v>
      </c>
      <c r="B228" s="37">
        <v>1</v>
      </c>
      <c r="C228" s="16" t="s">
        <v>1059</v>
      </c>
      <c r="D228" s="16" t="s">
        <v>1059</v>
      </c>
      <c r="E228" s="16"/>
      <c r="F228" s="16" t="s">
        <v>4271</v>
      </c>
      <c r="G228" s="16" t="s">
        <v>447</v>
      </c>
      <c r="H228" s="16" t="s">
        <v>1050</v>
      </c>
      <c r="I228" s="16" t="s">
        <v>448</v>
      </c>
      <c r="J228" s="16">
        <v>0</v>
      </c>
      <c r="K228" s="16">
        <v>1.745329E-2</v>
      </c>
      <c r="L228" s="16">
        <v>30</v>
      </c>
      <c r="M228" s="16">
        <v>0</v>
      </c>
      <c r="N228">
        <f t="array" aca="1" ref="N228" ca="1">MATCH(TRUE,EXACT(I228,OFFSET(rngParamTypes,0,6,,1)),0)</f>
        <v>179</v>
      </c>
      <c r="O228" t="str">
        <f ca="1">IF((INDEX(rngParamTypes,$N228,7)=I228),"",1)</f>
        <v/>
      </c>
      <c r="P228">
        <f ca="1">INDEX(rngParamTypes,$N228,9)</f>
        <v>0</v>
      </c>
      <c r="Q228">
        <f ca="1">INDEX(rngParamTypes,$N228,10)</f>
        <v>-1</v>
      </c>
      <c r="R228">
        <f ca="1">INDEX(rngParamTypes,$N228,11)</f>
        <v>0</v>
      </c>
      <c r="S228">
        <f ca="1">INDEX(rngParamTypes,$N228,12)</f>
        <v>0</v>
      </c>
      <c r="T228">
        <f ca="1">INDEX(rngParamTypes,$N228,13)</f>
        <v>0</v>
      </c>
      <c r="U228">
        <f ca="1">INDEX(rngParamTypes,$N228,14)</f>
        <v>0</v>
      </c>
      <c r="V228">
        <f ca="1">INDEX(rngParamTypes,$N228,15)</f>
        <v>0</v>
      </c>
      <c r="W228">
        <f ca="1">INDEX(rngParamTypes,$N228,16)</f>
        <v>1</v>
      </c>
      <c r="X228">
        <f ca="1">INDEX(rngParamTypes,$N228,17)</f>
        <v>0</v>
      </c>
      <c r="Y228">
        <f ca="1">INDEX(rngParamTypes,$N228,18)</f>
        <v>0</v>
      </c>
    </row>
    <row r="229" spans="1:25" x14ac:dyDescent="0.2">
      <c r="A229" s="16">
        <v>228</v>
      </c>
      <c r="B229" s="37">
        <v>1</v>
      </c>
      <c r="C229" s="16" t="s">
        <v>1061</v>
      </c>
      <c r="D229" s="16" t="s">
        <v>1061</v>
      </c>
      <c r="E229" s="16"/>
      <c r="F229" s="16" t="s">
        <v>3433</v>
      </c>
      <c r="G229" s="16" t="s">
        <v>3431</v>
      </c>
      <c r="H229" s="16" t="s">
        <v>1060</v>
      </c>
      <c r="I229" s="16" t="s">
        <v>458</v>
      </c>
      <c r="J229" s="16">
        <v>0</v>
      </c>
      <c r="K229" s="16">
        <v>1.745329E-2</v>
      </c>
      <c r="L229" s="16">
        <v>60</v>
      </c>
      <c r="M229" s="16">
        <v>0</v>
      </c>
      <c r="N229">
        <f t="array" aca="1" ref="N229" ca="1">MATCH(TRUE,EXACT(I229,OFFSET(rngParamTypes,0,6,,1)),0)</f>
        <v>181</v>
      </c>
      <c r="O229" t="str">
        <f ca="1">IF((INDEX(rngParamTypes,$N229,7)=I229),"",1)</f>
        <v/>
      </c>
      <c r="P229">
        <f ca="1">INDEX(rngParamTypes,$N229,9)</f>
        <v>0</v>
      </c>
      <c r="Q229">
        <f ca="1">INDEX(rngParamTypes,$N229,10)</f>
        <v>0</v>
      </c>
      <c r="R229">
        <f ca="1">INDEX(rngParamTypes,$N229,11)</f>
        <v>-1</v>
      </c>
      <c r="S229">
        <f ca="1">INDEX(rngParamTypes,$N229,12)</f>
        <v>0</v>
      </c>
      <c r="T229">
        <f ca="1">INDEX(rngParamTypes,$N229,13)</f>
        <v>0</v>
      </c>
      <c r="U229">
        <f ca="1">INDEX(rngParamTypes,$N229,14)</f>
        <v>0</v>
      </c>
      <c r="V229">
        <f ca="1">INDEX(rngParamTypes,$N229,15)</f>
        <v>0</v>
      </c>
      <c r="W229">
        <f ca="1">INDEX(rngParamTypes,$N229,16)</f>
        <v>1</v>
      </c>
      <c r="X229">
        <f ca="1">INDEX(rngParamTypes,$N229,17)</f>
        <v>0</v>
      </c>
      <c r="Y229">
        <f ca="1">INDEX(rngParamTypes,$N229,18)</f>
        <v>0</v>
      </c>
    </row>
    <row r="230" spans="1:25" x14ac:dyDescent="0.2">
      <c r="A230" s="16">
        <v>229</v>
      </c>
      <c r="B230" s="37">
        <v>1</v>
      </c>
      <c r="C230" s="16" t="s">
        <v>1063</v>
      </c>
      <c r="D230" s="16" t="s">
        <v>1063</v>
      </c>
      <c r="E230" s="16"/>
      <c r="F230" s="16" t="s">
        <v>3434</v>
      </c>
      <c r="G230" s="16" t="s">
        <v>3435</v>
      </c>
      <c r="H230" s="16" t="s">
        <v>1062</v>
      </c>
      <c r="I230" s="16" t="s">
        <v>458</v>
      </c>
      <c r="J230" s="16">
        <v>0</v>
      </c>
      <c r="K230" s="16">
        <v>1.745329E-2</v>
      </c>
      <c r="L230" s="16">
        <v>1</v>
      </c>
      <c r="M230" s="16">
        <v>0</v>
      </c>
      <c r="N230">
        <f t="array" aca="1" ref="N230" ca="1">MATCH(TRUE,EXACT(I230,OFFSET(rngParamTypes,0,6,,1)),0)</f>
        <v>181</v>
      </c>
      <c r="O230" t="str">
        <f ca="1">IF((INDEX(rngParamTypes,$N230,7)=I230),"",1)</f>
        <v/>
      </c>
      <c r="P230">
        <f ca="1">INDEX(rngParamTypes,$N230,9)</f>
        <v>0</v>
      </c>
      <c r="Q230">
        <f ca="1">INDEX(rngParamTypes,$N230,10)</f>
        <v>0</v>
      </c>
      <c r="R230">
        <f ca="1">INDEX(rngParamTypes,$N230,11)</f>
        <v>-1</v>
      </c>
      <c r="S230">
        <f ca="1">INDEX(rngParamTypes,$N230,12)</f>
        <v>0</v>
      </c>
      <c r="T230">
        <f ca="1">INDEX(rngParamTypes,$N230,13)</f>
        <v>0</v>
      </c>
      <c r="U230">
        <f ca="1">INDEX(rngParamTypes,$N230,14)</f>
        <v>0</v>
      </c>
      <c r="V230">
        <f ca="1">INDEX(rngParamTypes,$N230,15)</f>
        <v>0</v>
      </c>
      <c r="W230">
        <f ca="1">INDEX(rngParamTypes,$N230,16)</f>
        <v>1</v>
      </c>
      <c r="X230">
        <f ca="1">INDEX(rngParamTypes,$N230,17)</f>
        <v>0</v>
      </c>
      <c r="Y230">
        <f ca="1">INDEX(rngParamTypes,$N230,18)</f>
        <v>0</v>
      </c>
    </row>
    <row r="231" spans="1:25" x14ac:dyDescent="0.2">
      <c r="A231" s="16">
        <v>230</v>
      </c>
      <c r="B231" s="37">
        <v>1</v>
      </c>
      <c r="C231" s="16" t="s">
        <v>1035</v>
      </c>
      <c r="D231" s="16" t="s">
        <v>1035</v>
      </c>
      <c r="E231" s="16">
        <v>2</v>
      </c>
      <c r="F231" s="16" t="s">
        <v>3436</v>
      </c>
      <c r="G231" s="16" t="s">
        <v>202</v>
      </c>
      <c r="H231" s="16" t="s">
        <v>1064</v>
      </c>
      <c r="I231" s="16" t="s">
        <v>204</v>
      </c>
      <c r="J231" s="16">
        <v>273.14999999999998</v>
      </c>
      <c r="K231" s="16">
        <v>1</v>
      </c>
      <c r="L231" s="16">
        <v>1</v>
      </c>
      <c r="M231" s="16">
        <v>0</v>
      </c>
      <c r="N231">
        <f t="array" aca="1" ref="N231" ca="1">MATCH(TRUE,EXACT(I231,OFFSET(rngParamTypes,0,6,,1)),0)</f>
        <v>80</v>
      </c>
      <c r="O231" t="str">
        <f ca="1">IF((INDEX(rngParamTypes,$N231,7)=I231),"",1)</f>
        <v/>
      </c>
      <c r="P231">
        <f ca="1">INDEX(rngParamTypes,$N231,9)</f>
        <v>0</v>
      </c>
      <c r="Q231">
        <f ca="1">INDEX(rngParamTypes,$N231,10)</f>
        <v>0</v>
      </c>
      <c r="R231">
        <f ca="1">INDEX(rngParamTypes,$N231,11)</f>
        <v>0</v>
      </c>
      <c r="S231">
        <f ca="1">INDEX(rngParamTypes,$N231,12)</f>
        <v>0</v>
      </c>
      <c r="T231">
        <f ca="1">INDEX(rngParamTypes,$N231,13)</f>
        <v>1</v>
      </c>
      <c r="U231">
        <f ca="1">INDEX(rngParamTypes,$N231,14)</f>
        <v>0</v>
      </c>
      <c r="V231">
        <f ca="1">INDEX(rngParamTypes,$N231,15)</f>
        <v>0</v>
      </c>
      <c r="W231">
        <f ca="1">INDEX(rngParamTypes,$N231,16)</f>
        <v>0</v>
      </c>
      <c r="X231">
        <f ca="1">INDEX(rngParamTypes,$N231,17)</f>
        <v>0</v>
      </c>
      <c r="Y231">
        <f ca="1">INDEX(rngParamTypes,$N231,18)</f>
        <v>0</v>
      </c>
    </row>
    <row r="232" spans="1:25" x14ac:dyDescent="0.2">
      <c r="A232" s="16">
        <v>231</v>
      </c>
      <c r="B232" s="37">
        <v>1</v>
      </c>
      <c r="C232" s="16" t="s">
        <v>1066</v>
      </c>
      <c r="D232" s="16" t="s">
        <v>1066</v>
      </c>
      <c r="E232" s="16"/>
      <c r="F232" s="16" t="s">
        <v>3437</v>
      </c>
      <c r="G232" s="16" t="s">
        <v>3438</v>
      </c>
      <c r="H232" s="16" t="s">
        <v>1065</v>
      </c>
      <c r="I232" s="16" t="s">
        <v>209</v>
      </c>
      <c r="J232" s="16">
        <v>0</v>
      </c>
      <c r="K232" s="16">
        <v>0.86042079999999999</v>
      </c>
      <c r="L232" s="16">
        <v>1</v>
      </c>
      <c r="M232" s="16">
        <v>0</v>
      </c>
      <c r="N232">
        <f t="array" aca="1" ref="N232" ca="1">MATCH(TRUE,EXACT(I232,OFFSET(rngParamTypes,0,6,,1)),0)</f>
        <v>82</v>
      </c>
      <c r="O232" t="str">
        <f ca="1">IF((INDEX(rngParamTypes,$N232,7)=I232),"",1)</f>
        <v/>
      </c>
      <c r="P232">
        <f ca="1">INDEX(rngParamTypes,$N232,9)</f>
        <v>-1</v>
      </c>
      <c r="Q232">
        <f ca="1">INDEX(rngParamTypes,$N232,10)</f>
        <v>0</v>
      </c>
      <c r="R232">
        <f ca="1">INDEX(rngParamTypes,$N232,11)</f>
        <v>3</v>
      </c>
      <c r="S232">
        <f ca="1">INDEX(rngParamTypes,$N232,12)</f>
        <v>0</v>
      </c>
      <c r="T232">
        <f ca="1">INDEX(rngParamTypes,$N232,13)</f>
        <v>1</v>
      </c>
      <c r="U232">
        <f ca="1">INDEX(rngParamTypes,$N232,14)</f>
        <v>0</v>
      </c>
      <c r="V232">
        <f ca="1">INDEX(rngParamTypes,$N232,15)</f>
        <v>0</v>
      </c>
      <c r="W232">
        <f ca="1">INDEX(rngParamTypes,$N232,16)</f>
        <v>0</v>
      </c>
      <c r="X232">
        <f ca="1">INDEX(rngParamTypes,$N232,17)</f>
        <v>0</v>
      </c>
      <c r="Y232">
        <f ca="1">INDEX(rngParamTypes,$N232,18)</f>
        <v>0</v>
      </c>
    </row>
    <row r="233" spans="1:25" x14ac:dyDescent="0.2">
      <c r="A233" s="16">
        <v>232</v>
      </c>
      <c r="B233" s="37">
        <v>1</v>
      </c>
      <c r="C233" s="16" t="s">
        <v>1068</v>
      </c>
      <c r="D233" s="16" t="s">
        <v>1068</v>
      </c>
      <c r="E233" s="16">
        <v>2</v>
      </c>
      <c r="F233" s="16" t="s">
        <v>4272</v>
      </c>
      <c r="G233" s="16" t="s">
        <v>211</v>
      </c>
      <c r="H233" s="16" t="s">
        <v>1067</v>
      </c>
      <c r="I233" s="16" t="s">
        <v>212</v>
      </c>
      <c r="J233" s="16">
        <v>0</v>
      </c>
      <c r="K233" s="16">
        <v>0.01</v>
      </c>
      <c r="L233" s="16">
        <v>1</v>
      </c>
      <c r="M233" s="16">
        <v>0</v>
      </c>
      <c r="N233">
        <f t="array" aca="1" ref="N233" ca="1">MATCH(TRUE,EXACT(I233,OFFSET(rngParamTypes,0,6,,1)),0)</f>
        <v>84</v>
      </c>
      <c r="O233" t="str">
        <f ca="1">IF((INDEX(rngParamTypes,$N233,7)=I233),"",1)</f>
        <v/>
      </c>
      <c r="P233">
        <f ca="1">INDEX(rngParamTypes,$N233,9)</f>
        <v>0</v>
      </c>
      <c r="Q233">
        <f ca="1">INDEX(rngParamTypes,$N233,10)</f>
        <v>-1</v>
      </c>
      <c r="R233">
        <f ca="1">INDEX(rngParamTypes,$N233,11)</f>
        <v>0</v>
      </c>
      <c r="S233">
        <f ca="1">INDEX(rngParamTypes,$N233,12)</f>
        <v>0</v>
      </c>
      <c r="T233">
        <f ca="1">INDEX(rngParamTypes,$N233,13)</f>
        <v>1</v>
      </c>
      <c r="U233">
        <f ca="1">INDEX(rngParamTypes,$N233,14)</f>
        <v>0</v>
      </c>
      <c r="V233">
        <f ca="1">INDEX(rngParamTypes,$N233,15)</f>
        <v>0</v>
      </c>
      <c r="W233">
        <f ca="1">INDEX(rngParamTypes,$N233,16)</f>
        <v>0</v>
      </c>
      <c r="X233">
        <f ca="1">INDEX(rngParamTypes,$N233,17)</f>
        <v>0</v>
      </c>
      <c r="Y233">
        <f ca="1">INDEX(rngParamTypes,$N233,18)</f>
        <v>0</v>
      </c>
    </row>
    <row r="234" spans="1:25" x14ac:dyDescent="0.2">
      <c r="A234" s="16">
        <v>233</v>
      </c>
      <c r="B234" s="37">
        <v>1</v>
      </c>
      <c r="C234" s="16" t="s">
        <v>1070</v>
      </c>
      <c r="D234" s="16" t="s">
        <v>1070</v>
      </c>
      <c r="E234" s="16">
        <v>2</v>
      </c>
      <c r="F234" s="16" t="s">
        <v>3439</v>
      </c>
      <c r="G234" s="16" t="s">
        <v>211</v>
      </c>
      <c r="H234" s="16" t="s">
        <v>1069</v>
      </c>
      <c r="I234" s="16" t="s">
        <v>212</v>
      </c>
      <c r="J234" s="16">
        <v>0</v>
      </c>
      <c r="K234" s="16">
        <v>1</v>
      </c>
      <c r="L234" s="16">
        <v>0.30480000000000002</v>
      </c>
      <c r="M234" s="16">
        <v>0</v>
      </c>
      <c r="N234">
        <f t="array" aca="1" ref="N234" ca="1">MATCH(TRUE,EXACT(I234,OFFSET(rngParamTypes,0,6,,1)),0)</f>
        <v>84</v>
      </c>
      <c r="O234" t="str">
        <f ca="1">IF((INDEX(rngParamTypes,$N234,7)=I234),"",1)</f>
        <v/>
      </c>
      <c r="P234">
        <f ca="1">INDEX(rngParamTypes,$N234,9)</f>
        <v>0</v>
      </c>
      <c r="Q234">
        <f ca="1">INDEX(rngParamTypes,$N234,10)</f>
        <v>-1</v>
      </c>
      <c r="R234">
        <f ca="1">INDEX(rngParamTypes,$N234,11)</f>
        <v>0</v>
      </c>
      <c r="S234">
        <f ca="1">INDEX(rngParamTypes,$N234,12)</f>
        <v>0</v>
      </c>
      <c r="T234">
        <f ca="1">INDEX(rngParamTypes,$N234,13)</f>
        <v>1</v>
      </c>
      <c r="U234">
        <f ca="1">INDEX(rngParamTypes,$N234,14)</f>
        <v>0</v>
      </c>
      <c r="V234">
        <f ca="1">INDEX(rngParamTypes,$N234,15)</f>
        <v>0</v>
      </c>
      <c r="W234">
        <f ca="1">INDEX(rngParamTypes,$N234,16)</f>
        <v>0</v>
      </c>
      <c r="X234">
        <f ca="1">INDEX(rngParamTypes,$N234,17)</f>
        <v>0</v>
      </c>
      <c r="Y234">
        <f ca="1">INDEX(rngParamTypes,$N234,18)</f>
        <v>0</v>
      </c>
    </row>
    <row r="235" spans="1:25" x14ac:dyDescent="0.2">
      <c r="A235" s="16">
        <v>234</v>
      </c>
      <c r="B235" s="37">
        <v>1</v>
      </c>
      <c r="C235" s="16" t="s">
        <v>1072</v>
      </c>
      <c r="D235" s="16" t="s">
        <v>1072</v>
      </c>
      <c r="E235" s="16">
        <v>2</v>
      </c>
      <c r="F235" s="16" t="s">
        <v>3440</v>
      </c>
      <c r="G235" s="16" t="s">
        <v>214</v>
      </c>
      <c r="H235" s="16" t="s">
        <v>1071</v>
      </c>
      <c r="I235" s="16" t="s">
        <v>215</v>
      </c>
      <c r="J235" s="16">
        <v>0</v>
      </c>
      <c r="K235" s="16">
        <v>1</v>
      </c>
      <c r="L235" s="16">
        <v>3600</v>
      </c>
      <c r="M235" s="16">
        <v>0</v>
      </c>
      <c r="N235">
        <f t="array" aca="1" ref="N235" ca="1">MATCH(TRUE,EXACT(I235,OFFSET(rngParamTypes,0,6,,1)),0)</f>
        <v>85</v>
      </c>
      <c r="O235" t="str">
        <f ca="1">IF((INDEX(rngParamTypes,$N235,7)=I235),"",1)</f>
        <v/>
      </c>
      <c r="P235">
        <f ca="1">INDEX(rngParamTypes,$N235,9)</f>
        <v>0</v>
      </c>
      <c r="Q235">
        <f ca="1">INDEX(rngParamTypes,$N235,10)</f>
        <v>0</v>
      </c>
      <c r="R235">
        <f ca="1">INDEX(rngParamTypes,$N235,11)</f>
        <v>-1</v>
      </c>
      <c r="S235">
        <f ca="1">INDEX(rngParamTypes,$N235,12)</f>
        <v>0</v>
      </c>
      <c r="T235">
        <f ca="1">INDEX(rngParamTypes,$N235,13)</f>
        <v>1</v>
      </c>
      <c r="U235">
        <f ca="1">INDEX(rngParamTypes,$N235,14)</f>
        <v>0</v>
      </c>
      <c r="V235">
        <f ca="1">INDEX(rngParamTypes,$N235,15)</f>
        <v>0</v>
      </c>
      <c r="W235">
        <f ca="1">INDEX(rngParamTypes,$N235,16)</f>
        <v>0</v>
      </c>
      <c r="X235">
        <f ca="1">INDEX(rngParamTypes,$N235,17)</f>
        <v>0</v>
      </c>
      <c r="Y235">
        <f ca="1">INDEX(rngParamTypes,$N235,18)</f>
        <v>0</v>
      </c>
    </row>
    <row r="236" spans="1:25" x14ac:dyDescent="0.2">
      <c r="A236" s="16">
        <v>235</v>
      </c>
      <c r="B236" s="37">
        <v>1</v>
      </c>
      <c r="C236" s="16" t="s">
        <v>1074</v>
      </c>
      <c r="D236" s="16" t="s">
        <v>1074</v>
      </c>
      <c r="E236" s="16">
        <v>2</v>
      </c>
      <c r="F236" s="16" t="s">
        <v>3441</v>
      </c>
      <c r="G236" s="16" t="s">
        <v>211</v>
      </c>
      <c r="H236" s="16" t="s">
        <v>1073</v>
      </c>
      <c r="I236" s="16" t="s">
        <v>212</v>
      </c>
      <c r="J236" s="16">
        <v>0</v>
      </c>
      <c r="K236" s="16">
        <v>1E-3</v>
      </c>
      <c r="L236" s="16">
        <v>1</v>
      </c>
      <c r="M236" s="16">
        <v>0</v>
      </c>
      <c r="N236">
        <f t="array" aca="1" ref="N236" ca="1">MATCH(TRUE,EXACT(I236,OFFSET(rngParamTypes,0,6,,1)),0)</f>
        <v>84</v>
      </c>
      <c r="O236" t="str">
        <f ca="1">IF((INDEX(rngParamTypes,$N236,7)=I236),"",1)</f>
        <v/>
      </c>
      <c r="P236">
        <f ca="1">INDEX(rngParamTypes,$N236,9)</f>
        <v>0</v>
      </c>
      <c r="Q236">
        <f ca="1">INDEX(rngParamTypes,$N236,10)</f>
        <v>-1</v>
      </c>
      <c r="R236">
        <f ca="1">INDEX(rngParamTypes,$N236,11)</f>
        <v>0</v>
      </c>
      <c r="S236">
        <f ca="1">INDEX(rngParamTypes,$N236,12)</f>
        <v>0</v>
      </c>
      <c r="T236">
        <f ca="1">INDEX(rngParamTypes,$N236,13)</f>
        <v>1</v>
      </c>
      <c r="U236">
        <f ca="1">INDEX(rngParamTypes,$N236,14)</f>
        <v>0</v>
      </c>
      <c r="V236">
        <f ca="1">INDEX(rngParamTypes,$N236,15)</f>
        <v>0</v>
      </c>
      <c r="W236">
        <f ca="1">INDEX(rngParamTypes,$N236,16)</f>
        <v>0</v>
      </c>
      <c r="X236">
        <f ca="1">INDEX(rngParamTypes,$N236,17)</f>
        <v>0</v>
      </c>
      <c r="Y236">
        <f ca="1">INDEX(rngParamTypes,$N236,18)</f>
        <v>0</v>
      </c>
    </row>
    <row r="237" spans="1:25" x14ac:dyDescent="0.2">
      <c r="A237" s="16">
        <v>236</v>
      </c>
      <c r="B237" s="37">
        <v>1</v>
      </c>
      <c r="C237" s="16" t="s">
        <v>1076</v>
      </c>
      <c r="D237" s="16" t="s">
        <v>1076</v>
      </c>
      <c r="E237" s="16">
        <v>2</v>
      </c>
      <c r="F237" s="16" t="s">
        <v>3442</v>
      </c>
      <c r="G237" s="16" t="s">
        <v>211</v>
      </c>
      <c r="H237" s="16" t="s">
        <v>1075</v>
      </c>
      <c r="I237" s="16" t="s">
        <v>212</v>
      </c>
      <c r="J237" s="16">
        <v>0</v>
      </c>
      <c r="K237" s="16">
        <v>1</v>
      </c>
      <c r="L237" s="16">
        <v>1</v>
      </c>
      <c r="M237" s="16">
        <v>0</v>
      </c>
      <c r="N237">
        <f t="array" aca="1" ref="N237" ca="1">MATCH(TRUE,EXACT(I237,OFFSET(rngParamTypes,0,6,,1)),0)</f>
        <v>84</v>
      </c>
      <c r="O237" t="str">
        <f ca="1">IF((INDEX(rngParamTypes,$N237,7)=I237),"",1)</f>
        <v/>
      </c>
      <c r="P237">
        <f ca="1">INDEX(rngParamTypes,$N237,9)</f>
        <v>0</v>
      </c>
      <c r="Q237">
        <f ca="1">INDEX(rngParamTypes,$N237,10)</f>
        <v>-1</v>
      </c>
      <c r="R237">
        <f ca="1">INDEX(rngParamTypes,$N237,11)</f>
        <v>0</v>
      </c>
      <c r="S237">
        <f ca="1">INDEX(rngParamTypes,$N237,12)</f>
        <v>0</v>
      </c>
      <c r="T237">
        <f ca="1">INDEX(rngParamTypes,$N237,13)</f>
        <v>1</v>
      </c>
      <c r="U237">
        <f ca="1">INDEX(rngParamTypes,$N237,14)</f>
        <v>0</v>
      </c>
      <c r="V237">
        <f ca="1">INDEX(rngParamTypes,$N237,15)</f>
        <v>0</v>
      </c>
      <c r="W237">
        <f ca="1">INDEX(rngParamTypes,$N237,16)</f>
        <v>0</v>
      </c>
      <c r="X237">
        <f ca="1">INDEX(rngParamTypes,$N237,17)</f>
        <v>0</v>
      </c>
      <c r="Y237">
        <f ca="1">INDEX(rngParamTypes,$N237,18)</f>
        <v>0</v>
      </c>
    </row>
    <row r="238" spans="1:25" x14ac:dyDescent="0.2">
      <c r="A238" s="16">
        <v>237</v>
      </c>
      <c r="B238" s="37">
        <v>1</v>
      </c>
      <c r="C238" s="16" t="s">
        <v>1078</v>
      </c>
      <c r="D238" s="16" t="s">
        <v>1078</v>
      </c>
      <c r="E238" s="16">
        <v>2</v>
      </c>
      <c r="F238" s="16" t="s">
        <v>3443</v>
      </c>
      <c r="G238" s="16" t="s">
        <v>214</v>
      </c>
      <c r="H238" s="16" t="s">
        <v>1077</v>
      </c>
      <c r="I238" s="16" t="s">
        <v>215</v>
      </c>
      <c r="J238" s="16">
        <v>0</v>
      </c>
      <c r="K238" s="16">
        <v>1</v>
      </c>
      <c r="L238" s="16">
        <v>60</v>
      </c>
      <c r="M238" s="16">
        <v>0</v>
      </c>
      <c r="N238">
        <f t="array" aca="1" ref="N238" ca="1">MATCH(TRUE,EXACT(I238,OFFSET(rngParamTypes,0,6,,1)),0)</f>
        <v>85</v>
      </c>
      <c r="O238" t="str">
        <f ca="1">IF((INDEX(rngParamTypes,$N238,7)=I238),"",1)</f>
        <v/>
      </c>
      <c r="P238">
        <f ca="1">INDEX(rngParamTypes,$N238,9)</f>
        <v>0</v>
      </c>
      <c r="Q238">
        <f ca="1">INDEX(rngParamTypes,$N238,10)</f>
        <v>0</v>
      </c>
      <c r="R238">
        <f ca="1">INDEX(rngParamTypes,$N238,11)</f>
        <v>-1</v>
      </c>
      <c r="S238">
        <f ca="1">INDEX(rngParamTypes,$N238,12)</f>
        <v>0</v>
      </c>
      <c r="T238">
        <f ca="1">INDEX(rngParamTypes,$N238,13)</f>
        <v>1</v>
      </c>
      <c r="U238">
        <f ca="1">INDEX(rngParamTypes,$N238,14)</f>
        <v>0</v>
      </c>
      <c r="V238">
        <f ca="1">INDEX(rngParamTypes,$N238,15)</f>
        <v>0</v>
      </c>
      <c r="W238">
        <f ca="1">INDEX(rngParamTypes,$N238,16)</f>
        <v>0</v>
      </c>
      <c r="X238">
        <f ca="1">INDEX(rngParamTypes,$N238,17)</f>
        <v>0</v>
      </c>
      <c r="Y238">
        <f ca="1">INDEX(rngParamTypes,$N238,18)</f>
        <v>0</v>
      </c>
    </row>
    <row r="239" spans="1:25" x14ac:dyDescent="0.2">
      <c r="A239" s="16">
        <v>238</v>
      </c>
      <c r="B239" s="37">
        <v>1</v>
      </c>
      <c r="C239" s="16" t="s">
        <v>1080</v>
      </c>
      <c r="D239" s="16" t="s">
        <v>1080</v>
      </c>
      <c r="E239" s="16">
        <v>2</v>
      </c>
      <c r="F239" s="16" t="s">
        <v>3444</v>
      </c>
      <c r="G239" s="16" t="s">
        <v>214</v>
      </c>
      <c r="H239" s="16" t="s">
        <v>1079</v>
      </c>
      <c r="I239" s="16" t="s">
        <v>215</v>
      </c>
      <c r="J239" s="16">
        <v>0</v>
      </c>
      <c r="K239" s="16">
        <v>1</v>
      </c>
      <c r="L239" s="16">
        <v>1</v>
      </c>
      <c r="M239" s="16">
        <v>0</v>
      </c>
      <c r="N239">
        <f t="array" aca="1" ref="N239" ca="1">MATCH(TRUE,EXACT(I239,OFFSET(rngParamTypes,0,6,,1)),0)</f>
        <v>85</v>
      </c>
      <c r="O239" t="str">
        <f ca="1">IF((INDEX(rngParamTypes,$N239,7)=I239),"",1)</f>
        <v/>
      </c>
      <c r="P239">
        <f ca="1">INDEX(rngParamTypes,$N239,9)</f>
        <v>0</v>
      </c>
      <c r="Q239">
        <f ca="1">INDEX(rngParamTypes,$N239,10)</f>
        <v>0</v>
      </c>
      <c r="R239">
        <f ca="1">INDEX(rngParamTypes,$N239,11)</f>
        <v>-1</v>
      </c>
      <c r="S239">
        <f ca="1">INDEX(rngParamTypes,$N239,12)</f>
        <v>0</v>
      </c>
      <c r="T239">
        <f ca="1">INDEX(rngParamTypes,$N239,13)</f>
        <v>1</v>
      </c>
      <c r="U239">
        <f ca="1">INDEX(rngParamTypes,$N239,14)</f>
        <v>0</v>
      </c>
      <c r="V239">
        <f ca="1">INDEX(rngParamTypes,$N239,15)</f>
        <v>0</v>
      </c>
      <c r="W239">
        <f ca="1">INDEX(rngParamTypes,$N239,16)</f>
        <v>0</v>
      </c>
      <c r="X239">
        <f ca="1">INDEX(rngParamTypes,$N239,17)</f>
        <v>0</v>
      </c>
      <c r="Y239">
        <f ca="1">INDEX(rngParamTypes,$N239,18)</f>
        <v>0</v>
      </c>
    </row>
    <row r="240" spans="1:25" x14ac:dyDescent="0.2">
      <c r="A240" s="16">
        <v>239</v>
      </c>
      <c r="B240" s="37">
        <v>1</v>
      </c>
      <c r="C240" s="16" t="s">
        <v>1038</v>
      </c>
      <c r="D240" s="16" t="s">
        <v>1038</v>
      </c>
      <c r="E240" s="16">
        <v>2</v>
      </c>
      <c r="F240" s="16" t="s">
        <v>3445</v>
      </c>
      <c r="G240" s="16" t="s">
        <v>202</v>
      </c>
      <c r="H240" s="16" t="s">
        <v>1081</v>
      </c>
      <c r="I240" s="16" t="s">
        <v>204</v>
      </c>
      <c r="J240" s="16">
        <v>2298.35</v>
      </c>
      <c r="K240" s="16">
        <v>5</v>
      </c>
      <c r="L240" s="16">
        <v>9</v>
      </c>
      <c r="M240" s="16">
        <v>0</v>
      </c>
      <c r="N240">
        <f t="array" aca="1" ref="N240" ca="1">MATCH(TRUE,EXACT(I240,OFFSET(rngParamTypes,0,6,,1)),0)</f>
        <v>80</v>
      </c>
      <c r="O240" t="str">
        <f ca="1">IF((INDEX(rngParamTypes,$N240,7)=I240),"",1)</f>
        <v/>
      </c>
      <c r="P240">
        <f ca="1">INDEX(rngParamTypes,$N240,9)</f>
        <v>0</v>
      </c>
      <c r="Q240">
        <f ca="1">INDEX(rngParamTypes,$N240,10)</f>
        <v>0</v>
      </c>
      <c r="R240">
        <f ca="1">INDEX(rngParamTypes,$N240,11)</f>
        <v>0</v>
      </c>
      <c r="S240">
        <f ca="1">INDEX(rngParamTypes,$N240,12)</f>
        <v>0</v>
      </c>
      <c r="T240">
        <f ca="1">INDEX(rngParamTypes,$N240,13)</f>
        <v>1</v>
      </c>
      <c r="U240">
        <f ca="1">INDEX(rngParamTypes,$N240,14)</f>
        <v>0</v>
      </c>
      <c r="V240">
        <f ca="1">INDEX(rngParamTypes,$N240,15)</f>
        <v>0</v>
      </c>
      <c r="W240">
        <f ca="1">INDEX(rngParamTypes,$N240,16)</f>
        <v>0</v>
      </c>
      <c r="X240">
        <f ca="1">INDEX(rngParamTypes,$N240,17)</f>
        <v>0</v>
      </c>
      <c r="Y240">
        <f ca="1">INDEX(rngParamTypes,$N240,18)</f>
        <v>0</v>
      </c>
    </row>
    <row r="241" spans="1:25" x14ac:dyDescent="0.2">
      <c r="A241" s="16">
        <v>240</v>
      </c>
      <c r="B241" s="37">
        <v>1</v>
      </c>
      <c r="C241" s="16" t="s">
        <v>1083</v>
      </c>
      <c r="D241" s="16" t="s">
        <v>1083</v>
      </c>
      <c r="E241" s="16"/>
      <c r="F241" s="16" t="s">
        <v>3446</v>
      </c>
      <c r="G241" s="16" t="s">
        <v>3438</v>
      </c>
      <c r="H241" s="16" t="s">
        <v>1082</v>
      </c>
      <c r="I241" s="16" t="s">
        <v>209</v>
      </c>
      <c r="J241" s="16">
        <v>0</v>
      </c>
      <c r="K241" s="16">
        <v>0.17611019999999999</v>
      </c>
      <c r="L241" s="16">
        <v>1</v>
      </c>
      <c r="M241" s="16">
        <v>0</v>
      </c>
      <c r="N241">
        <f t="array" aca="1" ref="N241" ca="1">MATCH(TRUE,EXACT(I241,OFFSET(rngParamTypes,0,6,,1)),0)</f>
        <v>82</v>
      </c>
      <c r="O241" t="str">
        <f ca="1">IF((INDEX(rngParamTypes,$N241,7)=I241),"",1)</f>
        <v/>
      </c>
      <c r="P241">
        <f ca="1">INDEX(rngParamTypes,$N241,9)</f>
        <v>-1</v>
      </c>
      <c r="Q241">
        <f ca="1">INDEX(rngParamTypes,$N241,10)</f>
        <v>0</v>
      </c>
      <c r="R241">
        <f ca="1">INDEX(rngParamTypes,$N241,11)</f>
        <v>3</v>
      </c>
      <c r="S241">
        <f ca="1">INDEX(rngParamTypes,$N241,12)</f>
        <v>0</v>
      </c>
      <c r="T241">
        <f ca="1">INDEX(rngParamTypes,$N241,13)</f>
        <v>1</v>
      </c>
      <c r="U241">
        <f ca="1">INDEX(rngParamTypes,$N241,14)</f>
        <v>0</v>
      </c>
      <c r="V241">
        <f ca="1">INDEX(rngParamTypes,$N241,15)</f>
        <v>0</v>
      </c>
      <c r="W241">
        <f ca="1">INDEX(rngParamTypes,$N241,16)</f>
        <v>0</v>
      </c>
      <c r="X241">
        <f ca="1">INDEX(rngParamTypes,$N241,17)</f>
        <v>0</v>
      </c>
      <c r="Y241">
        <f ca="1">INDEX(rngParamTypes,$N241,18)</f>
        <v>0</v>
      </c>
    </row>
    <row r="242" spans="1:25" x14ac:dyDescent="0.2">
      <c r="A242" s="16">
        <v>241</v>
      </c>
      <c r="B242" s="37">
        <v>1</v>
      </c>
      <c r="C242" s="16" t="s">
        <v>1085</v>
      </c>
      <c r="D242" s="16" t="s">
        <v>1085</v>
      </c>
      <c r="E242" s="16">
        <v>2</v>
      </c>
      <c r="F242" s="16" t="s">
        <v>4273</v>
      </c>
      <c r="G242" s="16" t="s">
        <v>211</v>
      </c>
      <c r="H242" s="16" t="s">
        <v>1084</v>
      </c>
      <c r="I242" s="16" t="s">
        <v>212</v>
      </c>
      <c r="J242" s="16">
        <v>0</v>
      </c>
      <c r="K242" s="16">
        <v>1.8226889999999999E-2</v>
      </c>
      <c r="L242" s="16">
        <v>1</v>
      </c>
      <c r="M242" s="16">
        <v>0</v>
      </c>
      <c r="N242">
        <f t="array" aca="1" ref="N242" ca="1">MATCH(TRUE,EXACT(I242,OFFSET(rngParamTypes,0,6,,1)),0)</f>
        <v>84</v>
      </c>
      <c r="O242" t="str">
        <f ca="1">IF((INDEX(rngParamTypes,$N242,7)=I242),"",1)</f>
        <v/>
      </c>
      <c r="P242">
        <f ca="1">INDEX(rngParamTypes,$N242,9)</f>
        <v>0</v>
      </c>
      <c r="Q242">
        <f ca="1">INDEX(rngParamTypes,$N242,10)</f>
        <v>-1</v>
      </c>
      <c r="R242">
        <f ca="1">INDEX(rngParamTypes,$N242,11)</f>
        <v>0</v>
      </c>
      <c r="S242">
        <f ca="1">INDEX(rngParamTypes,$N242,12)</f>
        <v>0</v>
      </c>
      <c r="T242">
        <f ca="1">INDEX(rngParamTypes,$N242,13)</f>
        <v>1</v>
      </c>
      <c r="U242">
        <f ca="1">INDEX(rngParamTypes,$N242,14)</f>
        <v>0</v>
      </c>
      <c r="V242">
        <f ca="1">INDEX(rngParamTypes,$N242,15)</f>
        <v>0</v>
      </c>
      <c r="W242">
        <f ca="1">INDEX(rngParamTypes,$N242,16)</f>
        <v>0</v>
      </c>
      <c r="X242">
        <f ca="1">INDEX(rngParamTypes,$N242,17)</f>
        <v>0</v>
      </c>
      <c r="Y242">
        <f ca="1">INDEX(rngParamTypes,$N242,18)</f>
        <v>0</v>
      </c>
    </row>
    <row r="243" spans="1:25" x14ac:dyDescent="0.2">
      <c r="A243" s="16">
        <v>242</v>
      </c>
      <c r="B243" s="37">
        <v>1</v>
      </c>
      <c r="C243" s="16" t="s">
        <v>1087</v>
      </c>
      <c r="D243" s="16" t="s">
        <v>1087</v>
      </c>
      <c r="E243" s="16">
        <v>2</v>
      </c>
      <c r="F243" s="16" t="s">
        <v>3447</v>
      </c>
      <c r="G243" s="16" t="s">
        <v>211</v>
      </c>
      <c r="H243" s="16" t="s">
        <v>1086</v>
      </c>
      <c r="I243" s="16" t="s">
        <v>212</v>
      </c>
      <c r="J243" s="16">
        <v>0</v>
      </c>
      <c r="K243" s="16">
        <v>1.822689</v>
      </c>
      <c r="L243" s="16">
        <v>1</v>
      </c>
      <c r="M243" s="16">
        <v>0</v>
      </c>
      <c r="N243">
        <f t="array" aca="1" ref="N243" ca="1">MATCH(TRUE,EXACT(I243,OFFSET(rngParamTypes,0,6,,1)),0)</f>
        <v>84</v>
      </c>
      <c r="O243" t="str">
        <f ca="1">IF((INDEX(rngParamTypes,$N243,7)=I243),"",1)</f>
        <v/>
      </c>
      <c r="P243">
        <f ca="1">INDEX(rngParamTypes,$N243,9)</f>
        <v>0</v>
      </c>
      <c r="Q243">
        <f ca="1">INDEX(rngParamTypes,$N243,10)</f>
        <v>-1</v>
      </c>
      <c r="R243">
        <f ca="1">INDEX(rngParamTypes,$N243,11)</f>
        <v>0</v>
      </c>
      <c r="S243">
        <f ca="1">INDEX(rngParamTypes,$N243,12)</f>
        <v>0</v>
      </c>
      <c r="T243">
        <f ca="1">INDEX(rngParamTypes,$N243,13)</f>
        <v>1</v>
      </c>
      <c r="U243">
        <f ca="1">INDEX(rngParamTypes,$N243,14)</f>
        <v>0</v>
      </c>
      <c r="V243">
        <f ca="1">INDEX(rngParamTypes,$N243,15)</f>
        <v>0</v>
      </c>
      <c r="W243">
        <f ca="1">INDEX(rngParamTypes,$N243,16)</f>
        <v>0</v>
      </c>
      <c r="X243">
        <f ca="1">INDEX(rngParamTypes,$N243,17)</f>
        <v>0</v>
      </c>
      <c r="Y243">
        <f ca="1">INDEX(rngParamTypes,$N243,18)</f>
        <v>0</v>
      </c>
    </row>
    <row r="244" spans="1:25" x14ac:dyDescent="0.2">
      <c r="A244" s="16">
        <v>243</v>
      </c>
      <c r="B244" s="37">
        <v>1</v>
      </c>
      <c r="C244" s="16" t="s">
        <v>1088</v>
      </c>
      <c r="D244" s="16" t="s">
        <v>1088</v>
      </c>
      <c r="E244" s="16">
        <v>2</v>
      </c>
      <c r="F244" s="16" t="s">
        <v>4274</v>
      </c>
      <c r="G244" s="16" t="s">
        <v>211</v>
      </c>
      <c r="H244" s="16" t="s">
        <v>1084</v>
      </c>
      <c r="I244" s="16" t="s">
        <v>212</v>
      </c>
      <c r="J244" s="16">
        <v>0</v>
      </c>
      <c r="K244" s="16">
        <v>1.8226889999999999E-2</v>
      </c>
      <c r="L244" s="16">
        <v>1</v>
      </c>
      <c r="M244" s="16">
        <v>0</v>
      </c>
      <c r="N244">
        <f t="array" aca="1" ref="N244" ca="1">MATCH(TRUE,EXACT(I244,OFFSET(rngParamTypes,0,6,,1)),0)</f>
        <v>84</v>
      </c>
      <c r="O244" t="str">
        <f ca="1">IF((INDEX(rngParamTypes,$N244,7)=I244),"",1)</f>
        <v/>
      </c>
      <c r="P244">
        <f ca="1">INDEX(rngParamTypes,$N244,9)</f>
        <v>0</v>
      </c>
      <c r="Q244">
        <f ca="1">INDEX(rngParamTypes,$N244,10)</f>
        <v>-1</v>
      </c>
      <c r="R244">
        <f ca="1">INDEX(rngParamTypes,$N244,11)</f>
        <v>0</v>
      </c>
      <c r="S244">
        <f ca="1">INDEX(rngParamTypes,$N244,12)</f>
        <v>0</v>
      </c>
      <c r="T244">
        <f ca="1">INDEX(rngParamTypes,$N244,13)</f>
        <v>1</v>
      </c>
      <c r="U244">
        <f ca="1">INDEX(rngParamTypes,$N244,14)</f>
        <v>0</v>
      </c>
      <c r="V244">
        <f ca="1">INDEX(rngParamTypes,$N244,15)</f>
        <v>0</v>
      </c>
      <c r="W244">
        <f ca="1">INDEX(rngParamTypes,$N244,16)</f>
        <v>0</v>
      </c>
      <c r="X244">
        <f ca="1">INDEX(rngParamTypes,$N244,17)</f>
        <v>0</v>
      </c>
      <c r="Y244">
        <f ca="1">INDEX(rngParamTypes,$N244,18)</f>
        <v>0</v>
      </c>
    </row>
    <row r="245" spans="1:25" x14ac:dyDescent="0.2">
      <c r="A245" s="16">
        <v>244</v>
      </c>
      <c r="B245" s="37">
        <v>1</v>
      </c>
      <c r="C245" s="16" t="s">
        <v>1090</v>
      </c>
      <c r="D245" s="16" t="s">
        <v>1090</v>
      </c>
      <c r="E245" s="16">
        <v>2</v>
      </c>
      <c r="F245" s="16" t="s">
        <v>3448</v>
      </c>
      <c r="G245" s="16" t="s">
        <v>214</v>
      </c>
      <c r="H245" s="16" t="s">
        <v>1089</v>
      </c>
      <c r="I245" s="16" t="s">
        <v>215</v>
      </c>
      <c r="J245" s="16">
        <v>0</v>
      </c>
      <c r="K245" s="16">
        <v>5</v>
      </c>
      <c r="L245" s="16">
        <v>32400</v>
      </c>
      <c r="M245" s="16">
        <v>0</v>
      </c>
      <c r="N245">
        <f t="array" aca="1" ref="N245" ca="1">MATCH(TRUE,EXACT(I245,OFFSET(rngParamTypes,0,6,,1)),0)</f>
        <v>85</v>
      </c>
      <c r="O245" t="str">
        <f ca="1">IF((INDEX(rngParamTypes,$N245,7)=I245),"",1)</f>
        <v/>
      </c>
      <c r="P245">
        <f ca="1">INDEX(rngParamTypes,$N245,9)</f>
        <v>0</v>
      </c>
      <c r="Q245">
        <f ca="1">INDEX(rngParamTypes,$N245,10)</f>
        <v>0</v>
      </c>
      <c r="R245">
        <f ca="1">INDEX(rngParamTypes,$N245,11)</f>
        <v>-1</v>
      </c>
      <c r="S245">
        <f ca="1">INDEX(rngParamTypes,$N245,12)</f>
        <v>0</v>
      </c>
      <c r="T245">
        <f ca="1">INDEX(rngParamTypes,$N245,13)</f>
        <v>1</v>
      </c>
      <c r="U245">
        <f ca="1">INDEX(rngParamTypes,$N245,14)</f>
        <v>0</v>
      </c>
      <c r="V245">
        <f ca="1">INDEX(rngParamTypes,$N245,15)</f>
        <v>0</v>
      </c>
      <c r="W245">
        <f ca="1">INDEX(rngParamTypes,$N245,16)</f>
        <v>0</v>
      </c>
      <c r="X245">
        <f ca="1">INDEX(rngParamTypes,$N245,17)</f>
        <v>0</v>
      </c>
      <c r="Y245">
        <f ca="1">INDEX(rngParamTypes,$N245,18)</f>
        <v>0</v>
      </c>
    </row>
    <row r="246" spans="1:25" x14ac:dyDescent="0.2">
      <c r="A246" s="16">
        <v>245</v>
      </c>
      <c r="B246" s="37">
        <v>1</v>
      </c>
      <c r="C246" s="16" t="s">
        <v>1092</v>
      </c>
      <c r="D246" s="16" t="s">
        <v>1092</v>
      </c>
      <c r="E246" s="16">
        <v>2</v>
      </c>
      <c r="F246" s="16" t="s">
        <v>3449</v>
      </c>
      <c r="G246" s="16" t="s">
        <v>211</v>
      </c>
      <c r="H246" s="16" t="s">
        <v>1091</v>
      </c>
      <c r="I246" s="16" t="s">
        <v>212</v>
      </c>
      <c r="J246" s="16">
        <v>0</v>
      </c>
      <c r="K246" s="16">
        <v>5</v>
      </c>
      <c r="L246" s="16">
        <v>9</v>
      </c>
      <c r="M246" s="16">
        <v>0</v>
      </c>
      <c r="N246">
        <f t="array" aca="1" ref="N246" ca="1">MATCH(TRUE,EXACT(I246,OFFSET(rngParamTypes,0,6,,1)),0)</f>
        <v>84</v>
      </c>
      <c r="O246" t="str">
        <f ca="1">IF((INDEX(rngParamTypes,$N246,7)=I246),"",1)</f>
        <v/>
      </c>
      <c r="P246">
        <f ca="1">INDEX(rngParamTypes,$N246,9)</f>
        <v>0</v>
      </c>
      <c r="Q246">
        <f ca="1">INDEX(rngParamTypes,$N246,10)</f>
        <v>-1</v>
      </c>
      <c r="R246">
        <f ca="1">INDEX(rngParamTypes,$N246,11)</f>
        <v>0</v>
      </c>
      <c r="S246">
        <f ca="1">INDEX(rngParamTypes,$N246,12)</f>
        <v>0</v>
      </c>
      <c r="T246">
        <f ca="1">INDEX(rngParamTypes,$N246,13)</f>
        <v>1</v>
      </c>
      <c r="U246">
        <f ca="1">INDEX(rngParamTypes,$N246,14)</f>
        <v>0</v>
      </c>
      <c r="V246">
        <f ca="1">INDEX(rngParamTypes,$N246,15)</f>
        <v>0</v>
      </c>
      <c r="W246">
        <f ca="1">INDEX(rngParamTypes,$N246,16)</f>
        <v>0</v>
      </c>
      <c r="X246">
        <f ca="1">INDEX(rngParamTypes,$N246,17)</f>
        <v>0</v>
      </c>
      <c r="Y246">
        <f ca="1">INDEX(rngParamTypes,$N246,18)</f>
        <v>0</v>
      </c>
    </row>
    <row r="247" spans="1:25" x14ac:dyDescent="0.2">
      <c r="A247" s="16">
        <v>246</v>
      </c>
      <c r="B247" s="37">
        <v>1</v>
      </c>
      <c r="C247" s="16" t="s">
        <v>1094</v>
      </c>
      <c r="D247" s="16" t="s">
        <v>1094</v>
      </c>
      <c r="E247" s="16">
        <v>2</v>
      </c>
      <c r="F247" s="16" t="s">
        <v>3450</v>
      </c>
      <c r="G247" s="16" t="s">
        <v>214</v>
      </c>
      <c r="H247" s="16" t="s">
        <v>1093</v>
      </c>
      <c r="I247" s="16" t="s">
        <v>215</v>
      </c>
      <c r="J247" s="16">
        <v>0</v>
      </c>
      <c r="K247" s="16">
        <v>5</v>
      </c>
      <c r="L247" s="16">
        <v>540</v>
      </c>
      <c r="M247" s="16">
        <v>0</v>
      </c>
      <c r="N247">
        <f t="array" aca="1" ref="N247" ca="1">MATCH(TRUE,EXACT(I247,OFFSET(rngParamTypes,0,6,,1)),0)</f>
        <v>85</v>
      </c>
      <c r="O247" t="str">
        <f ca="1">IF((INDEX(rngParamTypes,$N247,7)=I247),"",1)</f>
        <v/>
      </c>
      <c r="P247">
        <f ca="1">INDEX(rngParamTypes,$N247,9)</f>
        <v>0</v>
      </c>
      <c r="Q247">
        <f ca="1">INDEX(rngParamTypes,$N247,10)</f>
        <v>0</v>
      </c>
      <c r="R247">
        <f ca="1">INDEX(rngParamTypes,$N247,11)</f>
        <v>-1</v>
      </c>
      <c r="S247">
        <f ca="1">INDEX(rngParamTypes,$N247,12)</f>
        <v>0</v>
      </c>
      <c r="T247">
        <f ca="1">INDEX(rngParamTypes,$N247,13)</f>
        <v>1</v>
      </c>
      <c r="U247">
        <f ca="1">INDEX(rngParamTypes,$N247,14)</f>
        <v>0</v>
      </c>
      <c r="V247">
        <f ca="1">INDEX(rngParamTypes,$N247,15)</f>
        <v>0</v>
      </c>
      <c r="W247">
        <f ca="1">INDEX(rngParamTypes,$N247,16)</f>
        <v>0</v>
      </c>
      <c r="X247">
        <f ca="1">INDEX(rngParamTypes,$N247,17)</f>
        <v>0</v>
      </c>
      <c r="Y247">
        <f ca="1">INDEX(rngParamTypes,$N247,18)</f>
        <v>0</v>
      </c>
    </row>
    <row r="248" spans="1:25" x14ac:dyDescent="0.2">
      <c r="A248" s="16">
        <v>247</v>
      </c>
      <c r="B248" s="37">
        <v>1</v>
      </c>
      <c r="C248" s="16" t="s">
        <v>1096</v>
      </c>
      <c r="D248" s="16" t="s">
        <v>1096</v>
      </c>
      <c r="E248" s="16">
        <v>2</v>
      </c>
      <c r="F248" s="16" t="s">
        <v>3451</v>
      </c>
      <c r="G248" s="16" t="s">
        <v>214</v>
      </c>
      <c r="H248" s="16" t="s">
        <v>1095</v>
      </c>
      <c r="I248" s="16" t="s">
        <v>215</v>
      </c>
      <c r="J248" s="16">
        <v>0</v>
      </c>
      <c r="K248" s="16">
        <v>5</v>
      </c>
      <c r="L248" s="16">
        <v>9</v>
      </c>
      <c r="M248" s="16">
        <v>0</v>
      </c>
      <c r="N248">
        <f t="array" aca="1" ref="N248" ca="1">MATCH(TRUE,EXACT(I248,OFFSET(rngParamTypes,0,6,,1)),0)</f>
        <v>85</v>
      </c>
      <c r="O248" t="str">
        <f ca="1">IF((INDEX(rngParamTypes,$N248,7)=I248),"",1)</f>
        <v/>
      </c>
      <c r="P248">
        <f ca="1">INDEX(rngParamTypes,$N248,9)</f>
        <v>0</v>
      </c>
      <c r="Q248">
        <f ca="1">INDEX(rngParamTypes,$N248,10)</f>
        <v>0</v>
      </c>
      <c r="R248">
        <f ca="1">INDEX(rngParamTypes,$N248,11)</f>
        <v>-1</v>
      </c>
      <c r="S248">
        <f ca="1">INDEX(rngParamTypes,$N248,12)</f>
        <v>0</v>
      </c>
      <c r="T248">
        <f ca="1">INDEX(rngParamTypes,$N248,13)</f>
        <v>1</v>
      </c>
      <c r="U248">
        <f ca="1">INDEX(rngParamTypes,$N248,14)</f>
        <v>0</v>
      </c>
      <c r="V248">
        <f ca="1">INDEX(rngParamTypes,$N248,15)</f>
        <v>0</v>
      </c>
      <c r="W248">
        <f ca="1">INDEX(rngParamTypes,$N248,16)</f>
        <v>0</v>
      </c>
      <c r="X248">
        <f ca="1">INDEX(rngParamTypes,$N248,17)</f>
        <v>0</v>
      </c>
      <c r="Y248">
        <f ca="1">INDEX(rngParamTypes,$N248,18)</f>
        <v>0</v>
      </c>
    </row>
    <row r="249" spans="1:25" x14ac:dyDescent="0.2">
      <c r="A249" s="16">
        <v>248</v>
      </c>
      <c r="B249" s="37">
        <v>1</v>
      </c>
      <c r="C249" s="16" t="s">
        <v>1043</v>
      </c>
      <c r="D249" s="16" t="s">
        <v>1043</v>
      </c>
      <c r="E249" s="16">
        <v>2</v>
      </c>
      <c r="F249" s="16" t="s">
        <v>3452</v>
      </c>
      <c r="G249" s="16" t="s">
        <v>202</v>
      </c>
      <c r="H249" s="16" t="s">
        <v>1097</v>
      </c>
      <c r="I249" s="16" t="s">
        <v>204</v>
      </c>
      <c r="J249" s="16">
        <v>0</v>
      </c>
      <c r="K249" s="16">
        <v>5</v>
      </c>
      <c r="L249" s="16">
        <v>9</v>
      </c>
      <c r="M249" s="16">
        <v>0</v>
      </c>
      <c r="N249">
        <f t="array" aca="1" ref="N249" ca="1">MATCH(TRUE,EXACT(I249,OFFSET(rngParamTypes,0,6,,1)),0)</f>
        <v>80</v>
      </c>
      <c r="O249" t="str">
        <f ca="1">IF((INDEX(rngParamTypes,$N249,7)=I249),"",1)</f>
        <v/>
      </c>
      <c r="P249">
        <f ca="1">INDEX(rngParamTypes,$N249,9)</f>
        <v>0</v>
      </c>
      <c r="Q249">
        <f ca="1">INDEX(rngParamTypes,$N249,10)</f>
        <v>0</v>
      </c>
      <c r="R249">
        <f ca="1">INDEX(rngParamTypes,$N249,11)</f>
        <v>0</v>
      </c>
      <c r="S249">
        <f ca="1">INDEX(rngParamTypes,$N249,12)</f>
        <v>0</v>
      </c>
      <c r="T249">
        <f ca="1">INDEX(rngParamTypes,$N249,13)</f>
        <v>1</v>
      </c>
      <c r="U249">
        <f ca="1">INDEX(rngParamTypes,$N249,14)</f>
        <v>0</v>
      </c>
      <c r="V249">
        <f ca="1">INDEX(rngParamTypes,$N249,15)</f>
        <v>0</v>
      </c>
      <c r="W249">
        <f ca="1">INDEX(rngParamTypes,$N249,16)</f>
        <v>0</v>
      </c>
      <c r="X249">
        <f ca="1">INDEX(rngParamTypes,$N249,17)</f>
        <v>0</v>
      </c>
      <c r="Y249">
        <f ca="1">INDEX(rngParamTypes,$N249,18)</f>
        <v>0</v>
      </c>
    </row>
    <row r="250" spans="1:25" x14ac:dyDescent="0.2">
      <c r="A250" s="16">
        <v>249</v>
      </c>
      <c r="B250" s="37">
        <v>1</v>
      </c>
      <c r="C250" s="16" t="s">
        <v>1099</v>
      </c>
      <c r="D250" s="16" t="s">
        <v>1099</v>
      </c>
      <c r="E250" s="16">
        <v>2</v>
      </c>
      <c r="F250" s="16" t="s">
        <v>3453</v>
      </c>
      <c r="G250" s="16" t="s">
        <v>3380</v>
      </c>
      <c r="H250" s="16" t="s">
        <v>1098</v>
      </c>
      <c r="I250" s="16" t="s">
        <v>290</v>
      </c>
      <c r="J250" s="16">
        <v>0</v>
      </c>
      <c r="K250" s="16">
        <v>0.1</v>
      </c>
      <c r="L250" s="16">
        <v>1</v>
      </c>
      <c r="M250" s="16">
        <v>0</v>
      </c>
      <c r="N250">
        <f t="array" aca="1" ref="N250" ca="1">MATCH(TRUE,EXACT(I250,OFFSET(rngParamTypes,0,6,,1)),0)</f>
        <v>109</v>
      </c>
      <c r="O250" t="str">
        <f ca="1">IF((INDEX(rngParamTypes,$N250,7)=I250),"",1)</f>
        <v/>
      </c>
      <c r="P250">
        <f ca="1">INDEX(rngParamTypes,$N250,9)</f>
        <v>0</v>
      </c>
      <c r="Q250">
        <f ca="1">INDEX(rngParamTypes,$N250,10)</f>
        <v>1</v>
      </c>
      <c r="R250">
        <f ca="1">INDEX(rngParamTypes,$N250,11)</f>
        <v>0</v>
      </c>
      <c r="S250">
        <f ca="1">INDEX(rngParamTypes,$N250,12)</f>
        <v>0</v>
      </c>
      <c r="T250">
        <f ca="1">INDEX(rngParamTypes,$N250,13)</f>
        <v>0</v>
      </c>
      <c r="U250">
        <f ca="1">INDEX(rngParamTypes,$N250,14)</f>
        <v>0</v>
      </c>
      <c r="V250">
        <f ca="1">INDEX(rngParamTypes,$N250,15)</f>
        <v>0</v>
      </c>
      <c r="W250">
        <f ca="1">INDEX(rngParamTypes,$N250,16)</f>
        <v>0</v>
      </c>
      <c r="X250">
        <f ca="1">INDEX(rngParamTypes,$N250,17)</f>
        <v>0</v>
      </c>
      <c r="Y250">
        <f ca="1">INDEX(rngParamTypes,$N250,18)</f>
        <v>0</v>
      </c>
    </row>
    <row r="251" spans="1:25" x14ac:dyDescent="0.2">
      <c r="A251" s="16">
        <v>250</v>
      </c>
      <c r="B251" s="37">
        <v>1</v>
      </c>
      <c r="C251" s="16" t="s">
        <v>1101</v>
      </c>
      <c r="D251" s="16" t="s">
        <v>1101</v>
      </c>
      <c r="E251" s="16">
        <v>2</v>
      </c>
      <c r="F251" s="16" t="s">
        <v>3454</v>
      </c>
      <c r="G251" s="16" t="s">
        <v>296</v>
      </c>
      <c r="H251" s="16" t="s">
        <v>1100</v>
      </c>
      <c r="I251" s="16" t="s">
        <v>297</v>
      </c>
      <c r="J251" s="16">
        <v>0</v>
      </c>
      <c r="K251" s="16">
        <v>0.1</v>
      </c>
      <c r="L251" s="16">
        <v>1</v>
      </c>
      <c r="M251" s="16">
        <v>0</v>
      </c>
      <c r="N251">
        <f t="array" aca="1" ref="N251" ca="1">MATCH(TRUE,EXACT(I251,OFFSET(rngParamTypes,0,6,,1)),0)</f>
        <v>123</v>
      </c>
      <c r="O251" t="str">
        <f ca="1">IF((INDEX(rngParamTypes,$N251,7)=I251),"",1)</f>
        <v/>
      </c>
      <c r="P251">
        <f ca="1">INDEX(rngParamTypes,$N251,9)</f>
        <v>0</v>
      </c>
      <c r="Q251">
        <f ca="1">INDEX(rngParamTypes,$N251,10)</f>
        <v>1</v>
      </c>
      <c r="R251">
        <f ca="1">INDEX(rngParamTypes,$N251,11)</f>
        <v>-1</v>
      </c>
      <c r="S251">
        <f ca="1">INDEX(rngParamTypes,$N251,12)</f>
        <v>0</v>
      </c>
      <c r="T251">
        <f ca="1">INDEX(rngParamTypes,$N251,13)</f>
        <v>0</v>
      </c>
      <c r="U251">
        <f ca="1">INDEX(rngParamTypes,$N251,14)</f>
        <v>0</v>
      </c>
      <c r="V251">
        <f ca="1">INDEX(rngParamTypes,$N251,15)</f>
        <v>0</v>
      </c>
      <c r="W251">
        <f ca="1">INDEX(rngParamTypes,$N251,16)</f>
        <v>0</v>
      </c>
      <c r="X251">
        <f ca="1">INDEX(rngParamTypes,$N251,17)</f>
        <v>0</v>
      </c>
      <c r="Y251">
        <f ca="1">INDEX(rngParamTypes,$N251,18)</f>
        <v>0</v>
      </c>
    </row>
    <row r="252" spans="1:25" x14ac:dyDescent="0.2">
      <c r="A252" s="16">
        <v>251</v>
      </c>
      <c r="B252" s="37">
        <v>1</v>
      </c>
      <c r="C252" s="16" t="s">
        <v>1103</v>
      </c>
      <c r="D252" s="16" t="s">
        <v>1103</v>
      </c>
      <c r="E252" s="16">
        <v>2</v>
      </c>
      <c r="F252" s="16" t="s">
        <v>3455</v>
      </c>
      <c r="G252" s="16" t="s">
        <v>321</v>
      </c>
      <c r="H252" s="16" t="s">
        <v>1102</v>
      </c>
      <c r="I252" s="16" t="s">
        <v>322</v>
      </c>
      <c r="J252" s="16">
        <v>0</v>
      </c>
      <c r="K252" s="16">
        <v>1E-3</v>
      </c>
      <c r="L252" s="16">
        <v>1</v>
      </c>
      <c r="M252" s="16">
        <v>0</v>
      </c>
      <c r="N252">
        <f t="array" aca="1" ref="N252" ca="1">MATCH(TRUE,EXACT(I252,OFFSET(rngParamTypes,0,6,,1)),0)</f>
        <v>134</v>
      </c>
      <c r="O252" t="str">
        <f ca="1">IF((INDEX(rngParamTypes,$N252,7)=I252),"",1)</f>
        <v/>
      </c>
      <c r="P252">
        <f ca="1">INDEX(rngParamTypes,$N252,9)</f>
        <v>0</v>
      </c>
      <c r="Q252">
        <f ca="1">INDEX(rngParamTypes,$N252,10)</f>
        <v>3</v>
      </c>
      <c r="R252">
        <f ca="1">INDEX(rngParamTypes,$N252,11)</f>
        <v>0</v>
      </c>
      <c r="S252">
        <f ca="1">INDEX(rngParamTypes,$N252,12)</f>
        <v>0</v>
      </c>
      <c r="T252">
        <f ca="1">INDEX(rngParamTypes,$N252,13)</f>
        <v>0</v>
      </c>
      <c r="U252">
        <f ca="1">INDEX(rngParamTypes,$N252,14)</f>
        <v>0</v>
      </c>
      <c r="V252">
        <f ca="1">INDEX(rngParamTypes,$N252,15)</f>
        <v>0</v>
      </c>
      <c r="W252">
        <f ca="1">INDEX(rngParamTypes,$N252,16)</f>
        <v>0</v>
      </c>
      <c r="X252">
        <f ca="1">INDEX(rngParamTypes,$N252,17)</f>
        <v>0</v>
      </c>
      <c r="Y252">
        <f ca="1">INDEX(rngParamTypes,$N252,18)</f>
        <v>0</v>
      </c>
    </row>
    <row r="253" spans="1:25" x14ac:dyDescent="0.2">
      <c r="A253" s="16">
        <v>252</v>
      </c>
      <c r="B253" s="37">
        <v>1</v>
      </c>
      <c r="C253" s="16" t="s">
        <v>1106</v>
      </c>
      <c r="D253" s="16" t="s">
        <v>1106</v>
      </c>
      <c r="E253" s="16"/>
      <c r="F253" s="16" t="s">
        <v>4275</v>
      </c>
      <c r="G253" s="16" t="s">
        <v>767</v>
      </c>
      <c r="H253" s="16" t="s">
        <v>1105</v>
      </c>
      <c r="I253" s="16" t="s">
        <v>303</v>
      </c>
      <c r="J253" s="16">
        <v>0</v>
      </c>
      <c r="K253" s="16">
        <v>1E-8</v>
      </c>
      <c r="L253" s="16">
        <v>1</v>
      </c>
      <c r="M253" s="16">
        <v>0</v>
      </c>
      <c r="N253">
        <f t="array" aca="1" ref="N253" ca="1">MATCH(TRUE,EXACT(I253,OFFSET(rngParamTypes,0,6,,1)),0)</f>
        <v>125</v>
      </c>
      <c r="O253" t="str">
        <f ca="1">IF((INDEX(rngParamTypes,$N253,7)=I253),"",1)</f>
        <v/>
      </c>
      <c r="P253">
        <f ca="1">INDEX(rngParamTypes,$N253,9)</f>
        <v>0</v>
      </c>
      <c r="Q253">
        <f ca="1">INDEX(rngParamTypes,$N253,10)</f>
        <v>2</v>
      </c>
      <c r="R253">
        <f ca="1">INDEX(rngParamTypes,$N253,11)</f>
        <v>0</v>
      </c>
      <c r="S253">
        <f ca="1">INDEX(rngParamTypes,$N253,12)</f>
        <v>0</v>
      </c>
      <c r="T253">
        <f ca="1">INDEX(rngParamTypes,$N253,13)</f>
        <v>0</v>
      </c>
      <c r="U253">
        <f ca="1">INDEX(rngParamTypes,$N253,14)</f>
        <v>0</v>
      </c>
      <c r="V253">
        <f ca="1">INDEX(rngParamTypes,$N253,15)</f>
        <v>0</v>
      </c>
      <c r="W253">
        <f ca="1">INDEX(rngParamTypes,$N253,16)</f>
        <v>0</v>
      </c>
      <c r="X253">
        <f ca="1">INDEX(rngParamTypes,$N253,17)</f>
        <v>0</v>
      </c>
      <c r="Y253">
        <f ca="1">INDEX(rngParamTypes,$N253,18)</f>
        <v>0</v>
      </c>
    </row>
    <row r="254" spans="1:25" x14ac:dyDescent="0.2">
      <c r="A254" s="16">
        <v>253</v>
      </c>
      <c r="B254" s="37">
        <v>1</v>
      </c>
      <c r="C254" s="16" t="s">
        <v>1108</v>
      </c>
      <c r="D254" s="16" t="s">
        <v>1108</v>
      </c>
      <c r="E254" s="16">
        <v>2</v>
      </c>
      <c r="F254" s="16" t="s">
        <v>3456</v>
      </c>
      <c r="G254" s="16" t="s">
        <v>3307</v>
      </c>
      <c r="H254" s="16" t="s">
        <v>1107</v>
      </c>
      <c r="I254" s="16" t="s">
        <v>329</v>
      </c>
      <c r="J254" s="16">
        <v>0</v>
      </c>
      <c r="K254" s="16">
        <v>1E-3</v>
      </c>
      <c r="L254" s="16">
        <v>1</v>
      </c>
      <c r="M254" s="16">
        <v>0</v>
      </c>
      <c r="N254">
        <f t="array" aca="1" ref="N254" ca="1">MATCH(TRUE,EXACT(I254,OFFSET(rngParamTypes,0,6,,1)),0)</f>
        <v>136</v>
      </c>
      <c r="O254" t="str">
        <f ca="1">IF((INDEX(rngParamTypes,$N254,7)=I254),"",1)</f>
        <v/>
      </c>
      <c r="P254">
        <f ca="1">INDEX(rngParamTypes,$N254,9)</f>
        <v>-1</v>
      </c>
      <c r="Q254">
        <f ca="1">INDEX(rngParamTypes,$N254,10)</f>
        <v>3</v>
      </c>
      <c r="R254">
        <f ca="1">INDEX(rngParamTypes,$N254,11)</f>
        <v>0</v>
      </c>
      <c r="S254">
        <f ca="1">INDEX(rngParamTypes,$N254,12)</f>
        <v>0</v>
      </c>
      <c r="T254">
        <f ca="1">INDEX(rngParamTypes,$N254,13)</f>
        <v>0</v>
      </c>
      <c r="U254">
        <f ca="1">INDEX(rngParamTypes,$N254,14)</f>
        <v>0</v>
      </c>
      <c r="V254">
        <f ca="1">INDEX(rngParamTypes,$N254,15)</f>
        <v>0</v>
      </c>
      <c r="W254">
        <f ca="1">INDEX(rngParamTypes,$N254,16)</f>
        <v>0</v>
      </c>
      <c r="X254">
        <f ca="1">INDEX(rngParamTypes,$N254,17)</f>
        <v>0</v>
      </c>
      <c r="Y254">
        <f ca="1">INDEX(rngParamTypes,$N254,18)</f>
        <v>0</v>
      </c>
    </row>
    <row r="255" spans="1:25" x14ac:dyDescent="0.2">
      <c r="A255" s="16">
        <v>254</v>
      </c>
      <c r="B255" s="37">
        <v>1</v>
      </c>
      <c r="C255" s="16" t="s">
        <v>1109</v>
      </c>
      <c r="D255" s="16" t="s">
        <v>1109</v>
      </c>
      <c r="E255" s="16"/>
      <c r="F255" s="16" t="s">
        <v>4276</v>
      </c>
      <c r="G255" s="16" t="s">
        <v>767</v>
      </c>
      <c r="H255" s="16" t="s">
        <v>1105</v>
      </c>
      <c r="I255" s="16" t="s">
        <v>303</v>
      </c>
      <c r="J255" s="16">
        <v>0</v>
      </c>
      <c r="K255" s="16">
        <v>1E-8</v>
      </c>
      <c r="L255" s="16">
        <v>1</v>
      </c>
      <c r="M255" s="16">
        <v>0</v>
      </c>
      <c r="N255">
        <f t="array" aca="1" ref="N255" ca="1">MATCH(TRUE,EXACT(I255,OFFSET(rngParamTypes,0,6,,1)),0)</f>
        <v>125</v>
      </c>
      <c r="O255" t="str">
        <f ca="1">IF((INDEX(rngParamTypes,$N255,7)=I255),"",1)</f>
        <v/>
      </c>
      <c r="P255">
        <f ca="1">INDEX(rngParamTypes,$N255,9)</f>
        <v>0</v>
      </c>
      <c r="Q255">
        <f ca="1">INDEX(rngParamTypes,$N255,10)</f>
        <v>2</v>
      </c>
      <c r="R255">
        <f ca="1">INDEX(rngParamTypes,$N255,11)</f>
        <v>0</v>
      </c>
      <c r="S255">
        <f ca="1">INDEX(rngParamTypes,$N255,12)</f>
        <v>0</v>
      </c>
      <c r="T255">
        <f ca="1">INDEX(rngParamTypes,$N255,13)</f>
        <v>0</v>
      </c>
      <c r="U255">
        <f ca="1">INDEX(rngParamTypes,$N255,14)</f>
        <v>0</v>
      </c>
      <c r="V255">
        <f ca="1">INDEX(rngParamTypes,$N255,15)</f>
        <v>0</v>
      </c>
      <c r="W255">
        <f ca="1">INDEX(rngParamTypes,$N255,16)</f>
        <v>0</v>
      </c>
      <c r="X255">
        <f ca="1">INDEX(rngParamTypes,$N255,17)</f>
        <v>0</v>
      </c>
      <c r="Y255">
        <f ca="1">INDEX(rngParamTypes,$N255,18)</f>
        <v>0</v>
      </c>
    </row>
    <row r="256" spans="1:25" x14ac:dyDescent="0.2">
      <c r="A256" s="16">
        <v>255</v>
      </c>
      <c r="B256" s="37">
        <v>1</v>
      </c>
      <c r="C256" s="16" t="s">
        <v>1111</v>
      </c>
      <c r="D256" s="16" t="s">
        <v>1111</v>
      </c>
      <c r="E256" s="16"/>
      <c r="F256" s="16" t="s">
        <v>3457</v>
      </c>
      <c r="G256" s="16" t="s">
        <v>324</v>
      </c>
      <c r="H256" s="16" t="s">
        <v>1110</v>
      </c>
      <c r="I256" s="16" t="s">
        <v>325</v>
      </c>
      <c r="J256" s="16">
        <v>0</v>
      </c>
      <c r="K256" s="16">
        <v>2.7777780000000002E-10</v>
      </c>
      <c r="L256" s="16">
        <v>1</v>
      </c>
      <c r="M256" s="16">
        <v>0</v>
      </c>
      <c r="N256">
        <f t="array" aca="1" ref="N256" ca="1">MATCH(TRUE,EXACT(I256,OFFSET(rngParamTypes,0,6,,1)),0)</f>
        <v>135</v>
      </c>
      <c r="O256" t="str">
        <f ca="1">IF((INDEX(rngParamTypes,$N256,7)=I256),"",1)</f>
        <v/>
      </c>
      <c r="P256">
        <f ca="1">INDEX(rngParamTypes,$N256,9)</f>
        <v>-1</v>
      </c>
      <c r="Q256">
        <f ca="1">INDEX(rngParamTypes,$N256,10)</f>
        <v>1</v>
      </c>
      <c r="R256">
        <f ca="1">INDEX(rngParamTypes,$N256,11)</f>
        <v>2</v>
      </c>
      <c r="S256">
        <f ca="1">INDEX(rngParamTypes,$N256,12)</f>
        <v>0</v>
      </c>
      <c r="T256">
        <f ca="1">INDEX(rngParamTypes,$N256,13)</f>
        <v>0</v>
      </c>
      <c r="U256">
        <f ca="1">INDEX(rngParamTypes,$N256,14)</f>
        <v>0</v>
      </c>
      <c r="V256">
        <f ca="1">INDEX(rngParamTypes,$N256,15)</f>
        <v>0</v>
      </c>
      <c r="W256">
        <f ca="1">INDEX(rngParamTypes,$N256,16)</f>
        <v>0</v>
      </c>
      <c r="X256">
        <f ca="1">INDEX(rngParamTypes,$N256,17)</f>
        <v>0</v>
      </c>
      <c r="Y256">
        <f ca="1">INDEX(rngParamTypes,$N256,18)</f>
        <v>0</v>
      </c>
    </row>
    <row r="257" spans="1:25" x14ac:dyDescent="0.2">
      <c r="A257" s="16">
        <v>256</v>
      </c>
      <c r="B257" s="37">
        <v>1</v>
      </c>
      <c r="C257" s="16" t="s">
        <v>1113</v>
      </c>
      <c r="D257" s="16" t="s">
        <v>1113</v>
      </c>
      <c r="E257" s="16"/>
      <c r="F257" s="16" t="s">
        <v>3458</v>
      </c>
      <c r="G257" s="16" t="s">
        <v>767</v>
      </c>
      <c r="H257" s="16" t="s">
        <v>1112</v>
      </c>
      <c r="I257" s="16" t="s">
        <v>303</v>
      </c>
      <c r="J257" s="16">
        <v>0</v>
      </c>
      <c r="K257" s="16">
        <v>1E-3</v>
      </c>
      <c r="L257" s="16">
        <v>1</v>
      </c>
      <c r="M257" s="16">
        <v>0</v>
      </c>
      <c r="N257">
        <f t="array" aca="1" ref="N257" ca="1">MATCH(TRUE,EXACT(I257,OFFSET(rngParamTypes,0,6,,1)),0)</f>
        <v>125</v>
      </c>
      <c r="O257" t="str">
        <f ca="1">IF((INDEX(rngParamTypes,$N257,7)=I257),"",1)</f>
        <v/>
      </c>
      <c r="P257">
        <f ca="1">INDEX(rngParamTypes,$N257,9)</f>
        <v>0</v>
      </c>
      <c r="Q257">
        <f ca="1">INDEX(rngParamTypes,$N257,10)</f>
        <v>2</v>
      </c>
      <c r="R257">
        <f ca="1">INDEX(rngParamTypes,$N257,11)</f>
        <v>0</v>
      </c>
      <c r="S257">
        <f ca="1">INDEX(rngParamTypes,$N257,12)</f>
        <v>0</v>
      </c>
      <c r="T257">
        <f ca="1">INDEX(rngParamTypes,$N257,13)</f>
        <v>0</v>
      </c>
      <c r="U257">
        <f ca="1">INDEX(rngParamTypes,$N257,14)</f>
        <v>0</v>
      </c>
      <c r="V257">
        <f ca="1">INDEX(rngParamTypes,$N257,15)</f>
        <v>0</v>
      </c>
      <c r="W257">
        <f ca="1">INDEX(rngParamTypes,$N257,16)</f>
        <v>0</v>
      </c>
      <c r="X257">
        <f ca="1">INDEX(rngParamTypes,$N257,17)</f>
        <v>0</v>
      </c>
      <c r="Y257">
        <f ca="1">INDEX(rngParamTypes,$N257,18)</f>
        <v>0</v>
      </c>
    </row>
    <row r="258" spans="1:25" x14ac:dyDescent="0.2">
      <c r="A258" s="16">
        <v>257</v>
      </c>
      <c r="B258" s="37">
        <v>1</v>
      </c>
      <c r="C258" s="16" t="s">
        <v>1115</v>
      </c>
      <c r="D258" s="16" t="s">
        <v>1115</v>
      </c>
      <c r="E258" s="16"/>
      <c r="F258" s="16" t="s">
        <v>3459</v>
      </c>
      <c r="G258" s="16" t="s">
        <v>659</v>
      </c>
      <c r="H258" s="16" t="s">
        <v>1114</v>
      </c>
      <c r="I258" s="16" t="s">
        <v>131</v>
      </c>
      <c r="J258" s="16">
        <v>0</v>
      </c>
      <c r="K258" s="16">
        <v>1E-3</v>
      </c>
      <c r="L258" s="16">
        <v>1</v>
      </c>
      <c r="M258" s="16">
        <v>0</v>
      </c>
      <c r="N258">
        <f t="array" aca="1" ref="N258" ca="1">MATCH(TRUE,EXACT(I258,OFFSET(rngParamTypes,0,6,,1)),0)</f>
        <v>42</v>
      </c>
      <c r="O258" t="str">
        <f ca="1">IF((INDEX(rngParamTypes,$N258,7)=I258),"",1)</f>
        <v/>
      </c>
      <c r="P258">
        <f ca="1">INDEX(rngParamTypes,$N258,9)</f>
        <v>0</v>
      </c>
      <c r="Q258">
        <f ca="1">INDEX(rngParamTypes,$N258,10)</f>
        <v>0</v>
      </c>
      <c r="R258">
        <f ca="1">INDEX(rngParamTypes,$N258,11)</f>
        <v>0</v>
      </c>
      <c r="S258">
        <f ca="1">INDEX(rngParamTypes,$N258,12)</f>
        <v>0</v>
      </c>
      <c r="T258">
        <f ca="1">INDEX(rngParamTypes,$N258,13)</f>
        <v>0</v>
      </c>
      <c r="U258">
        <f ca="1">INDEX(rngParamTypes,$N258,14)</f>
        <v>0</v>
      </c>
      <c r="V258">
        <f ca="1">INDEX(rngParamTypes,$N258,15)</f>
        <v>0</v>
      </c>
      <c r="W258">
        <f ca="1">INDEX(rngParamTypes,$N258,16)</f>
        <v>0</v>
      </c>
      <c r="X258">
        <f ca="1">INDEX(rngParamTypes,$N258,17)</f>
        <v>0</v>
      </c>
      <c r="Y258">
        <f ca="1">INDEX(rngParamTypes,$N258,18)</f>
        <v>0</v>
      </c>
    </row>
    <row r="259" spans="1:25" x14ac:dyDescent="0.2">
      <c r="A259" s="16">
        <v>258</v>
      </c>
      <c r="B259" s="37">
        <v>1</v>
      </c>
      <c r="C259" s="16" t="s">
        <v>1117</v>
      </c>
      <c r="D259" s="16" t="s">
        <v>1117</v>
      </c>
      <c r="E259" s="16"/>
      <c r="F259" s="16" t="s">
        <v>3460</v>
      </c>
      <c r="G259" s="16" t="s">
        <v>324</v>
      </c>
      <c r="H259" s="16" t="s">
        <v>1116</v>
      </c>
      <c r="I259" s="16" t="s">
        <v>325</v>
      </c>
      <c r="J259" s="16">
        <v>0</v>
      </c>
      <c r="K259" s="16">
        <v>1.0000000000000001E-9</v>
      </c>
      <c r="L259" s="16">
        <v>1</v>
      </c>
      <c r="M259" s="16">
        <v>0</v>
      </c>
      <c r="N259">
        <f t="array" aca="1" ref="N259" ca="1">MATCH(TRUE,EXACT(I259,OFFSET(rngParamTypes,0,6,,1)),0)</f>
        <v>135</v>
      </c>
      <c r="O259" t="str">
        <f ca="1">IF((INDEX(rngParamTypes,$N259,7)=I259),"",1)</f>
        <v/>
      </c>
      <c r="P259">
        <f ca="1">INDEX(rngParamTypes,$N259,9)</f>
        <v>-1</v>
      </c>
      <c r="Q259">
        <f ca="1">INDEX(rngParamTypes,$N259,10)</f>
        <v>1</v>
      </c>
      <c r="R259">
        <f ca="1">INDEX(rngParamTypes,$N259,11)</f>
        <v>2</v>
      </c>
      <c r="S259">
        <f ca="1">INDEX(rngParamTypes,$N259,12)</f>
        <v>0</v>
      </c>
      <c r="T259">
        <f ca="1">INDEX(rngParamTypes,$N259,13)</f>
        <v>0</v>
      </c>
      <c r="U259">
        <f ca="1">INDEX(rngParamTypes,$N259,14)</f>
        <v>0</v>
      </c>
      <c r="V259">
        <f ca="1">INDEX(rngParamTypes,$N259,15)</f>
        <v>0</v>
      </c>
      <c r="W259">
        <f ca="1">INDEX(rngParamTypes,$N259,16)</f>
        <v>0</v>
      </c>
      <c r="X259">
        <f ca="1">INDEX(rngParamTypes,$N259,17)</f>
        <v>0</v>
      </c>
      <c r="Y259">
        <f ca="1">INDEX(rngParamTypes,$N259,18)</f>
        <v>0</v>
      </c>
    </row>
    <row r="260" spans="1:25" x14ac:dyDescent="0.2">
      <c r="A260" s="16">
        <v>259</v>
      </c>
      <c r="B260" s="37">
        <v>1</v>
      </c>
      <c r="C260" s="16" t="s">
        <v>1119</v>
      </c>
      <c r="D260" s="16" t="s">
        <v>1119</v>
      </c>
      <c r="E260" s="16"/>
      <c r="F260" s="16" t="s">
        <v>3461</v>
      </c>
      <c r="G260" s="16" t="s">
        <v>331</v>
      </c>
      <c r="H260" s="16" t="s">
        <v>1118</v>
      </c>
      <c r="I260" s="16" t="s">
        <v>332</v>
      </c>
      <c r="J260" s="16">
        <v>0</v>
      </c>
      <c r="K260" s="16">
        <v>9.9999999999999995E-7</v>
      </c>
      <c r="L260" s="16">
        <v>1</v>
      </c>
      <c r="M260" s="16">
        <v>0</v>
      </c>
      <c r="N260">
        <f t="array" aca="1" ref="N260" ca="1">MATCH(TRUE,EXACT(I260,OFFSET(rngParamTypes,0,6,,1)),0)</f>
        <v>138</v>
      </c>
      <c r="O260" t="str">
        <f ca="1">IF((INDEX(rngParamTypes,$N260,7)=I260),"",1)</f>
        <v/>
      </c>
      <c r="P260">
        <f ca="1">INDEX(rngParamTypes,$N260,9)</f>
        <v>0</v>
      </c>
      <c r="Q260">
        <f ca="1">INDEX(rngParamTypes,$N260,10)</f>
        <v>3</v>
      </c>
      <c r="R260">
        <f ca="1">INDEX(rngParamTypes,$N260,11)</f>
        <v>0</v>
      </c>
      <c r="S260">
        <f ca="1">INDEX(rngParamTypes,$N260,12)</f>
        <v>0</v>
      </c>
      <c r="T260">
        <f ca="1">INDEX(rngParamTypes,$N260,13)</f>
        <v>0</v>
      </c>
      <c r="U260">
        <f ca="1">INDEX(rngParamTypes,$N260,14)</f>
        <v>-1</v>
      </c>
      <c r="V260">
        <f ca="1">INDEX(rngParamTypes,$N260,15)</f>
        <v>0</v>
      </c>
      <c r="W260">
        <f ca="1">INDEX(rngParamTypes,$N260,16)</f>
        <v>0</v>
      </c>
      <c r="X260">
        <f ca="1">INDEX(rngParamTypes,$N260,17)</f>
        <v>0</v>
      </c>
      <c r="Y260">
        <f ca="1">INDEX(rngParamTypes,$N260,18)</f>
        <v>0</v>
      </c>
    </row>
    <row r="261" spans="1:25" x14ac:dyDescent="0.2">
      <c r="A261" s="16">
        <v>260</v>
      </c>
      <c r="B261" s="37">
        <v>1</v>
      </c>
      <c r="C261" s="16" t="s">
        <v>1120</v>
      </c>
      <c r="D261" s="16" t="s">
        <v>1120</v>
      </c>
      <c r="E261" s="16"/>
      <c r="F261" s="16" t="s">
        <v>4277</v>
      </c>
      <c r="G261" s="16" t="s">
        <v>331</v>
      </c>
      <c r="H261" s="16" t="s">
        <v>1118</v>
      </c>
      <c r="I261" s="16" t="s">
        <v>332</v>
      </c>
      <c r="J261" s="16">
        <v>0</v>
      </c>
      <c r="K261" s="16">
        <v>1E-3</v>
      </c>
      <c r="L261" s="16">
        <v>1</v>
      </c>
      <c r="M261" s="16">
        <v>0</v>
      </c>
      <c r="N261">
        <f t="array" aca="1" ref="N261" ca="1">MATCH(TRUE,EXACT(I261,OFFSET(rngParamTypes,0,6,,1)),0)</f>
        <v>138</v>
      </c>
      <c r="O261" t="str">
        <f ca="1">IF((INDEX(rngParamTypes,$N261,7)=I261),"",1)</f>
        <v/>
      </c>
      <c r="P261">
        <f ca="1">INDEX(rngParamTypes,$N261,9)</f>
        <v>0</v>
      </c>
      <c r="Q261">
        <f ca="1">INDEX(rngParamTypes,$N261,10)</f>
        <v>3</v>
      </c>
      <c r="R261">
        <f ca="1">INDEX(rngParamTypes,$N261,11)</f>
        <v>0</v>
      </c>
      <c r="S261">
        <f ca="1">INDEX(rngParamTypes,$N261,12)</f>
        <v>0</v>
      </c>
      <c r="T261">
        <f ca="1">INDEX(rngParamTypes,$N261,13)</f>
        <v>0</v>
      </c>
      <c r="U261">
        <f ca="1">INDEX(rngParamTypes,$N261,14)</f>
        <v>-1</v>
      </c>
      <c r="V261">
        <f ca="1">INDEX(rngParamTypes,$N261,15)</f>
        <v>0</v>
      </c>
      <c r="W261">
        <f ca="1">INDEX(rngParamTypes,$N261,16)</f>
        <v>0</v>
      </c>
      <c r="X261">
        <f ca="1">INDEX(rngParamTypes,$N261,17)</f>
        <v>0</v>
      </c>
      <c r="Y261">
        <f ca="1">INDEX(rngParamTypes,$N261,18)</f>
        <v>0</v>
      </c>
    </row>
    <row r="262" spans="1:25" x14ac:dyDescent="0.2">
      <c r="A262" s="16">
        <v>261</v>
      </c>
      <c r="B262" s="37">
        <v>1</v>
      </c>
      <c r="C262" s="16" t="s">
        <v>1123</v>
      </c>
      <c r="D262" s="16" t="s">
        <v>1123</v>
      </c>
      <c r="E262" s="16">
        <v>2</v>
      </c>
      <c r="F262" s="16" t="s">
        <v>3462</v>
      </c>
      <c r="G262" s="16" t="s">
        <v>343</v>
      </c>
      <c r="H262" s="16" t="s">
        <v>1122</v>
      </c>
      <c r="I262" s="16" t="s">
        <v>344</v>
      </c>
      <c r="J262" s="16">
        <v>0</v>
      </c>
      <c r="K262" s="16">
        <v>1E-3</v>
      </c>
      <c r="L262" s="16">
        <v>1</v>
      </c>
      <c r="M262" s="16">
        <v>0</v>
      </c>
      <c r="N262">
        <f t="array" aca="1" ref="N262" ca="1">MATCH(TRUE,EXACT(I262,OFFSET(rngParamTypes,0,6,,1)),0)</f>
        <v>141</v>
      </c>
      <c r="O262" t="str">
        <f ca="1">IF((INDEX(rngParamTypes,$N262,7)=I262),"",1)</f>
        <v/>
      </c>
      <c r="P262">
        <f ca="1">INDEX(rngParamTypes,$N262,9)</f>
        <v>0</v>
      </c>
      <c r="Q262">
        <f ca="1">INDEX(rngParamTypes,$N262,10)</f>
        <v>3</v>
      </c>
      <c r="R262">
        <f ca="1">INDEX(rngParamTypes,$N262,11)</f>
        <v>-1</v>
      </c>
      <c r="S262">
        <f ca="1">INDEX(rngParamTypes,$N262,12)</f>
        <v>0</v>
      </c>
      <c r="T262">
        <f ca="1">INDEX(rngParamTypes,$N262,13)</f>
        <v>0</v>
      </c>
      <c r="U262">
        <f ca="1">INDEX(rngParamTypes,$N262,14)</f>
        <v>0</v>
      </c>
      <c r="V262">
        <f ca="1">INDEX(rngParamTypes,$N262,15)</f>
        <v>0</v>
      </c>
      <c r="W262">
        <f ca="1">INDEX(rngParamTypes,$N262,16)</f>
        <v>0</v>
      </c>
      <c r="X262">
        <f ca="1">INDEX(rngParamTypes,$N262,17)</f>
        <v>0</v>
      </c>
      <c r="Y262">
        <f ca="1">INDEX(rngParamTypes,$N262,18)</f>
        <v>0</v>
      </c>
    </row>
    <row r="263" spans="1:25" x14ac:dyDescent="0.2">
      <c r="A263" s="16">
        <v>262</v>
      </c>
      <c r="B263" s="37">
        <v>1</v>
      </c>
      <c r="C263" s="16" t="s">
        <v>1125</v>
      </c>
      <c r="D263" s="16" t="s">
        <v>1125</v>
      </c>
      <c r="E263" s="16"/>
      <c r="F263" s="16" t="s">
        <v>3463</v>
      </c>
      <c r="G263" s="16" t="s">
        <v>346</v>
      </c>
      <c r="H263" s="16" t="s">
        <v>1124</v>
      </c>
      <c r="I263" s="16" t="s">
        <v>347</v>
      </c>
      <c r="J263" s="16">
        <v>0</v>
      </c>
      <c r="K263" s="16">
        <v>1E-3</v>
      </c>
      <c r="L263" s="16">
        <v>1</v>
      </c>
      <c r="M263" s="16">
        <v>0</v>
      </c>
      <c r="N263">
        <f t="array" aca="1" ref="N263" ca="1">MATCH(TRUE,EXACT(I263,OFFSET(rngParamTypes,0,6,,1)),0)</f>
        <v>142</v>
      </c>
      <c r="O263" t="str">
        <f ca="1">IF((INDEX(rngParamTypes,$N263,7)=I263),"",1)</f>
        <v/>
      </c>
      <c r="P263">
        <f ca="1">INDEX(rngParamTypes,$N263,9)</f>
        <v>0</v>
      </c>
      <c r="Q263">
        <f ca="1">INDEX(rngParamTypes,$N263,10)</f>
        <v>3</v>
      </c>
      <c r="R263">
        <f ca="1">INDEX(rngParamTypes,$N263,11)</f>
        <v>-2</v>
      </c>
      <c r="S263">
        <f ca="1">INDEX(rngParamTypes,$N263,12)</f>
        <v>0</v>
      </c>
      <c r="T263">
        <f ca="1">INDEX(rngParamTypes,$N263,13)</f>
        <v>0</v>
      </c>
      <c r="U263">
        <f ca="1">INDEX(rngParamTypes,$N263,14)</f>
        <v>0</v>
      </c>
      <c r="V263">
        <f ca="1">INDEX(rngParamTypes,$N263,15)</f>
        <v>0</v>
      </c>
      <c r="W263">
        <f ca="1">INDEX(rngParamTypes,$N263,16)</f>
        <v>0</v>
      </c>
      <c r="X263">
        <f ca="1">INDEX(rngParamTypes,$N263,17)</f>
        <v>0</v>
      </c>
      <c r="Y263">
        <f ca="1">INDEX(rngParamTypes,$N263,18)</f>
        <v>0</v>
      </c>
    </row>
    <row r="264" spans="1:25" x14ac:dyDescent="0.2">
      <c r="A264" s="16">
        <v>263</v>
      </c>
      <c r="B264" s="37">
        <v>1</v>
      </c>
      <c r="C264" s="16" t="s">
        <v>1127</v>
      </c>
      <c r="D264" s="16" t="s">
        <v>1127</v>
      </c>
      <c r="E264" s="16">
        <v>2</v>
      </c>
      <c r="F264" s="16" t="s">
        <v>3464</v>
      </c>
      <c r="G264" s="16" t="s">
        <v>3307</v>
      </c>
      <c r="H264" s="16" t="s">
        <v>1126</v>
      </c>
      <c r="I264" s="16" t="s">
        <v>329</v>
      </c>
      <c r="J264" s="16">
        <v>0</v>
      </c>
      <c r="K264" s="16">
        <v>9.9999999999999995E-7</v>
      </c>
      <c r="L264" s="16">
        <v>1</v>
      </c>
      <c r="M264" s="16">
        <v>0</v>
      </c>
      <c r="N264">
        <f t="array" aca="1" ref="N264" ca="1">MATCH(TRUE,EXACT(I264,OFFSET(rngParamTypes,0,6,,1)),0)</f>
        <v>136</v>
      </c>
      <c r="O264" t="str">
        <f ca="1">IF((INDEX(rngParamTypes,$N264,7)=I264),"",1)</f>
        <v/>
      </c>
      <c r="P264">
        <f ca="1">INDEX(rngParamTypes,$N264,9)</f>
        <v>-1</v>
      </c>
      <c r="Q264">
        <f ca="1">INDEX(rngParamTypes,$N264,10)</f>
        <v>3</v>
      </c>
      <c r="R264">
        <f ca="1">INDEX(rngParamTypes,$N264,11)</f>
        <v>0</v>
      </c>
      <c r="S264">
        <f ca="1">INDEX(rngParamTypes,$N264,12)</f>
        <v>0</v>
      </c>
      <c r="T264">
        <f ca="1">INDEX(rngParamTypes,$N264,13)</f>
        <v>0</v>
      </c>
      <c r="U264">
        <f ca="1">INDEX(rngParamTypes,$N264,14)</f>
        <v>0</v>
      </c>
      <c r="V264">
        <f ca="1">INDEX(rngParamTypes,$N264,15)</f>
        <v>0</v>
      </c>
      <c r="W264">
        <f ca="1">INDEX(rngParamTypes,$N264,16)</f>
        <v>0</v>
      </c>
      <c r="X264">
        <f ca="1">INDEX(rngParamTypes,$N264,17)</f>
        <v>0</v>
      </c>
      <c r="Y264">
        <f ca="1">INDEX(rngParamTypes,$N264,18)</f>
        <v>0</v>
      </c>
    </row>
    <row r="265" spans="1:25" x14ac:dyDescent="0.2">
      <c r="A265" s="16">
        <v>264</v>
      </c>
      <c r="B265" s="37">
        <v>1</v>
      </c>
      <c r="C265" s="16" t="s">
        <v>1129</v>
      </c>
      <c r="D265" s="16" t="s">
        <v>1129</v>
      </c>
      <c r="E265" s="16"/>
      <c r="F265" s="16" t="s">
        <v>3465</v>
      </c>
      <c r="G265" s="16" t="s">
        <v>3417</v>
      </c>
      <c r="H265" s="16" t="s">
        <v>1128</v>
      </c>
      <c r="I265" s="16" t="s">
        <v>168</v>
      </c>
      <c r="J265" s="16">
        <v>0</v>
      </c>
      <c r="K265" s="16">
        <v>0.1</v>
      </c>
      <c r="L265" s="16">
        <v>1</v>
      </c>
      <c r="M265" s="16">
        <v>0</v>
      </c>
      <c r="N265">
        <f t="array" aca="1" ref="N265" ca="1">MATCH(TRUE,EXACT(I265,OFFSET(rngParamTypes,0,6,,1)),0)</f>
        <v>56</v>
      </c>
      <c r="O265" t="str">
        <f ca="1">IF((INDEX(rngParamTypes,$N265,7)=I265),"",1)</f>
        <v/>
      </c>
      <c r="P265">
        <f ca="1">INDEX(rngParamTypes,$N265,9)</f>
        <v>1</v>
      </c>
      <c r="Q265">
        <f ca="1">INDEX(rngParamTypes,$N265,10)</f>
        <v>2</v>
      </c>
      <c r="R265">
        <f ca="1">INDEX(rngParamTypes,$N265,11)</f>
        <v>-2</v>
      </c>
      <c r="S265">
        <f ca="1">INDEX(rngParamTypes,$N265,12)</f>
        <v>0</v>
      </c>
      <c r="T265">
        <f ca="1">INDEX(rngParamTypes,$N265,13)</f>
        <v>0</v>
      </c>
      <c r="U265">
        <f ca="1">INDEX(rngParamTypes,$N265,14)</f>
        <v>0</v>
      </c>
      <c r="V265">
        <f ca="1">INDEX(rngParamTypes,$N265,15)</f>
        <v>0</v>
      </c>
      <c r="W265">
        <f ca="1">INDEX(rngParamTypes,$N265,16)</f>
        <v>0</v>
      </c>
      <c r="X265">
        <f ca="1">INDEX(rngParamTypes,$N265,17)</f>
        <v>0</v>
      </c>
      <c r="Y265">
        <f ca="1">INDEX(rngParamTypes,$N265,18)</f>
        <v>0</v>
      </c>
    </row>
    <row r="266" spans="1:25" x14ac:dyDescent="0.2">
      <c r="A266" s="16">
        <v>265</v>
      </c>
      <c r="B266" s="37">
        <v>1</v>
      </c>
      <c r="C266" s="16" t="s">
        <v>1131</v>
      </c>
      <c r="D266" s="16" t="s">
        <v>1131</v>
      </c>
      <c r="E266" s="16">
        <v>2</v>
      </c>
      <c r="F266" s="16" t="s">
        <v>3466</v>
      </c>
      <c r="G266" s="16" t="s">
        <v>378</v>
      </c>
      <c r="H266" s="16" t="s">
        <v>1130</v>
      </c>
      <c r="I266" s="16" t="s">
        <v>379</v>
      </c>
      <c r="J266" s="16">
        <v>0</v>
      </c>
      <c r="K266" s="16">
        <v>1.0000000000000001E-5</v>
      </c>
      <c r="L266" s="16">
        <v>1</v>
      </c>
      <c r="M266" s="16">
        <v>0</v>
      </c>
      <c r="N266">
        <f t="array" aca="1" ref="N266" ca="1">MATCH(TRUE,EXACT(I266,OFFSET(rngParamTypes,0,6,,1)),0)</f>
        <v>154</v>
      </c>
      <c r="O266" t="str">
        <f ca="1">IF((INDEX(rngParamTypes,$N266,7)=I266),"",1)</f>
        <v/>
      </c>
      <c r="P266">
        <f ca="1">INDEX(rngParamTypes,$N266,9)</f>
        <v>1</v>
      </c>
      <c r="Q266">
        <f ca="1">INDEX(rngParamTypes,$N266,10)</f>
        <v>1</v>
      </c>
      <c r="R266">
        <f ca="1">INDEX(rngParamTypes,$N266,11)</f>
        <v>-2</v>
      </c>
      <c r="S266">
        <f ca="1">INDEX(rngParamTypes,$N266,12)</f>
        <v>0</v>
      </c>
      <c r="T266">
        <f ca="1">INDEX(rngParamTypes,$N266,13)</f>
        <v>0</v>
      </c>
      <c r="U266">
        <f ca="1">INDEX(rngParamTypes,$N266,14)</f>
        <v>0</v>
      </c>
      <c r="V266">
        <f ca="1">INDEX(rngParamTypes,$N266,15)</f>
        <v>0</v>
      </c>
      <c r="W266">
        <f ca="1">INDEX(rngParamTypes,$N266,16)</f>
        <v>0</v>
      </c>
      <c r="X266">
        <f ca="1">INDEX(rngParamTypes,$N266,17)</f>
        <v>0</v>
      </c>
      <c r="Y266">
        <f ca="1">INDEX(rngParamTypes,$N266,18)</f>
        <v>0</v>
      </c>
    </row>
    <row r="267" spans="1:25" x14ac:dyDescent="0.2">
      <c r="A267" s="16">
        <v>266</v>
      </c>
      <c r="B267" s="37">
        <v>1</v>
      </c>
      <c r="C267" s="16" t="s">
        <v>1133</v>
      </c>
      <c r="D267" s="16" t="s">
        <v>1133</v>
      </c>
      <c r="E267" s="16"/>
      <c r="F267" s="16" t="s">
        <v>3467</v>
      </c>
      <c r="G267" s="16" t="s">
        <v>382</v>
      </c>
      <c r="H267" s="16" t="s">
        <v>1132</v>
      </c>
      <c r="I267" s="16" t="s">
        <v>383</v>
      </c>
      <c r="J267" s="16">
        <v>0</v>
      </c>
      <c r="K267" s="16">
        <v>1.0000000000000001E-9</v>
      </c>
      <c r="L267" s="16">
        <v>1</v>
      </c>
      <c r="M267" s="16">
        <v>0</v>
      </c>
      <c r="N267">
        <f t="array" aca="1" ref="N267" ca="1">MATCH(TRUE,EXACT(I267,OFFSET(rngParamTypes,0,6,,1)),0)</f>
        <v>155</v>
      </c>
      <c r="O267" t="str">
        <f ca="1">IF((INDEX(rngParamTypes,$N267,7)=I267),"",1)</f>
        <v/>
      </c>
      <c r="P267">
        <f ca="1">INDEX(rngParamTypes,$N267,9)</f>
        <v>1</v>
      </c>
      <c r="Q267">
        <f ca="1">INDEX(rngParamTypes,$N267,10)</f>
        <v>3</v>
      </c>
      <c r="R267">
        <f ca="1">INDEX(rngParamTypes,$N267,11)</f>
        <v>-2</v>
      </c>
      <c r="S267">
        <f ca="1">INDEX(rngParamTypes,$N267,12)</f>
        <v>0</v>
      </c>
      <c r="T267">
        <f ca="1">INDEX(rngParamTypes,$N267,13)</f>
        <v>0</v>
      </c>
      <c r="U267">
        <f ca="1">INDEX(rngParamTypes,$N267,14)</f>
        <v>0</v>
      </c>
      <c r="V267">
        <f ca="1">INDEX(rngParamTypes,$N267,15)</f>
        <v>0</v>
      </c>
      <c r="W267">
        <f ca="1">INDEX(rngParamTypes,$N267,16)</f>
        <v>0</v>
      </c>
      <c r="X267">
        <f ca="1">INDEX(rngParamTypes,$N267,17)</f>
        <v>0</v>
      </c>
      <c r="Y267">
        <f ca="1">INDEX(rngParamTypes,$N267,18)</f>
        <v>0</v>
      </c>
    </row>
    <row r="268" spans="1:25" x14ac:dyDescent="0.2">
      <c r="A268" s="16">
        <v>267</v>
      </c>
      <c r="B268" s="37">
        <v>1</v>
      </c>
      <c r="C268" s="16" t="s">
        <v>1135</v>
      </c>
      <c r="D268" s="16" t="s">
        <v>1135</v>
      </c>
      <c r="E268" s="16">
        <v>1</v>
      </c>
      <c r="F268" s="16" t="s">
        <v>3468</v>
      </c>
      <c r="G268" s="16" t="s">
        <v>419</v>
      </c>
      <c r="H268" s="16" t="s">
        <v>1134</v>
      </c>
      <c r="I268" s="16" t="s">
        <v>421</v>
      </c>
      <c r="J268" s="16">
        <v>0</v>
      </c>
      <c r="K268" s="16">
        <v>0.1</v>
      </c>
      <c r="L268" s="16">
        <v>1</v>
      </c>
      <c r="M268" s="16">
        <v>0</v>
      </c>
      <c r="N268">
        <f t="array" aca="1" ref="N268" ca="1">MATCH(TRUE,EXACT(I268,OFFSET(rngParamTypes,0,6,,1)),0)</f>
        <v>169</v>
      </c>
      <c r="O268" t="str">
        <f ca="1">IF((INDEX(rngParamTypes,$N268,7)=I268),"",1)</f>
        <v/>
      </c>
      <c r="P268">
        <f ca="1">INDEX(rngParamTypes,$N268,9)</f>
        <v>1</v>
      </c>
      <c r="Q268">
        <f ca="1">INDEX(rngParamTypes,$N268,10)</f>
        <v>-1</v>
      </c>
      <c r="R268">
        <f ca="1">INDEX(rngParamTypes,$N268,11)</f>
        <v>-1</v>
      </c>
      <c r="S268">
        <f ca="1">INDEX(rngParamTypes,$N268,12)</f>
        <v>0</v>
      </c>
      <c r="T268">
        <f ca="1">INDEX(rngParamTypes,$N268,13)</f>
        <v>0</v>
      </c>
      <c r="U268">
        <f ca="1">INDEX(rngParamTypes,$N268,14)</f>
        <v>0</v>
      </c>
      <c r="V268">
        <f ca="1">INDEX(rngParamTypes,$N268,15)</f>
        <v>0</v>
      </c>
      <c r="W268">
        <f ca="1">INDEX(rngParamTypes,$N268,16)</f>
        <v>0</v>
      </c>
      <c r="X268">
        <f ca="1">INDEX(rngParamTypes,$N268,17)</f>
        <v>0</v>
      </c>
      <c r="Y268">
        <f ca="1">INDEX(rngParamTypes,$N268,18)</f>
        <v>0</v>
      </c>
    </row>
    <row r="269" spans="1:25" x14ac:dyDescent="0.2">
      <c r="A269" s="16">
        <v>268</v>
      </c>
      <c r="B269" s="37">
        <v>1</v>
      </c>
      <c r="C269" s="16" t="s">
        <v>1137</v>
      </c>
      <c r="D269" s="16" t="s">
        <v>1137</v>
      </c>
      <c r="E269" s="16"/>
      <c r="F269" s="16" t="s">
        <v>3469</v>
      </c>
      <c r="G269" s="16" t="s">
        <v>385</v>
      </c>
      <c r="H269" s="16" t="s">
        <v>1136</v>
      </c>
      <c r="I269" s="16" t="s">
        <v>387</v>
      </c>
      <c r="J269" s="16">
        <v>0</v>
      </c>
      <c r="K269" s="16">
        <v>1E-3</v>
      </c>
      <c r="L269" s="16">
        <v>1</v>
      </c>
      <c r="M269" s="16">
        <v>0</v>
      </c>
      <c r="N269">
        <f t="array" aca="1" ref="N269" ca="1">MATCH(TRUE,EXACT(I269,OFFSET(rngParamTypes,0,6,,1)),0)</f>
        <v>156</v>
      </c>
      <c r="O269" t="str">
        <f ca="1">IF((INDEX(rngParamTypes,$N269,7)=I269),"",1)</f>
        <v/>
      </c>
      <c r="P269">
        <f ca="1">INDEX(rngParamTypes,$N269,9)</f>
        <v>1</v>
      </c>
      <c r="Q269">
        <f ca="1">INDEX(rngParamTypes,$N269,10)</f>
        <v>0</v>
      </c>
      <c r="R269">
        <f ca="1">INDEX(rngParamTypes,$N269,11)</f>
        <v>-2</v>
      </c>
      <c r="S269">
        <f ca="1">INDEX(rngParamTypes,$N269,12)</f>
        <v>0</v>
      </c>
      <c r="T269">
        <f ca="1">INDEX(rngParamTypes,$N269,13)</f>
        <v>0</v>
      </c>
      <c r="U269">
        <f ca="1">INDEX(rngParamTypes,$N269,14)</f>
        <v>0</v>
      </c>
      <c r="V269">
        <f ca="1">INDEX(rngParamTypes,$N269,15)</f>
        <v>0</v>
      </c>
      <c r="W269">
        <f ca="1">INDEX(rngParamTypes,$N269,16)</f>
        <v>0</v>
      </c>
      <c r="X269">
        <f ca="1">INDEX(rngParamTypes,$N269,17)</f>
        <v>0</v>
      </c>
      <c r="Y269">
        <f ca="1">INDEX(rngParamTypes,$N269,18)</f>
        <v>0</v>
      </c>
    </row>
    <row r="270" spans="1:25" x14ac:dyDescent="0.2">
      <c r="A270" s="16">
        <v>269</v>
      </c>
      <c r="B270" s="37">
        <v>1</v>
      </c>
      <c r="C270" s="16" t="s">
        <v>1139</v>
      </c>
      <c r="D270" s="16" t="s">
        <v>1139</v>
      </c>
      <c r="E270" s="16">
        <v>2</v>
      </c>
      <c r="F270" s="16" t="s">
        <v>3470</v>
      </c>
      <c r="G270" s="16" t="s">
        <v>3270</v>
      </c>
      <c r="H270" s="16" t="s">
        <v>1138</v>
      </c>
      <c r="I270" s="16" t="s">
        <v>416</v>
      </c>
      <c r="J270" s="16">
        <v>0</v>
      </c>
      <c r="K270" s="16">
        <v>0.1</v>
      </c>
      <c r="L270" s="16">
        <v>1</v>
      </c>
      <c r="M270" s="16">
        <v>0</v>
      </c>
      <c r="N270">
        <f t="array" aca="1" ref="N270" ca="1">MATCH(TRUE,EXACT(I270,OFFSET(rngParamTypes,0,6,,1)),0)</f>
        <v>167</v>
      </c>
      <c r="O270" t="str">
        <f ca="1">IF((INDEX(rngParamTypes,$N270,7)=I270),"",1)</f>
        <v/>
      </c>
      <c r="P270">
        <f ca="1">INDEX(rngParamTypes,$N270,9)</f>
        <v>1</v>
      </c>
      <c r="Q270">
        <f ca="1">INDEX(rngParamTypes,$N270,10)</f>
        <v>-1</v>
      </c>
      <c r="R270">
        <f ca="1">INDEX(rngParamTypes,$N270,11)</f>
        <v>-2</v>
      </c>
      <c r="S270">
        <f ca="1">INDEX(rngParamTypes,$N270,12)</f>
        <v>0</v>
      </c>
      <c r="T270">
        <f ca="1">INDEX(rngParamTypes,$N270,13)</f>
        <v>0</v>
      </c>
      <c r="U270">
        <f ca="1">INDEX(rngParamTypes,$N270,14)</f>
        <v>0</v>
      </c>
      <c r="V270">
        <f ca="1">INDEX(rngParamTypes,$N270,15)</f>
        <v>0</v>
      </c>
      <c r="W270">
        <f ca="1">INDEX(rngParamTypes,$N270,16)</f>
        <v>0</v>
      </c>
      <c r="X270">
        <f ca="1">INDEX(rngParamTypes,$N270,17)</f>
        <v>0</v>
      </c>
      <c r="Y270">
        <f ca="1">INDEX(rngParamTypes,$N270,18)</f>
        <v>0</v>
      </c>
    </row>
    <row r="271" spans="1:25" x14ac:dyDescent="0.2">
      <c r="A271" s="16">
        <v>270</v>
      </c>
      <c r="B271" s="37">
        <v>1</v>
      </c>
      <c r="C271" s="16" t="s">
        <v>1142</v>
      </c>
      <c r="D271" s="16" t="s">
        <v>1142</v>
      </c>
      <c r="E271" s="16"/>
      <c r="F271" s="16" t="s">
        <v>4380</v>
      </c>
      <c r="G271" s="16" t="s">
        <v>393</v>
      </c>
      <c r="H271" s="16" t="s">
        <v>1141</v>
      </c>
      <c r="I271" s="16" t="s">
        <v>394</v>
      </c>
      <c r="J271" s="16">
        <v>0</v>
      </c>
      <c r="K271" s="16">
        <v>1E-3</v>
      </c>
      <c r="L271" s="16">
        <v>1</v>
      </c>
      <c r="M271" s="16">
        <v>0</v>
      </c>
      <c r="N271">
        <f t="array" aca="1" ref="N271" ca="1">MATCH(TRUE,EXACT(I271,OFFSET(rngParamTypes,0,6,,1)),0)</f>
        <v>160</v>
      </c>
      <c r="O271" t="str">
        <f ca="1">IF((INDEX(rngParamTypes,$N271,7)=I271),"",1)</f>
        <v/>
      </c>
      <c r="P271">
        <f ca="1">INDEX(rngParamTypes,$N271,9)</f>
        <v>3</v>
      </c>
      <c r="Q271">
        <f ca="1">INDEX(rngParamTypes,$N271,10)</f>
        <v>-3</v>
      </c>
      <c r="R271">
        <f ca="1">INDEX(rngParamTypes,$N271,11)</f>
        <v>-8</v>
      </c>
      <c r="S271">
        <f ca="1">INDEX(rngParamTypes,$N271,12)</f>
        <v>0</v>
      </c>
      <c r="T271">
        <f ca="1">INDEX(rngParamTypes,$N271,13)</f>
        <v>0</v>
      </c>
      <c r="U271">
        <f ca="1">INDEX(rngParamTypes,$N271,14)</f>
        <v>0</v>
      </c>
      <c r="V271">
        <f ca="1">INDEX(rngParamTypes,$N271,15)</f>
        <v>0</v>
      </c>
      <c r="W271">
        <f ca="1">INDEX(rngParamTypes,$N271,16)</f>
        <v>0</v>
      </c>
      <c r="X271">
        <f ca="1">INDEX(rngParamTypes,$N271,17)</f>
        <v>0</v>
      </c>
      <c r="Y271">
        <f ca="1">INDEX(rngParamTypes,$N271,18)</f>
        <v>0</v>
      </c>
    </row>
    <row r="272" spans="1:25" x14ac:dyDescent="0.2">
      <c r="A272" s="16">
        <v>271</v>
      </c>
      <c r="B272" s="37">
        <v>1</v>
      </c>
      <c r="C272" s="16" t="s">
        <v>1144</v>
      </c>
      <c r="D272" s="16" t="s">
        <v>1144</v>
      </c>
      <c r="E272" s="16"/>
      <c r="F272" s="16" t="s">
        <v>4381</v>
      </c>
      <c r="G272" s="16" t="s">
        <v>393</v>
      </c>
      <c r="H272" s="16" t="s">
        <v>1143</v>
      </c>
      <c r="I272" s="16" t="s">
        <v>394</v>
      </c>
      <c r="J272" s="16">
        <v>0</v>
      </c>
      <c r="K272" s="16">
        <v>1</v>
      </c>
      <c r="L272" s="16">
        <v>1</v>
      </c>
      <c r="M272" s="16">
        <v>0</v>
      </c>
      <c r="N272">
        <f t="array" aca="1" ref="N272" ca="1">MATCH(TRUE,EXACT(I272,OFFSET(rngParamTypes,0,6,,1)),0)</f>
        <v>160</v>
      </c>
      <c r="O272" t="str">
        <f ca="1">IF((INDEX(rngParamTypes,$N272,7)=I272),"",1)</f>
        <v/>
      </c>
      <c r="P272">
        <f ca="1">INDEX(rngParamTypes,$N272,9)</f>
        <v>3</v>
      </c>
      <c r="Q272">
        <f ca="1">INDEX(rngParamTypes,$N272,10)</f>
        <v>-3</v>
      </c>
      <c r="R272">
        <f ca="1">INDEX(rngParamTypes,$N272,11)</f>
        <v>-8</v>
      </c>
      <c r="S272">
        <f ca="1">INDEX(rngParamTypes,$N272,12)</f>
        <v>0</v>
      </c>
      <c r="T272">
        <f ca="1">INDEX(rngParamTypes,$N272,13)</f>
        <v>0</v>
      </c>
      <c r="U272">
        <f ca="1">INDEX(rngParamTypes,$N272,14)</f>
        <v>0</v>
      </c>
      <c r="V272">
        <f ca="1">INDEX(rngParamTypes,$N272,15)</f>
        <v>0</v>
      </c>
      <c r="W272">
        <f ca="1">INDEX(rngParamTypes,$N272,16)</f>
        <v>0</v>
      </c>
      <c r="X272">
        <f ca="1">INDEX(rngParamTypes,$N272,17)</f>
        <v>0</v>
      </c>
      <c r="Y272">
        <f ca="1">INDEX(rngParamTypes,$N272,18)</f>
        <v>0</v>
      </c>
    </row>
    <row r="273" spans="1:25" x14ac:dyDescent="0.2">
      <c r="A273" s="16">
        <v>272</v>
      </c>
      <c r="B273" s="37">
        <v>1</v>
      </c>
      <c r="C273" s="16" t="s">
        <v>1146</v>
      </c>
      <c r="D273" s="16" t="s">
        <v>1146</v>
      </c>
      <c r="E273" s="16">
        <v>2</v>
      </c>
      <c r="F273" s="16" t="s">
        <v>3471</v>
      </c>
      <c r="G273" s="16" t="s">
        <v>531</v>
      </c>
      <c r="H273" s="16" t="s">
        <v>1145</v>
      </c>
      <c r="I273" s="16" t="s">
        <v>533</v>
      </c>
      <c r="J273" s="16">
        <v>0</v>
      </c>
      <c r="K273" s="16">
        <v>746</v>
      </c>
      <c r="L273" s="16">
        <v>1</v>
      </c>
      <c r="M273" s="16">
        <v>0</v>
      </c>
      <c r="N273">
        <f t="array" aca="1" ref="N273" ca="1">MATCH(TRUE,EXACT(I273,OFFSET(rngParamTypes,0,6,,1)),0)</f>
        <v>211</v>
      </c>
      <c r="O273" t="str">
        <f ca="1">IF((INDEX(rngParamTypes,$N273,7)=I273),"",1)</f>
        <v/>
      </c>
      <c r="P273">
        <f ca="1">INDEX(rngParamTypes,$N273,9)</f>
        <v>1</v>
      </c>
      <c r="Q273">
        <f ca="1">INDEX(rngParamTypes,$N273,10)</f>
        <v>2</v>
      </c>
      <c r="R273">
        <f ca="1">INDEX(rngParamTypes,$N273,11)</f>
        <v>-3</v>
      </c>
      <c r="S273">
        <f ca="1">INDEX(rngParamTypes,$N273,12)</f>
        <v>0</v>
      </c>
      <c r="T273">
        <f ca="1">INDEX(rngParamTypes,$N273,13)</f>
        <v>0</v>
      </c>
      <c r="U273">
        <f ca="1">INDEX(rngParamTypes,$N273,14)</f>
        <v>0</v>
      </c>
      <c r="V273">
        <f ca="1">INDEX(rngParamTypes,$N273,15)</f>
        <v>0</v>
      </c>
      <c r="W273">
        <f ca="1">INDEX(rngParamTypes,$N273,16)</f>
        <v>0</v>
      </c>
      <c r="X273">
        <f ca="1">INDEX(rngParamTypes,$N273,17)</f>
        <v>0</v>
      </c>
      <c r="Y273">
        <f ca="1">INDEX(rngParamTypes,$N273,18)</f>
        <v>0</v>
      </c>
    </row>
    <row r="274" spans="1:25" x14ac:dyDescent="0.2">
      <c r="A274" s="16">
        <v>273</v>
      </c>
      <c r="B274" s="37">
        <v>1</v>
      </c>
      <c r="C274" s="16" t="s">
        <v>1148</v>
      </c>
      <c r="D274" s="16" t="s">
        <v>1148</v>
      </c>
      <c r="E274" s="16">
        <v>2</v>
      </c>
      <c r="F274" s="16" t="s">
        <v>3472</v>
      </c>
      <c r="G274" s="16" t="s">
        <v>3267</v>
      </c>
      <c r="H274" s="16" t="s">
        <v>1147</v>
      </c>
      <c r="I274" s="16" t="s">
        <v>168</v>
      </c>
      <c r="J274" s="16">
        <v>0</v>
      </c>
      <c r="K274" s="16">
        <v>1E+18</v>
      </c>
      <c r="L274" s="16">
        <v>1</v>
      </c>
      <c r="M274" s="16">
        <v>0</v>
      </c>
      <c r="N274">
        <f t="array" aca="1" ref="N274" ca="1">MATCH(TRUE,EXACT(I274,OFFSET(rngParamTypes,0,6,,1)),0)</f>
        <v>56</v>
      </c>
      <c r="O274" t="str">
        <f ca="1">IF((INDEX(rngParamTypes,$N274,7)=I274),"",1)</f>
        <v/>
      </c>
      <c r="P274">
        <f ca="1">INDEX(rngParamTypes,$N274,9)</f>
        <v>1</v>
      </c>
      <c r="Q274">
        <f ca="1">INDEX(rngParamTypes,$N274,10)</f>
        <v>2</v>
      </c>
      <c r="R274">
        <f ca="1">INDEX(rngParamTypes,$N274,11)</f>
        <v>-2</v>
      </c>
      <c r="S274">
        <f ca="1">INDEX(rngParamTypes,$N274,12)</f>
        <v>0</v>
      </c>
      <c r="T274">
        <f ca="1">INDEX(rngParamTypes,$N274,13)</f>
        <v>0</v>
      </c>
      <c r="U274">
        <f ca="1">INDEX(rngParamTypes,$N274,14)</f>
        <v>0</v>
      </c>
      <c r="V274">
        <f ca="1">INDEX(rngParamTypes,$N274,15)</f>
        <v>0</v>
      </c>
      <c r="W274">
        <f ca="1">INDEX(rngParamTypes,$N274,16)</f>
        <v>0</v>
      </c>
      <c r="X274">
        <f ca="1">INDEX(rngParamTypes,$N274,17)</f>
        <v>0</v>
      </c>
      <c r="Y274">
        <f ca="1">INDEX(rngParamTypes,$N274,18)</f>
        <v>0</v>
      </c>
    </row>
    <row r="275" spans="1:25" x14ac:dyDescent="0.2">
      <c r="A275" s="16">
        <v>274</v>
      </c>
      <c r="B275" s="37">
        <v>1</v>
      </c>
      <c r="C275" s="16" t="s">
        <v>1150</v>
      </c>
      <c r="D275" s="16" t="s">
        <v>1150</v>
      </c>
      <c r="E275" s="16">
        <v>2</v>
      </c>
      <c r="F275" s="16" t="s">
        <v>3473</v>
      </c>
      <c r="G275" s="16" t="s">
        <v>532</v>
      </c>
      <c r="H275" s="16" t="s">
        <v>1149</v>
      </c>
      <c r="I275" s="16" t="s">
        <v>533</v>
      </c>
      <c r="J275" s="16">
        <v>0</v>
      </c>
      <c r="K275" s="16">
        <v>31687540000</v>
      </c>
      <c r="L275" s="16">
        <v>1</v>
      </c>
      <c r="M275" s="16">
        <v>0</v>
      </c>
      <c r="N275">
        <f t="array" aca="1" ref="N275" ca="1">MATCH(TRUE,EXACT(I275,OFFSET(rngParamTypes,0,6,,1)),0)</f>
        <v>211</v>
      </c>
      <c r="O275" t="str">
        <f ca="1">IF((INDEX(rngParamTypes,$N275,7)=I275),"",1)</f>
        <v/>
      </c>
      <c r="P275">
        <f ca="1">INDEX(rngParamTypes,$N275,9)</f>
        <v>1</v>
      </c>
      <c r="Q275">
        <f ca="1">INDEX(rngParamTypes,$N275,10)</f>
        <v>2</v>
      </c>
      <c r="R275">
        <f ca="1">INDEX(rngParamTypes,$N275,11)</f>
        <v>-3</v>
      </c>
      <c r="S275">
        <f ca="1">INDEX(rngParamTypes,$N275,12)</f>
        <v>0</v>
      </c>
      <c r="T275">
        <f ca="1">INDEX(rngParamTypes,$N275,13)</f>
        <v>0</v>
      </c>
      <c r="U275">
        <f ca="1">INDEX(rngParamTypes,$N275,14)</f>
        <v>0</v>
      </c>
      <c r="V275">
        <f ca="1">INDEX(rngParamTypes,$N275,15)</f>
        <v>0</v>
      </c>
      <c r="W275">
        <f ca="1">INDEX(rngParamTypes,$N275,16)</f>
        <v>0</v>
      </c>
      <c r="X275">
        <f ca="1">INDEX(rngParamTypes,$N275,17)</f>
        <v>0</v>
      </c>
      <c r="Y275">
        <f ca="1">INDEX(rngParamTypes,$N275,18)</f>
        <v>0</v>
      </c>
    </row>
    <row r="276" spans="1:25" x14ac:dyDescent="0.2">
      <c r="A276" s="16">
        <v>275</v>
      </c>
      <c r="B276" s="37">
        <v>0</v>
      </c>
      <c r="C276" s="16" t="s">
        <v>1152</v>
      </c>
      <c r="D276" s="16" t="s">
        <v>1152</v>
      </c>
      <c r="E276" s="16"/>
      <c r="F276" s="16" t="s">
        <v>3474</v>
      </c>
      <c r="G276" s="16" t="s">
        <v>122</v>
      </c>
      <c r="H276" s="16" t="s">
        <v>1151</v>
      </c>
      <c r="I276" s="16" t="s">
        <v>123</v>
      </c>
      <c r="J276" s="16">
        <v>0</v>
      </c>
      <c r="K276" s="16">
        <v>1000</v>
      </c>
      <c r="L276" s="16">
        <v>1</v>
      </c>
      <c r="M276" s="16">
        <v>0</v>
      </c>
      <c r="N276">
        <f t="array" aca="1" ref="N276" ca="1">MATCH(TRUE,EXACT(I276,OFFSET(rngParamTypes,0,6,,1)),0)</f>
        <v>41</v>
      </c>
      <c r="O276" t="str">
        <f ca="1">IF((INDEX(rngParamTypes,$N276,7)=I276),"",1)</f>
        <v/>
      </c>
      <c r="P276">
        <f ca="1">INDEX(rngParamTypes,$N276,9)</f>
        <v>0</v>
      </c>
      <c r="Q276">
        <f ca="1">INDEX(rngParamTypes,$N276,10)</f>
        <v>0</v>
      </c>
      <c r="R276">
        <f ca="1">INDEX(rngParamTypes,$N276,11)</f>
        <v>0</v>
      </c>
      <c r="S276">
        <f ca="1">INDEX(rngParamTypes,$N276,12)</f>
        <v>0</v>
      </c>
      <c r="T276">
        <f ca="1">INDEX(rngParamTypes,$N276,13)</f>
        <v>0</v>
      </c>
      <c r="U276">
        <f ca="1">INDEX(rngParamTypes,$N276,14)</f>
        <v>0</v>
      </c>
      <c r="V276">
        <f ca="1">INDEX(rngParamTypes,$N276,15)</f>
        <v>0</v>
      </c>
      <c r="W276">
        <f ca="1">INDEX(rngParamTypes,$N276,16)</f>
        <v>0</v>
      </c>
      <c r="X276">
        <f ca="1">INDEX(rngParamTypes,$N276,17)</f>
        <v>0</v>
      </c>
      <c r="Y276">
        <f ca="1">INDEX(rngParamTypes,$N276,18)</f>
        <v>0</v>
      </c>
    </row>
    <row r="277" spans="1:25" x14ac:dyDescent="0.2">
      <c r="A277" s="16">
        <v>276</v>
      </c>
      <c r="B277" s="37">
        <v>1</v>
      </c>
      <c r="C277" s="16" t="s">
        <v>1154</v>
      </c>
      <c r="D277" s="16" t="s">
        <v>1154</v>
      </c>
      <c r="E277" s="16">
        <v>2</v>
      </c>
      <c r="F277" s="16" t="s">
        <v>3475</v>
      </c>
      <c r="G277" s="16" t="s">
        <v>3267</v>
      </c>
      <c r="H277" s="16" t="s">
        <v>1153</v>
      </c>
      <c r="I277" s="16" t="s">
        <v>168</v>
      </c>
      <c r="J277" s="16">
        <v>0</v>
      </c>
      <c r="K277" s="16">
        <v>9.9999999999999995E-8</v>
      </c>
      <c r="L277" s="16">
        <v>1</v>
      </c>
      <c r="M277" s="16">
        <v>0</v>
      </c>
      <c r="N277">
        <f t="array" aca="1" ref="N277" ca="1">MATCH(TRUE,EXACT(I277,OFFSET(rngParamTypes,0,6,,1)),0)</f>
        <v>56</v>
      </c>
      <c r="O277" t="str">
        <f ca="1">IF((INDEX(rngParamTypes,$N277,7)=I277),"",1)</f>
        <v/>
      </c>
      <c r="P277">
        <f ca="1">INDEX(rngParamTypes,$N277,9)</f>
        <v>1</v>
      </c>
      <c r="Q277">
        <f ca="1">INDEX(rngParamTypes,$N277,10)</f>
        <v>2</v>
      </c>
      <c r="R277">
        <f ca="1">INDEX(rngParamTypes,$N277,11)</f>
        <v>-2</v>
      </c>
      <c r="S277">
        <f ca="1">INDEX(rngParamTypes,$N277,12)</f>
        <v>0</v>
      </c>
      <c r="T277">
        <f ca="1">INDEX(rngParamTypes,$N277,13)</f>
        <v>0</v>
      </c>
      <c r="U277">
        <f ca="1">INDEX(rngParamTypes,$N277,14)</f>
        <v>0</v>
      </c>
      <c r="V277">
        <f ca="1">INDEX(rngParamTypes,$N277,15)</f>
        <v>0</v>
      </c>
      <c r="W277">
        <f ca="1">INDEX(rngParamTypes,$N277,16)</f>
        <v>0</v>
      </c>
      <c r="X277">
        <f ca="1">INDEX(rngParamTypes,$N277,17)</f>
        <v>0</v>
      </c>
      <c r="Y277">
        <f ca="1">INDEX(rngParamTypes,$N277,18)</f>
        <v>0</v>
      </c>
    </row>
    <row r="278" spans="1:25" x14ac:dyDescent="0.2">
      <c r="A278" s="16">
        <v>277</v>
      </c>
      <c r="B278" s="37">
        <v>1</v>
      </c>
      <c r="C278" s="16" t="s">
        <v>1156</v>
      </c>
      <c r="D278" s="16" t="s">
        <v>1156</v>
      </c>
      <c r="E278" s="16">
        <v>2</v>
      </c>
      <c r="F278" s="16" t="s">
        <v>3476</v>
      </c>
      <c r="G278" s="16" t="s">
        <v>532</v>
      </c>
      <c r="H278" s="16" t="s">
        <v>1155</v>
      </c>
      <c r="I278" s="16" t="s">
        <v>533</v>
      </c>
      <c r="J278" s="16">
        <v>0</v>
      </c>
      <c r="K278" s="16">
        <v>9.9999999999999995E-8</v>
      </c>
      <c r="L278" s="16">
        <v>31558150</v>
      </c>
      <c r="M278" s="16">
        <v>0</v>
      </c>
      <c r="N278">
        <f t="array" aca="1" ref="N278" ca="1">MATCH(TRUE,EXACT(I278,OFFSET(rngParamTypes,0,6,,1)),0)</f>
        <v>211</v>
      </c>
      <c r="O278" t="str">
        <f ca="1">IF((INDEX(rngParamTypes,$N278,7)=I278),"",1)</f>
        <v/>
      </c>
      <c r="P278">
        <f ca="1">INDEX(rngParamTypes,$N278,9)</f>
        <v>1</v>
      </c>
      <c r="Q278">
        <f ca="1">INDEX(rngParamTypes,$N278,10)</f>
        <v>2</v>
      </c>
      <c r="R278">
        <f ca="1">INDEX(rngParamTypes,$N278,11)</f>
        <v>-3</v>
      </c>
      <c r="S278">
        <f ca="1">INDEX(rngParamTypes,$N278,12)</f>
        <v>0</v>
      </c>
      <c r="T278">
        <f ca="1">INDEX(rngParamTypes,$N278,13)</f>
        <v>0</v>
      </c>
      <c r="U278">
        <f ca="1">INDEX(rngParamTypes,$N278,14)</f>
        <v>0</v>
      </c>
      <c r="V278">
        <f ca="1">INDEX(rngParamTypes,$N278,15)</f>
        <v>0</v>
      </c>
      <c r="W278">
        <f ca="1">INDEX(rngParamTypes,$N278,16)</f>
        <v>0</v>
      </c>
      <c r="X278">
        <f ca="1">INDEX(rngParamTypes,$N278,17)</f>
        <v>0</v>
      </c>
      <c r="Y278">
        <f ca="1">INDEX(rngParamTypes,$N278,18)</f>
        <v>0</v>
      </c>
    </row>
    <row r="279" spans="1:25" x14ac:dyDescent="0.2">
      <c r="A279" s="16">
        <v>278</v>
      </c>
      <c r="B279" s="37">
        <v>1</v>
      </c>
      <c r="C279" s="16" t="s">
        <v>1158</v>
      </c>
      <c r="D279" s="16" t="s">
        <v>1158</v>
      </c>
      <c r="E279" s="16"/>
      <c r="F279" s="16" t="s">
        <v>3477</v>
      </c>
      <c r="G279" s="16" t="s">
        <v>386</v>
      </c>
      <c r="H279" s="16" t="s">
        <v>1157</v>
      </c>
      <c r="I279" s="16" t="s">
        <v>387</v>
      </c>
      <c r="J279" s="16">
        <v>0</v>
      </c>
      <c r="K279" s="16">
        <v>1E-3</v>
      </c>
      <c r="L279" s="16">
        <v>1</v>
      </c>
      <c r="M279" s="16">
        <v>0</v>
      </c>
      <c r="N279">
        <f t="array" aca="1" ref="N279" ca="1">MATCH(TRUE,EXACT(I279,OFFSET(rngParamTypes,0,6,,1)),0)</f>
        <v>156</v>
      </c>
      <c r="O279" t="str">
        <f ca="1">IF((INDEX(rngParamTypes,$N279,7)=I279),"",1)</f>
        <v/>
      </c>
      <c r="P279">
        <f ca="1">INDEX(rngParamTypes,$N279,9)</f>
        <v>1</v>
      </c>
      <c r="Q279">
        <f ca="1">INDEX(rngParamTypes,$N279,10)</f>
        <v>0</v>
      </c>
      <c r="R279">
        <f ca="1">INDEX(rngParamTypes,$N279,11)</f>
        <v>-2</v>
      </c>
      <c r="S279">
        <f ca="1">INDEX(rngParamTypes,$N279,12)</f>
        <v>0</v>
      </c>
      <c r="T279">
        <f ca="1">INDEX(rngParamTypes,$N279,13)</f>
        <v>0</v>
      </c>
      <c r="U279">
        <f ca="1">INDEX(rngParamTypes,$N279,14)</f>
        <v>0</v>
      </c>
      <c r="V279">
        <f ca="1">INDEX(rngParamTypes,$N279,15)</f>
        <v>0</v>
      </c>
      <c r="W279">
        <f ca="1">INDEX(rngParamTypes,$N279,16)</f>
        <v>0</v>
      </c>
      <c r="X279">
        <f ca="1">INDEX(rngParamTypes,$N279,17)</f>
        <v>0</v>
      </c>
      <c r="Y279">
        <f ca="1">INDEX(rngParamTypes,$N279,18)</f>
        <v>0</v>
      </c>
    </row>
    <row r="280" spans="1:25" x14ac:dyDescent="0.2">
      <c r="A280" s="16">
        <v>279</v>
      </c>
      <c r="B280" s="37">
        <v>1</v>
      </c>
      <c r="C280" s="16" t="s">
        <v>1161</v>
      </c>
      <c r="D280" s="16" t="s">
        <v>1161</v>
      </c>
      <c r="E280" s="16"/>
      <c r="F280" s="16" t="s">
        <v>3478</v>
      </c>
      <c r="G280" s="16" t="s">
        <v>3314</v>
      </c>
      <c r="H280" s="16" t="s">
        <v>1160</v>
      </c>
      <c r="I280" s="16" t="s">
        <v>190</v>
      </c>
      <c r="J280" s="16">
        <v>0</v>
      </c>
      <c r="K280" s="16">
        <v>0.1</v>
      </c>
      <c r="L280" s="16">
        <v>1</v>
      </c>
      <c r="M280" s="16">
        <v>0</v>
      </c>
      <c r="N280">
        <f t="array" aca="1" ref="N280" ca="1">MATCH(TRUE,EXACT(I280,OFFSET(rngParamTypes,0,6,,1)),0)</f>
        <v>65</v>
      </c>
      <c r="O280" t="str">
        <f ca="1">IF((INDEX(rngParamTypes,$N280,7)=I280),"",1)</f>
        <v/>
      </c>
      <c r="P280">
        <f ca="1">INDEX(rngParamTypes,$N280,9)</f>
        <v>1</v>
      </c>
      <c r="Q280">
        <f ca="1">INDEX(rngParamTypes,$N280,10)</f>
        <v>-1</v>
      </c>
      <c r="R280">
        <f ca="1">INDEX(rngParamTypes,$N280,11)</f>
        <v>-2</v>
      </c>
      <c r="S280">
        <f ca="1">INDEX(rngParamTypes,$N280,12)</f>
        <v>0</v>
      </c>
      <c r="T280">
        <f ca="1">INDEX(rngParamTypes,$N280,13)</f>
        <v>0</v>
      </c>
      <c r="U280">
        <f ca="1">INDEX(rngParamTypes,$N280,14)</f>
        <v>0</v>
      </c>
      <c r="V280">
        <f ca="1">INDEX(rngParamTypes,$N280,15)</f>
        <v>0</v>
      </c>
      <c r="W280">
        <f ca="1">INDEX(rngParamTypes,$N280,16)</f>
        <v>0</v>
      </c>
      <c r="X280">
        <f ca="1">INDEX(rngParamTypes,$N280,17)</f>
        <v>0</v>
      </c>
      <c r="Y280">
        <f ca="1">INDEX(rngParamTypes,$N280,18)</f>
        <v>0</v>
      </c>
    </row>
    <row r="281" spans="1:25" x14ac:dyDescent="0.2">
      <c r="A281" s="16">
        <v>280</v>
      </c>
      <c r="B281" s="37">
        <v>1</v>
      </c>
      <c r="C281" s="16" t="s">
        <v>1163</v>
      </c>
      <c r="D281" s="16" t="s">
        <v>1163</v>
      </c>
      <c r="E281" s="16">
        <v>2</v>
      </c>
      <c r="F281" s="16" t="s">
        <v>3479</v>
      </c>
      <c r="G281" s="16" t="s">
        <v>174</v>
      </c>
      <c r="H281" s="16" t="s">
        <v>1162</v>
      </c>
      <c r="I281" s="16" t="s">
        <v>175</v>
      </c>
      <c r="J281" s="16">
        <v>0</v>
      </c>
      <c r="K281" s="16">
        <v>1E-4</v>
      </c>
      <c r="L281" s="16">
        <v>1</v>
      </c>
      <c r="M281" s="16">
        <v>0</v>
      </c>
      <c r="N281">
        <f t="array" aca="1" ref="N281" ca="1">MATCH(TRUE,EXACT(I281,OFFSET(rngParamTypes,0,6,,1)),0)</f>
        <v>62</v>
      </c>
      <c r="O281" t="str">
        <f ca="1">IF((INDEX(rngParamTypes,$N281,7)=I281),"",1)</f>
        <v/>
      </c>
      <c r="P281">
        <f ca="1">INDEX(rngParamTypes,$N281,9)</f>
        <v>0</v>
      </c>
      <c r="Q281">
        <f ca="1">INDEX(rngParamTypes,$N281,10)</f>
        <v>2</v>
      </c>
      <c r="R281">
        <f ca="1">INDEX(rngParamTypes,$N281,11)</f>
        <v>-2</v>
      </c>
      <c r="S281">
        <f ca="1">INDEX(rngParamTypes,$N281,12)</f>
        <v>0</v>
      </c>
      <c r="T281">
        <f ca="1">INDEX(rngParamTypes,$N281,13)</f>
        <v>0</v>
      </c>
      <c r="U281">
        <f ca="1">INDEX(rngParamTypes,$N281,14)</f>
        <v>0</v>
      </c>
      <c r="V281">
        <f ca="1">INDEX(rngParamTypes,$N281,15)</f>
        <v>0</v>
      </c>
      <c r="W281">
        <f ca="1">INDEX(rngParamTypes,$N281,16)</f>
        <v>0</v>
      </c>
      <c r="X281">
        <f ca="1">INDEX(rngParamTypes,$N281,17)</f>
        <v>0</v>
      </c>
      <c r="Y281">
        <f ca="1">INDEX(rngParamTypes,$N281,18)</f>
        <v>0</v>
      </c>
    </row>
    <row r="282" spans="1:25" x14ac:dyDescent="0.2">
      <c r="A282" s="16">
        <v>281</v>
      </c>
      <c r="B282" s="37">
        <v>1</v>
      </c>
      <c r="C282" s="16" t="s">
        <v>1165</v>
      </c>
      <c r="D282" s="16" t="s">
        <v>1165</v>
      </c>
      <c r="E282" s="16">
        <v>2</v>
      </c>
      <c r="F282" s="16" t="s">
        <v>3480</v>
      </c>
      <c r="G282" s="16" t="s">
        <v>174</v>
      </c>
      <c r="H282" s="16" t="s">
        <v>1164</v>
      </c>
      <c r="I282" s="16" t="s">
        <v>175</v>
      </c>
      <c r="J282" s="16">
        <v>0</v>
      </c>
      <c r="K282" s="16">
        <v>9.9999999999999995E-8</v>
      </c>
      <c r="L282" s="16">
        <v>1</v>
      </c>
      <c r="M282" s="16">
        <v>0</v>
      </c>
      <c r="N282">
        <f t="array" aca="1" ref="N282" ca="1">MATCH(TRUE,EXACT(I282,OFFSET(rngParamTypes,0,6,,1)),0)</f>
        <v>62</v>
      </c>
      <c r="O282" t="str">
        <f ca="1">IF((INDEX(rngParamTypes,$N282,7)=I282),"",1)</f>
        <v/>
      </c>
      <c r="P282">
        <f ca="1">INDEX(rngParamTypes,$N282,9)</f>
        <v>0</v>
      </c>
      <c r="Q282">
        <f ca="1">INDEX(rngParamTypes,$N282,10)</f>
        <v>2</v>
      </c>
      <c r="R282">
        <f ca="1">INDEX(rngParamTypes,$N282,11)</f>
        <v>-2</v>
      </c>
      <c r="S282">
        <f ca="1">INDEX(rngParamTypes,$N282,12)</f>
        <v>0</v>
      </c>
      <c r="T282">
        <f ca="1">INDEX(rngParamTypes,$N282,13)</f>
        <v>0</v>
      </c>
      <c r="U282">
        <f ca="1">INDEX(rngParamTypes,$N282,14)</f>
        <v>0</v>
      </c>
      <c r="V282">
        <f ca="1">INDEX(rngParamTypes,$N282,15)</f>
        <v>0</v>
      </c>
      <c r="W282">
        <f ca="1">INDEX(rngParamTypes,$N282,16)</f>
        <v>0</v>
      </c>
      <c r="X282">
        <f ca="1">INDEX(rngParamTypes,$N282,17)</f>
        <v>0</v>
      </c>
      <c r="Y282">
        <f ca="1">INDEX(rngParamTypes,$N282,18)</f>
        <v>0</v>
      </c>
    </row>
    <row r="283" spans="1:25" x14ac:dyDescent="0.2">
      <c r="A283" s="16">
        <v>282</v>
      </c>
      <c r="B283" s="37">
        <v>1</v>
      </c>
      <c r="C283" s="16" t="s">
        <v>1167</v>
      </c>
      <c r="D283" s="16" t="s">
        <v>1167</v>
      </c>
      <c r="E283" s="16"/>
      <c r="F283" s="16" t="s">
        <v>3481</v>
      </c>
      <c r="G283" s="16" t="s">
        <v>3314</v>
      </c>
      <c r="H283" s="16" t="s">
        <v>1166</v>
      </c>
      <c r="I283" s="16" t="s">
        <v>190</v>
      </c>
      <c r="J283" s="16">
        <v>0</v>
      </c>
      <c r="K283" s="16">
        <v>9.9999999999999995E-8</v>
      </c>
      <c r="L283" s="16">
        <v>1</v>
      </c>
      <c r="M283" s="16">
        <v>0</v>
      </c>
      <c r="N283">
        <f t="array" aca="1" ref="N283" ca="1">MATCH(TRUE,EXACT(I283,OFFSET(rngParamTypes,0,6,,1)),0)</f>
        <v>65</v>
      </c>
      <c r="O283" t="str">
        <f ca="1">IF((INDEX(rngParamTypes,$N283,7)=I283),"",1)</f>
        <v/>
      </c>
      <c r="P283">
        <f ca="1">INDEX(rngParamTypes,$N283,9)</f>
        <v>1</v>
      </c>
      <c r="Q283">
        <f ca="1">INDEX(rngParamTypes,$N283,10)</f>
        <v>-1</v>
      </c>
      <c r="R283">
        <f ca="1">INDEX(rngParamTypes,$N283,11)</f>
        <v>-2</v>
      </c>
      <c r="S283">
        <f ca="1">INDEX(rngParamTypes,$N283,12)</f>
        <v>0</v>
      </c>
      <c r="T283">
        <f ca="1">INDEX(rngParamTypes,$N283,13)</f>
        <v>0</v>
      </c>
      <c r="U283">
        <f ca="1">INDEX(rngParamTypes,$N283,14)</f>
        <v>0</v>
      </c>
      <c r="V283">
        <f ca="1">INDEX(rngParamTypes,$N283,15)</f>
        <v>0</v>
      </c>
      <c r="W283">
        <f ca="1">INDEX(rngParamTypes,$N283,16)</f>
        <v>0</v>
      </c>
      <c r="X283">
        <f ca="1">INDEX(rngParamTypes,$N283,17)</f>
        <v>0</v>
      </c>
      <c r="Y283">
        <f ca="1">INDEX(rngParamTypes,$N283,18)</f>
        <v>0</v>
      </c>
    </row>
    <row r="284" spans="1:25" x14ac:dyDescent="0.2">
      <c r="A284" s="16">
        <v>283</v>
      </c>
      <c r="B284" s="37">
        <v>1</v>
      </c>
      <c r="C284" s="16" t="s">
        <v>1169</v>
      </c>
      <c r="D284" s="16" t="s">
        <v>1169</v>
      </c>
      <c r="E284" s="16">
        <v>2</v>
      </c>
      <c r="F284" s="16" t="s">
        <v>3482</v>
      </c>
      <c r="G284" s="16" t="s">
        <v>3267</v>
      </c>
      <c r="H284" s="16" t="s">
        <v>1168</v>
      </c>
      <c r="I284" s="16" t="s">
        <v>168</v>
      </c>
      <c r="J284" s="16">
        <v>0</v>
      </c>
      <c r="K284" s="16">
        <v>1.6021770000000001E-19</v>
      </c>
      <c r="L284" s="16">
        <v>1</v>
      </c>
      <c r="M284" s="16">
        <v>0</v>
      </c>
      <c r="N284">
        <f t="array" aca="1" ref="N284" ca="1">MATCH(TRUE,EXACT(I284,OFFSET(rngParamTypes,0,6,,1)),0)</f>
        <v>56</v>
      </c>
      <c r="O284" t="str">
        <f ca="1">IF((INDEX(rngParamTypes,$N284,7)=I284),"",1)</f>
        <v/>
      </c>
      <c r="P284">
        <f ca="1">INDEX(rngParamTypes,$N284,9)</f>
        <v>1</v>
      </c>
      <c r="Q284">
        <f ca="1">INDEX(rngParamTypes,$N284,10)</f>
        <v>2</v>
      </c>
      <c r="R284">
        <f ca="1">INDEX(rngParamTypes,$N284,11)</f>
        <v>-2</v>
      </c>
      <c r="S284">
        <f ca="1">INDEX(rngParamTypes,$N284,12)</f>
        <v>0</v>
      </c>
      <c r="T284">
        <f ca="1">INDEX(rngParamTypes,$N284,13)</f>
        <v>0</v>
      </c>
      <c r="U284">
        <f ca="1">INDEX(rngParamTypes,$N284,14)</f>
        <v>0</v>
      </c>
      <c r="V284">
        <f ca="1">INDEX(rngParamTypes,$N284,15)</f>
        <v>0</v>
      </c>
      <c r="W284">
        <f ca="1">INDEX(rngParamTypes,$N284,16)</f>
        <v>0</v>
      </c>
      <c r="X284">
        <f ca="1">INDEX(rngParamTypes,$N284,17)</f>
        <v>0</v>
      </c>
      <c r="Y284">
        <f ca="1">INDEX(rngParamTypes,$N284,18)</f>
        <v>0</v>
      </c>
    </row>
    <row r="285" spans="1:25" x14ac:dyDescent="0.2">
      <c r="A285" s="16">
        <v>284</v>
      </c>
      <c r="B285" s="37">
        <v>1</v>
      </c>
      <c r="C285" s="16" t="s">
        <v>1171</v>
      </c>
      <c r="D285" s="16" t="s">
        <v>1171</v>
      </c>
      <c r="E285" s="16">
        <v>2</v>
      </c>
      <c r="F285" s="16" t="s">
        <v>3483</v>
      </c>
      <c r="G285" s="16" t="s">
        <v>3484</v>
      </c>
      <c r="H285" s="16" t="s">
        <v>1170</v>
      </c>
      <c r="I285" s="16" t="s">
        <v>290</v>
      </c>
      <c r="J285" s="16">
        <v>0</v>
      </c>
      <c r="K285" s="16">
        <v>1.8288</v>
      </c>
      <c r="L285" s="16">
        <v>1</v>
      </c>
      <c r="M285" s="16">
        <v>0</v>
      </c>
      <c r="N285">
        <f t="array" aca="1" ref="N285" ca="1">MATCH(TRUE,EXACT(I285,OFFSET(rngParamTypes,0,6,,1)),0)</f>
        <v>109</v>
      </c>
      <c r="O285" t="str">
        <f ca="1">IF((INDEX(rngParamTypes,$N285,7)=I285),"",1)</f>
        <v/>
      </c>
      <c r="P285">
        <f ca="1">INDEX(rngParamTypes,$N285,9)</f>
        <v>0</v>
      </c>
      <c r="Q285">
        <f ca="1">INDEX(rngParamTypes,$N285,10)</f>
        <v>1</v>
      </c>
      <c r="R285">
        <f ca="1">INDEX(rngParamTypes,$N285,11)</f>
        <v>0</v>
      </c>
      <c r="S285">
        <f ca="1">INDEX(rngParamTypes,$N285,12)</f>
        <v>0</v>
      </c>
      <c r="T285">
        <f ca="1">INDEX(rngParamTypes,$N285,13)</f>
        <v>0</v>
      </c>
      <c r="U285">
        <f ca="1">INDEX(rngParamTypes,$N285,14)</f>
        <v>0</v>
      </c>
      <c r="V285">
        <f ca="1">INDEX(rngParamTypes,$N285,15)</f>
        <v>0</v>
      </c>
      <c r="W285">
        <f ca="1">INDEX(rngParamTypes,$N285,16)</f>
        <v>0</v>
      </c>
      <c r="X285">
        <f ca="1">INDEX(rngParamTypes,$N285,17)</f>
        <v>0</v>
      </c>
      <c r="Y285">
        <f ca="1">INDEX(rngParamTypes,$N285,18)</f>
        <v>0</v>
      </c>
    </row>
    <row r="286" spans="1:25" x14ac:dyDescent="0.2">
      <c r="A286" s="16">
        <v>285</v>
      </c>
      <c r="B286" s="37">
        <v>1</v>
      </c>
      <c r="C286" s="16" t="s">
        <v>1173</v>
      </c>
      <c r="D286" s="16" t="s">
        <v>1173</v>
      </c>
      <c r="E286" s="16"/>
      <c r="F286" s="16" t="s">
        <v>3485</v>
      </c>
      <c r="G286" s="16" t="s">
        <v>3256</v>
      </c>
      <c r="H286" s="16" t="s">
        <v>1172</v>
      </c>
      <c r="I286" s="16" t="s">
        <v>93</v>
      </c>
      <c r="J286" s="16">
        <v>0</v>
      </c>
      <c r="K286" s="16">
        <v>1.0000000000000001E-15</v>
      </c>
      <c r="L286" s="16">
        <v>1</v>
      </c>
      <c r="M286" s="16">
        <v>0</v>
      </c>
      <c r="N286">
        <f t="array" aca="1" ref="N286" ca="1">MATCH(TRUE,EXACT(I286,OFFSET(rngParamTypes,0,6,,1)),0)</f>
        <v>30</v>
      </c>
      <c r="O286" t="str">
        <f ca="1">IF((INDEX(rngParamTypes,$N286,7)=I286),"",1)</f>
        <v/>
      </c>
      <c r="P286">
        <f ca="1">INDEX(rngParamTypes,$N286,9)</f>
        <v>0</v>
      </c>
      <c r="Q286">
        <f ca="1">INDEX(rngParamTypes,$N286,10)</f>
        <v>0</v>
      </c>
      <c r="R286">
        <f ca="1">INDEX(rngParamTypes,$N286,11)</f>
        <v>1</v>
      </c>
      <c r="S286">
        <f ca="1">INDEX(rngParamTypes,$N286,12)</f>
        <v>1</v>
      </c>
      <c r="T286">
        <f ca="1">INDEX(rngParamTypes,$N286,13)</f>
        <v>0</v>
      </c>
      <c r="U286">
        <f ca="1">INDEX(rngParamTypes,$N286,14)</f>
        <v>0</v>
      </c>
      <c r="V286">
        <f ca="1">INDEX(rngParamTypes,$N286,15)</f>
        <v>0</v>
      </c>
      <c r="W286">
        <f ca="1">INDEX(rngParamTypes,$N286,16)</f>
        <v>0</v>
      </c>
      <c r="X286">
        <f ca="1">INDEX(rngParamTypes,$N286,17)</f>
        <v>0</v>
      </c>
      <c r="Y286">
        <f ca="1">INDEX(rngParamTypes,$N286,18)</f>
        <v>0</v>
      </c>
    </row>
    <row r="287" spans="1:25" x14ac:dyDescent="0.2">
      <c r="A287" s="16">
        <v>286</v>
      </c>
      <c r="B287" s="37">
        <v>1</v>
      </c>
      <c r="C287" s="16" t="s">
        <v>1175</v>
      </c>
      <c r="D287" s="16" t="s">
        <v>1175</v>
      </c>
      <c r="E287" s="16">
        <v>2</v>
      </c>
      <c r="F287" s="16" t="s">
        <v>4278</v>
      </c>
      <c r="G287" s="16" t="s">
        <v>321</v>
      </c>
      <c r="H287" s="16" t="s">
        <v>1174</v>
      </c>
      <c r="I287" s="16" t="s">
        <v>322</v>
      </c>
      <c r="J287" s="16">
        <v>0</v>
      </c>
      <c r="K287" s="16">
        <v>2.8413079999999999E-5</v>
      </c>
      <c r="L287" s="16">
        <v>1</v>
      </c>
      <c r="M287" s="16">
        <v>0</v>
      </c>
      <c r="N287">
        <f t="array" aca="1" ref="N287" ca="1">MATCH(TRUE,EXACT(I287,OFFSET(rngParamTypes,0,6,,1)),0)</f>
        <v>134</v>
      </c>
      <c r="O287" t="str">
        <f ca="1">IF((INDEX(rngParamTypes,$N287,7)=I287),"",1)</f>
        <v/>
      </c>
      <c r="P287">
        <f ca="1">INDEX(rngParamTypes,$N287,9)</f>
        <v>0</v>
      </c>
      <c r="Q287">
        <f ca="1">INDEX(rngParamTypes,$N287,10)</f>
        <v>3</v>
      </c>
      <c r="R287">
        <f ca="1">INDEX(rngParamTypes,$N287,11)</f>
        <v>0</v>
      </c>
      <c r="S287">
        <f ca="1">INDEX(rngParamTypes,$N287,12)</f>
        <v>0</v>
      </c>
      <c r="T287">
        <f ca="1">INDEX(rngParamTypes,$N287,13)</f>
        <v>0</v>
      </c>
      <c r="U287">
        <f ca="1">INDEX(rngParamTypes,$N287,14)</f>
        <v>0</v>
      </c>
      <c r="V287">
        <f ca="1">INDEX(rngParamTypes,$N287,15)</f>
        <v>0</v>
      </c>
      <c r="W287">
        <f ca="1">INDEX(rngParamTypes,$N287,16)</f>
        <v>0</v>
      </c>
      <c r="X287">
        <f ca="1">INDEX(rngParamTypes,$N287,17)</f>
        <v>0</v>
      </c>
      <c r="Y287">
        <f ca="1">INDEX(rngParamTypes,$N287,18)</f>
        <v>0</v>
      </c>
    </row>
    <row r="288" spans="1:25" x14ac:dyDescent="0.2">
      <c r="A288" s="16">
        <v>287</v>
      </c>
      <c r="B288" s="37">
        <v>1</v>
      </c>
      <c r="C288" s="16" t="s">
        <v>1177</v>
      </c>
      <c r="D288" s="16" t="s">
        <v>1177</v>
      </c>
      <c r="E288" s="16">
        <v>2</v>
      </c>
      <c r="F288" s="16" t="s">
        <v>4279</v>
      </c>
      <c r="G288" s="16" t="s">
        <v>321</v>
      </c>
      <c r="H288" s="16" t="s">
        <v>1176</v>
      </c>
      <c r="I288" s="16" t="s">
        <v>322</v>
      </c>
      <c r="J288" s="16">
        <v>0</v>
      </c>
      <c r="K288" s="16">
        <v>2.9573529999999999E-5</v>
      </c>
      <c r="L288" s="16">
        <v>1</v>
      </c>
      <c r="M288" s="16">
        <v>0</v>
      </c>
      <c r="N288">
        <f t="array" aca="1" ref="N288" ca="1">MATCH(TRUE,EXACT(I288,OFFSET(rngParamTypes,0,6,,1)),0)</f>
        <v>134</v>
      </c>
      <c r="O288" t="str">
        <f ca="1">IF((INDEX(rngParamTypes,$N288,7)=I288),"",1)</f>
        <v/>
      </c>
      <c r="P288">
        <f ca="1">INDEX(rngParamTypes,$N288,9)</f>
        <v>0</v>
      </c>
      <c r="Q288">
        <f ca="1">INDEX(rngParamTypes,$N288,10)</f>
        <v>3</v>
      </c>
      <c r="R288">
        <f ca="1">INDEX(rngParamTypes,$N288,11)</f>
        <v>0</v>
      </c>
      <c r="S288">
        <f ca="1">INDEX(rngParamTypes,$N288,12)</f>
        <v>0</v>
      </c>
      <c r="T288">
        <f ca="1">INDEX(rngParamTypes,$N288,13)</f>
        <v>0</v>
      </c>
      <c r="U288">
        <f ca="1">INDEX(rngParamTypes,$N288,14)</f>
        <v>0</v>
      </c>
      <c r="V288">
        <f ca="1">INDEX(rngParamTypes,$N288,15)</f>
        <v>0</v>
      </c>
      <c r="W288">
        <f ca="1">INDEX(rngParamTypes,$N288,16)</f>
        <v>0</v>
      </c>
      <c r="X288">
        <f ca="1">INDEX(rngParamTypes,$N288,17)</f>
        <v>0</v>
      </c>
      <c r="Y288">
        <f ca="1">INDEX(rngParamTypes,$N288,18)</f>
        <v>0</v>
      </c>
    </row>
    <row r="289" spans="1:25" x14ac:dyDescent="0.2">
      <c r="A289" s="16">
        <v>288</v>
      </c>
      <c r="B289" s="37">
        <v>1</v>
      </c>
      <c r="C289" s="16" t="s">
        <v>1178</v>
      </c>
      <c r="D289" s="16" t="s">
        <v>1178</v>
      </c>
      <c r="E289" s="16"/>
      <c r="F289" s="16" t="s">
        <v>3486</v>
      </c>
      <c r="G289" s="16" t="s">
        <v>36</v>
      </c>
      <c r="H289" s="16" t="s">
        <v>1178</v>
      </c>
      <c r="I289" s="16" t="s">
        <v>38</v>
      </c>
      <c r="J289" s="16">
        <v>0</v>
      </c>
      <c r="K289" s="16">
        <v>1</v>
      </c>
      <c r="L289" s="16">
        <v>1</v>
      </c>
      <c r="M289" s="16">
        <v>0</v>
      </c>
      <c r="N289">
        <f t="array" aca="1" ref="N289" ca="1">MATCH(TRUE,EXACT(I289,OFFSET(rngParamTypes,0,6,,1)),0)</f>
        <v>12</v>
      </c>
      <c r="O289" t="str">
        <f ca="1">IF((INDEX(rngParamTypes,$N289,7)=I289),"",1)</f>
        <v/>
      </c>
      <c r="P289">
        <f ca="1">INDEX(rngParamTypes,$N289,9)</f>
        <v>0</v>
      </c>
      <c r="Q289">
        <f ca="1">INDEX(rngParamTypes,$N289,10)</f>
        <v>0</v>
      </c>
      <c r="R289">
        <f ca="1">INDEX(rngParamTypes,$N289,11)</f>
        <v>-1</v>
      </c>
      <c r="S289">
        <f ca="1">INDEX(rngParamTypes,$N289,12)</f>
        <v>0</v>
      </c>
      <c r="T289">
        <f ca="1">INDEX(rngParamTypes,$N289,13)</f>
        <v>0</v>
      </c>
      <c r="U289">
        <f ca="1">INDEX(rngParamTypes,$N289,14)</f>
        <v>0</v>
      </c>
      <c r="V289">
        <f ca="1">INDEX(rngParamTypes,$N289,15)</f>
        <v>0</v>
      </c>
      <c r="W289">
        <f ca="1">INDEX(rngParamTypes,$N289,16)</f>
        <v>0</v>
      </c>
      <c r="X289">
        <f ca="1">INDEX(rngParamTypes,$N289,17)</f>
        <v>0</v>
      </c>
      <c r="Y289">
        <f ca="1">INDEX(rngParamTypes,$N289,18)</f>
        <v>0</v>
      </c>
    </row>
    <row r="290" spans="1:25" x14ac:dyDescent="0.2">
      <c r="A290" s="16">
        <v>289</v>
      </c>
      <c r="B290" s="37">
        <v>1</v>
      </c>
      <c r="C290" s="16" t="s">
        <v>1179</v>
      </c>
      <c r="D290" s="16" t="s">
        <v>1179</v>
      </c>
      <c r="E290" s="16">
        <v>2</v>
      </c>
      <c r="F290" s="16" t="s">
        <v>3487</v>
      </c>
      <c r="G290" s="16" t="s">
        <v>321</v>
      </c>
      <c r="H290" s="16" t="s">
        <v>1174</v>
      </c>
      <c r="I290" s="16" t="s">
        <v>322</v>
      </c>
      <c r="J290" s="16">
        <v>0</v>
      </c>
      <c r="K290" s="16">
        <v>2.8413079999999999E-5</v>
      </c>
      <c r="L290" s="16">
        <v>1</v>
      </c>
      <c r="M290" s="16">
        <v>0</v>
      </c>
      <c r="N290">
        <f t="array" aca="1" ref="N290" ca="1">MATCH(TRUE,EXACT(I290,OFFSET(rngParamTypes,0,6,,1)),0)</f>
        <v>134</v>
      </c>
      <c r="O290" t="str">
        <f ca="1">IF((INDEX(rngParamTypes,$N290,7)=I290),"",1)</f>
        <v/>
      </c>
      <c r="P290">
        <f ca="1">INDEX(rngParamTypes,$N290,9)</f>
        <v>0</v>
      </c>
      <c r="Q290">
        <f ca="1">INDEX(rngParamTypes,$N290,10)</f>
        <v>3</v>
      </c>
      <c r="R290">
        <f ca="1">INDEX(rngParamTypes,$N290,11)</f>
        <v>0</v>
      </c>
      <c r="S290">
        <f ca="1">INDEX(rngParamTypes,$N290,12)</f>
        <v>0</v>
      </c>
      <c r="T290">
        <f ca="1">INDEX(rngParamTypes,$N290,13)</f>
        <v>0</v>
      </c>
      <c r="U290">
        <f ca="1">INDEX(rngParamTypes,$N290,14)</f>
        <v>0</v>
      </c>
      <c r="V290">
        <f ca="1">INDEX(rngParamTypes,$N290,15)</f>
        <v>0</v>
      </c>
      <c r="W290">
        <f ca="1">INDEX(rngParamTypes,$N290,16)</f>
        <v>0</v>
      </c>
      <c r="X290">
        <f ca="1">INDEX(rngParamTypes,$N290,17)</f>
        <v>0</v>
      </c>
      <c r="Y290">
        <f ca="1">INDEX(rngParamTypes,$N290,18)</f>
        <v>0</v>
      </c>
    </row>
    <row r="291" spans="1:25" x14ac:dyDescent="0.2">
      <c r="A291" s="16">
        <v>290</v>
      </c>
      <c r="B291" s="37">
        <v>1</v>
      </c>
      <c r="C291" s="16" t="s">
        <v>1180</v>
      </c>
      <c r="D291" s="16" t="s">
        <v>1180</v>
      </c>
      <c r="E291" s="16">
        <v>2</v>
      </c>
      <c r="F291" s="16" t="s">
        <v>3488</v>
      </c>
      <c r="G291" s="16" t="s">
        <v>321</v>
      </c>
      <c r="H291" s="16" t="s">
        <v>1176</v>
      </c>
      <c r="I291" s="16" t="s">
        <v>322</v>
      </c>
      <c r="J291" s="16">
        <v>0</v>
      </c>
      <c r="K291" s="16">
        <v>2.9573529999999999E-5</v>
      </c>
      <c r="L291" s="16">
        <v>1</v>
      </c>
      <c r="M291" s="16">
        <v>0</v>
      </c>
      <c r="N291">
        <f t="array" aca="1" ref="N291" ca="1">MATCH(TRUE,EXACT(I291,OFFSET(rngParamTypes,0,6,,1)),0)</f>
        <v>134</v>
      </c>
      <c r="O291" t="str">
        <f ca="1">IF((INDEX(rngParamTypes,$N291,7)=I291),"",1)</f>
        <v/>
      </c>
      <c r="P291">
        <f ca="1">INDEX(rngParamTypes,$N291,9)</f>
        <v>0</v>
      </c>
      <c r="Q291">
        <f ca="1">INDEX(rngParamTypes,$N291,10)</f>
        <v>3</v>
      </c>
      <c r="R291">
        <f ca="1">INDEX(rngParamTypes,$N291,11)</f>
        <v>0</v>
      </c>
      <c r="S291">
        <f ca="1">INDEX(rngParamTypes,$N291,12)</f>
        <v>0</v>
      </c>
      <c r="T291">
        <f ca="1">INDEX(rngParamTypes,$N291,13)</f>
        <v>0</v>
      </c>
      <c r="U291">
        <f ca="1">INDEX(rngParamTypes,$N291,14)</f>
        <v>0</v>
      </c>
      <c r="V291">
        <f ca="1">INDEX(rngParamTypes,$N291,15)</f>
        <v>0</v>
      </c>
      <c r="W291">
        <f ca="1">INDEX(rngParamTypes,$N291,16)</f>
        <v>0</v>
      </c>
      <c r="X291">
        <f ca="1">INDEX(rngParamTypes,$N291,17)</f>
        <v>0</v>
      </c>
      <c r="Y291">
        <f ca="1">INDEX(rngParamTypes,$N291,18)</f>
        <v>0</v>
      </c>
    </row>
    <row r="292" spans="1:25" x14ac:dyDescent="0.2">
      <c r="A292" s="16">
        <v>291</v>
      </c>
      <c r="B292" s="37">
        <v>1</v>
      </c>
      <c r="C292" s="16" t="s">
        <v>1182</v>
      </c>
      <c r="D292" s="16" t="s">
        <v>1182</v>
      </c>
      <c r="E292" s="16">
        <v>2</v>
      </c>
      <c r="F292" s="16" t="s">
        <v>3489</v>
      </c>
      <c r="G292" s="16" t="s">
        <v>3380</v>
      </c>
      <c r="H292" s="16" t="s">
        <v>1181</v>
      </c>
      <c r="I292" s="16" t="s">
        <v>290</v>
      </c>
      <c r="J292" s="16">
        <v>0</v>
      </c>
      <c r="K292" s="16">
        <v>1.0000000000000001E-15</v>
      </c>
      <c r="L292" s="16">
        <v>1</v>
      </c>
      <c r="M292" s="16">
        <v>0</v>
      </c>
      <c r="N292">
        <f t="array" aca="1" ref="N292" ca="1">MATCH(TRUE,EXACT(I292,OFFSET(rngParamTypes,0,6,,1)),0)</f>
        <v>109</v>
      </c>
      <c r="O292" t="str">
        <f ca="1">IF((INDEX(rngParamTypes,$N292,7)=I292),"",1)</f>
        <v/>
      </c>
      <c r="P292">
        <f ca="1">INDEX(rngParamTypes,$N292,9)</f>
        <v>0</v>
      </c>
      <c r="Q292">
        <f ca="1">INDEX(rngParamTypes,$N292,10)</f>
        <v>1</v>
      </c>
      <c r="R292">
        <f ca="1">INDEX(rngParamTypes,$N292,11)</f>
        <v>0</v>
      </c>
      <c r="S292">
        <f ca="1">INDEX(rngParamTypes,$N292,12)</f>
        <v>0</v>
      </c>
      <c r="T292">
        <f ca="1">INDEX(rngParamTypes,$N292,13)</f>
        <v>0</v>
      </c>
      <c r="U292">
        <f ca="1">INDEX(rngParamTypes,$N292,14)</f>
        <v>0</v>
      </c>
      <c r="V292">
        <f ca="1">INDEX(rngParamTypes,$N292,15)</f>
        <v>0</v>
      </c>
      <c r="W292">
        <f ca="1">INDEX(rngParamTypes,$N292,16)</f>
        <v>0</v>
      </c>
      <c r="X292">
        <f ca="1">INDEX(rngParamTypes,$N292,17)</f>
        <v>0</v>
      </c>
      <c r="Y292">
        <f ca="1">INDEX(rngParamTypes,$N292,18)</f>
        <v>0</v>
      </c>
    </row>
    <row r="293" spans="1:25" x14ac:dyDescent="0.2">
      <c r="A293" s="16">
        <v>292</v>
      </c>
      <c r="B293" s="37">
        <v>1</v>
      </c>
      <c r="C293" s="16" t="s">
        <v>1184</v>
      </c>
      <c r="D293" s="16" t="s">
        <v>1184</v>
      </c>
      <c r="E293" s="16"/>
      <c r="F293" s="16" t="s">
        <v>3490</v>
      </c>
      <c r="G293" s="16" t="s">
        <v>270</v>
      </c>
      <c r="H293" s="16" t="s">
        <v>1183</v>
      </c>
      <c r="I293" s="16" t="s">
        <v>271</v>
      </c>
      <c r="J293" s="16">
        <v>0</v>
      </c>
      <c r="K293" s="16">
        <v>10.763909999999999</v>
      </c>
      <c r="L293" s="16">
        <v>1</v>
      </c>
      <c r="M293" s="16">
        <v>0</v>
      </c>
      <c r="N293">
        <f t="array" aca="1" ref="N293" ca="1">MATCH(TRUE,EXACT(I293,OFFSET(rngParamTypes,0,6,,1)),0)</f>
        <v>107</v>
      </c>
      <c r="O293" t="str">
        <f ca="1">IF((INDEX(rngParamTypes,$N293,7)=I293),"",1)</f>
        <v/>
      </c>
      <c r="P293">
        <f ca="1">INDEX(rngParamTypes,$N293,9)</f>
        <v>0</v>
      </c>
      <c r="Q293">
        <f ca="1">INDEX(rngParamTypes,$N293,10)</f>
        <v>-2</v>
      </c>
      <c r="R293">
        <f ca="1">INDEX(rngParamTypes,$N293,11)</f>
        <v>0</v>
      </c>
      <c r="S293">
        <f ca="1">INDEX(rngParamTypes,$N293,12)</f>
        <v>0</v>
      </c>
      <c r="T293">
        <f ca="1">INDEX(rngParamTypes,$N293,13)</f>
        <v>0</v>
      </c>
      <c r="U293">
        <f ca="1">INDEX(rngParamTypes,$N293,14)</f>
        <v>0</v>
      </c>
      <c r="V293">
        <f ca="1">INDEX(rngParamTypes,$N293,15)</f>
        <v>1</v>
      </c>
      <c r="W293">
        <f ca="1">INDEX(rngParamTypes,$N293,16)</f>
        <v>0</v>
      </c>
      <c r="X293">
        <f ca="1">INDEX(rngParamTypes,$N293,17)</f>
        <v>1</v>
      </c>
      <c r="Y293">
        <f ca="1">INDEX(rngParamTypes,$N293,18)</f>
        <v>0</v>
      </c>
    </row>
    <row r="294" spans="1:25" x14ac:dyDescent="0.2">
      <c r="A294" s="16">
        <v>293</v>
      </c>
      <c r="B294" s="37">
        <v>1</v>
      </c>
      <c r="C294" s="16" t="s">
        <v>1186</v>
      </c>
      <c r="D294" s="16" t="s">
        <v>1186</v>
      </c>
      <c r="E294" s="16"/>
      <c r="F294" s="16" t="s">
        <v>3491</v>
      </c>
      <c r="G294" s="16" t="s">
        <v>274</v>
      </c>
      <c r="H294" s="16" t="s">
        <v>1185</v>
      </c>
      <c r="I294" s="16" t="s">
        <v>275</v>
      </c>
      <c r="J294" s="16">
        <v>0</v>
      </c>
      <c r="K294" s="16">
        <v>10.763909999999999</v>
      </c>
      <c r="L294" s="16">
        <v>1</v>
      </c>
      <c r="M294" s="16">
        <v>0</v>
      </c>
      <c r="N294">
        <f t="array" aca="1" ref="N294" ca="1">MATCH(TRUE,EXACT(I294,OFFSET(rngParamTypes,0,6,,1)),0)</f>
        <v>108</v>
      </c>
      <c r="O294" t="str">
        <f ca="1">IF((INDEX(rngParamTypes,$N294,7)=I294),"",1)</f>
        <v/>
      </c>
      <c r="P294">
        <f ca="1">INDEX(rngParamTypes,$N294,9)</f>
        <v>0</v>
      </c>
      <c r="Q294">
        <f ca="1">INDEX(rngParamTypes,$N294,10)</f>
        <v>-2</v>
      </c>
      <c r="R294">
        <f ca="1">INDEX(rngParamTypes,$N294,11)</f>
        <v>1</v>
      </c>
      <c r="S294">
        <f ca="1">INDEX(rngParamTypes,$N294,12)</f>
        <v>0</v>
      </c>
      <c r="T294">
        <f ca="1">INDEX(rngParamTypes,$N294,13)</f>
        <v>0</v>
      </c>
      <c r="U294">
        <f ca="1">INDEX(rngParamTypes,$N294,14)</f>
        <v>0</v>
      </c>
      <c r="V294">
        <f ca="1">INDEX(rngParamTypes,$N294,15)</f>
        <v>1</v>
      </c>
      <c r="W294">
        <f ca="1">INDEX(rngParamTypes,$N294,16)</f>
        <v>0</v>
      </c>
      <c r="X294">
        <f ca="1">INDEX(rngParamTypes,$N294,17)</f>
        <v>1</v>
      </c>
      <c r="Y294">
        <f ca="1">INDEX(rngParamTypes,$N294,18)</f>
        <v>0</v>
      </c>
    </row>
    <row r="295" spans="1:25" x14ac:dyDescent="0.2">
      <c r="A295" s="16">
        <v>294</v>
      </c>
      <c r="B295" s="37">
        <v>1</v>
      </c>
      <c r="C295" s="16" t="s">
        <v>1188</v>
      </c>
      <c r="D295" s="16" t="s">
        <v>1188</v>
      </c>
      <c r="E295" s="16">
        <v>2</v>
      </c>
      <c r="F295" s="16" t="s">
        <v>3492</v>
      </c>
      <c r="G295" s="16" t="s">
        <v>3380</v>
      </c>
      <c r="H295" s="16" t="s">
        <v>1187</v>
      </c>
      <c r="I295" s="16" t="s">
        <v>290</v>
      </c>
      <c r="J295" s="16">
        <v>0</v>
      </c>
      <c r="K295" s="16">
        <v>0.30480000000000002</v>
      </c>
      <c r="L295" s="16">
        <v>1</v>
      </c>
      <c r="M295" s="16">
        <v>0</v>
      </c>
      <c r="N295">
        <f t="array" aca="1" ref="N295" ca="1">MATCH(TRUE,EXACT(I295,OFFSET(rngParamTypes,0,6,,1)),0)</f>
        <v>109</v>
      </c>
      <c r="O295" t="str">
        <f ca="1">IF((INDEX(rngParamTypes,$N295,7)=I295),"",1)</f>
        <v/>
      </c>
      <c r="P295">
        <f ca="1">INDEX(rngParamTypes,$N295,9)</f>
        <v>0</v>
      </c>
      <c r="Q295">
        <f ca="1">INDEX(rngParamTypes,$N295,10)</f>
        <v>1</v>
      </c>
      <c r="R295">
        <f ca="1">INDEX(rngParamTypes,$N295,11)</f>
        <v>0</v>
      </c>
      <c r="S295">
        <f ca="1">INDEX(rngParamTypes,$N295,12)</f>
        <v>0</v>
      </c>
      <c r="T295">
        <f ca="1">INDEX(rngParamTypes,$N295,13)</f>
        <v>0</v>
      </c>
      <c r="U295">
        <f ca="1">INDEX(rngParamTypes,$N295,14)</f>
        <v>0</v>
      </c>
      <c r="V295">
        <f ca="1">INDEX(rngParamTypes,$N295,15)</f>
        <v>0</v>
      </c>
      <c r="W295">
        <f ca="1">INDEX(rngParamTypes,$N295,16)</f>
        <v>0</v>
      </c>
      <c r="X295">
        <f ca="1">INDEX(rngParamTypes,$N295,17)</f>
        <v>0</v>
      </c>
      <c r="Y295">
        <f ca="1">INDEX(rngParamTypes,$N295,18)</f>
        <v>0</v>
      </c>
    </row>
    <row r="296" spans="1:25" x14ac:dyDescent="0.2">
      <c r="A296" s="16">
        <v>295</v>
      </c>
      <c r="B296" s="37">
        <v>1</v>
      </c>
      <c r="C296" s="16" t="s">
        <v>1190</v>
      </c>
      <c r="D296" s="16" t="s">
        <v>1190</v>
      </c>
      <c r="E296" s="16"/>
      <c r="F296" s="16" t="s">
        <v>3493</v>
      </c>
      <c r="G296" s="16" t="s">
        <v>3417</v>
      </c>
      <c r="H296" s="16" t="s">
        <v>1189</v>
      </c>
      <c r="I296" s="16" t="s">
        <v>168</v>
      </c>
      <c r="J296" s="16">
        <v>0</v>
      </c>
      <c r="K296" s="16">
        <v>1.355818</v>
      </c>
      <c r="L296" s="16">
        <v>1</v>
      </c>
      <c r="M296" s="16">
        <v>0</v>
      </c>
      <c r="N296">
        <f t="array" aca="1" ref="N296" ca="1">MATCH(TRUE,EXACT(I296,OFFSET(rngParamTypes,0,6,,1)),0)</f>
        <v>56</v>
      </c>
      <c r="O296" t="str">
        <f ca="1">IF((INDEX(rngParamTypes,$N296,7)=I296),"",1)</f>
        <v/>
      </c>
      <c r="P296">
        <f ca="1">INDEX(rngParamTypes,$N296,9)</f>
        <v>1</v>
      </c>
      <c r="Q296">
        <f ca="1">INDEX(rngParamTypes,$N296,10)</f>
        <v>2</v>
      </c>
      <c r="R296">
        <f ca="1">INDEX(rngParamTypes,$N296,11)</f>
        <v>-2</v>
      </c>
      <c r="S296">
        <f ca="1">INDEX(rngParamTypes,$N296,12)</f>
        <v>0</v>
      </c>
      <c r="T296">
        <f ca="1">INDEX(rngParamTypes,$N296,13)</f>
        <v>0</v>
      </c>
      <c r="U296">
        <f ca="1">INDEX(rngParamTypes,$N296,14)</f>
        <v>0</v>
      </c>
      <c r="V296">
        <f ca="1">INDEX(rngParamTypes,$N296,15)</f>
        <v>0</v>
      </c>
      <c r="W296">
        <f ca="1">INDEX(rngParamTypes,$N296,16)</f>
        <v>0</v>
      </c>
      <c r="X296">
        <f ca="1">INDEX(rngParamTypes,$N296,17)</f>
        <v>0</v>
      </c>
      <c r="Y296">
        <f ca="1">INDEX(rngParamTypes,$N296,18)</f>
        <v>0</v>
      </c>
    </row>
    <row r="297" spans="1:25" x14ac:dyDescent="0.2">
      <c r="A297" s="16">
        <v>296</v>
      </c>
      <c r="B297" s="37">
        <v>1</v>
      </c>
      <c r="C297" s="16" t="s">
        <v>1192</v>
      </c>
      <c r="D297" s="16" t="s">
        <v>1192</v>
      </c>
      <c r="E297" s="16"/>
      <c r="F297" s="16" t="s">
        <v>3494</v>
      </c>
      <c r="G297" s="16" t="s">
        <v>3314</v>
      </c>
      <c r="H297" s="16" t="s">
        <v>1191</v>
      </c>
      <c r="I297" s="16" t="s">
        <v>190</v>
      </c>
      <c r="J297" s="16">
        <v>0</v>
      </c>
      <c r="K297" s="16">
        <v>1.355818</v>
      </c>
      <c r="L297" s="16">
        <v>0.1589873</v>
      </c>
      <c r="M297" s="16">
        <v>0</v>
      </c>
      <c r="N297">
        <f t="array" aca="1" ref="N297" ca="1">MATCH(TRUE,EXACT(I297,OFFSET(rngParamTypes,0,6,,1)),0)</f>
        <v>65</v>
      </c>
      <c r="O297" t="str">
        <f ca="1">IF((INDEX(rngParamTypes,$N297,7)=I297),"",1)</f>
        <v/>
      </c>
      <c r="P297">
        <f ca="1">INDEX(rngParamTypes,$N297,9)</f>
        <v>1</v>
      </c>
      <c r="Q297">
        <f ca="1">INDEX(rngParamTypes,$N297,10)</f>
        <v>-1</v>
      </c>
      <c r="R297">
        <f ca="1">INDEX(rngParamTypes,$N297,11)</f>
        <v>-2</v>
      </c>
      <c r="S297">
        <f ca="1">INDEX(rngParamTypes,$N297,12)</f>
        <v>0</v>
      </c>
      <c r="T297">
        <f ca="1">INDEX(rngParamTypes,$N297,13)</f>
        <v>0</v>
      </c>
      <c r="U297">
        <f ca="1">INDEX(rngParamTypes,$N297,14)</f>
        <v>0</v>
      </c>
      <c r="V297">
        <f ca="1">INDEX(rngParamTypes,$N297,15)</f>
        <v>0</v>
      </c>
      <c r="W297">
        <f ca="1">INDEX(rngParamTypes,$N297,16)</f>
        <v>0</v>
      </c>
      <c r="X297">
        <f ca="1">INDEX(rngParamTypes,$N297,17)</f>
        <v>0</v>
      </c>
      <c r="Y297">
        <f ca="1">INDEX(rngParamTypes,$N297,18)</f>
        <v>0</v>
      </c>
    </row>
    <row r="298" spans="1:25" x14ac:dyDescent="0.2">
      <c r="A298" s="16">
        <v>297</v>
      </c>
      <c r="B298" s="37">
        <v>1</v>
      </c>
      <c r="C298" s="16" t="s">
        <v>1194</v>
      </c>
      <c r="D298" s="16" t="s">
        <v>1194</v>
      </c>
      <c r="E298" s="16"/>
      <c r="F298" s="16" t="s">
        <v>3495</v>
      </c>
      <c r="G298" s="16" t="s">
        <v>3314</v>
      </c>
      <c r="H298" s="16" t="s">
        <v>1193</v>
      </c>
      <c r="I298" s="16" t="s">
        <v>190</v>
      </c>
      <c r="J298" s="16">
        <v>0</v>
      </c>
      <c r="K298" s="16">
        <v>358.16919999999999</v>
      </c>
      <c r="L298" s="16">
        <v>1</v>
      </c>
      <c r="M298" s="16">
        <v>0</v>
      </c>
      <c r="N298">
        <f t="array" aca="1" ref="N298" ca="1">MATCH(TRUE,EXACT(I298,OFFSET(rngParamTypes,0,6,,1)),0)</f>
        <v>65</v>
      </c>
      <c r="O298" t="str">
        <f ca="1">IF((INDEX(rngParamTypes,$N298,7)=I298),"",1)</f>
        <v/>
      </c>
      <c r="P298">
        <f ca="1">INDEX(rngParamTypes,$N298,9)</f>
        <v>1</v>
      </c>
      <c r="Q298">
        <f ca="1">INDEX(rngParamTypes,$N298,10)</f>
        <v>-1</v>
      </c>
      <c r="R298">
        <f ca="1">INDEX(rngParamTypes,$N298,11)</f>
        <v>-2</v>
      </c>
      <c r="S298">
        <f ca="1">INDEX(rngParamTypes,$N298,12)</f>
        <v>0</v>
      </c>
      <c r="T298">
        <f ca="1">INDEX(rngParamTypes,$N298,13)</f>
        <v>0</v>
      </c>
      <c r="U298">
        <f ca="1">INDEX(rngParamTypes,$N298,14)</f>
        <v>0</v>
      </c>
      <c r="V298">
        <f ca="1">INDEX(rngParamTypes,$N298,15)</f>
        <v>0</v>
      </c>
      <c r="W298">
        <f ca="1">INDEX(rngParamTypes,$N298,16)</f>
        <v>0</v>
      </c>
      <c r="X298">
        <f ca="1">INDEX(rngParamTypes,$N298,17)</f>
        <v>0</v>
      </c>
      <c r="Y298">
        <f ca="1">INDEX(rngParamTypes,$N298,18)</f>
        <v>0</v>
      </c>
    </row>
    <row r="299" spans="1:25" x14ac:dyDescent="0.2">
      <c r="A299" s="16">
        <v>298</v>
      </c>
      <c r="B299" s="37">
        <v>1</v>
      </c>
      <c r="C299" s="16" t="s">
        <v>1196</v>
      </c>
      <c r="D299" s="16" t="s">
        <v>1196</v>
      </c>
      <c r="E299" s="16">
        <v>2</v>
      </c>
      <c r="F299" s="16" t="s">
        <v>3496</v>
      </c>
      <c r="G299" s="16" t="s">
        <v>174</v>
      </c>
      <c r="H299" s="16" t="s">
        <v>1195</v>
      </c>
      <c r="I299" s="16" t="s">
        <v>175</v>
      </c>
      <c r="J299" s="16">
        <v>0</v>
      </c>
      <c r="K299" s="16">
        <v>1.355818</v>
      </c>
      <c r="L299" s="16">
        <v>0.45359240000000001</v>
      </c>
      <c r="M299" s="16">
        <v>0</v>
      </c>
      <c r="N299">
        <f t="array" aca="1" ref="N299" ca="1">MATCH(TRUE,EXACT(I299,OFFSET(rngParamTypes,0,6,,1)),0)</f>
        <v>62</v>
      </c>
      <c r="O299" t="str">
        <f ca="1">IF((INDEX(rngParamTypes,$N299,7)=I299),"",1)</f>
        <v/>
      </c>
      <c r="P299">
        <f ca="1">INDEX(rngParamTypes,$N299,9)</f>
        <v>0</v>
      </c>
      <c r="Q299">
        <f ca="1">INDEX(rngParamTypes,$N299,10)</f>
        <v>2</v>
      </c>
      <c r="R299">
        <f ca="1">INDEX(rngParamTypes,$N299,11)</f>
        <v>-2</v>
      </c>
      <c r="S299">
        <f ca="1">INDEX(rngParamTypes,$N299,12)</f>
        <v>0</v>
      </c>
      <c r="T299">
        <f ca="1">INDEX(rngParamTypes,$N299,13)</f>
        <v>0</v>
      </c>
      <c r="U299">
        <f ca="1">INDEX(rngParamTypes,$N299,14)</f>
        <v>0</v>
      </c>
      <c r="V299">
        <f ca="1">INDEX(rngParamTypes,$N299,15)</f>
        <v>0</v>
      </c>
      <c r="W299">
        <f ca="1">INDEX(rngParamTypes,$N299,16)</f>
        <v>0</v>
      </c>
      <c r="X299">
        <f ca="1">INDEX(rngParamTypes,$N299,17)</f>
        <v>0</v>
      </c>
      <c r="Y299">
        <f ca="1">INDEX(rngParamTypes,$N299,18)</f>
        <v>0</v>
      </c>
    </row>
    <row r="300" spans="1:25" x14ac:dyDescent="0.2">
      <c r="A300" s="16">
        <v>299</v>
      </c>
      <c r="B300" s="37">
        <v>1</v>
      </c>
      <c r="C300" s="16" t="s">
        <v>1198</v>
      </c>
      <c r="D300" s="16" t="s">
        <v>1198</v>
      </c>
      <c r="E300" s="16">
        <v>2</v>
      </c>
      <c r="F300" s="16" t="s">
        <v>3497</v>
      </c>
      <c r="G300" s="16" t="s">
        <v>532</v>
      </c>
      <c r="H300" s="16" t="s">
        <v>1197</v>
      </c>
      <c r="I300" s="16" t="s">
        <v>533</v>
      </c>
      <c r="J300" s="16">
        <v>0</v>
      </c>
      <c r="K300" s="16">
        <v>2.2596970000000001E-2</v>
      </c>
      <c r="L300" s="16">
        <v>1</v>
      </c>
      <c r="M300" s="16">
        <v>0</v>
      </c>
      <c r="N300">
        <f t="array" aca="1" ref="N300" ca="1">MATCH(TRUE,EXACT(I300,OFFSET(rngParamTypes,0,6,,1)),0)</f>
        <v>211</v>
      </c>
      <c r="O300" t="str">
        <f ca="1">IF((INDEX(rngParamTypes,$N300,7)=I300),"",1)</f>
        <v/>
      </c>
      <c r="P300">
        <f ca="1">INDEX(rngParamTypes,$N300,9)</f>
        <v>1</v>
      </c>
      <c r="Q300">
        <f ca="1">INDEX(rngParamTypes,$N300,10)</f>
        <v>2</v>
      </c>
      <c r="R300">
        <f ca="1">INDEX(rngParamTypes,$N300,11)</f>
        <v>-3</v>
      </c>
      <c r="S300">
        <f ca="1">INDEX(rngParamTypes,$N300,12)</f>
        <v>0</v>
      </c>
      <c r="T300">
        <f ca="1">INDEX(rngParamTypes,$N300,13)</f>
        <v>0</v>
      </c>
      <c r="U300">
        <f ca="1">INDEX(rngParamTypes,$N300,14)</f>
        <v>0</v>
      </c>
      <c r="V300">
        <f ca="1">INDEX(rngParamTypes,$N300,15)</f>
        <v>0</v>
      </c>
      <c r="W300">
        <f ca="1">INDEX(rngParamTypes,$N300,16)</f>
        <v>0</v>
      </c>
      <c r="X300">
        <f ca="1">INDEX(rngParamTypes,$N300,17)</f>
        <v>0</v>
      </c>
      <c r="Y300">
        <f ca="1">INDEX(rngParamTypes,$N300,18)</f>
        <v>0</v>
      </c>
    </row>
    <row r="301" spans="1:25" x14ac:dyDescent="0.2">
      <c r="A301" s="16">
        <v>300</v>
      </c>
      <c r="B301" s="37">
        <v>1</v>
      </c>
      <c r="C301" s="16" t="s">
        <v>1200</v>
      </c>
      <c r="D301" s="16" t="s">
        <v>1200</v>
      </c>
      <c r="E301" s="16">
        <v>2</v>
      </c>
      <c r="F301" s="16" t="s">
        <v>3498</v>
      </c>
      <c r="G301" s="16" t="s">
        <v>532</v>
      </c>
      <c r="H301" s="16" t="s">
        <v>1199</v>
      </c>
      <c r="I301" s="16" t="s">
        <v>533</v>
      </c>
      <c r="J301" s="16">
        <v>0</v>
      </c>
      <c r="K301" s="16">
        <v>1.355818</v>
      </c>
      <c r="L301" s="16">
        <v>1</v>
      </c>
      <c r="M301" s="16">
        <v>0</v>
      </c>
      <c r="N301">
        <f t="array" aca="1" ref="N301" ca="1">MATCH(TRUE,EXACT(I301,OFFSET(rngParamTypes,0,6,,1)),0)</f>
        <v>211</v>
      </c>
      <c r="O301" t="str">
        <f ca="1">IF((INDEX(rngParamTypes,$N301,7)=I301),"",1)</f>
        <v/>
      </c>
      <c r="P301">
        <f ca="1">INDEX(rngParamTypes,$N301,9)</f>
        <v>1</v>
      </c>
      <c r="Q301">
        <f ca="1">INDEX(rngParamTypes,$N301,10)</f>
        <v>2</v>
      </c>
      <c r="R301">
        <f ca="1">INDEX(rngParamTypes,$N301,11)</f>
        <v>-3</v>
      </c>
      <c r="S301">
        <f ca="1">INDEX(rngParamTypes,$N301,12)</f>
        <v>0</v>
      </c>
      <c r="T301">
        <f ca="1">INDEX(rngParamTypes,$N301,13)</f>
        <v>0</v>
      </c>
      <c r="U301">
        <f ca="1">INDEX(rngParamTypes,$N301,14)</f>
        <v>0</v>
      </c>
      <c r="V301">
        <f ca="1">INDEX(rngParamTypes,$N301,15)</f>
        <v>0</v>
      </c>
      <c r="W301">
        <f ca="1">INDEX(rngParamTypes,$N301,16)</f>
        <v>0</v>
      </c>
      <c r="X301">
        <f ca="1">INDEX(rngParamTypes,$N301,17)</f>
        <v>0</v>
      </c>
      <c r="Y301">
        <f ca="1">INDEX(rngParamTypes,$N301,18)</f>
        <v>0</v>
      </c>
    </row>
    <row r="302" spans="1:25" x14ac:dyDescent="0.2">
      <c r="A302" s="16">
        <v>301</v>
      </c>
      <c r="B302" s="37">
        <v>1</v>
      </c>
      <c r="C302" s="16" t="s">
        <v>1202</v>
      </c>
      <c r="D302" s="16" t="s">
        <v>1202</v>
      </c>
      <c r="E302" s="16"/>
      <c r="F302" s="16" t="s">
        <v>3499</v>
      </c>
      <c r="G302" s="16" t="s">
        <v>224</v>
      </c>
      <c r="H302" s="16" t="s">
        <v>1201</v>
      </c>
      <c r="I302" s="16" t="s">
        <v>225</v>
      </c>
      <c r="J302" s="16">
        <v>0</v>
      </c>
      <c r="K302" s="16">
        <v>0.13825489999999999</v>
      </c>
      <c r="L302" s="16">
        <v>1</v>
      </c>
      <c r="M302" s="16">
        <v>0</v>
      </c>
      <c r="N302">
        <f t="array" aca="1" ref="N302" ca="1">MATCH(TRUE,EXACT(I302,OFFSET(rngParamTypes,0,6,,1)),0)</f>
        <v>88</v>
      </c>
      <c r="O302" t="str">
        <f ca="1">IF((INDEX(rngParamTypes,$N302,7)=I302),"",1)</f>
        <v/>
      </c>
      <c r="P302">
        <f ca="1">INDEX(rngParamTypes,$N302,9)</f>
        <v>1</v>
      </c>
      <c r="Q302">
        <f ca="1">INDEX(rngParamTypes,$N302,10)</f>
        <v>1</v>
      </c>
      <c r="R302">
        <f ca="1">INDEX(rngParamTypes,$N302,11)</f>
        <v>0</v>
      </c>
      <c r="S302">
        <f ca="1">INDEX(rngParamTypes,$N302,12)</f>
        <v>0</v>
      </c>
      <c r="T302">
        <f ca="1">INDEX(rngParamTypes,$N302,13)</f>
        <v>0</v>
      </c>
      <c r="U302">
        <f ca="1">INDEX(rngParamTypes,$N302,14)</f>
        <v>0</v>
      </c>
      <c r="V302">
        <f ca="1">INDEX(rngParamTypes,$N302,15)</f>
        <v>0</v>
      </c>
      <c r="W302">
        <f ca="1">INDEX(rngParamTypes,$N302,16)</f>
        <v>0</v>
      </c>
      <c r="X302">
        <f ca="1">INDEX(rngParamTypes,$N302,17)</f>
        <v>0</v>
      </c>
      <c r="Y302">
        <f ca="1">INDEX(rngParamTypes,$N302,18)</f>
        <v>0</v>
      </c>
    </row>
    <row r="303" spans="1:25" x14ac:dyDescent="0.2">
      <c r="A303" s="16">
        <v>302</v>
      </c>
      <c r="B303" s="37">
        <v>1</v>
      </c>
      <c r="C303" s="16" t="s">
        <v>1206</v>
      </c>
      <c r="D303" s="16" t="s">
        <v>1206</v>
      </c>
      <c r="E303" s="16"/>
      <c r="F303" s="16" t="s">
        <v>4280</v>
      </c>
      <c r="G303" s="16" t="s">
        <v>3500</v>
      </c>
      <c r="H303" s="16" t="s">
        <v>1203</v>
      </c>
      <c r="I303" s="16" t="s">
        <v>131</v>
      </c>
      <c r="J303" s="16">
        <v>0</v>
      </c>
      <c r="K303" s="16">
        <v>0.01</v>
      </c>
      <c r="L303" s="16">
        <v>1</v>
      </c>
      <c r="M303" s="16">
        <v>0</v>
      </c>
      <c r="N303">
        <f t="array" aca="1" ref="N303" ca="1">MATCH(TRUE,EXACT(I303,OFFSET(rngParamTypes,0,6,,1)),0)</f>
        <v>42</v>
      </c>
      <c r="O303" t="str">
        <f ca="1">IF((INDEX(rngParamTypes,$N303,7)=I303),"",1)</f>
        <v/>
      </c>
      <c r="P303">
        <f ca="1">INDEX(rngParamTypes,$N303,9)</f>
        <v>0</v>
      </c>
      <c r="Q303">
        <f ca="1">INDEX(rngParamTypes,$N303,10)</f>
        <v>0</v>
      </c>
      <c r="R303">
        <f ca="1">INDEX(rngParamTypes,$N303,11)</f>
        <v>0</v>
      </c>
      <c r="S303">
        <f ca="1">INDEX(rngParamTypes,$N303,12)</f>
        <v>0</v>
      </c>
      <c r="T303">
        <f ca="1">INDEX(rngParamTypes,$N303,13)</f>
        <v>0</v>
      </c>
      <c r="U303">
        <f ca="1">INDEX(rngParamTypes,$N303,14)</f>
        <v>0</v>
      </c>
      <c r="V303">
        <f ca="1">INDEX(rngParamTypes,$N303,15)</f>
        <v>0</v>
      </c>
      <c r="W303">
        <f ca="1">INDEX(rngParamTypes,$N303,16)</f>
        <v>0</v>
      </c>
      <c r="X303">
        <f ca="1">INDEX(rngParamTypes,$N303,17)</f>
        <v>0</v>
      </c>
      <c r="Y303">
        <f ca="1">INDEX(rngParamTypes,$N303,18)</f>
        <v>0</v>
      </c>
    </row>
    <row r="304" spans="1:25" x14ac:dyDescent="0.2">
      <c r="A304" s="16">
        <v>303</v>
      </c>
      <c r="B304" s="37">
        <v>1</v>
      </c>
      <c r="C304" s="16" t="s">
        <v>1209</v>
      </c>
      <c r="D304" s="16" t="s">
        <v>1209</v>
      </c>
      <c r="E304" s="16"/>
      <c r="F304" s="16" t="s">
        <v>3501</v>
      </c>
      <c r="G304" s="16" t="s">
        <v>1208</v>
      </c>
      <c r="H304" s="16" t="s">
        <v>1207</v>
      </c>
      <c r="I304" s="16" t="s">
        <v>23</v>
      </c>
      <c r="J304" s="16">
        <v>0</v>
      </c>
      <c r="K304" s="16">
        <v>1.9171339999999999</v>
      </c>
      <c r="L304" s="16">
        <v>1</v>
      </c>
      <c r="M304" s="16">
        <v>0</v>
      </c>
      <c r="N304">
        <f t="array" aca="1" ref="N304" ca="1">MATCH(TRUE,EXACT(I304,OFFSET(rngParamTypes,0,6,,1)),0)</f>
        <v>7</v>
      </c>
      <c r="O304" t="str">
        <f ca="1">IF((INDEX(rngParamTypes,$N304,7)=I304),"",1)</f>
        <v/>
      </c>
      <c r="P304">
        <f ca="1">INDEX(rngParamTypes,$N304,9)</f>
        <v>0</v>
      </c>
      <c r="Q304">
        <f ca="1">INDEX(rngParamTypes,$N304,10)</f>
        <v>-2</v>
      </c>
      <c r="R304">
        <f ca="1">INDEX(rngParamTypes,$N304,11)</f>
        <v>0</v>
      </c>
      <c r="S304">
        <f ca="1">INDEX(rngParamTypes,$N304,12)</f>
        <v>0</v>
      </c>
      <c r="T304">
        <f ca="1">INDEX(rngParamTypes,$N304,13)</f>
        <v>0</v>
      </c>
      <c r="U304">
        <f ca="1">INDEX(rngParamTypes,$N304,14)</f>
        <v>0</v>
      </c>
      <c r="V304">
        <f ca="1">INDEX(rngParamTypes,$N304,15)</f>
        <v>0</v>
      </c>
      <c r="W304">
        <f ca="1">INDEX(rngParamTypes,$N304,16)</f>
        <v>0</v>
      </c>
      <c r="X304">
        <f ca="1">INDEX(rngParamTypes,$N304,17)</f>
        <v>0</v>
      </c>
      <c r="Y304">
        <f ca="1">INDEX(rngParamTypes,$N304,18)</f>
        <v>0</v>
      </c>
    </row>
    <row r="305" spans="1:25" x14ac:dyDescent="0.2">
      <c r="A305" s="16">
        <v>304</v>
      </c>
      <c r="B305" s="37">
        <v>1</v>
      </c>
      <c r="C305" s="16" t="s">
        <v>1211</v>
      </c>
      <c r="D305" s="16" t="s">
        <v>1211</v>
      </c>
      <c r="E305" s="16">
        <v>2</v>
      </c>
      <c r="F305" s="16" t="s">
        <v>3502</v>
      </c>
      <c r="G305" s="16" t="s">
        <v>296</v>
      </c>
      <c r="H305" s="16" t="s">
        <v>1210</v>
      </c>
      <c r="I305" s="16" t="s">
        <v>297</v>
      </c>
      <c r="J305" s="16">
        <v>0</v>
      </c>
      <c r="K305" s="16">
        <v>0.30480000000000002</v>
      </c>
      <c r="L305" s="16">
        <v>86400</v>
      </c>
      <c r="M305" s="16">
        <v>0</v>
      </c>
      <c r="N305">
        <f t="array" aca="1" ref="N305" ca="1">MATCH(TRUE,EXACT(I305,OFFSET(rngParamTypes,0,6,,1)),0)</f>
        <v>123</v>
      </c>
      <c r="O305" t="str">
        <f ca="1">IF((INDEX(rngParamTypes,$N305,7)=I305),"",1)</f>
        <v/>
      </c>
      <c r="P305">
        <f ca="1">INDEX(rngParamTypes,$N305,9)</f>
        <v>0</v>
      </c>
      <c r="Q305">
        <f ca="1">INDEX(rngParamTypes,$N305,10)</f>
        <v>1</v>
      </c>
      <c r="R305">
        <f ca="1">INDEX(rngParamTypes,$N305,11)</f>
        <v>-1</v>
      </c>
      <c r="S305">
        <f ca="1">INDEX(rngParamTypes,$N305,12)</f>
        <v>0</v>
      </c>
      <c r="T305">
        <f ca="1">INDEX(rngParamTypes,$N305,13)</f>
        <v>0</v>
      </c>
      <c r="U305">
        <f ca="1">INDEX(rngParamTypes,$N305,14)</f>
        <v>0</v>
      </c>
      <c r="V305">
        <f ca="1">INDEX(rngParamTypes,$N305,15)</f>
        <v>0</v>
      </c>
      <c r="W305">
        <f ca="1">INDEX(rngParamTypes,$N305,16)</f>
        <v>0</v>
      </c>
      <c r="X305">
        <f ca="1">INDEX(rngParamTypes,$N305,17)</f>
        <v>0</v>
      </c>
      <c r="Y305">
        <f ca="1">INDEX(rngParamTypes,$N305,18)</f>
        <v>0</v>
      </c>
    </row>
    <row r="306" spans="1:25" x14ac:dyDescent="0.2">
      <c r="A306" s="16">
        <v>305</v>
      </c>
      <c r="B306" s="37">
        <v>1</v>
      </c>
      <c r="C306" s="16" t="s">
        <v>1213</v>
      </c>
      <c r="D306" s="16" t="s">
        <v>1213</v>
      </c>
      <c r="E306" s="16"/>
      <c r="F306" s="16" t="s">
        <v>3503</v>
      </c>
      <c r="G306" s="16" t="s">
        <v>293</v>
      </c>
      <c r="H306" s="16" t="s">
        <v>1212</v>
      </c>
      <c r="I306" s="16" t="s">
        <v>294</v>
      </c>
      <c r="J306" s="16">
        <v>0</v>
      </c>
      <c r="K306" s="16">
        <v>0.54864000000000002</v>
      </c>
      <c r="L306" s="16">
        <v>1</v>
      </c>
      <c r="M306" s="16">
        <v>0</v>
      </c>
      <c r="N306">
        <f t="array" aca="1" ref="N306" ca="1">MATCH(TRUE,EXACT(I306,OFFSET(rngParamTypes,0,6,,1)),0)</f>
        <v>122</v>
      </c>
      <c r="O306" t="str">
        <f ca="1">IF((INDEX(rngParamTypes,$N306,7)=I306),"",1)</f>
        <v/>
      </c>
      <c r="P306">
        <f ca="1">INDEX(rngParamTypes,$N306,9)</f>
        <v>0</v>
      </c>
      <c r="Q306">
        <f ca="1">INDEX(rngParamTypes,$N306,10)</f>
        <v>1</v>
      </c>
      <c r="R306">
        <f ca="1">INDEX(rngParamTypes,$N306,11)</f>
        <v>0</v>
      </c>
      <c r="S306">
        <f ca="1">INDEX(rngParamTypes,$N306,12)</f>
        <v>0</v>
      </c>
      <c r="T306">
        <f ca="1">INDEX(rngParamTypes,$N306,13)</f>
        <v>-1</v>
      </c>
      <c r="U306">
        <f ca="1">INDEX(rngParamTypes,$N306,14)</f>
        <v>0</v>
      </c>
      <c r="V306">
        <f ca="1">INDEX(rngParamTypes,$N306,15)</f>
        <v>0</v>
      </c>
      <c r="W306">
        <f ca="1">INDEX(rngParamTypes,$N306,16)</f>
        <v>0</v>
      </c>
      <c r="X306">
        <f ca="1">INDEX(rngParamTypes,$N306,17)</f>
        <v>0</v>
      </c>
      <c r="Y306">
        <f ca="1">INDEX(rngParamTypes,$N306,18)</f>
        <v>0</v>
      </c>
    </row>
    <row r="307" spans="1:25" x14ac:dyDescent="0.2">
      <c r="A307" s="16">
        <v>306</v>
      </c>
      <c r="B307" s="37">
        <v>1</v>
      </c>
      <c r="C307" s="16" t="s">
        <v>1215</v>
      </c>
      <c r="D307" s="16" t="s">
        <v>1215</v>
      </c>
      <c r="E307" s="16"/>
      <c r="F307" s="16" t="s">
        <v>3504</v>
      </c>
      <c r="G307" s="16" t="s">
        <v>3500</v>
      </c>
      <c r="H307" s="16" t="s">
        <v>1214</v>
      </c>
      <c r="I307" s="16" t="s">
        <v>131</v>
      </c>
      <c r="J307" s="16">
        <v>0</v>
      </c>
      <c r="K307" s="16">
        <v>1</v>
      </c>
      <c r="L307" s="16">
        <v>1</v>
      </c>
      <c r="M307" s="16">
        <v>0</v>
      </c>
      <c r="N307">
        <f t="array" aca="1" ref="N307" ca="1">MATCH(TRUE,EXACT(I307,OFFSET(rngParamTypes,0,6,,1)),0)</f>
        <v>42</v>
      </c>
      <c r="O307" t="str">
        <f ca="1">IF((INDEX(rngParamTypes,$N307,7)=I307),"",1)</f>
        <v/>
      </c>
      <c r="P307">
        <f ca="1">INDEX(rngParamTypes,$N307,9)</f>
        <v>0</v>
      </c>
      <c r="Q307">
        <f ca="1">INDEX(rngParamTypes,$N307,10)</f>
        <v>0</v>
      </c>
      <c r="R307">
        <f ca="1">INDEX(rngParamTypes,$N307,11)</f>
        <v>0</v>
      </c>
      <c r="S307">
        <f ca="1">INDEX(rngParamTypes,$N307,12)</f>
        <v>0</v>
      </c>
      <c r="T307">
        <f ca="1">INDEX(rngParamTypes,$N307,13)</f>
        <v>0</v>
      </c>
      <c r="U307">
        <f ca="1">INDEX(rngParamTypes,$N307,14)</f>
        <v>0</v>
      </c>
      <c r="V307">
        <f ca="1">INDEX(rngParamTypes,$N307,15)</f>
        <v>0</v>
      </c>
      <c r="W307">
        <f ca="1">INDEX(rngParamTypes,$N307,16)</f>
        <v>0</v>
      </c>
      <c r="X307">
        <f ca="1">INDEX(rngParamTypes,$N307,17)</f>
        <v>0</v>
      </c>
      <c r="Y307">
        <f ca="1">INDEX(rngParamTypes,$N307,18)</f>
        <v>0</v>
      </c>
    </row>
    <row r="308" spans="1:25" x14ac:dyDescent="0.2">
      <c r="A308" s="16">
        <v>307</v>
      </c>
      <c r="B308" s="37">
        <v>1</v>
      </c>
      <c r="C308" s="16" t="s">
        <v>1217</v>
      </c>
      <c r="D308" s="16" t="s">
        <v>1217</v>
      </c>
      <c r="E308" s="16"/>
      <c r="F308" s="16" t="s">
        <v>3505</v>
      </c>
      <c r="G308" s="16" t="s">
        <v>1208</v>
      </c>
      <c r="H308" s="16" t="s">
        <v>1216</v>
      </c>
      <c r="I308" s="16" t="s">
        <v>23</v>
      </c>
      <c r="J308" s="16">
        <v>0</v>
      </c>
      <c r="K308" s="16">
        <v>10.763909999999999</v>
      </c>
      <c r="L308" s="16">
        <v>1</v>
      </c>
      <c r="M308" s="16">
        <v>0</v>
      </c>
      <c r="N308">
        <f t="array" aca="1" ref="N308" ca="1">MATCH(TRUE,EXACT(I308,OFFSET(rngParamTypes,0,6,,1)),0)</f>
        <v>7</v>
      </c>
      <c r="O308" t="str">
        <f ca="1">IF((INDEX(rngParamTypes,$N308,7)=I308),"",1)</f>
        <v/>
      </c>
      <c r="P308">
        <f ca="1">INDEX(rngParamTypes,$N308,9)</f>
        <v>0</v>
      </c>
      <c r="Q308">
        <f ca="1">INDEX(rngParamTypes,$N308,10)</f>
        <v>-2</v>
      </c>
      <c r="R308">
        <f ca="1">INDEX(rngParamTypes,$N308,11)</f>
        <v>0</v>
      </c>
      <c r="S308">
        <f ca="1">INDEX(rngParamTypes,$N308,12)</f>
        <v>0</v>
      </c>
      <c r="T308">
        <f ca="1">INDEX(rngParamTypes,$N308,13)</f>
        <v>0</v>
      </c>
      <c r="U308">
        <f ca="1">INDEX(rngParamTypes,$N308,14)</f>
        <v>0</v>
      </c>
      <c r="V308">
        <f ca="1">INDEX(rngParamTypes,$N308,15)</f>
        <v>0</v>
      </c>
      <c r="W308">
        <f ca="1">INDEX(rngParamTypes,$N308,16)</f>
        <v>0</v>
      </c>
      <c r="X308">
        <f ca="1">INDEX(rngParamTypes,$N308,17)</f>
        <v>0</v>
      </c>
      <c r="Y308">
        <f ca="1">INDEX(rngParamTypes,$N308,18)</f>
        <v>0</v>
      </c>
    </row>
    <row r="309" spans="1:25" x14ac:dyDescent="0.2">
      <c r="A309" s="16">
        <v>308</v>
      </c>
      <c r="B309" s="37">
        <v>1</v>
      </c>
      <c r="C309" s="16" t="s">
        <v>1219</v>
      </c>
      <c r="D309" s="16" t="s">
        <v>1219</v>
      </c>
      <c r="E309" s="16"/>
      <c r="F309" s="16" t="s">
        <v>3506</v>
      </c>
      <c r="G309" s="16" t="s">
        <v>1208</v>
      </c>
      <c r="H309" s="16" t="s">
        <v>1218</v>
      </c>
      <c r="I309" s="16" t="s">
        <v>23</v>
      </c>
      <c r="J309" s="16">
        <v>0</v>
      </c>
      <c r="K309" s="16">
        <v>80.519639999999995</v>
      </c>
      <c r="L309" s="16">
        <v>1</v>
      </c>
      <c r="M309" s="16">
        <v>0</v>
      </c>
      <c r="N309">
        <f t="array" aca="1" ref="N309" ca="1">MATCH(TRUE,EXACT(I309,OFFSET(rngParamTypes,0,6,,1)),0)</f>
        <v>7</v>
      </c>
      <c r="O309" t="str">
        <f ca="1">IF((INDEX(rngParamTypes,$N309,7)=I309),"",1)</f>
        <v/>
      </c>
      <c r="P309">
        <f ca="1">INDEX(rngParamTypes,$N309,9)</f>
        <v>0</v>
      </c>
      <c r="Q309">
        <f ca="1">INDEX(rngParamTypes,$N309,10)</f>
        <v>-2</v>
      </c>
      <c r="R309">
        <f ca="1">INDEX(rngParamTypes,$N309,11)</f>
        <v>0</v>
      </c>
      <c r="S309">
        <f ca="1">INDEX(rngParamTypes,$N309,12)</f>
        <v>0</v>
      </c>
      <c r="T309">
        <f ca="1">INDEX(rngParamTypes,$N309,13)</f>
        <v>0</v>
      </c>
      <c r="U309">
        <f ca="1">INDEX(rngParamTypes,$N309,14)</f>
        <v>0</v>
      </c>
      <c r="V309">
        <f ca="1">INDEX(rngParamTypes,$N309,15)</f>
        <v>0</v>
      </c>
      <c r="W309">
        <f ca="1">INDEX(rngParamTypes,$N309,16)</f>
        <v>0</v>
      </c>
      <c r="X309">
        <f ca="1">INDEX(rngParamTypes,$N309,17)</f>
        <v>0</v>
      </c>
      <c r="Y309">
        <f ca="1">INDEX(rngParamTypes,$N309,18)</f>
        <v>0</v>
      </c>
    </row>
    <row r="310" spans="1:25" x14ac:dyDescent="0.2">
      <c r="A310" s="16">
        <v>309</v>
      </c>
      <c r="B310" s="37">
        <v>1</v>
      </c>
      <c r="C310" s="16" t="s">
        <v>1221</v>
      </c>
      <c r="D310" s="16" t="s">
        <v>1221</v>
      </c>
      <c r="E310" s="16">
        <v>2</v>
      </c>
      <c r="F310" s="16" t="s">
        <v>3507</v>
      </c>
      <c r="G310" s="16" t="s">
        <v>296</v>
      </c>
      <c r="H310" s="16" t="s">
        <v>1220</v>
      </c>
      <c r="I310" s="16" t="s">
        <v>297</v>
      </c>
      <c r="J310" s="16">
        <v>0</v>
      </c>
      <c r="K310" s="16">
        <v>0.30480000000000002</v>
      </c>
      <c r="L310" s="16">
        <v>3600</v>
      </c>
      <c r="M310" s="16">
        <v>0</v>
      </c>
      <c r="N310">
        <f t="array" aca="1" ref="N310" ca="1">MATCH(TRUE,EXACT(I310,OFFSET(rngParamTypes,0,6,,1)),0)</f>
        <v>123</v>
      </c>
      <c r="O310" t="str">
        <f ca="1">IF((INDEX(rngParamTypes,$N310,7)=I310),"",1)</f>
        <v/>
      </c>
      <c r="P310">
        <f ca="1">INDEX(rngParamTypes,$N310,9)</f>
        <v>0</v>
      </c>
      <c r="Q310">
        <f ca="1">INDEX(rngParamTypes,$N310,10)</f>
        <v>1</v>
      </c>
      <c r="R310">
        <f ca="1">INDEX(rngParamTypes,$N310,11)</f>
        <v>-1</v>
      </c>
      <c r="S310">
        <f ca="1">INDEX(rngParamTypes,$N310,12)</f>
        <v>0</v>
      </c>
      <c r="T310">
        <f ca="1">INDEX(rngParamTypes,$N310,13)</f>
        <v>0</v>
      </c>
      <c r="U310">
        <f ca="1">INDEX(rngParamTypes,$N310,14)</f>
        <v>0</v>
      </c>
      <c r="V310">
        <f ca="1">INDEX(rngParamTypes,$N310,15)</f>
        <v>0</v>
      </c>
      <c r="W310">
        <f ca="1">INDEX(rngParamTypes,$N310,16)</f>
        <v>0</v>
      </c>
      <c r="X310">
        <f ca="1">INDEX(rngParamTypes,$N310,17)</f>
        <v>0</v>
      </c>
      <c r="Y310">
        <f ca="1">INDEX(rngParamTypes,$N310,18)</f>
        <v>0</v>
      </c>
    </row>
    <row r="311" spans="1:25" x14ac:dyDescent="0.2">
      <c r="A311" s="16">
        <v>310</v>
      </c>
      <c r="B311" s="37">
        <v>1</v>
      </c>
      <c r="C311" s="16" t="s">
        <v>1223</v>
      </c>
      <c r="D311" s="16" t="s">
        <v>1223</v>
      </c>
      <c r="E311" s="16"/>
      <c r="F311" s="16" t="s">
        <v>3508</v>
      </c>
      <c r="G311" s="16" t="s">
        <v>3509</v>
      </c>
      <c r="H311" s="16" t="s">
        <v>1222</v>
      </c>
      <c r="I311" s="16" t="s">
        <v>131</v>
      </c>
      <c r="J311" s="16">
        <v>0</v>
      </c>
      <c r="K311" s="16">
        <v>12</v>
      </c>
      <c r="L311" s="16">
        <v>1</v>
      </c>
      <c r="M311" s="16">
        <v>0</v>
      </c>
      <c r="N311">
        <f t="array" aca="1" ref="N311" ca="1">MATCH(TRUE,EXACT(I311,OFFSET(rngParamTypes,0,6,,1)),0)</f>
        <v>42</v>
      </c>
      <c r="O311" t="str">
        <f ca="1">IF((INDEX(rngParamTypes,$N311,7)=I311),"",1)</f>
        <v/>
      </c>
      <c r="P311">
        <f ca="1">INDEX(rngParamTypes,$N311,9)</f>
        <v>0</v>
      </c>
      <c r="Q311">
        <f ca="1">INDEX(rngParamTypes,$N311,10)</f>
        <v>0</v>
      </c>
      <c r="R311">
        <f ca="1">INDEX(rngParamTypes,$N311,11)</f>
        <v>0</v>
      </c>
      <c r="S311">
        <f ca="1">INDEX(rngParamTypes,$N311,12)</f>
        <v>0</v>
      </c>
      <c r="T311">
        <f ca="1">INDEX(rngParamTypes,$N311,13)</f>
        <v>0</v>
      </c>
      <c r="U311">
        <f ca="1">INDEX(rngParamTypes,$N311,14)</f>
        <v>0</v>
      </c>
      <c r="V311">
        <f ca="1">INDEX(rngParamTypes,$N311,15)</f>
        <v>0</v>
      </c>
      <c r="W311">
        <f ca="1">INDEX(rngParamTypes,$N311,16)</f>
        <v>0</v>
      </c>
      <c r="X311">
        <f ca="1">INDEX(rngParamTypes,$N311,17)</f>
        <v>0</v>
      </c>
      <c r="Y311">
        <f ca="1">INDEX(rngParamTypes,$N311,18)</f>
        <v>0</v>
      </c>
    </row>
    <row r="312" spans="1:25" x14ac:dyDescent="0.2">
      <c r="A312" s="16">
        <v>311</v>
      </c>
      <c r="B312" s="37">
        <v>1</v>
      </c>
      <c r="C312" s="16" t="s">
        <v>1225</v>
      </c>
      <c r="D312" s="16" t="s">
        <v>1225</v>
      </c>
      <c r="E312" s="16"/>
      <c r="F312" s="16" t="s">
        <v>3510</v>
      </c>
      <c r="G312" s="16" t="s">
        <v>3500</v>
      </c>
      <c r="H312" s="16" t="s">
        <v>1224</v>
      </c>
      <c r="I312" s="16" t="s">
        <v>131</v>
      </c>
      <c r="J312" s="16">
        <v>0</v>
      </c>
      <c r="K312" s="16">
        <v>0.30480000000000002</v>
      </c>
      <c r="L312" s="16">
        <v>1</v>
      </c>
      <c r="M312" s="16">
        <v>0</v>
      </c>
      <c r="N312">
        <f t="array" aca="1" ref="N312" ca="1">MATCH(TRUE,EXACT(I312,OFFSET(rngParamTypes,0,6,,1)),0)</f>
        <v>42</v>
      </c>
      <c r="O312" t="str">
        <f ca="1">IF((INDEX(rngParamTypes,$N312,7)=I312),"",1)</f>
        <v/>
      </c>
      <c r="P312">
        <f ca="1">INDEX(rngParamTypes,$N312,9)</f>
        <v>0</v>
      </c>
      <c r="Q312">
        <f ca="1">INDEX(rngParamTypes,$N312,10)</f>
        <v>0</v>
      </c>
      <c r="R312">
        <f ca="1">INDEX(rngParamTypes,$N312,11)</f>
        <v>0</v>
      </c>
      <c r="S312">
        <f ca="1">INDEX(rngParamTypes,$N312,12)</f>
        <v>0</v>
      </c>
      <c r="T312">
        <f ca="1">INDEX(rngParamTypes,$N312,13)</f>
        <v>0</v>
      </c>
      <c r="U312">
        <f ca="1">INDEX(rngParamTypes,$N312,14)</f>
        <v>0</v>
      </c>
      <c r="V312">
        <f ca="1">INDEX(rngParamTypes,$N312,15)</f>
        <v>0</v>
      </c>
      <c r="W312">
        <f ca="1">INDEX(rngParamTypes,$N312,16)</f>
        <v>0</v>
      </c>
      <c r="X312">
        <f ca="1">INDEX(rngParamTypes,$N312,17)</f>
        <v>0</v>
      </c>
      <c r="Y312">
        <f ca="1">INDEX(rngParamTypes,$N312,18)</f>
        <v>0</v>
      </c>
    </row>
    <row r="313" spans="1:25" x14ac:dyDescent="0.2">
      <c r="A313" s="16">
        <v>312</v>
      </c>
      <c r="B313" s="37">
        <v>1</v>
      </c>
      <c r="C313" s="16" t="s">
        <v>1227</v>
      </c>
      <c r="D313" s="16" t="s">
        <v>1227</v>
      </c>
      <c r="E313" s="16"/>
      <c r="F313" s="16" t="s">
        <v>3511</v>
      </c>
      <c r="G313" s="16" t="s">
        <v>3500</v>
      </c>
      <c r="H313" s="16" t="s">
        <v>1226</v>
      </c>
      <c r="I313" s="16" t="s">
        <v>131</v>
      </c>
      <c r="J313" s="16">
        <v>0</v>
      </c>
      <c r="K313" s="16">
        <v>1</v>
      </c>
      <c r="L313" s="16">
        <v>5280</v>
      </c>
      <c r="M313" s="16">
        <v>0</v>
      </c>
      <c r="N313">
        <f t="array" aca="1" ref="N313" ca="1">MATCH(TRUE,EXACT(I313,OFFSET(rngParamTypes,0,6,,1)),0)</f>
        <v>42</v>
      </c>
      <c r="O313" t="str">
        <f ca="1">IF((INDEX(rngParamTypes,$N313,7)=I313),"",1)</f>
        <v/>
      </c>
      <c r="P313">
        <f ca="1">INDEX(rngParamTypes,$N313,9)</f>
        <v>0</v>
      </c>
      <c r="Q313">
        <f ca="1">INDEX(rngParamTypes,$N313,10)</f>
        <v>0</v>
      </c>
      <c r="R313">
        <f ca="1">INDEX(rngParamTypes,$N313,11)</f>
        <v>0</v>
      </c>
      <c r="S313">
        <f ca="1">INDEX(rngParamTypes,$N313,12)</f>
        <v>0</v>
      </c>
      <c r="T313">
        <f ca="1">INDEX(rngParamTypes,$N313,13)</f>
        <v>0</v>
      </c>
      <c r="U313">
        <f ca="1">INDEX(rngParamTypes,$N313,14)</f>
        <v>0</v>
      </c>
      <c r="V313">
        <f ca="1">INDEX(rngParamTypes,$N313,15)</f>
        <v>0</v>
      </c>
      <c r="W313">
        <f ca="1">INDEX(rngParamTypes,$N313,16)</f>
        <v>0</v>
      </c>
      <c r="X313">
        <f ca="1">INDEX(rngParamTypes,$N313,17)</f>
        <v>0</v>
      </c>
      <c r="Y313">
        <f ca="1">INDEX(rngParamTypes,$N313,18)</f>
        <v>0</v>
      </c>
    </row>
    <row r="314" spans="1:25" x14ac:dyDescent="0.2">
      <c r="A314" s="16">
        <v>313</v>
      </c>
      <c r="B314" s="37">
        <v>1</v>
      </c>
      <c r="C314" s="16" t="s">
        <v>1229</v>
      </c>
      <c r="D314" s="16" t="s">
        <v>1229</v>
      </c>
      <c r="E314" s="16">
        <v>2</v>
      </c>
      <c r="F314" s="16" t="s">
        <v>3512</v>
      </c>
      <c r="G314" s="16" t="s">
        <v>296</v>
      </c>
      <c r="H314" s="16" t="s">
        <v>1228</v>
      </c>
      <c r="I314" s="16" t="s">
        <v>297</v>
      </c>
      <c r="J314" s="16">
        <v>0</v>
      </c>
      <c r="K314" s="16">
        <v>0.30480000000000002</v>
      </c>
      <c r="L314" s="16">
        <v>60</v>
      </c>
      <c r="M314" s="16">
        <v>0</v>
      </c>
      <c r="N314">
        <f t="array" aca="1" ref="N314" ca="1">MATCH(TRUE,EXACT(I314,OFFSET(rngParamTypes,0,6,,1)),0)</f>
        <v>123</v>
      </c>
      <c r="O314" t="str">
        <f ca="1">IF((INDEX(rngParamTypes,$N314,7)=I314),"",1)</f>
        <v/>
      </c>
      <c r="P314">
        <f ca="1">INDEX(rngParamTypes,$N314,9)</f>
        <v>0</v>
      </c>
      <c r="Q314">
        <f ca="1">INDEX(rngParamTypes,$N314,10)</f>
        <v>1</v>
      </c>
      <c r="R314">
        <f ca="1">INDEX(rngParamTypes,$N314,11)</f>
        <v>-1</v>
      </c>
      <c r="S314">
        <f ca="1">INDEX(rngParamTypes,$N314,12)</f>
        <v>0</v>
      </c>
      <c r="T314">
        <f ca="1">INDEX(rngParamTypes,$N314,13)</f>
        <v>0</v>
      </c>
      <c r="U314">
        <f ca="1">INDEX(rngParamTypes,$N314,14)</f>
        <v>0</v>
      </c>
      <c r="V314">
        <f ca="1">INDEX(rngParamTypes,$N314,15)</f>
        <v>0</v>
      </c>
      <c r="W314">
        <f ca="1">INDEX(rngParamTypes,$N314,16)</f>
        <v>0</v>
      </c>
      <c r="X314">
        <f ca="1">INDEX(rngParamTypes,$N314,17)</f>
        <v>0</v>
      </c>
      <c r="Y314">
        <f ca="1">INDEX(rngParamTypes,$N314,18)</f>
        <v>0</v>
      </c>
    </row>
    <row r="315" spans="1:25" x14ac:dyDescent="0.2">
      <c r="A315" s="16">
        <v>314</v>
      </c>
      <c r="B315" s="37">
        <v>1</v>
      </c>
      <c r="C315" s="16" t="s">
        <v>1231</v>
      </c>
      <c r="D315" s="16" t="s">
        <v>1231</v>
      </c>
      <c r="E315" s="16">
        <v>2</v>
      </c>
      <c r="F315" s="16" t="s">
        <v>3513</v>
      </c>
      <c r="G315" s="16" t="s">
        <v>296</v>
      </c>
      <c r="H315" s="16" t="s">
        <v>1230</v>
      </c>
      <c r="I315" s="16" t="s">
        <v>297</v>
      </c>
      <c r="J315" s="16">
        <v>0</v>
      </c>
      <c r="K315" s="16">
        <v>304.8</v>
      </c>
      <c r="L315" s="16">
        <v>1</v>
      </c>
      <c r="M315" s="16">
        <v>0</v>
      </c>
      <c r="N315">
        <f t="array" aca="1" ref="N315" ca="1">MATCH(TRUE,EXACT(I315,OFFSET(rngParamTypes,0,6,,1)),0)</f>
        <v>123</v>
      </c>
      <c r="O315" t="str">
        <f ca="1">IF((INDEX(rngParamTypes,$N315,7)=I315),"",1)</f>
        <v/>
      </c>
      <c r="P315">
        <f ca="1">INDEX(rngParamTypes,$N315,9)</f>
        <v>0</v>
      </c>
      <c r="Q315">
        <f ca="1">INDEX(rngParamTypes,$N315,10)</f>
        <v>1</v>
      </c>
      <c r="R315">
        <f ca="1">INDEX(rngParamTypes,$N315,11)</f>
        <v>-1</v>
      </c>
      <c r="S315">
        <f ca="1">INDEX(rngParamTypes,$N315,12)</f>
        <v>0</v>
      </c>
      <c r="T315">
        <f ca="1">INDEX(rngParamTypes,$N315,13)</f>
        <v>0</v>
      </c>
      <c r="U315">
        <f ca="1">INDEX(rngParamTypes,$N315,14)</f>
        <v>0</v>
      </c>
      <c r="V315">
        <f ca="1">INDEX(rngParamTypes,$N315,15)</f>
        <v>0</v>
      </c>
      <c r="W315">
        <f ca="1">INDEX(rngParamTypes,$N315,16)</f>
        <v>0</v>
      </c>
      <c r="X315">
        <f ca="1">INDEX(rngParamTypes,$N315,17)</f>
        <v>0</v>
      </c>
      <c r="Y315">
        <f ca="1">INDEX(rngParamTypes,$N315,18)</f>
        <v>0</v>
      </c>
    </row>
    <row r="316" spans="1:25" x14ac:dyDescent="0.2">
      <c r="A316" s="16">
        <v>315</v>
      </c>
      <c r="B316" s="37">
        <v>1</v>
      </c>
      <c r="C316" s="16" t="s">
        <v>1233</v>
      </c>
      <c r="D316" s="16" t="s">
        <v>1233</v>
      </c>
      <c r="E316" s="16">
        <v>2</v>
      </c>
      <c r="F316" s="16" t="s">
        <v>3514</v>
      </c>
      <c r="G316" s="16" t="s">
        <v>296</v>
      </c>
      <c r="H316" s="16" t="s">
        <v>1232</v>
      </c>
      <c r="I316" s="16" t="s">
        <v>297</v>
      </c>
      <c r="J316" s="16">
        <v>0</v>
      </c>
      <c r="K316" s="16">
        <v>0.30480000000000002</v>
      </c>
      <c r="L316" s="16">
        <v>1</v>
      </c>
      <c r="M316" s="16">
        <v>0</v>
      </c>
      <c r="N316">
        <f t="array" aca="1" ref="N316" ca="1">MATCH(TRUE,EXACT(I316,OFFSET(rngParamTypes,0,6,,1)),0)</f>
        <v>123</v>
      </c>
      <c r="O316" t="str">
        <f ca="1">IF((INDEX(rngParamTypes,$N316,7)=I316),"",1)</f>
        <v/>
      </c>
      <c r="P316">
        <f ca="1">INDEX(rngParamTypes,$N316,9)</f>
        <v>0</v>
      </c>
      <c r="Q316">
        <f ca="1">INDEX(rngParamTypes,$N316,10)</f>
        <v>1</v>
      </c>
      <c r="R316">
        <f ca="1">INDEX(rngParamTypes,$N316,11)</f>
        <v>-1</v>
      </c>
      <c r="S316">
        <f ca="1">INDEX(rngParamTypes,$N316,12)</f>
        <v>0</v>
      </c>
      <c r="T316">
        <f ca="1">INDEX(rngParamTypes,$N316,13)</f>
        <v>0</v>
      </c>
      <c r="U316">
        <f ca="1">INDEX(rngParamTypes,$N316,14)</f>
        <v>0</v>
      </c>
      <c r="V316">
        <f ca="1">INDEX(rngParamTypes,$N316,15)</f>
        <v>0</v>
      </c>
      <c r="W316">
        <f ca="1">INDEX(rngParamTypes,$N316,16)</f>
        <v>0</v>
      </c>
      <c r="X316">
        <f ca="1">INDEX(rngParamTypes,$N316,17)</f>
        <v>0</v>
      </c>
      <c r="Y316">
        <f ca="1">INDEX(rngParamTypes,$N316,18)</f>
        <v>0</v>
      </c>
    </row>
    <row r="317" spans="1:25" x14ac:dyDescent="0.2">
      <c r="A317" s="16">
        <v>316</v>
      </c>
      <c r="B317" s="37">
        <v>1</v>
      </c>
      <c r="C317" s="16" t="s">
        <v>1235</v>
      </c>
      <c r="D317" s="16" t="s">
        <v>1235</v>
      </c>
      <c r="E317" s="16">
        <v>2</v>
      </c>
      <c r="F317" s="16" t="s">
        <v>3515</v>
      </c>
      <c r="G317" s="16" t="s">
        <v>299</v>
      </c>
      <c r="H317" s="16" t="s">
        <v>1234</v>
      </c>
      <c r="I317" s="16" t="s">
        <v>300</v>
      </c>
      <c r="J317" s="16">
        <v>0</v>
      </c>
      <c r="K317" s="16">
        <v>0.30480000000000002</v>
      </c>
      <c r="L317" s="16">
        <v>1</v>
      </c>
      <c r="M317" s="16">
        <v>0</v>
      </c>
      <c r="N317">
        <f t="array" aca="1" ref="N317" ca="1">MATCH(TRUE,EXACT(I317,OFFSET(rngParamTypes,0,6,,1)),0)</f>
        <v>124</v>
      </c>
      <c r="O317" t="str">
        <f ca="1">IF((INDEX(rngParamTypes,$N317,7)=I317),"",1)</f>
        <v/>
      </c>
      <c r="P317">
        <f ca="1">INDEX(rngParamTypes,$N317,9)</f>
        <v>0</v>
      </c>
      <c r="Q317">
        <f ca="1">INDEX(rngParamTypes,$N317,10)</f>
        <v>1</v>
      </c>
      <c r="R317">
        <f ca="1">INDEX(rngParamTypes,$N317,11)</f>
        <v>-2</v>
      </c>
      <c r="S317">
        <f ca="1">INDEX(rngParamTypes,$N317,12)</f>
        <v>0</v>
      </c>
      <c r="T317">
        <f ca="1">INDEX(rngParamTypes,$N317,13)</f>
        <v>0</v>
      </c>
      <c r="U317">
        <f ca="1">INDEX(rngParamTypes,$N317,14)</f>
        <v>0</v>
      </c>
      <c r="V317">
        <f ca="1">INDEX(rngParamTypes,$N317,15)</f>
        <v>0</v>
      </c>
      <c r="W317">
        <f ca="1">INDEX(rngParamTypes,$N317,16)</f>
        <v>0</v>
      </c>
      <c r="X317">
        <f ca="1">INDEX(rngParamTypes,$N317,17)</f>
        <v>0</v>
      </c>
      <c r="Y317">
        <f ca="1">INDEX(rngParamTypes,$N317,18)</f>
        <v>0</v>
      </c>
    </row>
    <row r="318" spans="1:25" x14ac:dyDescent="0.2">
      <c r="A318" s="16">
        <v>317</v>
      </c>
      <c r="B318" s="37">
        <v>1</v>
      </c>
      <c r="C318" s="16" t="s">
        <v>1237</v>
      </c>
      <c r="D318" s="16" t="s">
        <v>1237</v>
      </c>
      <c r="E318" s="16">
        <v>2</v>
      </c>
      <c r="F318" s="16" t="s">
        <v>3516</v>
      </c>
      <c r="G318" s="16" t="s">
        <v>296</v>
      </c>
      <c r="H318" s="16" t="s">
        <v>1236</v>
      </c>
      <c r="I318" s="16" t="s">
        <v>297</v>
      </c>
      <c r="J318" s="16">
        <v>0</v>
      </c>
      <c r="K318" s="16">
        <v>304800</v>
      </c>
      <c r="L318" s="16">
        <v>1</v>
      </c>
      <c r="M318" s="16">
        <v>0</v>
      </c>
      <c r="N318">
        <f t="array" aca="1" ref="N318" ca="1">MATCH(TRUE,EXACT(I318,OFFSET(rngParamTypes,0,6,,1)),0)</f>
        <v>123</v>
      </c>
      <c r="O318" t="str">
        <f ca="1">IF((INDEX(rngParamTypes,$N318,7)=I318),"",1)</f>
        <v/>
      </c>
      <c r="P318">
        <f ca="1">INDEX(rngParamTypes,$N318,9)</f>
        <v>0</v>
      </c>
      <c r="Q318">
        <f ca="1">INDEX(rngParamTypes,$N318,10)</f>
        <v>1</v>
      </c>
      <c r="R318">
        <f ca="1">INDEX(rngParamTypes,$N318,11)</f>
        <v>-1</v>
      </c>
      <c r="S318">
        <f ca="1">INDEX(rngParamTypes,$N318,12)</f>
        <v>0</v>
      </c>
      <c r="T318">
        <f ca="1">INDEX(rngParamTypes,$N318,13)</f>
        <v>0</v>
      </c>
      <c r="U318">
        <f ca="1">INDEX(rngParamTypes,$N318,14)</f>
        <v>0</v>
      </c>
      <c r="V318">
        <f ca="1">INDEX(rngParamTypes,$N318,15)</f>
        <v>0</v>
      </c>
      <c r="W318">
        <f ca="1">INDEX(rngParamTypes,$N318,16)</f>
        <v>0</v>
      </c>
      <c r="X318">
        <f ca="1">INDEX(rngParamTypes,$N318,17)</f>
        <v>0</v>
      </c>
      <c r="Y318">
        <f ca="1">INDEX(rngParamTypes,$N318,18)</f>
        <v>0</v>
      </c>
    </row>
    <row r="319" spans="1:25" x14ac:dyDescent="0.2">
      <c r="A319" s="16">
        <v>318</v>
      </c>
      <c r="B319" s="37">
        <v>1</v>
      </c>
      <c r="C319" s="16" t="s">
        <v>1239</v>
      </c>
      <c r="D319" s="16" t="s">
        <v>1239</v>
      </c>
      <c r="E319" s="16">
        <v>2</v>
      </c>
      <c r="F319" s="16" t="s">
        <v>3517</v>
      </c>
      <c r="G319" s="16" t="s">
        <v>302</v>
      </c>
      <c r="H319" s="16" t="s">
        <v>1238</v>
      </c>
      <c r="I319" s="16" t="s">
        <v>303</v>
      </c>
      <c r="J319" s="16">
        <v>0</v>
      </c>
      <c r="K319" s="16">
        <v>9.2903040000000006E-2</v>
      </c>
      <c r="L319" s="16">
        <v>1</v>
      </c>
      <c r="M319" s="16">
        <v>0</v>
      </c>
      <c r="N319">
        <f t="array" aca="1" ref="N319" ca="1">MATCH(TRUE,EXACT(I319,OFFSET(rngParamTypes,0,6,,1)),0)</f>
        <v>125</v>
      </c>
      <c r="O319" t="str">
        <f ca="1">IF((INDEX(rngParamTypes,$N319,7)=I319),"",1)</f>
        <v/>
      </c>
      <c r="P319">
        <f ca="1">INDEX(rngParamTypes,$N319,9)</f>
        <v>0</v>
      </c>
      <c r="Q319">
        <f ca="1">INDEX(rngParamTypes,$N319,10)</f>
        <v>2</v>
      </c>
      <c r="R319">
        <f ca="1">INDEX(rngParamTypes,$N319,11)</f>
        <v>0</v>
      </c>
      <c r="S319">
        <f ca="1">INDEX(rngParamTypes,$N319,12)</f>
        <v>0</v>
      </c>
      <c r="T319">
        <f ca="1">INDEX(rngParamTypes,$N319,13)</f>
        <v>0</v>
      </c>
      <c r="U319">
        <f ca="1">INDEX(rngParamTypes,$N319,14)</f>
        <v>0</v>
      </c>
      <c r="V319">
        <f ca="1">INDEX(rngParamTypes,$N319,15)</f>
        <v>0</v>
      </c>
      <c r="W319">
        <f ca="1">INDEX(rngParamTypes,$N319,16)</f>
        <v>0</v>
      </c>
      <c r="X319">
        <f ca="1">INDEX(rngParamTypes,$N319,17)</f>
        <v>0</v>
      </c>
      <c r="Y319">
        <f ca="1">INDEX(rngParamTypes,$N319,18)</f>
        <v>0</v>
      </c>
    </row>
    <row r="320" spans="1:25" x14ac:dyDescent="0.2">
      <c r="A320" s="16">
        <v>319</v>
      </c>
      <c r="B320" s="37">
        <v>1</v>
      </c>
      <c r="C320" s="16" t="s">
        <v>1241</v>
      </c>
      <c r="D320" s="16" t="s">
        <v>1241</v>
      </c>
      <c r="E320" s="16">
        <v>2</v>
      </c>
      <c r="F320" s="16" t="s">
        <v>3518</v>
      </c>
      <c r="G320" s="16" t="s">
        <v>3387</v>
      </c>
      <c r="H320" s="16" t="s">
        <v>1240</v>
      </c>
      <c r="I320" s="16" t="s">
        <v>319</v>
      </c>
      <c r="J320" s="16">
        <v>0</v>
      </c>
      <c r="K320" s="16">
        <v>9.2903040000000006E-2</v>
      </c>
      <c r="L320" s="16">
        <v>3600</v>
      </c>
      <c r="M320" s="16">
        <v>0</v>
      </c>
      <c r="N320">
        <f t="array" aca="1" ref="N320" ca="1">MATCH(TRUE,EXACT(I320,OFFSET(rngParamTypes,0,6,,1)),0)</f>
        <v>130</v>
      </c>
      <c r="O320" t="str">
        <f ca="1">IF((INDEX(rngParamTypes,$N320,7)=I320),"",1)</f>
        <v/>
      </c>
      <c r="P320">
        <f ca="1">INDEX(rngParamTypes,$N320,9)</f>
        <v>0</v>
      </c>
      <c r="Q320">
        <f ca="1">INDEX(rngParamTypes,$N320,10)</f>
        <v>2</v>
      </c>
      <c r="R320">
        <f ca="1">INDEX(rngParamTypes,$N320,11)</f>
        <v>-1</v>
      </c>
      <c r="S320">
        <f ca="1">INDEX(rngParamTypes,$N320,12)</f>
        <v>0</v>
      </c>
      <c r="T320">
        <f ca="1">INDEX(rngParamTypes,$N320,13)</f>
        <v>0</v>
      </c>
      <c r="U320">
        <f ca="1">INDEX(rngParamTypes,$N320,14)</f>
        <v>0</v>
      </c>
      <c r="V320">
        <f ca="1">INDEX(rngParamTypes,$N320,15)</f>
        <v>0</v>
      </c>
      <c r="W320">
        <f ca="1">INDEX(rngParamTypes,$N320,16)</f>
        <v>0</v>
      </c>
      <c r="X320">
        <f ca="1">INDEX(rngParamTypes,$N320,17)</f>
        <v>0</v>
      </c>
      <c r="Y320">
        <f ca="1">INDEX(rngParamTypes,$N320,18)</f>
        <v>0</v>
      </c>
    </row>
    <row r="321" spans="1:25" x14ac:dyDescent="0.2">
      <c r="A321" s="16">
        <v>320</v>
      </c>
      <c r="B321" s="37">
        <v>1</v>
      </c>
      <c r="C321" s="16" t="s">
        <v>1243</v>
      </c>
      <c r="D321" s="16" t="s">
        <v>1243</v>
      </c>
      <c r="E321" s="16"/>
      <c r="F321" s="16" t="s">
        <v>3519</v>
      </c>
      <c r="G321" s="16" t="s">
        <v>722</v>
      </c>
      <c r="H321" s="16" t="s">
        <v>1242</v>
      </c>
      <c r="I321" s="16" t="s">
        <v>20</v>
      </c>
      <c r="J321" s="16">
        <v>0</v>
      </c>
      <c r="K321" s="16">
        <v>5669.2910000000002</v>
      </c>
      <c r="L321" s="16">
        <v>1</v>
      </c>
      <c r="M321" s="16">
        <v>0</v>
      </c>
      <c r="N321">
        <f t="array" aca="1" ref="N321" ca="1">MATCH(TRUE,EXACT(I321,OFFSET(rngParamTypes,0,6,,1)),0)</f>
        <v>5</v>
      </c>
      <c r="O321" t="str">
        <f ca="1">IF((INDEX(rngParamTypes,$N321,7)=I321),"",1)</f>
        <v/>
      </c>
      <c r="P321">
        <f ca="1">INDEX(rngParamTypes,$N321,9)</f>
        <v>0</v>
      </c>
      <c r="Q321">
        <f ca="1">INDEX(rngParamTypes,$N321,10)</f>
        <v>-1</v>
      </c>
      <c r="R321">
        <f ca="1">INDEX(rngParamTypes,$N321,11)</f>
        <v>0</v>
      </c>
      <c r="S321">
        <f ca="1">INDEX(rngParamTypes,$N321,12)</f>
        <v>0</v>
      </c>
      <c r="T321">
        <f ca="1">INDEX(rngParamTypes,$N321,13)</f>
        <v>0</v>
      </c>
      <c r="U321">
        <f ca="1">INDEX(rngParamTypes,$N321,14)</f>
        <v>0</v>
      </c>
      <c r="V321">
        <f ca="1">INDEX(rngParamTypes,$N321,15)</f>
        <v>0</v>
      </c>
      <c r="W321">
        <f ca="1">INDEX(rngParamTypes,$N321,16)</f>
        <v>0</v>
      </c>
      <c r="X321">
        <f ca="1">INDEX(rngParamTypes,$N321,17)</f>
        <v>0</v>
      </c>
      <c r="Y321">
        <f ca="1">INDEX(rngParamTypes,$N321,18)</f>
        <v>0</v>
      </c>
    </row>
    <row r="322" spans="1:25" x14ac:dyDescent="0.2">
      <c r="A322" s="16">
        <v>321</v>
      </c>
      <c r="B322" s="37">
        <v>1</v>
      </c>
      <c r="C322" s="16" t="s">
        <v>1245</v>
      </c>
      <c r="D322" s="16" t="s">
        <v>1245</v>
      </c>
      <c r="E322" s="16">
        <v>2</v>
      </c>
      <c r="F322" s="16" t="s">
        <v>3520</v>
      </c>
      <c r="G322" s="16" t="s">
        <v>3387</v>
      </c>
      <c r="H322" s="16" t="s">
        <v>1244</v>
      </c>
      <c r="I322" s="16" t="s">
        <v>319</v>
      </c>
      <c r="J322" s="16">
        <v>0</v>
      </c>
      <c r="K322" s="16">
        <v>9.2903040000000006E-2</v>
      </c>
      <c r="L322" s="16">
        <v>1</v>
      </c>
      <c r="M322" s="16">
        <v>0</v>
      </c>
      <c r="N322">
        <f t="array" aca="1" ref="N322" ca="1">MATCH(TRUE,EXACT(I322,OFFSET(rngParamTypes,0,6,,1)),0)</f>
        <v>130</v>
      </c>
      <c r="O322" t="str">
        <f ca="1">IF((INDEX(rngParamTypes,$N322,7)=I322),"",1)</f>
        <v/>
      </c>
      <c r="P322">
        <f ca="1">INDEX(rngParamTypes,$N322,9)</f>
        <v>0</v>
      </c>
      <c r="Q322">
        <f ca="1">INDEX(rngParamTypes,$N322,10)</f>
        <v>2</v>
      </c>
      <c r="R322">
        <f ca="1">INDEX(rngParamTypes,$N322,11)</f>
        <v>-1</v>
      </c>
      <c r="S322">
        <f ca="1">INDEX(rngParamTypes,$N322,12)</f>
        <v>0</v>
      </c>
      <c r="T322">
        <f ca="1">INDEX(rngParamTypes,$N322,13)</f>
        <v>0</v>
      </c>
      <c r="U322">
        <f ca="1">INDEX(rngParamTypes,$N322,14)</f>
        <v>0</v>
      </c>
      <c r="V322">
        <f ca="1">INDEX(rngParamTypes,$N322,15)</f>
        <v>0</v>
      </c>
      <c r="W322">
        <f ca="1">INDEX(rngParamTypes,$N322,16)</f>
        <v>0</v>
      </c>
      <c r="X322">
        <f ca="1">INDEX(rngParamTypes,$N322,17)</f>
        <v>0</v>
      </c>
      <c r="Y322">
        <f ca="1">INDEX(rngParamTypes,$N322,18)</f>
        <v>0</v>
      </c>
    </row>
    <row r="323" spans="1:25" x14ac:dyDescent="0.2">
      <c r="A323" s="16">
        <v>322</v>
      </c>
      <c r="B323" s="37">
        <v>1</v>
      </c>
      <c r="C323" s="16" t="s">
        <v>982</v>
      </c>
      <c r="D323" s="16" t="s">
        <v>982</v>
      </c>
      <c r="E323" s="16">
        <v>2</v>
      </c>
      <c r="F323" s="16" t="s">
        <v>3521</v>
      </c>
      <c r="G323" s="16" t="s">
        <v>321</v>
      </c>
      <c r="H323" s="16" t="s">
        <v>980</v>
      </c>
      <c r="I323" s="16" t="s">
        <v>322</v>
      </c>
      <c r="J323" s="16">
        <v>0</v>
      </c>
      <c r="K323" s="16">
        <v>2.8316850000000001E-2</v>
      </c>
      <c r="L323" s="16">
        <v>1</v>
      </c>
      <c r="M323" s="16">
        <v>0</v>
      </c>
      <c r="N323">
        <f t="array" aca="1" ref="N323" ca="1">MATCH(TRUE,EXACT(I323,OFFSET(rngParamTypes,0,6,,1)),0)</f>
        <v>134</v>
      </c>
      <c r="O323" t="str">
        <f ca="1">IF((INDEX(rngParamTypes,$N323,7)=I323),"",1)</f>
        <v/>
      </c>
      <c r="P323">
        <f ca="1">INDEX(rngParamTypes,$N323,9)</f>
        <v>0</v>
      </c>
      <c r="Q323">
        <f ca="1">INDEX(rngParamTypes,$N323,10)</f>
        <v>3</v>
      </c>
      <c r="R323">
        <f ca="1">INDEX(rngParamTypes,$N323,11)</f>
        <v>0</v>
      </c>
      <c r="S323">
        <f ca="1">INDEX(rngParamTypes,$N323,12)</f>
        <v>0</v>
      </c>
      <c r="T323">
        <f ca="1">INDEX(rngParamTypes,$N323,13)</f>
        <v>0</v>
      </c>
      <c r="U323">
        <f ca="1">INDEX(rngParamTypes,$N323,14)</f>
        <v>0</v>
      </c>
      <c r="V323">
        <f ca="1">INDEX(rngParamTypes,$N323,15)</f>
        <v>0</v>
      </c>
      <c r="W323">
        <f ca="1">INDEX(rngParamTypes,$N323,16)</f>
        <v>0</v>
      </c>
      <c r="X323">
        <f ca="1">INDEX(rngParamTypes,$N323,17)</f>
        <v>0</v>
      </c>
      <c r="Y323">
        <f ca="1">INDEX(rngParamTypes,$N323,18)</f>
        <v>0</v>
      </c>
    </row>
    <row r="324" spans="1:25" x14ac:dyDescent="0.2">
      <c r="A324" s="16">
        <v>323</v>
      </c>
      <c r="B324" s="37">
        <v>1</v>
      </c>
      <c r="C324" s="16" t="s">
        <v>1247</v>
      </c>
      <c r="D324" s="16" t="s">
        <v>1247</v>
      </c>
      <c r="E324" s="16"/>
      <c r="F324" s="16" t="s">
        <v>4281</v>
      </c>
      <c r="G324" s="16" t="s">
        <v>484</v>
      </c>
      <c r="H324" s="16" t="s">
        <v>1246</v>
      </c>
      <c r="I324" s="16" t="s">
        <v>494</v>
      </c>
      <c r="J324" s="16">
        <v>0</v>
      </c>
      <c r="K324" s="16">
        <v>1.1953000000000001E-3</v>
      </c>
      <c r="L324" s="16">
        <v>1</v>
      </c>
      <c r="M324" s="16">
        <v>0</v>
      </c>
      <c r="N324">
        <f t="array" aca="1" ref="N324" ca="1">MATCH(TRUE,EXACT(I324,OFFSET(rngParamTypes,0,6,,1)),0)</f>
        <v>199</v>
      </c>
      <c r="O324" t="str">
        <f ca="1">IF((INDEX(rngParamTypes,$N324,7)=I324),"",1)</f>
        <v/>
      </c>
      <c r="P324">
        <f ca="1">INDEX(rngParamTypes,$N324,9)</f>
        <v>0</v>
      </c>
      <c r="Q324">
        <f ca="1">INDEX(rngParamTypes,$N324,10)</f>
        <v>3</v>
      </c>
      <c r="R324">
        <f ca="1">INDEX(rngParamTypes,$N324,11)</f>
        <v>0</v>
      </c>
      <c r="S324">
        <f ca="1">INDEX(rngParamTypes,$N324,12)</f>
        <v>0</v>
      </c>
      <c r="T324">
        <f ca="1">INDEX(rngParamTypes,$N324,13)</f>
        <v>0</v>
      </c>
      <c r="U324">
        <f ca="1">INDEX(rngParamTypes,$N324,14)</f>
        <v>0</v>
      </c>
      <c r="V324">
        <f ca="1">INDEX(rngParamTypes,$N324,15)</f>
        <v>0</v>
      </c>
      <c r="W324">
        <f ca="1">INDEX(rngParamTypes,$N324,16)</f>
        <v>0</v>
      </c>
      <c r="X324">
        <f ca="1">INDEX(rngParamTypes,$N324,17)</f>
        <v>0</v>
      </c>
      <c r="Y324">
        <f ca="1">INDEX(rngParamTypes,$N324,18)</f>
        <v>0</v>
      </c>
    </row>
    <row r="325" spans="1:25" x14ac:dyDescent="0.2">
      <c r="A325" s="16">
        <v>324</v>
      </c>
      <c r="B325" s="37">
        <v>1</v>
      </c>
      <c r="C325" s="16" t="s">
        <v>1249</v>
      </c>
      <c r="D325" s="16" t="s">
        <v>1249</v>
      </c>
      <c r="E325" s="16"/>
      <c r="F325" s="16" t="s">
        <v>3522</v>
      </c>
      <c r="G325" s="16" t="s">
        <v>659</v>
      </c>
      <c r="H325" s="16" t="s">
        <v>1248</v>
      </c>
      <c r="I325" s="16" t="s">
        <v>131</v>
      </c>
      <c r="J325" s="16">
        <v>0</v>
      </c>
      <c r="K325" s="16">
        <v>2.8316850000000001E-2</v>
      </c>
      <c r="L325" s="16">
        <v>0.1589873</v>
      </c>
      <c r="M325" s="16">
        <v>0</v>
      </c>
      <c r="N325">
        <f t="array" aca="1" ref="N325" ca="1">MATCH(TRUE,EXACT(I325,OFFSET(rngParamTypes,0,6,,1)),0)</f>
        <v>42</v>
      </c>
      <c r="O325" t="str">
        <f ca="1">IF((INDEX(rngParamTypes,$N325,7)=I325),"",1)</f>
        <v/>
      </c>
      <c r="P325">
        <f ca="1">INDEX(rngParamTypes,$N325,9)</f>
        <v>0</v>
      </c>
      <c r="Q325">
        <f ca="1">INDEX(rngParamTypes,$N325,10)</f>
        <v>0</v>
      </c>
      <c r="R325">
        <f ca="1">INDEX(rngParamTypes,$N325,11)</f>
        <v>0</v>
      </c>
      <c r="S325">
        <f ca="1">INDEX(rngParamTypes,$N325,12)</f>
        <v>0</v>
      </c>
      <c r="T325">
        <f ca="1">INDEX(rngParamTypes,$N325,13)</f>
        <v>0</v>
      </c>
      <c r="U325">
        <f ca="1">INDEX(rngParamTypes,$N325,14)</f>
        <v>0</v>
      </c>
      <c r="V325">
        <f ca="1">INDEX(rngParamTypes,$N325,15)</f>
        <v>0</v>
      </c>
      <c r="W325">
        <f ca="1">INDEX(rngParamTypes,$N325,16)</f>
        <v>0</v>
      </c>
      <c r="X325">
        <f ca="1">INDEX(rngParamTypes,$N325,17)</f>
        <v>0</v>
      </c>
      <c r="Y325">
        <f ca="1">INDEX(rngParamTypes,$N325,18)</f>
        <v>0</v>
      </c>
    </row>
    <row r="326" spans="1:25" x14ac:dyDescent="0.2">
      <c r="A326" s="16">
        <v>325</v>
      </c>
      <c r="B326" s="37">
        <v>1</v>
      </c>
      <c r="C326" s="16" t="s">
        <v>1251</v>
      </c>
      <c r="D326" s="16" t="s">
        <v>1251</v>
      </c>
      <c r="E326" s="16">
        <v>2</v>
      </c>
      <c r="F326" s="16" t="s">
        <v>3523</v>
      </c>
      <c r="G326" s="16" t="s">
        <v>343</v>
      </c>
      <c r="H326" s="16" t="s">
        <v>1250</v>
      </c>
      <c r="I326" s="16" t="s">
        <v>344</v>
      </c>
      <c r="J326" s="16">
        <v>0</v>
      </c>
      <c r="K326" s="16">
        <v>2.8316850000000001E-2</v>
      </c>
      <c r="L326" s="16">
        <v>86400</v>
      </c>
      <c r="M326" s="16">
        <v>0</v>
      </c>
      <c r="N326">
        <f t="array" aca="1" ref="N326" ca="1">MATCH(TRUE,EXACT(I326,OFFSET(rngParamTypes,0,6,,1)),0)</f>
        <v>141</v>
      </c>
      <c r="O326" t="str">
        <f ca="1">IF((INDEX(rngParamTypes,$N326,7)=I326),"",1)</f>
        <v/>
      </c>
      <c r="P326">
        <f ca="1">INDEX(rngParamTypes,$N326,9)</f>
        <v>0</v>
      </c>
      <c r="Q326">
        <f ca="1">INDEX(rngParamTypes,$N326,10)</f>
        <v>3</v>
      </c>
      <c r="R326">
        <f ca="1">INDEX(rngParamTypes,$N326,11)</f>
        <v>-1</v>
      </c>
      <c r="S326">
        <f ca="1">INDEX(rngParamTypes,$N326,12)</f>
        <v>0</v>
      </c>
      <c r="T326">
        <f ca="1">INDEX(rngParamTypes,$N326,13)</f>
        <v>0</v>
      </c>
      <c r="U326">
        <f ca="1">INDEX(rngParamTypes,$N326,14)</f>
        <v>0</v>
      </c>
      <c r="V326">
        <f ca="1">INDEX(rngParamTypes,$N326,15)</f>
        <v>0</v>
      </c>
      <c r="W326">
        <f ca="1">INDEX(rngParamTypes,$N326,16)</f>
        <v>0</v>
      </c>
      <c r="X326">
        <f ca="1">INDEX(rngParamTypes,$N326,17)</f>
        <v>0</v>
      </c>
      <c r="Y326">
        <f ca="1">INDEX(rngParamTypes,$N326,18)</f>
        <v>0</v>
      </c>
    </row>
    <row r="327" spans="1:25" x14ac:dyDescent="0.2">
      <c r="A327" s="16">
        <v>326</v>
      </c>
      <c r="B327" s="37">
        <v>1</v>
      </c>
      <c r="C327" s="16" t="s">
        <v>1253</v>
      </c>
      <c r="D327" s="16" t="s">
        <v>1253</v>
      </c>
      <c r="E327" s="16"/>
      <c r="F327" s="16" t="s">
        <v>3524</v>
      </c>
      <c r="G327" s="16" t="s">
        <v>311</v>
      </c>
      <c r="H327" s="16" t="s">
        <v>1252</v>
      </c>
      <c r="I327" s="16" t="s">
        <v>313</v>
      </c>
      <c r="J327" s="16">
        <v>0</v>
      </c>
      <c r="K327" s="16">
        <v>9.2903040000000006E-2</v>
      </c>
      <c r="L327" s="16">
        <v>5957067005</v>
      </c>
      <c r="M327" s="16">
        <v>0</v>
      </c>
      <c r="N327">
        <f t="array" aca="1" ref="N327" ca="1">MATCH(TRUE,EXACT(I327,OFFSET(rngParamTypes,0,6,,1)),0)</f>
        <v>128</v>
      </c>
      <c r="O327" t="str">
        <f ca="1">IF((INDEX(rngParamTypes,$N327,7)=I327),"",1)</f>
        <v/>
      </c>
      <c r="P327">
        <f ca="1">INDEX(rngParamTypes,$N327,9)</f>
        <v>-1</v>
      </c>
      <c r="Q327">
        <f ca="1">INDEX(rngParamTypes,$N327,10)</f>
        <v>3</v>
      </c>
      <c r="R327">
        <f ca="1">INDEX(rngParamTypes,$N327,11)</f>
        <v>1</v>
      </c>
      <c r="S327">
        <f ca="1">INDEX(rngParamTypes,$N327,12)</f>
        <v>0</v>
      </c>
      <c r="T327">
        <f ca="1">INDEX(rngParamTypes,$N327,13)</f>
        <v>0</v>
      </c>
      <c r="U327">
        <f ca="1">INDEX(rngParamTypes,$N327,14)</f>
        <v>0</v>
      </c>
      <c r="V327">
        <f ca="1">INDEX(rngParamTypes,$N327,15)</f>
        <v>0</v>
      </c>
      <c r="W327">
        <f ca="1">INDEX(rngParamTypes,$N327,16)</f>
        <v>0</v>
      </c>
      <c r="X327">
        <f ca="1">INDEX(rngParamTypes,$N327,17)</f>
        <v>0</v>
      </c>
      <c r="Y327">
        <f ca="1">INDEX(rngParamTypes,$N327,18)</f>
        <v>0</v>
      </c>
    </row>
    <row r="328" spans="1:25" x14ac:dyDescent="0.2">
      <c r="A328" s="16">
        <v>327</v>
      </c>
      <c r="B328" s="37">
        <v>1</v>
      </c>
      <c r="C328" s="16" t="s">
        <v>1255</v>
      </c>
      <c r="D328" s="16" t="s">
        <v>1255</v>
      </c>
      <c r="E328" s="16"/>
      <c r="F328" s="16" t="s">
        <v>3525</v>
      </c>
      <c r="G328" s="16" t="s">
        <v>346</v>
      </c>
      <c r="H328" s="16" t="s">
        <v>1254</v>
      </c>
      <c r="I328" s="16" t="s">
        <v>347</v>
      </c>
      <c r="J328" s="16">
        <v>0</v>
      </c>
      <c r="K328" s="16">
        <v>2.8316850000000001E-2</v>
      </c>
      <c r="L328" s="16">
        <v>7464960000</v>
      </c>
      <c r="M328" s="16">
        <v>0</v>
      </c>
      <c r="N328">
        <f t="array" aca="1" ref="N328" ca="1">MATCH(TRUE,EXACT(I328,OFFSET(rngParamTypes,0,6,,1)),0)</f>
        <v>142</v>
      </c>
      <c r="O328" t="str">
        <f ca="1">IF((INDEX(rngParamTypes,$N328,7)=I328),"",1)</f>
        <v/>
      </c>
      <c r="P328">
        <f ca="1">INDEX(rngParamTypes,$N328,9)</f>
        <v>0</v>
      </c>
      <c r="Q328">
        <f ca="1">INDEX(rngParamTypes,$N328,10)</f>
        <v>3</v>
      </c>
      <c r="R328">
        <f ca="1">INDEX(rngParamTypes,$N328,11)</f>
        <v>-2</v>
      </c>
      <c r="S328">
        <f ca="1">INDEX(rngParamTypes,$N328,12)</f>
        <v>0</v>
      </c>
      <c r="T328">
        <f ca="1">INDEX(rngParamTypes,$N328,13)</f>
        <v>0</v>
      </c>
      <c r="U328">
        <f ca="1">INDEX(rngParamTypes,$N328,14)</f>
        <v>0</v>
      </c>
      <c r="V328">
        <f ca="1">INDEX(rngParamTypes,$N328,15)</f>
        <v>0</v>
      </c>
      <c r="W328">
        <f ca="1">INDEX(rngParamTypes,$N328,16)</f>
        <v>0</v>
      </c>
      <c r="X328">
        <f ca="1">INDEX(rngParamTypes,$N328,17)</f>
        <v>0</v>
      </c>
      <c r="Y328">
        <f ca="1">INDEX(rngParamTypes,$N328,18)</f>
        <v>0</v>
      </c>
    </row>
    <row r="329" spans="1:25" x14ac:dyDescent="0.2">
      <c r="A329" s="16">
        <v>328</v>
      </c>
      <c r="B329" s="37">
        <v>1</v>
      </c>
      <c r="C329" s="16" t="s">
        <v>1257</v>
      </c>
      <c r="D329" s="16" t="s">
        <v>1257</v>
      </c>
      <c r="E329" s="16"/>
      <c r="F329" s="16" t="s">
        <v>3526</v>
      </c>
      <c r="G329" s="16" t="s">
        <v>767</v>
      </c>
      <c r="H329" s="16" t="s">
        <v>1256</v>
      </c>
      <c r="I329" s="16" t="s">
        <v>303</v>
      </c>
      <c r="J329" s="16">
        <v>0</v>
      </c>
      <c r="K329" s="16">
        <v>9.2903040000000006E-2</v>
      </c>
      <c r="L329" s="16">
        <v>1</v>
      </c>
      <c r="M329" s="16">
        <v>0</v>
      </c>
      <c r="N329">
        <f t="array" aca="1" ref="N329" ca="1">MATCH(TRUE,EXACT(I329,OFFSET(rngParamTypes,0,6,,1)),0)</f>
        <v>125</v>
      </c>
      <c r="O329" t="str">
        <f ca="1">IF((INDEX(rngParamTypes,$N329,7)=I329),"",1)</f>
        <v/>
      </c>
      <c r="P329">
        <f ca="1">INDEX(rngParamTypes,$N329,9)</f>
        <v>0</v>
      </c>
      <c r="Q329">
        <f ca="1">INDEX(rngParamTypes,$N329,10)</f>
        <v>2</v>
      </c>
      <c r="R329">
        <f ca="1">INDEX(rngParamTypes,$N329,11)</f>
        <v>0</v>
      </c>
      <c r="S329">
        <f ca="1">INDEX(rngParamTypes,$N329,12)</f>
        <v>0</v>
      </c>
      <c r="T329">
        <f ca="1">INDEX(rngParamTypes,$N329,13)</f>
        <v>0</v>
      </c>
      <c r="U329">
        <f ca="1">INDEX(rngParamTypes,$N329,14)</f>
        <v>0</v>
      </c>
      <c r="V329">
        <f ca="1">INDEX(rngParamTypes,$N329,15)</f>
        <v>0</v>
      </c>
      <c r="W329">
        <f ca="1">INDEX(rngParamTypes,$N329,16)</f>
        <v>0</v>
      </c>
      <c r="X329">
        <f ca="1">INDEX(rngParamTypes,$N329,17)</f>
        <v>0</v>
      </c>
      <c r="Y329">
        <f ca="1">INDEX(rngParamTypes,$N329,18)</f>
        <v>0</v>
      </c>
    </row>
    <row r="330" spans="1:25" x14ac:dyDescent="0.2">
      <c r="A330" s="16">
        <v>329</v>
      </c>
      <c r="B330" s="37">
        <v>1</v>
      </c>
      <c r="C330" s="16" t="s">
        <v>1259</v>
      </c>
      <c r="D330" s="16" t="s">
        <v>1259</v>
      </c>
      <c r="E330" s="16"/>
      <c r="F330" s="16" t="s">
        <v>3527</v>
      </c>
      <c r="G330" s="16" t="s">
        <v>659</v>
      </c>
      <c r="H330" s="16" t="s">
        <v>1258</v>
      </c>
      <c r="I330" s="16" t="s">
        <v>131</v>
      </c>
      <c r="J330" s="16">
        <v>0</v>
      </c>
      <c r="K330" s="16">
        <v>1</v>
      </c>
      <c r="L330" s="16">
        <v>1</v>
      </c>
      <c r="M330" s="16">
        <v>0</v>
      </c>
      <c r="N330">
        <f t="array" aca="1" ref="N330" ca="1">MATCH(TRUE,EXACT(I330,OFFSET(rngParamTypes,0,6,,1)),0)</f>
        <v>42</v>
      </c>
      <c r="O330" t="str">
        <f ca="1">IF((INDEX(rngParamTypes,$N330,7)=I330),"",1)</f>
        <v/>
      </c>
      <c r="P330">
        <f ca="1">INDEX(rngParamTypes,$N330,9)</f>
        <v>0</v>
      </c>
      <c r="Q330">
        <f ca="1">INDEX(rngParamTypes,$N330,10)</f>
        <v>0</v>
      </c>
      <c r="R330">
        <f ca="1">INDEX(rngParamTypes,$N330,11)</f>
        <v>0</v>
      </c>
      <c r="S330">
        <f ca="1">INDEX(rngParamTypes,$N330,12)</f>
        <v>0</v>
      </c>
      <c r="T330">
        <f ca="1">INDEX(rngParamTypes,$N330,13)</f>
        <v>0</v>
      </c>
      <c r="U330">
        <f ca="1">INDEX(rngParamTypes,$N330,14)</f>
        <v>0</v>
      </c>
      <c r="V330">
        <f ca="1">INDEX(rngParamTypes,$N330,15)</f>
        <v>0</v>
      </c>
      <c r="W330">
        <f ca="1">INDEX(rngParamTypes,$N330,16)</f>
        <v>0</v>
      </c>
      <c r="X330">
        <f ca="1">INDEX(rngParamTypes,$N330,17)</f>
        <v>0</v>
      </c>
      <c r="Y330">
        <f ca="1">INDEX(rngParamTypes,$N330,18)</f>
        <v>0</v>
      </c>
    </row>
    <row r="331" spans="1:25" x14ac:dyDescent="0.2">
      <c r="A331" s="16">
        <v>330</v>
      </c>
      <c r="B331" s="37">
        <v>1</v>
      </c>
      <c r="C331" s="16" t="s">
        <v>1261</v>
      </c>
      <c r="D331" s="16" t="s">
        <v>1261</v>
      </c>
      <c r="E331" s="16">
        <v>2</v>
      </c>
      <c r="F331" s="16" t="s">
        <v>3528</v>
      </c>
      <c r="G331" s="16" t="s">
        <v>343</v>
      </c>
      <c r="H331" s="16" t="s">
        <v>1260</v>
      </c>
      <c r="I331" s="16" t="s">
        <v>344</v>
      </c>
      <c r="J331" s="16">
        <v>0</v>
      </c>
      <c r="K331" s="16">
        <v>2.8316850000000001E-2</v>
      </c>
      <c r="L331" s="16">
        <v>3600</v>
      </c>
      <c r="M331" s="16">
        <v>0</v>
      </c>
      <c r="N331">
        <f t="array" aca="1" ref="N331" ca="1">MATCH(TRUE,EXACT(I331,OFFSET(rngParamTypes,0,6,,1)),0)</f>
        <v>141</v>
      </c>
      <c r="O331" t="str">
        <f ca="1">IF((INDEX(rngParamTypes,$N331,7)=I331),"",1)</f>
        <v/>
      </c>
      <c r="P331">
        <f ca="1">INDEX(rngParamTypes,$N331,9)</f>
        <v>0</v>
      </c>
      <c r="Q331">
        <f ca="1">INDEX(rngParamTypes,$N331,10)</f>
        <v>3</v>
      </c>
      <c r="R331">
        <f ca="1">INDEX(rngParamTypes,$N331,11)</f>
        <v>-1</v>
      </c>
      <c r="S331">
        <f ca="1">INDEX(rngParamTypes,$N331,12)</f>
        <v>0</v>
      </c>
      <c r="T331">
        <f ca="1">INDEX(rngParamTypes,$N331,13)</f>
        <v>0</v>
      </c>
      <c r="U331">
        <f ca="1">INDEX(rngParamTypes,$N331,14)</f>
        <v>0</v>
      </c>
      <c r="V331">
        <f ca="1">INDEX(rngParamTypes,$N331,15)</f>
        <v>0</v>
      </c>
      <c r="W331">
        <f ca="1">INDEX(rngParamTypes,$N331,16)</f>
        <v>0</v>
      </c>
      <c r="X331">
        <f ca="1">INDEX(rngParamTypes,$N331,17)</f>
        <v>0</v>
      </c>
      <c r="Y331">
        <f ca="1">INDEX(rngParamTypes,$N331,18)</f>
        <v>0</v>
      </c>
    </row>
    <row r="332" spans="1:25" x14ac:dyDescent="0.2">
      <c r="A332" s="16">
        <v>331</v>
      </c>
      <c r="B332" s="37">
        <v>1</v>
      </c>
      <c r="C332" s="16" t="s">
        <v>1263</v>
      </c>
      <c r="D332" s="16" t="s">
        <v>1263</v>
      </c>
      <c r="E332" s="16"/>
      <c r="F332" s="16" t="s">
        <v>3529</v>
      </c>
      <c r="G332" s="16" t="s">
        <v>346</v>
      </c>
      <c r="H332" s="16" t="s">
        <v>1262</v>
      </c>
      <c r="I332" s="16" t="s">
        <v>347</v>
      </c>
      <c r="J332" s="16">
        <v>0</v>
      </c>
      <c r="K332" s="16">
        <v>2.8316850000000001E-2</v>
      </c>
      <c r="L332" s="16">
        <v>12960000</v>
      </c>
      <c r="M332" s="16">
        <v>0</v>
      </c>
      <c r="N332">
        <f t="array" aca="1" ref="N332" ca="1">MATCH(TRUE,EXACT(I332,OFFSET(rngParamTypes,0,6,,1)),0)</f>
        <v>142</v>
      </c>
      <c r="O332" t="str">
        <f ca="1">IF((INDEX(rngParamTypes,$N332,7)=I332),"",1)</f>
        <v/>
      </c>
      <c r="P332">
        <f ca="1">INDEX(rngParamTypes,$N332,9)</f>
        <v>0</v>
      </c>
      <c r="Q332">
        <f ca="1">INDEX(rngParamTypes,$N332,10)</f>
        <v>3</v>
      </c>
      <c r="R332">
        <f ca="1">INDEX(rngParamTypes,$N332,11)</f>
        <v>-2</v>
      </c>
      <c r="S332">
        <f ca="1">INDEX(rngParamTypes,$N332,12)</f>
        <v>0</v>
      </c>
      <c r="T332">
        <f ca="1">INDEX(rngParamTypes,$N332,13)</f>
        <v>0</v>
      </c>
      <c r="U332">
        <f ca="1">INDEX(rngParamTypes,$N332,14)</f>
        <v>0</v>
      </c>
      <c r="V332">
        <f ca="1">INDEX(rngParamTypes,$N332,15)</f>
        <v>0</v>
      </c>
      <c r="W332">
        <f ca="1">INDEX(rngParamTypes,$N332,16)</f>
        <v>0</v>
      </c>
      <c r="X332">
        <f ca="1">INDEX(rngParamTypes,$N332,17)</f>
        <v>0</v>
      </c>
      <c r="Y332">
        <f ca="1">INDEX(rngParamTypes,$N332,18)</f>
        <v>0</v>
      </c>
    </row>
    <row r="333" spans="1:25" x14ac:dyDescent="0.2">
      <c r="A333" s="16">
        <v>332</v>
      </c>
      <c r="B333" s="37">
        <v>1</v>
      </c>
      <c r="C333" s="16" t="s">
        <v>1265</v>
      </c>
      <c r="D333" s="16" t="s">
        <v>1265</v>
      </c>
      <c r="E333" s="16">
        <v>2</v>
      </c>
      <c r="F333" s="16" t="s">
        <v>3530</v>
      </c>
      <c r="G333" s="16" t="s">
        <v>3307</v>
      </c>
      <c r="H333" s="16" t="s">
        <v>1264</v>
      </c>
      <c r="I333" s="16" t="s">
        <v>329</v>
      </c>
      <c r="J333" s="16">
        <v>0</v>
      </c>
      <c r="K333" s="16">
        <v>2.8316850000000001E-2</v>
      </c>
      <c r="L333" s="16">
        <v>1</v>
      </c>
      <c r="M333" s="16">
        <v>0</v>
      </c>
      <c r="N333">
        <f t="array" aca="1" ref="N333" ca="1">MATCH(TRUE,EXACT(I333,OFFSET(rngParamTypes,0,6,,1)),0)</f>
        <v>136</v>
      </c>
      <c r="O333" t="str">
        <f ca="1">IF((INDEX(rngParamTypes,$N333,7)=I333),"",1)</f>
        <v/>
      </c>
      <c r="P333">
        <f ca="1">INDEX(rngParamTypes,$N333,9)</f>
        <v>-1</v>
      </c>
      <c r="Q333">
        <f ca="1">INDEX(rngParamTypes,$N333,10)</f>
        <v>3</v>
      </c>
      <c r="R333">
        <f ca="1">INDEX(rngParamTypes,$N333,11)</f>
        <v>0</v>
      </c>
      <c r="S333">
        <f ca="1">INDEX(rngParamTypes,$N333,12)</f>
        <v>0</v>
      </c>
      <c r="T333">
        <f ca="1">INDEX(rngParamTypes,$N333,13)</f>
        <v>0</v>
      </c>
      <c r="U333">
        <f ca="1">INDEX(rngParamTypes,$N333,14)</f>
        <v>0</v>
      </c>
      <c r="V333">
        <f ca="1">INDEX(rngParamTypes,$N333,15)</f>
        <v>0</v>
      </c>
      <c r="W333">
        <f ca="1">INDEX(rngParamTypes,$N333,16)</f>
        <v>0</v>
      </c>
      <c r="X333">
        <f ca="1">INDEX(rngParamTypes,$N333,17)</f>
        <v>0</v>
      </c>
      <c r="Y333">
        <f ca="1">INDEX(rngParamTypes,$N333,18)</f>
        <v>0</v>
      </c>
    </row>
    <row r="334" spans="1:25" x14ac:dyDescent="0.2">
      <c r="A334" s="16">
        <v>333</v>
      </c>
      <c r="B334" s="37">
        <v>1</v>
      </c>
      <c r="C334" s="16" t="s">
        <v>1267</v>
      </c>
      <c r="D334" s="16" t="s">
        <v>1267</v>
      </c>
      <c r="E334" s="16">
        <v>2</v>
      </c>
      <c r="F334" s="16" t="s">
        <v>3531</v>
      </c>
      <c r="G334" s="16" t="s">
        <v>3307</v>
      </c>
      <c r="H334" s="16" t="s">
        <v>1266</v>
      </c>
      <c r="I334" s="16" t="s">
        <v>329</v>
      </c>
      <c r="J334" s="16">
        <v>0</v>
      </c>
      <c r="K334" s="16">
        <v>6.2427959999999998E-2</v>
      </c>
      <c r="L334" s="16">
        <v>1</v>
      </c>
      <c r="M334" s="16">
        <v>0</v>
      </c>
      <c r="N334">
        <f t="array" aca="1" ref="N334" ca="1">MATCH(TRUE,EXACT(I334,OFFSET(rngParamTypes,0,6,,1)),0)</f>
        <v>136</v>
      </c>
      <c r="O334" t="str">
        <f ca="1">IF((INDEX(rngParamTypes,$N334,7)=I334),"",1)</f>
        <v/>
      </c>
      <c r="P334">
        <f ca="1">INDEX(rngParamTypes,$N334,9)</f>
        <v>-1</v>
      </c>
      <c r="Q334">
        <f ca="1">INDEX(rngParamTypes,$N334,10)</f>
        <v>3</v>
      </c>
      <c r="R334">
        <f ca="1">INDEX(rngParamTypes,$N334,11)</f>
        <v>0</v>
      </c>
      <c r="S334">
        <f ca="1">INDEX(rngParamTypes,$N334,12)</f>
        <v>0</v>
      </c>
      <c r="T334">
        <f ca="1">INDEX(rngParamTypes,$N334,13)</f>
        <v>0</v>
      </c>
      <c r="U334">
        <f ca="1">INDEX(rngParamTypes,$N334,14)</f>
        <v>0</v>
      </c>
      <c r="V334">
        <f ca="1">INDEX(rngParamTypes,$N334,15)</f>
        <v>0</v>
      </c>
      <c r="W334">
        <f ca="1">INDEX(rngParamTypes,$N334,16)</f>
        <v>0</v>
      </c>
      <c r="X334">
        <f ca="1">INDEX(rngParamTypes,$N334,17)</f>
        <v>0</v>
      </c>
      <c r="Y334">
        <f ca="1">INDEX(rngParamTypes,$N334,18)</f>
        <v>0</v>
      </c>
    </row>
    <row r="335" spans="1:25" x14ac:dyDescent="0.2">
      <c r="A335" s="16">
        <v>334</v>
      </c>
      <c r="B335" s="37">
        <v>1</v>
      </c>
      <c r="C335" s="16" t="s">
        <v>1269</v>
      </c>
      <c r="D335" s="16" t="s">
        <v>1269</v>
      </c>
      <c r="E335" s="16">
        <v>2</v>
      </c>
      <c r="F335" s="16" t="s">
        <v>3532</v>
      </c>
      <c r="G335" s="16" t="s">
        <v>343</v>
      </c>
      <c r="H335" s="16" t="s">
        <v>1268</v>
      </c>
      <c r="I335" s="16" t="s">
        <v>344</v>
      </c>
      <c r="J335" s="16">
        <v>0</v>
      </c>
      <c r="K335" s="16">
        <v>2.8316850000000001E-2</v>
      </c>
      <c r="L335" s="16">
        <v>60</v>
      </c>
      <c r="M335" s="16">
        <v>0</v>
      </c>
      <c r="N335">
        <f t="array" aca="1" ref="N335" ca="1">MATCH(TRUE,EXACT(I335,OFFSET(rngParamTypes,0,6,,1)),0)</f>
        <v>141</v>
      </c>
      <c r="O335" t="str">
        <f ca="1">IF((INDEX(rngParamTypes,$N335,7)=I335),"",1)</f>
        <v/>
      </c>
      <c r="P335">
        <f ca="1">INDEX(rngParamTypes,$N335,9)</f>
        <v>0</v>
      </c>
      <c r="Q335">
        <f ca="1">INDEX(rngParamTypes,$N335,10)</f>
        <v>3</v>
      </c>
      <c r="R335">
        <f ca="1">INDEX(rngParamTypes,$N335,11)</f>
        <v>-1</v>
      </c>
      <c r="S335">
        <f ca="1">INDEX(rngParamTypes,$N335,12)</f>
        <v>0</v>
      </c>
      <c r="T335">
        <f ca="1">INDEX(rngParamTypes,$N335,13)</f>
        <v>0</v>
      </c>
      <c r="U335">
        <f ca="1">INDEX(rngParamTypes,$N335,14)</f>
        <v>0</v>
      </c>
      <c r="V335">
        <f ca="1">INDEX(rngParamTypes,$N335,15)</f>
        <v>0</v>
      </c>
      <c r="W335">
        <f ca="1">INDEX(rngParamTypes,$N335,16)</f>
        <v>0</v>
      </c>
      <c r="X335">
        <f ca="1">INDEX(rngParamTypes,$N335,17)</f>
        <v>0</v>
      </c>
      <c r="Y335">
        <f ca="1">INDEX(rngParamTypes,$N335,18)</f>
        <v>0</v>
      </c>
    </row>
    <row r="336" spans="1:25" x14ac:dyDescent="0.2">
      <c r="A336" s="16">
        <v>335</v>
      </c>
      <c r="B336" s="37">
        <v>1</v>
      </c>
      <c r="C336" s="16" t="s">
        <v>1272</v>
      </c>
      <c r="D336" s="16" t="s">
        <v>1272</v>
      </c>
      <c r="E336" s="16"/>
      <c r="F336" s="16" t="s">
        <v>3533</v>
      </c>
      <c r="G336" s="16" t="s">
        <v>1271</v>
      </c>
      <c r="H336" s="16" t="s">
        <v>1270</v>
      </c>
      <c r="I336" s="16" t="s">
        <v>297</v>
      </c>
      <c r="J336" s="16">
        <v>0</v>
      </c>
      <c r="K336" s="16">
        <v>0.30480000000000002</v>
      </c>
      <c r="L336" s="16">
        <v>60</v>
      </c>
      <c r="M336" s="16">
        <v>0</v>
      </c>
      <c r="N336">
        <f t="array" aca="1" ref="N336" ca="1">MATCH(TRUE,EXACT(I336,OFFSET(rngParamTypes,0,6,,1)),0)</f>
        <v>123</v>
      </c>
      <c r="O336" t="str">
        <f ca="1">IF((INDEX(rngParamTypes,$N336,7)=I336),"",1)</f>
        <v/>
      </c>
      <c r="P336">
        <f ca="1">INDEX(rngParamTypes,$N336,9)</f>
        <v>0</v>
      </c>
      <c r="Q336">
        <f ca="1">INDEX(rngParamTypes,$N336,10)</f>
        <v>1</v>
      </c>
      <c r="R336">
        <f ca="1">INDEX(rngParamTypes,$N336,11)</f>
        <v>-1</v>
      </c>
      <c r="S336">
        <f ca="1">INDEX(rngParamTypes,$N336,12)</f>
        <v>0</v>
      </c>
      <c r="T336">
        <f ca="1">INDEX(rngParamTypes,$N336,13)</f>
        <v>0</v>
      </c>
      <c r="U336">
        <f ca="1">INDEX(rngParamTypes,$N336,14)</f>
        <v>0</v>
      </c>
      <c r="V336">
        <f ca="1">INDEX(rngParamTypes,$N336,15)</f>
        <v>0</v>
      </c>
      <c r="W336">
        <f ca="1">INDEX(rngParamTypes,$N336,16)</f>
        <v>0</v>
      </c>
      <c r="X336">
        <f ca="1">INDEX(rngParamTypes,$N336,17)</f>
        <v>0</v>
      </c>
      <c r="Y336">
        <f ca="1">INDEX(rngParamTypes,$N336,18)</f>
        <v>0</v>
      </c>
    </row>
    <row r="337" spans="1:25" x14ac:dyDescent="0.2">
      <c r="A337" s="16">
        <v>336</v>
      </c>
      <c r="B337" s="37">
        <v>1</v>
      </c>
      <c r="C337" s="16" t="s">
        <v>1274</v>
      </c>
      <c r="D337" s="16" t="s">
        <v>1274</v>
      </c>
      <c r="E337" s="16"/>
      <c r="F337" s="16" t="s">
        <v>3534</v>
      </c>
      <c r="G337" s="16" t="s">
        <v>346</v>
      </c>
      <c r="H337" s="16" t="s">
        <v>1273</v>
      </c>
      <c r="I337" s="16" t="s">
        <v>347</v>
      </c>
      <c r="J337" s="16">
        <v>0</v>
      </c>
      <c r="K337" s="16">
        <v>2.8316850000000001E-2</v>
      </c>
      <c r="L337" s="16">
        <v>3600</v>
      </c>
      <c r="M337" s="16">
        <v>0</v>
      </c>
      <c r="N337">
        <f t="array" aca="1" ref="N337" ca="1">MATCH(TRUE,EXACT(I337,OFFSET(rngParamTypes,0,6,,1)),0)</f>
        <v>142</v>
      </c>
      <c r="O337" t="str">
        <f ca="1">IF((INDEX(rngParamTypes,$N337,7)=I337),"",1)</f>
        <v/>
      </c>
      <c r="P337">
        <f ca="1">INDEX(rngParamTypes,$N337,9)</f>
        <v>0</v>
      </c>
      <c r="Q337">
        <f ca="1">INDEX(rngParamTypes,$N337,10)</f>
        <v>3</v>
      </c>
      <c r="R337">
        <f ca="1">INDEX(rngParamTypes,$N337,11)</f>
        <v>-2</v>
      </c>
      <c r="S337">
        <f ca="1">INDEX(rngParamTypes,$N337,12)</f>
        <v>0</v>
      </c>
      <c r="T337">
        <f ca="1">INDEX(rngParamTypes,$N337,13)</f>
        <v>0</v>
      </c>
      <c r="U337">
        <f ca="1">INDEX(rngParamTypes,$N337,14)</f>
        <v>0</v>
      </c>
      <c r="V337">
        <f ca="1">INDEX(rngParamTypes,$N337,15)</f>
        <v>0</v>
      </c>
      <c r="W337">
        <f ca="1">INDEX(rngParamTypes,$N337,16)</f>
        <v>0</v>
      </c>
      <c r="X337">
        <f ca="1">INDEX(rngParamTypes,$N337,17)</f>
        <v>0</v>
      </c>
      <c r="Y337">
        <f ca="1">INDEX(rngParamTypes,$N337,18)</f>
        <v>0</v>
      </c>
    </row>
    <row r="338" spans="1:25" x14ac:dyDescent="0.2">
      <c r="A338" s="16">
        <v>337</v>
      </c>
      <c r="B338" s="37">
        <v>1</v>
      </c>
      <c r="C338" s="16" t="s">
        <v>1276</v>
      </c>
      <c r="D338" s="16" t="s">
        <v>1276</v>
      </c>
      <c r="E338" s="16"/>
      <c r="F338" s="16" t="s">
        <v>3535</v>
      </c>
      <c r="G338" s="16" t="s">
        <v>331</v>
      </c>
      <c r="H338" s="16" t="s">
        <v>1275</v>
      </c>
      <c r="I338" s="16" t="s">
        <v>332</v>
      </c>
      <c r="J338" s="16">
        <v>0</v>
      </c>
      <c r="K338" s="16">
        <v>6.2427960000000003E-5</v>
      </c>
      <c r="L338" s="16">
        <v>1</v>
      </c>
      <c r="M338" s="16">
        <v>0</v>
      </c>
      <c r="N338">
        <f t="array" aca="1" ref="N338" ca="1">MATCH(TRUE,EXACT(I338,OFFSET(rngParamTypes,0,6,,1)),0)</f>
        <v>138</v>
      </c>
      <c r="O338" t="str">
        <f ca="1">IF((INDEX(rngParamTypes,$N338,7)=I338),"",1)</f>
        <v/>
      </c>
      <c r="P338">
        <f ca="1">INDEX(rngParamTypes,$N338,9)</f>
        <v>0</v>
      </c>
      <c r="Q338">
        <f ca="1">INDEX(rngParamTypes,$N338,10)</f>
        <v>3</v>
      </c>
      <c r="R338">
        <f ca="1">INDEX(rngParamTypes,$N338,11)</f>
        <v>0</v>
      </c>
      <c r="S338">
        <f ca="1">INDEX(rngParamTypes,$N338,12)</f>
        <v>0</v>
      </c>
      <c r="T338">
        <f ca="1">INDEX(rngParamTypes,$N338,13)</f>
        <v>0</v>
      </c>
      <c r="U338">
        <f ca="1">INDEX(rngParamTypes,$N338,14)</f>
        <v>-1</v>
      </c>
      <c r="V338">
        <f ca="1">INDEX(rngParamTypes,$N338,15)</f>
        <v>0</v>
      </c>
      <c r="W338">
        <f ca="1">INDEX(rngParamTypes,$N338,16)</f>
        <v>0</v>
      </c>
      <c r="X338">
        <f ca="1">INDEX(rngParamTypes,$N338,17)</f>
        <v>0</v>
      </c>
      <c r="Y338">
        <f ca="1">INDEX(rngParamTypes,$N338,18)</f>
        <v>0</v>
      </c>
    </row>
    <row r="339" spans="1:25" x14ac:dyDescent="0.2">
      <c r="A339" s="16">
        <v>338</v>
      </c>
      <c r="B339" s="37">
        <v>1</v>
      </c>
      <c r="C339" s="16" t="s">
        <v>1277</v>
      </c>
      <c r="D339" s="16" t="s">
        <v>1277</v>
      </c>
      <c r="E339" s="16"/>
      <c r="F339" s="16" t="s">
        <v>4282</v>
      </c>
      <c r="G339" s="16" t="s">
        <v>331</v>
      </c>
      <c r="H339" s="16" t="s">
        <v>1275</v>
      </c>
      <c r="I339" s="16" t="s">
        <v>332</v>
      </c>
      <c r="J339" s="16">
        <v>0</v>
      </c>
      <c r="K339" s="16">
        <v>6.2427959999999998E-2</v>
      </c>
      <c r="L339" s="16">
        <v>1</v>
      </c>
      <c r="M339" s="16">
        <v>0</v>
      </c>
      <c r="N339">
        <f t="array" aca="1" ref="N339" ca="1">MATCH(TRUE,EXACT(I339,OFFSET(rngParamTypes,0,6,,1)),0)</f>
        <v>138</v>
      </c>
      <c r="O339" t="str">
        <f ca="1">IF((INDEX(rngParamTypes,$N339,7)=I339),"",1)</f>
        <v/>
      </c>
      <c r="P339">
        <f ca="1">INDEX(rngParamTypes,$N339,9)</f>
        <v>0</v>
      </c>
      <c r="Q339">
        <f ca="1">INDEX(rngParamTypes,$N339,10)</f>
        <v>3</v>
      </c>
      <c r="R339">
        <f ca="1">INDEX(rngParamTypes,$N339,11)</f>
        <v>0</v>
      </c>
      <c r="S339">
        <f ca="1">INDEX(rngParamTypes,$N339,12)</f>
        <v>0</v>
      </c>
      <c r="T339">
        <f ca="1">INDEX(rngParamTypes,$N339,13)</f>
        <v>0</v>
      </c>
      <c r="U339">
        <f ca="1">INDEX(rngParamTypes,$N339,14)</f>
        <v>-1</v>
      </c>
      <c r="V339">
        <f ca="1">INDEX(rngParamTypes,$N339,15)</f>
        <v>0</v>
      </c>
      <c r="W339">
        <f ca="1">INDEX(rngParamTypes,$N339,16)</f>
        <v>0</v>
      </c>
      <c r="X339">
        <f ca="1">INDEX(rngParamTypes,$N339,17)</f>
        <v>0</v>
      </c>
      <c r="Y339">
        <f ca="1">INDEX(rngParamTypes,$N339,18)</f>
        <v>0</v>
      </c>
    </row>
    <row r="340" spans="1:25" x14ac:dyDescent="0.2">
      <c r="A340" s="16">
        <v>339</v>
      </c>
      <c r="B340" s="37">
        <v>1</v>
      </c>
      <c r="C340" s="16" t="s">
        <v>1279</v>
      </c>
      <c r="D340" s="16" t="s">
        <v>1279</v>
      </c>
      <c r="E340" s="16">
        <v>2</v>
      </c>
      <c r="F340" s="16" t="s">
        <v>3536</v>
      </c>
      <c r="G340" s="16" t="s">
        <v>343</v>
      </c>
      <c r="H340" s="16" t="s">
        <v>1278</v>
      </c>
      <c r="I340" s="16" t="s">
        <v>344</v>
      </c>
      <c r="J340" s="16">
        <v>0</v>
      </c>
      <c r="K340" s="16">
        <v>2.8316850000000001E-2</v>
      </c>
      <c r="L340" s="16">
        <v>1</v>
      </c>
      <c r="M340" s="16">
        <v>0</v>
      </c>
      <c r="N340">
        <f t="array" aca="1" ref="N340" ca="1">MATCH(TRUE,EXACT(I340,OFFSET(rngParamTypes,0,6,,1)),0)</f>
        <v>141</v>
      </c>
      <c r="O340" t="str">
        <f ca="1">IF((INDEX(rngParamTypes,$N340,7)=I340),"",1)</f>
        <v/>
      </c>
      <c r="P340">
        <f ca="1">INDEX(rngParamTypes,$N340,9)</f>
        <v>0</v>
      </c>
      <c r="Q340">
        <f ca="1">INDEX(rngParamTypes,$N340,10)</f>
        <v>3</v>
      </c>
      <c r="R340">
        <f ca="1">INDEX(rngParamTypes,$N340,11)</f>
        <v>-1</v>
      </c>
      <c r="S340">
        <f ca="1">INDEX(rngParamTypes,$N340,12)</f>
        <v>0</v>
      </c>
      <c r="T340">
        <f ca="1">INDEX(rngParamTypes,$N340,13)</f>
        <v>0</v>
      </c>
      <c r="U340">
        <f ca="1">INDEX(rngParamTypes,$N340,14)</f>
        <v>0</v>
      </c>
      <c r="V340">
        <f ca="1">INDEX(rngParamTypes,$N340,15)</f>
        <v>0</v>
      </c>
      <c r="W340">
        <f ca="1">INDEX(rngParamTypes,$N340,16)</f>
        <v>0</v>
      </c>
      <c r="X340">
        <f ca="1">INDEX(rngParamTypes,$N340,17)</f>
        <v>0</v>
      </c>
      <c r="Y340">
        <f ca="1">INDEX(rngParamTypes,$N340,18)</f>
        <v>0</v>
      </c>
    </row>
    <row r="341" spans="1:25" x14ac:dyDescent="0.2">
      <c r="A341" s="16">
        <v>340</v>
      </c>
      <c r="B341" s="37">
        <v>1</v>
      </c>
      <c r="C341" s="16" t="s">
        <v>1281</v>
      </c>
      <c r="D341" s="16" t="s">
        <v>1281</v>
      </c>
      <c r="E341" s="16"/>
      <c r="F341" s="16" t="s">
        <v>3537</v>
      </c>
      <c r="G341" s="16" t="s">
        <v>1271</v>
      </c>
      <c r="H341" s="16" t="s">
        <v>1280</v>
      </c>
      <c r="I341" s="16" t="s">
        <v>297</v>
      </c>
      <c r="J341" s="16">
        <v>0</v>
      </c>
      <c r="K341" s="16">
        <v>0.30480000000000002</v>
      </c>
      <c r="L341" s="16">
        <v>1</v>
      </c>
      <c r="M341" s="16">
        <v>0</v>
      </c>
      <c r="N341">
        <f t="array" aca="1" ref="N341" ca="1">MATCH(TRUE,EXACT(I341,OFFSET(rngParamTypes,0,6,,1)),0)</f>
        <v>123</v>
      </c>
      <c r="O341" t="str">
        <f ca="1">IF((INDEX(rngParamTypes,$N341,7)=I341),"",1)</f>
        <v/>
      </c>
      <c r="P341">
        <f ca="1">INDEX(rngParamTypes,$N341,9)</f>
        <v>0</v>
      </c>
      <c r="Q341">
        <f ca="1">INDEX(rngParamTypes,$N341,10)</f>
        <v>1</v>
      </c>
      <c r="R341">
        <f ca="1">INDEX(rngParamTypes,$N341,11)</f>
        <v>-1</v>
      </c>
      <c r="S341">
        <f ca="1">INDEX(rngParamTypes,$N341,12)</f>
        <v>0</v>
      </c>
      <c r="T341">
        <f ca="1">INDEX(rngParamTypes,$N341,13)</f>
        <v>0</v>
      </c>
      <c r="U341">
        <f ca="1">INDEX(rngParamTypes,$N341,14)</f>
        <v>0</v>
      </c>
      <c r="V341">
        <f ca="1">INDEX(rngParamTypes,$N341,15)</f>
        <v>0</v>
      </c>
      <c r="W341">
        <f ca="1">INDEX(rngParamTypes,$N341,16)</f>
        <v>0</v>
      </c>
      <c r="X341">
        <f ca="1">INDEX(rngParamTypes,$N341,17)</f>
        <v>0</v>
      </c>
      <c r="Y341">
        <f ca="1">INDEX(rngParamTypes,$N341,18)</f>
        <v>0</v>
      </c>
    </row>
    <row r="342" spans="1:25" x14ac:dyDescent="0.2">
      <c r="A342" s="16">
        <v>341</v>
      </c>
      <c r="B342" s="37">
        <v>1</v>
      </c>
      <c r="C342" s="16" t="s">
        <v>1283</v>
      </c>
      <c r="D342" s="16" t="s">
        <v>1283</v>
      </c>
      <c r="E342" s="16"/>
      <c r="F342" s="16" t="s">
        <v>3538</v>
      </c>
      <c r="G342" s="16" t="s">
        <v>346</v>
      </c>
      <c r="H342" s="16" t="s">
        <v>1282</v>
      </c>
      <c r="I342" s="16" t="s">
        <v>347</v>
      </c>
      <c r="J342" s="16">
        <v>0</v>
      </c>
      <c r="K342" s="16">
        <v>2.8316850000000001E-2</v>
      </c>
      <c r="L342" s="16">
        <v>1</v>
      </c>
      <c r="M342" s="16">
        <v>0</v>
      </c>
      <c r="N342">
        <f t="array" aca="1" ref="N342" ca="1">MATCH(TRUE,EXACT(I342,OFFSET(rngParamTypes,0,6,,1)),0)</f>
        <v>142</v>
      </c>
      <c r="O342" t="str">
        <f ca="1">IF((INDEX(rngParamTypes,$N342,7)=I342),"",1)</f>
        <v/>
      </c>
      <c r="P342">
        <f ca="1">INDEX(rngParamTypes,$N342,9)</f>
        <v>0</v>
      </c>
      <c r="Q342">
        <f ca="1">INDEX(rngParamTypes,$N342,10)</f>
        <v>3</v>
      </c>
      <c r="R342">
        <f ca="1">INDEX(rngParamTypes,$N342,11)</f>
        <v>-2</v>
      </c>
      <c r="S342">
        <f ca="1">INDEX(rngParamTypes,$N342,12)</f>
        <v>0</v>
      </c>
      <c r="T342">
        <f ca="1">INDEX(rngParamTypes,$N342,13)</f>
        <v>0</v>
      </c>
      <c r="U342">
        <f ca="1">INDEX(rngParamTypes,$N342,14)</f>
        <v>0</v>
      </c>
      <c r="V342">
        <f ca="1">INDEX(rngParamTypes,$N342,15)</f>
        <v>0</v>
      </c>
      <c r="W342">
        <f ca="1">INDEX(rngParamTypes,$N342,16)</f>
        <v>0</v>
      </c>
      <c r="X342">
        <f ca="1">INDEX(rngParamTypes,$N342,17)</f>
        <v>0</v>
      </c>
      <c r="Y342">
        <f ca="1">INDEX(rngParamTypes,$N342,18)</f>
        <v>0</v>
      </c>
    </row>
    <row r="343" spans="1:25" x14ac:dyDescent="0.2">
      <c r="A343" s="16">
        <v>342</v>
      </c>
      <c r="B343" s="37">
        <v>1</v>
      </c>
      <c r="C343" s="16" t="s">
        <v>1285</v>
      </c>
      <c r="D343" s="16" t="s">
        <v>1285</v>
      </c>
      <c r="E343" s="16">
        <v>2</v>
      </c>
      <c r="F343" s="16" t="s">
        <v>4383</v>
      </c>
      <c r="G343" s="16" t="s">
        <v>3307</v>
      </c>
      <c r="H343" s="16" t="s">
        <v>1284</v>
      </c>
      <c r="I343" s="16" t="s">
        <v>329</v>
      </c>
      <c r="J343" s="16">
        <v>0</v>
      </c>
      <c r="K343" s="16">
        <v>2.8316850000000001E-2</v>
      </c>
      <c r="L343" s="16">
        <v>42.637689999999999</v>
      </c>
      <c r="M343" s="16">
        <v>0</v>
      </c>
      <c r="N343">
        <f t="array" aca="1" ref="N343" ca="1">MATCH(TRUE,EXACT(I343,OFFSET(rngParamTypes,0,6,,1)),0)</f>
        <v>136</v>
      </c>
      <c r="O343" t="str">
        <f ca="1">IF((INDEX(rngParamTypes,$N343,7)=I343),"",1)</f>
        <v/>
      </c>
      <c r="P343">
        <f ca="1">INDEX(rngParamTypes,$N343,9)</f>
        <v>-1</v>
      </c>
      <c r="Q343">
        <f ca="1">INDEX(rngParamTypes,$N343,10)</f>
        <v>3</v>
      </c>
      <c r="R343">
        <f ca="1">INDEX(rngParamTypes,$N343,11)</f>
        <v>0</v>
      </c>
      <c r="S343">
        <f ca="1">INDEX(rngParamTypes,$N343,12)</f>
        <v>0</v>
      </c>
      <c r="T343">
        <f ca="1">INDEX(rngParamTypes,$N343,13)</f>
        <v>0</v>
      </c>
      <c r="U343">
        <f ca="1">INDEX(rngParamTypes,$N343,14)</f>
        <v>0</v>
      </c>
      <c r="V343">
        <f ca="1">INDEX(rngParamTypes,$N343,15)</f>
        <v>0</v>
      </c>
      <c r="W343">
        <f ca="1">INDEX(rngParamTypes,$N343,16)</f>
        <v>0</v>
      </c>
      <c r="X343">
        <f ca="1">INDEX(rngParamTypes,$N343,17)</f>
        <v>0</v>
      </c>
      <c r="Y343">
        <f ca="1">INDEX(rngParamTypes,$N343,18)</f>
        <v>0</v>
      </c>
    </row>
    <row r="344" spans="1:25" x14ac:dyDescent="0.2">
      <c r="A344" s="16">
        <v>343</v>
      </c>
      <c r="B344" s="37">
        <v>1</v>
      </c>
      <c r="C344" s="16" t="s">
        <v>1287</v>
      </c>
      <c r="D344" s="16" t="s">
        <v>1287</v>
      </c>
      <c r="E344" s="16"/>
      <c r="F344" s="16" t="s">
        <v>4283</v>
      </c>
      <c r="G344" s="16" t="s">
        <v>349</v>
      </c>
      <c r="H344" s="16" t="s">
        <v>1286</v>
      </c>
      <c r="I344" s="16" t="s">
        <v>352</v>
      </c>
      <c r="J344" s="16">
        <v>0</v>
      </c>
      <c r="K344" s="16">
        <v>1</v>
      </c>
      <c r="L344" s="16">
        <v>1</v>
      </c>
      <c r="M344" s="16">
        <v>0</v>
      </c>
      <c r="N344">
        <f t="array" aca="1" ref="N344" ca="1">MATCH(TRUE,EXACT(I344,OFFSET(rngParamTypes,0,6,,1)),0)</f>
        <v>144</v>
      </c>
      <c r="O344" t="str">
        <f ca="1">IF((INDEX(rngParamTypes,$N344,7)=I344),"",1)</f>
        <v/>
      </c>
      <c r="P344">
        <f ca="1">INDEX(rngParamTypes,$N344,9)</f>
        <v>0</v>
      </c>
      <c r="Q344">
        <f ca="1">INDEX(rngParamTypes,$N344,10)</f>
        <v>0</v>
      </c>
      <c r="R344">
        <f ca="1">INDEX(rngParamTypes,$N344,11)</f>
        <v>0</v>
      </c>
      <c r="S344">
        <f ca="1">INDEX(rngParamTypes,$N344,12)</f>
        <v>0</v>
      </c>
      <c r="T344">
        <f ca="1">INDEX(rngParamTypes,$N344,13)</f>
        <v>0</v>
      </c>
      <c r="U344">
        <f ca="1">INDEX(rngParamTypes,$N344,14)</f>
        <v>0</v>
      </c>
      <c r="V344">
        <f ca="1">INDEX(rngParamTypes,$N344,15)</f>
        <v>0</v>
      </c>
      <c r="W344">
        <f ca="1">INDEX(rngParamTypes,$N344,16)</f>
        <v>0</v>
      </c>
      <c r="X344">
        <f ca="1">INDEX(rngParamTypes,$N344,17)</f>
        <v>0</v>
      </c>
      <c r="Y344">
        <f ca="1">INDEX(rngParamTypes,$N344,18)</f>
        <v>0</v>
      </c>
    </row>
    <row r="345" spans="1:25" x14ac:dyDescent="0.2">
      <c r="A345" s="16">
        <v>344</v>
      </c>
      <c r="B345" s="37">
        <v>1</v>
      </c>
      <c r="C345" s="16" t="s">
        <v>1289</v>
      </c>
      <c r="D345" s="16" t="s">
        <v>1289</v>
      </c>
      <c r="E345" s="16">
        <v>2</v>
      </c>
      <c r="F345" s="16" t="s">
        <v>3539</v>
      </c>
      <c r="G345" s="16" t="s">
        <v>3540</v>
      </c>
      <c r="H345" s="16" t="s">
        <v>1288</v>
      </c>
      <c r="I345" s="16" t="s">
        <v>290</v>
      </c>
      <c r="J345" s="16">
        <v>0</v>
      </c>
      <c r="K345" s="16">
        <v>0.91439919999999997</v>
      </c>
      <c r="L345" s="16">
        <v>3</v>
      </c>
      <c r="M345" s="16">
        <v>0</v>
      </c>
      <c r="N345">
        <f t="array" aca="1" ref="N345" ca="1">MATCH(TRUE,EXACT(I345,OFFSET(rngParamTypes,0,6,,1)),0)</f>
        <v>109</v>
      </c>
      <c r="O345" t="str">
        <f ca="1">IF((INDEX(rngParamTypes,$N345,7)=I345),"",1)</f>
        <v/>
      </c>
      <c r="P345">
        <f ca="1">INDEX(rngParamTypes,$N345,9)</f>
        <v>0</v>
      </c>
      <c r="Q345">
        <f ca="1">INDEX(rngParamTypes,$N345,10)</f>
        <v>1</v>
      </c>
      <c r="R345">
        <f ca="1">INDEX(rngParamTypes,$N345,11)</f>
        <v>0</v>
      </c>
      <c r="S345">
        <f ca="1">INDEX(rngParamTypes,$N345,12)</f>
        <v>0</v>
      </c>
      <c r="T345">
        <f ca="1">INDEX(rngParamTypes,$N345,13)</f>
        <v>0</v>
      </c>
      <c r="U345">
        <f ca="1">INDEX(rngParamTypes,$N345,14)</f>
        <v>0</v>
      </c>
      <c r="V345">
        <f ca="1">INDEX(rngParamTypes,$N345,15)</f>
        <v>0</v>
      </c>
      <c r="W345">
        <f ca="1">INDEX(rngParamTypes,$N345,16)</f>
        <v>0</v>
      </c>
      <c r="X345">
        <f ca="1">INDEX(rngParamTypes,$N345,17)</f>
        <v>0</v>
      </c>
      <c r="Y345">
        <f ca="1">INDEX(rngParamTypes,$N345,18)</f>
        <v>0</v>
      </c>
    </row>
    <row r="346" spans="1:25" x14ac:dyDescent="0.2">
      <c r="A346" s="16">
        <v>345</v>
      </c>
      <c r="B346" s="37">
        <v>1</v>
      </c>
      <c r="C346" s="16" t="s">
        <v>1291</v>
      </c>
      <c r="D346" s="16" t="s">
        <v>1291</v>
      </c>
      <c r="E346" s="16">
        <v>2</v>
      </c>
      <c r="F346" s="16" t="s">
        <v>3541</v>
      </c>
      <c r="G346" s="16" t="s">
        <v>3540</v>
      </c>
      <c r="H346" s="16" t="s">
        <v>1290</v>
      </c>
      <c r="I346" s="16" t="s">
        <v>290</v>
      </c>
      <c r="J346" s="16">
        <v>0</v>
      </c>
      <c r="K346" s="16">
        <v>12</v>
      </c>
      <c r="L346" s="16">
        <v>39.370113000000003</v>
      </c>
      <c r="M346" s="16">
        <v>0</v>
      </c>
      <c r="N346">
        <f t="array" aca="1" ref="N346" ca="1">MATCH(TRUE,EXACT(I346,OFFSET(rngParamTypes,0,6,,1)),0)</f>
        <v>109</v>
      </c>
      <c r="O346" t="str">
        <f ca="1">IF((INDEX(rngParamTypes,$N346,7)=I346),"",1)</f>
        <v/>
      </c>
      <c r="P346">
        <f ca="1">INDEX(rngParamTypes,$N346,9)</f>
        <v>0</v>
      </c>
      <c r="Q346">
        <f ca="1">INDEX(rngParamTypes,$N346,10)</f>
        <v>1</v>
      </c>
      <c r="R346">
        <f ca="1">INDEX(rngParamTypes,$N346,11)</f>
        <v>0</v>
      </c>
      <c r="S346">
        <f ca="1">INDEX(rngParamTypes,$N346,12)</f>
        <v>0</v>
      </c>
      <c r="T346">
        <f ca="1">INDEX(rngParamTypes,$N346,13)</f>
        <v>0</v>
      </c>
      <c r="U346">
        <f ca="1">INDEX(rngParamTypes,$N346,14)</f>
        <v>0</v>
      </c>
      <c r="V346">
        <f ca="1">INDEX(rngParamTypes,$N346,15)</f>
        <v>0</v>
      </c>
      <c r="W346">
        <f ca="1">INDEX(rngParamTypes,$N346,16)</f>
        <v>0</v>
      </c>
      <c r="X346">
        <f ca="1">INDEX(rngParamTypes,$N346,17)</f>
        <v>0</v>
      </c>
      <c r="Y346">
        <f ca="1">INDEX(rngParamTypes,$N346,18)</f>
        <v>0</v>
      </c>
    </row>
    <row r="347" spans="1:25" x14ac:dyDescent="0.2">
      <c r="A347" s="16">
        <v>346</v>
      </c>
      <c r="B347" s="37">
        <v>1</v>
      </c>
      <c r="C347" s="16" t="s">
        <v>1293</v>
      </c>
      <c r="D347" s="16" t="s">
        <v>1293</v>
      </c>
      <c r="E347" s="16">
        <v>2</v>
      </c>
      <c r="F347" s="16" t="s">
        <v>4284</v>
      </c>
      <c r="G347" s="16" t="s">
        <v>3540</v>
      </c>
      <c r="H347" s="16" t="s">
        <v>1292</v>
      </c>
      <c r="I347" s="16" t="s">
        <v>290</v>
      </c>
      <c r="J347" s="16">
        <v>0</v>
      </c>
      <c r="K347" s="16">
        <v>0.91440250000000001</v>
      </c>
      <c r="L347" s="16">
        <v>3</v>
      </c>
      <c r="M347" s="16">
        <v>0</v>
      </c>
      <c r="N347">
        <f t="array" aca="1" ref="N347" ca="1">MATCH(TRUE,EXACT(I347,OFFSET(rngParamTypes,0,6,,1)),0)</f>
        <v>109</v>
      </c>
      <c r="O347" t="str">
        <f ca="1">IF((INDEX(rngParamTypes,$N347,7)=I347),"",1)</f>
        <v/>
      </c>
      <c r="P347">
        <f ca="1">INDEX(rngParamTypes,$N347,9)</f>
        <v>0</v>
      </c>
      <c r="Q347">
        <f ca="1">INDEX(rngParamTypes,$N347,10)</f>
        <v>1</v>
      </c>
      <c r="R347">
        <f ca="1">INDEX(rngParamTypes,$N347,11)</f>
        <v>0</v>
      </c>
      <c r="S347">
        <f ca="1">INDEX(rngParamTypes,$N347,12)</f>
        <v>0</v>
      </c>
      <c r="T347">
        <f ca="1">INDEX(rngParamTypes,$N347,13)</f>
        <v>0</v>
      </c>
      <c r="U347">
        <f ca="1">INDEX(rngParamTypes,$N347,14)</f>
        <v>0</v>
      </c>
      <c r="V347">
        <f ca="1">INDEX(rngParamTypes,$N347,15)</f>
        <v>0</v>
      </c>
      <c r="W347">
        <f ca="1">INDEX(rngParamTypes,$N347,16)</f>
        <v>0</v>
      </c>
      <c r="X347">
        <f ca="1">INDEX(rngParamTypes,$N347,17)</f>
        <v>0</v>
      </c>
      <c r="Y347">
        <f ca="1">INDEX(rngParamTypes,$N347,18)</f>
        <v>0</v>
      </c>
    </row>
    <row r="348" spans="1:25" x14ac:dyDescent="0.2">
      <c r="A348" s="16">
        <v>347</v>
      </c>
      <c r="B348" s="37">
        <v>1</v>
      </c>
      <c r="C348" s="16" t="s">
        <v>1295</v>
      </c>
      <c r="D348" s="16" t="s">
        <v>1295</v>
      </c>
      <c r="E348" s="16">
        <v>2</v>
      </c>
      <c r="F348" s="16" t="s">
        <v>3542</v>
      </c>
      <c r="G348" s="16" t="s">
        <v>3540</v>
      </c>
      <c r="H348" s="16" t="s">
        <v>1294</v>
      </c>
      <c r="I348" s="16" t="s">
        <v>290</v>
      </c>
      <c r="J348" s="16">
        <v>0</v>
      </c>
      <c r="K348" s="16">
        <v>0.30479726499999998</v>
      </c>
      <c r="L348" s="16">
        <v>1</v>
      </c>
      <c r="M348" s="16">
        <v>0</v>
      </c>
      <c r="N348">
        <f t="array" aca="1" ref="N348" ca="1">MATCH(TRUE,EXACT(I348,OFFSET(rngParamTypes,0,6,,1)),0)</f>
        <v>109</v>
      </c>
      <c r="O348" t="str">
        <f ca="1">IF((INDEX(rngParamTypes,$N348,7)=I348),"",1)</f>
        <v/>
      </c>
      <c r="P348">
        <f ca="1">INDEX(rngParamTypes,$N348,9)</f>
        <v>0</v>
      </c>
      <c r="Q348">
        <f ca="1">INDEX(rngParamTypes,$N348,10)</f>
        <v>1</v>
      </c>
      <c r="R348">
        <f ca="1">INDEX(rngParamTypes,$N348,11)</f>
        <v>0</v>
      </c>
      <c r="S348">
        <f ca="1">INDEX(rngParamTypes,$N348,12)</f>
        <v>0</v>
      </c>
      <c r="T348">
        <f ca="1">INDEX(rngParamTypes,$N348,13)</f>
        <v>0</v>
      </c>
      <c r="U348">
        <f ca="1">INDEX(rngParamTypes,$N348,14)</f>
        <v>0</v>
      </c>
      <c r="V348">
        <f ca="1">INDEX(rngParamTypes,$N348,15)</f>
        <v>0</v>
      </c>
      <c r="W348">
        <f ca="1">INDEX(rngParamTypes,$N348,16)</f>
        <v>0</v>
      </c>
      <c r="X348">
        <f ca="1">INDEX(rngParamTypes,$N348,17)</f>
        <v>0</v>
      </c>
      <c r="Y348">
        <f ca="1">INDEX(rngParamTypes,$N348,18)</f>
        <v>0</v>
      </c>
    </row>
    <row r="349" spans="1:25" x14ac:dyDescent="0.2">
      <c r="A349" s="16">
        <v>348</v>
      </c>
      <c r="B349" s="37">
        <v>1</v>
      </c>
      <c r="C349" s="16" t="s">
        <v>1297</v>
      </c>
      <c r="D349" s="16" t="s">
        <v>1297</v>
      </c>
      <c r="E349" s="16">
        <v>2</v>
      </c>
      <c r="F349" s="16" t="s">
        <v>3543</v>
      </c>
      <c r="G349" s="16" t="s">
        <v>3540</v>
      </c>
      <c r="H349" s="16" t="s">
        <v>1296</v>
      </c>
      <c r="I349" s="16" t="s">
        <v>290</v>
      </c>
      <c r="J349" s="16">
        <v>0</v>
      </c>
      <c r="K349" s="16">
        <v>6378300</v>
      </c>
      <c r="L349" s="16">
        <v>20926201</v>
      </c>
      <c r="M349" s="16">
        <v>0</v>
      </c>
      <c r="N349">
        <f t="array" aca="1" ref="N349" ca="1">MATCH(TRUE,EXACT(I349,OFFSET(rngParamTypes,0,6,,1)),0)</f>
        <v>109</v>
      </c>
      <c r="O349" t="str">
        <f ca="1">IF((INDEX(rngParamTypes,$N349,7)=I349),"",1)</f>
        <v/>
      </c>
      <c r="P349">
        <f ca="1">INDEX(rngParamTypes,$N349,9)</f>
        <v>0</v>
      </c>
      <c r="Q349">
        <f ca="1">INDEX(rngParamTypes,$N349,10)</f>
        <v>1</v>
      </c>
      <c r="R349">
        <f ca="1">INDEX(rngParamTypes,$N349,11)</f>
        <v>0</v>
      </c>
      <c r="S349">
        <f ca="1">INDEX(rngParamTypes,$N349,12)</f>
        <v>0</v>
      </c>
      <c r="T349">
        <f ca="1">INDEX(rngParamTypes,$N349,13)</f>
        <v>0</v>
      </c>
      <c r="U349">
        <f ca="1">INDEX(rngParamTypes,$N349,14)</f>
        <v>0</v>
      </c>
      <c r="V349">
        <f ca="1">INDEX(rngParamTypes,$N349,15)</f>
        <v>0</v>
      </c>
      <c r="W349">
        <f ca="1">INDEX(rngParamTypes,$N349,16)</f>
        <v>0</v>
      </c>
      <c r="X349">
        <f ca="1">INDEX(rngParamTypes,$N349,17)</f>
        <v>0</v>
      </c>
      <c r="Y349">
        <f ca="1">INDEX(rngParamTypes,$N349,18)</f>
        <v>0</v>
      </c>
    </row>
    <row r="350" spans="1:25" x14ac:dyDescent="0.2">
      <c r="A350" s="16">
        <v>349</v>
      </c>
      <c r="B350" s="37">
        <v>1</v>
      </c>
      <c r="C350" s="16" t="s">
        <v>1299</v>
      </c>
      <c r="D350" s="16" t="s">
        <v>1299</v>
      </c>
      <c r="E350" s="16">
        <v>2</v>
      </c>
      <c r="F350" s="16" t="s">
        <v>3544</v>
      </c>
      <c r="G350" s="16" t="s">
        <v>3540</v>
      </c>
      <c r="H350" s="16" t="s">
        <v>1298</v>
      </c>
      <c r="I350" s="16" t="s">
        <v>290</v>
      </c>
      <c r="J350" s="16">
        <v>0</v>
      </c>
      <c r="K350" s="16">
        <v>12</v>
      </c>
      <c r="L350" s="16">
        <v>39.370142000000001</v>
      </c>
      <c r="M350" s="16">
        <v>0</v>
      </c>
      <c r="N350">
        <f t="array" aca="1" ref="N350" ca="1">MATCH(TRUE,EXACT(I350,OFFSET(rngParamTypes,0,6,,1)),0)</f>
        <v>109</v>
      </c>
      <c r="O350" t="str">
        <f ca="1">IF((INDEX(rngParamTypes,$N350,7)=I350),"",1)</f>
        <v/>
      </c>
      <c r="P350">
        <f ca="1">INDEX(rngParamTypes,$N350,9)</f>
        <v>0</v>
      </c>
      <c r="Q350">
        <f ca="1">INDEX(rngParamTypes,$N350,10)</f>
        <v>1</v>
      </c>
      <c r="R350">
        <f ca="1">INDEX(rngParamTypes,$N350,11)</f>
        <v>0</v>
      </c>
      <c r="S350">
        <f ca="1">INDEX(rngParamTypes,$N350,12)</f>
        <v>0</v>
      </c>
      <c r="T350">
        <f ca="1">INDEX(rngParamTypes,$N350,13)</f>
        <v>0</v>
      </c>
      <c r="U350">
        <f ca="1">INDEX(rngParamTypes,$N350,14)</f>
        <v>0</v>
      </c>
      <c r="V350">
        <f ca="1">INDEX(rngParamTypes,$N350,15)</f>
        <v>0</v>
      </c>
      <c r="W350">
        <f ca="1">INDEX(rngParamTypes,$N350,16)</f>
        <v>0</v>
      </c>
      <c r="X350">
        <f ca="1">INDEX(rngParamTypes,$N350,17)</f>
        <v>0</v>
      </c>
      <c r="Y350">
        <f ca="1">INDEX(rngParamTypes,$N350,18)</f>
        <v>0</v>
      </c>
    </row>
    <row r="351" spans="1:25" x14ac:dyDescent="0.2">
      <c r="A351" s="16">
        <v>350</v>
      </c>
      <c r="B351" s="37">
        <v>1</v>
      </c>
      <c r="C351" s="16" t="s">
        <v>1301</v>
      </c>
      <c r="D351" s="16" t="s">
        <v>1301</v>
      </c>
      <c r="E351" s="16">
        <v>2</v>
      </c>
      <c r="F351" s="16" t="s">
        <v>4285</v>
      </c>
      <c r="G351" s="16" t="s">
        <v>3540</v>
      </c>
      <c r="H351" s="16" t="s">
        <v>1300</v>
      </c>
      <c r="I351" s="16" t="s">
        <v>290</v>
      </c>
      <c r="J351" s="16">
        <v>0</v>
      </c>
      <c r="K351" s="16">
        <v>0.30479841000000002</v>
      </c>
      <c r="L351" s="16">
        <v>1</v>
      </c>
      <c r="M351" s="16">
        <v>0</v>
      </c>
      <c r="N351">
        <f t="array" aca="1" ref="N351" ca="1">MATCH(TRUE,EXACT(I351,OFFSET(rngParamTypes,0,6,,1)),0)</f>
        <v>109</v>
      </c>
      <c r="O351" t="str">
        <f ca="1">IF((INDEX(rngParamTypes,$N351,7)=I351),"",1)</f>
        <v/>
      </c>
      <c r="P351">
        <f ca="1">INDEX(rngParamTypes,$N351,9)</f>
        <v>0</v>
      </c>
      <c r="Q351">
        <f ca="1">INDEX(rngParamTypes,$N351,10)</f>
        <v>1</v>
      </c>
      <c r="R351">
        <f ca="1">INDEX(rngParamTypes,$N351,11)</f>
        <v>0</v>
      </c>
      <c r="S351">
        <f ca="1">INDEX(rngParamTypes,$N351,12)</f>
        <v>0</v>
      </c>
      <c r="T351">
        <f ca="1">INDEX(rngParamTypes,$N351,13)</f>
        <v>0</v>
      </c>
      <c r="U351">
        <f ca="1">INDEX(rngParamTypes,$N351,14)</f>
        <v>0</v>
      </c>
      <c r="V351">
        <f ca="1">INDEX(rngParamTypes,$N351,15)</f>
        <v>0</v>
      </c>
      <c r="W351">
        <f ca="1">INDEX(rngParamTypes,$N351,16)</f>
        <v>0</v>
      </c>
      <c r="X351">
        <f ca="1">INDEX(rngParamTypes,$N351,17)</f>
        <v>0</v>
      </c>
      <c r="Y351">
        <f ca="1">INDEX(rngParamTypes,$N351,18)</f>
        <v>0</v>
      </c>
    </row>
    <row r="352" spans="1:25" x14ac:dyDescent="0.2">
      <c r="A352" s="16">
        <v>351</v>
      </c>
      <c r="B352" s="37">
        <v>1</v>
      </c>
      <c r="C352" s="16" t="s">
        <v>1303</v>
      </c>
      <c r="D352" s="16" t="s">
        <v>1303</v>
      </c>
      <c r="E352" s="16">
        <v>2</v>
      </c>
      <c r="F352" s="16" t="s">
        <v>4286</v>
      </c>
      <c r="G352" s="16" t="s">
        <v>3540</v>
      </c>
      <c r="H352" s="16" t="s">
        <v>1302</v>
      </c>
      <c r="I352" s="16" t="s">
        <v>290</v>
      </c>
      <c r="J352" s="16">
        <v>0</v>
      </c>
      <c r="K352" s="16">
        <v>0.3047996</v>
      </c>
      <c r="L352" s="16">
        <v>1</v>
      </c>
      <c r="M352" s="16">
        <v>0</v>
      </c>
      <c r="N352">
        <f t="array" aca="1" ref="N352" ca="1">MATCH(TRUE,EXACT(I352,OFFSET(rngParamTypes,0,6,,1)),0)</f>
        <v>109</v>
      </c>
      <c r="O352" t="str">
        <f ca="1">IF((INDEX(rngParamTypes,$N352,7)=I352),"",1)</f>
        <v/>
      </c>
      <c r="P352">
        <f ca="1">INDEX(rngParamTypes,$N352,9)</f>
        <v>0</v>
      </c>
      <c r="Q352">
        <f ca="1">INDEX(rngParamTypes,$N352,10)</f>
        <v>1</v>
      </c>
      <c r="R352">
        <f ca="1">INDEX(rngParamTypes,$N352,11)</f>
        <v>0</v>
      </c>
      <c r="S352">
        <f ca="1">INDEX(rngParamTypes,$N352,12)</f>
        <v>0</v>
      </c>
      <c r="T352">
        <f ca="1">INDEX(rngParamTypes,$N352,13)</f>
        <v>0</v>
      </c>
      <c r="U352">
        <f ca="1">INDEX(rngParamTypes,$N352,14)</f>
        <v>0</v>
      </c>
      <c r="V352">
        <f ca="1">INDEX(rngParamTypes,$N352,15)</f>
        <v>0</v>
      </c>
      <c r="W352">
        <f ca="1">INDEX(rngParamTypes,$N352,16)</f>
        <v>0</v>
      </c>
      <c r="X352">
        <f ca="1">INDEX(rngParamTypes,$N352,17)</f>
        <v>0</v>
      </c>
      <c r="Y352">
        <f ca="1">INDEX(rngParamTypes,$N352,18)</f>
        <v>0</v>
      </c>
    </row>
    <row r="353" spans="1:25" x14ac:dyDescent="0.2">
      <c r="A353" s="16">
        <v>352</v>
      </c>
      <c r="B353" s="37">
        <v>1</v>
      </c>
      <c r="C353" s="16" t="s">
        <v>1305</v>
      </c>
      <c r="D353" s="16" t="s">
        <v>1305</v>
      </c>
      <c r="E353" s="16">
        <v>2</v>
      </c>
      <c r="F353" s="16" t="s">
        <v>4287</v>
      </c>
      <c r="G353" s="16" t="s">
        <v>3540</v>
      </c>
      <c r="H353" s="16" t="s">
        <v>1304</v>
      </c>
      <c r="I353" s="16" t="s">
        <v>290</v>
      </c>
      <c r="J353" s="16">
        <v>0</v>
      </c>
      <c r="K353" s="16">
        <v>0.3047995</v>
      </c>
      <c r="L353" s="16">
        <v>1</v>
      </c>
      <c r="M353" s="16">
        <v>0</v>
      </c>
      <c r="N353">
        <f t="array" aca="1" ref="N353" ca="1">MATCH(TRUE,EXACT(I353,OFFSET(rngParamTypes,0,6,,1)),0)</f>
        <v>109</v>
      </c>
      <c r="O353" t="str">
        <f ca="1">IF((INDEX(rngParamTypes,$N353,7)=I353),"",1)</f>
        <v/>
      </c>
      <c r="P353">
        <f ca="1">INDEX(rngParamTypes,$N353,9)</f>
        <v>0</v>
      </c>
      <c r="Q353">
        <f ca="1">INDEX(rngParamTypes,$N353,10)</f>
        <v>1</v>
      </c>
      <c r="R353">
        <f ca="1">INDEX(rngParamTypes,$N353,11)</f>
        <v>0</v>
      </c>
      <c r="S353">
        <f ca="1">INDEX(rngParamTypes,$N353,12)</f>
        <v>0</v>
      </c>
      <c r="T353">
        <f ca="1">INDEX(rngParamTypes,$N353,13)</f>
        <v>0</v>
      </c>
      <c r="U353">
        <f ca="1">INDEX(rngParamTypes,$N353,14)</f>
        <v>0</v>
      </c>
      <c r="V353">
        <f ca="1">INDEX(rngParamTypes,$N353,15)</f>
        <v>0</v>
      </c>
      <c r="W353">
        <f ca="1">INDEX(rngParamTypes,$N353,16)</f>
        <v>0</v>
      </c>
      <c r="X353">
        <f ca="1">INDEX(rngParamTypes,$N353,17)</f>
        <v>0</v>
      </c>
      <c r="Y353">
        <f ca="1">INDEX(rngParamTypes,$N353,18)</f>
        <v>0</v>
      </c>
    </row>
    <row r="354" spans="1:25" x14ac:dyDescent="0.2">
      <c r="A354" s="16">
        <v>353</v>
      </c>
      <c r="B354" s="37">
        <v>1</v>
      </c>
      <c r="C354" s="16" t="s">
        <v>1307</v>
      </c>
      <c r="D354" s="16" t="s">
        <v>1307</v>
      </c>
      <c r="E354" s="16">
        <v>2</v>
      </c>
      <c r="F354" s="16" t="s">
        <v>3545</v>
      </c>
      <c r="G354" s="16" t="s">
        <v>3540</v>
      </c>
      <c r="H354" s="16" t="s">
        <v>1306</v>
      </c>
      <c r="I354" s="16" t="s">
        <v>290</v>
      </c>
      <c r="J354" s="16">
        <v>0</v>
      </c>
      <c r="K354" s="16">
        <v>0.30481225299999998</v>
      </c>
      <c r="L354" s="16">
        <v>1</v>
      </c>
      <c r="M354" s="16">
        <v>0</v>
      </c>
      <c r="N354">
        <f t="array" aca="1" ref="N354" ca="1">MATCH(TRUE,EXACT(I354,OFFSET(rngParamTypes,0,6,,1)),0)</f>
        <v>109</v>
      </c>
      <c r="O354" t="str">
        <f ca="1">IF((INDEX(rngParamTypes,$N354,7)=I354),"",1)</f>
        <v/>
      </c>
      <c r="P354">
        <f ca="1">INDEX(rngParamTypes,$N354,9)</f>
        <v>0</v>
      </c>
      <c r="Q354">
        <f ca="1">INDEX(rngParamTypes,$N354,10)</f>
        <v>1</v>
      </c>
      <c r="R354">
        <f ca="1">INDEX(rngParamTypes,$N354,11)</f>
        <v>0</v>
      </c>
      <c r="S354">
        <f ca="1">INDEX(rngParamTypes,$N354,12)</f>
        <v>0</v>
      </c>
      <c r="T354">
        <f ca="1">INDEX(rngParamTypes,$N354,13)</f>
        <v>0</v>
      </c>
      <c r="U354">
        <f ca="1">INDEX(rngParamTypes,$N354,14)</f>
        <v>0</v>
      </c>
      <c r="V354">
        <f ca="1">INDEX(rngParamTypes,$N354,15)</f>
        <v>0</v>
      </c>
      <c r="W354">
        <f ca="1">INDEX(rngParamTypes,$N354,16)</f>
        <v>0</v>
      </c>
      <c r="X354">
        <f ca="1">INDEX(rngParamTypes,$N354,17)</f>
        <v>0</v>
      </c>
      <c r="Y354">
        <f ca="1">INDEX(rngParamTypes,$N354,18)</f>
        <v>0</v>
      </c>
    </row>
    <row r="355" spans="1:25" x14ac:dyDescent="0.2">
      <c r="A355" s="16">
        <v>354</v>
      </c>
      <c r="B355" s="37">
        <v>1</v>
      </c>
      <c r="C355" s="16" t="s">
        <v>1310</v>
      </c>
      <c r="D355" s="16" t="s">
        <v>1310</v>
      </c>
      <c r="E355" s="16">
        <v>2</v>
      </c>
      <c r="F355" s="16" t="s">
        <v>3546</v>
      </c>
      <c r="G355" s="16" t="s">
        <v>3540</v>
      </c>
      <c r="H355" s="16" t="s">
        <v>1309</v>
      </c>
      <c r="I355" s="16" t="s">
        <v>290</v>
      </c>
      <c r="J355" s="16">
        <v>0</v>
      </c>
      <c r="K355" s="16">
        <v>12</v>
      </c>
      <c r="L355" s="16">
        <v>39.370147000000003</v>
      </c>
      <c r="M355" s="16">
        <v>0</v>
      </c>
      <c r="N355">
        <f t="array" aca="1" ref="N355" ca="1">MATCH(TRUE,EXACT(I355,OFFSET(rngParamTypes,0,6,,1)),0)</f>
        <v>109</v>
      </c>
      <c r="O355" t="str">
        <f ca="1">IF((INDEX(rngParamTypes,$N355,7)=I355),"",1)</f>
        <v/>
      </c>
      <c r="P355">
        <f ca="1">INDEX(rngParamTypes,$N355,9)</f>
        <v>0</v>
      </c>
      <c r="Q355">
        <f ca="1">INDEX(rngParamTypes,$N355,10)</f>
        <v>1</v>
      </c>
      <c r="R355">
        <f ca="1">INDEX(rngParamTypes,$N355,11)</f>
        <v>0</v>
      </c>
      <c r="S355">
        <f ca="1">INDEX(rngParamTypes,$N355,12)</f>
        <v>0</v>
      </c>
      <c r="T355">
        <f ca="1">INDEX(rngParamTypes,$N355,13)</f>
        <v>0</v>
      </c>
      <c r="U355">
        <f ca="1">INDEX(rngParamTypes,$N355,14)</f>
        <v>0</v>
      </c>
      <c r="V355">
        <f ca="1">INDEX(rngParamTypes,$N355,15)</f>
        <v>0</v>
      </c>
      <c r="W355">
        <f ca="1">INDEX(rngParamTypes,$N355,16)</f>
        <v>0</v>
      </c>
      <c r="X355">
        <f ca="1">INDEX(rngParamTypes,$N355,17)</f>
        <v>0</v>
      </c>
      <c r="Y355">
        <f ca="1">INDEX(rngParamTypes,$N355,18)</f>
        <v>0</v>
      </c>
    </row>
    <row r="356" spans="1:25" x14ac:dyDescent="0.2">
      <c r="A356" s="16">
        <v>355</v>
      </c>
      <c r="B356" s="37">
        <v>1</v>
      </c>
      <c r="C356" s="16" t="s">
        <v>1312</v>
      </c>
      <c r="D356" s="16" t="s">
        <v>1312</v>
      </c>
      <c r="E356" s="16">
        <v>2</v>
      </c>
      <c r="F356" s="16" t="s">
        <v>3547</v>
      </c>
      <c r="G356" s="16" t="s">
        <v>3540</v>
      </c>
      <c r="H356" s="16" t="s">
        <v>1311</v>
      </c>
      <c r="I356" s="16" t="s">
        <v>290</v>
      </c>
      <c r="J356" s="16">
        <v>0</v>
      </c>
      <c r="K356" s="16">
        <v>12</v>
      </c>
      <c r="L356" s="16">
        <v>39.369999999999997</v>
      </c>
      <c r="M356" s="16">
        <v>0</v>
      </c>
      <c r="N356">
        <f t="array" aca="1" ref="N356" ca="1">MATCH(TRUE,EXACT(I356,OFFSET(rngParamTypes,0,6,,1)),0)</f>
        <v>109</v>
      </c>
      <c r="O356" t="str">
        <f ca="1">IF((INDEX(rngParamTypes,$N356,7)=I356),"",1)</f>
        <v/>
      </c>
      <c r="P356">
        <f ca="1">INDEX(rngParamTypes,$N356,9)</f>
        <v>0</v>
      </c>
      <c r="Q356">
        <f ca="1">INDEX(rngParamTypes,$N356,10)</f>
        <v>1</v>
      </c>
      <c r="R356">
        <f ca="1">INDEX(rngParamTypes,$N356,11)</f>
        <v>0</v>
      </c>
      <c r="S356">
        <f ca="1">INDEX(rngParamTypes,$N356,12)</f>
        <v>0</v>
      </c>
      <c r="T356">
        <f ca="1">INDEX(rngParamTypes,$N356,13)</f>
        <v>0</v>
      </c>
      <c r="U356">
        <f ca="1">INDEX(rngParamTypes,$N356,14)</f>
        <v>0</v>
      </c>
      <c r="V356">
        <f ca="1">INDEX(rngParamTypes,$N356,15)</f>
        <v>0</v>
      </c>
      <c r="W356">
        <f ca="1">INDEX(rngParamTypes,$N356,16)</f>
        <v>0</v>
      </c>
      <c r="X356">
        <f ca="1">INDEX(rngParamTypes,$N356,17)</f>
        <v>0</v>
      </c>
      <c r="Y356">
        <f ca="1">INDEX(rngParamTypes,$N356,18)</f>
        <v>0</v>
      </c>
    </row>
    <row r="357" spans="1:25" x14ac:dyDescent="0.2">
      <c r="A357" s="16">
        <v>356</v>
      </c>
      <c r="B357" s="37">
        <v>1</v>
      </c>
      <c r="C357" s="16" t="s">
        <v>1314</v>
      </c>
      <c r="D357" s="16" t="s">
        <v>1314</v>
      </c>
      <c r="E357" s="16">
        <v>2</v>
      </c>
      <c r="F357" s="16" t="s">
        <v>3548</v>
      </c>
      <c r="G357" s="16" t="s">
        <v>220</v>
      </c>
      <c r="H357" s="16" t="s">
        <v>1313</v>
      </c>
      <c r="I357" s="16" t="s">
        <v>221</v>
      </c>
      <c r="J357" s="16">
        <v>0</v>
      </c>
      <c r="K357" s="16">
        <v>1E-3</v>
      </c>
      <c r="L357" s="16">
        <v>1</v>
      </c>
      <c r="M357" s="16">
        <v>0</v>
      </c>
      <c r="N357">
        <f t="array" aca="1" ref="N357" ca="1">MATCH(TRUE,EXACT(I357,OFFSET(rngParamTypes,0,6,,1)),0)</f>
        <v>87</v>
      </c>
      <c r="O357" t="str">
        <f ca="1">IF((INDEX(rngParamTypes,$N357,7)=I357),"",1)</f>
        <v/>
      </c>
      <c r="P357">
        <f ca="1">INDEX(rngParamTypes,$N357,9)</f>
        <v>1</v>
      </c>
      <c r="Q357">
        <f ca="1">INDEX(rngParamTypes,$N357,10)</f>
        <v>0</v>
      </c>
      <c r="R357">
        <f ca="1">INDEX(rngParamTypes,$N357,11)</f>
        <v>0</v>
      </c>
      <c r="S357">
        <f ca="1">INDEX(rngParamTypes,$N357,12)</f>
        <v>0</v>
      </c>
      <c r="T357">
        <f ca="1">INDEX(rngParamTypes,$N357,13)</f>
        <v>0</v>
      </c>
      <c r="U357">
        <f ca="1">INDEX(rngParamTypes,$N357,14)</f>
        <v>0</v>
      </c>
      <c r="V357">
        <f ca="1">INDEX(rngParamTypes,$N357,15)</f>
        <v>0</v>
      </c>
      <c r="W357">
        <f ca="1">INDEX(rngParamTypes,$N357,16)</f>
        <v>0</v>
      </c>
      <c r="X357">
        <f ca="1">INDEX(rngParamTypes,$N357,17)</f>
        <v>0</v>
      </c>
      <c r="Y357">
        <f ca="1">INDEX(rngParamTypes,$N357,18)</f>
        <v>0</v>
      </c>
    </row>
    <row r="358" spans="1:25" x14ac:dyDescent="0.2">
      <c r="A358" s="16">
        <v>357</v>
      </c>
      <c r="B358" s="37">
        <v>1</v>
      </c>
      <c r="C358" s="16" t="s">
        <v>1316</v>
      </c>
      <c r="D358" s="16" t="s">
        <v>1316</v>
      </c>
      <c r="E358" s="16"/>
      <c r="F358" s="16" t="s">
        <v>3549</v>
      </c>
      <c r="G358" s="16" t="s">
        <v>246</v>
      </c>
      <c r="H358" s="16" t="s">
        <v>1315</v>
      </c>
      <c r="I358" s="16" t="s">
        <v>247</v>
      </c>
      <c r="J358" s="16">
        <v>0</v>
      </c>
      <c r="K358" s="16">
        <v>3.0479999999999998E-4</v>
      </c>
      <c r="L358" s="16">
        <v>9.9999999999999995E-7</v>
      </c>
      <c r="M358" s="16">
        <v>0</v>
      </c>
      <c r="N358">
        <f t="array" aca="1" ref="N358" ca="1">MATCH(TRUE,EXACT(I358,OFFSET(rngParamTypes,0,6,,1)),0)</f>
        <v>98</v>
      </c>
      <c r="O358" t="str">
        <f ca="1">IF((INDEX(rngParamTypes,$N358,7)=I358),"",1)</f>
        <v/>
      </c>
      <c r="P358">
        <f ca="1">INDEX(rngParamTypes,$N358,9)</f>
        <v>1</v>
      </c>
      <c r="Q358">
        <f ca="1">INDEX(rngParamTypes,$N358,10)</f>
        <v>-2</v>
      </c>
      <c r="R358">
        <f ca="1">INDEX(rngParamTypes,$N358,11)</f>
        <v>-1</v>
      </c>
      <c r="S358">
        <f ca="1">INDEX(rngParamTypes,$N358,12)</f>
        <v>0</v>
      </c>
      <c r="T358">
        <f ca="1">INDEX(rngParamTypes,$N358,13)</f>
        <v>0</v>
      </c>
      <c r="U358">
        <f ca="1">INDEX(rngParamTypes,$N358,14)</f>
        <v>0</v>
      </c>
      <c r="V358">
        <f ca="1">INDEX(rngParamTypes,$N358,15)</f>
        <v>0</v>
      </c>
      <c r="W358">
        <f ca="1">INDEX(rngParamTypes,$N358,16)</f>
        <v>0</v>
      </c>
      <c r="X358">
        <f ca="1">INDEX(rngParamTypes,$N358,17)</f>
        <v>0</v>
      </c>
      <c r="Y358">
        <f ca="1">INDEX(rngParamTypes,$N358,18)</f>
        <v>0</v>
      </c>
    </row>
    <row r="359" spans="1:25" x14ac:dyDescent="0.2">
      <c r="A359" s="16">
        <v>358</v>
      </c>
      <c r="B359" s="37">
        <v>1</v>
      </c>
      <c r="C359" s="16" t="s">
        <v>1318</v>
      </c>
      <c r="D359" s="16" t="s">
        <v>1318</v>
      </c>
      <c r="E359" s="16">
        <v>2</v>
      </c>
      <c r="F359" s="16" t="s">
        <v>3550</v>
      </c>
      <c r="G359" s="16" t="s">
        <v>3253</v>
      </c>
      <c r="H359" s="16" t="s">
        <v>1317</v>
      </c>
      <c r="I359" s="16" t="s">
        <v>252</v>
      </c>
      <c r="J359" s="16">
        <v>0</v>
      </c>
      <c r="K359" s="16">
        <v>1000</v>
      </c>
      <c r="L359" s="16">
        <v>1</v>
      </c>
      <c r="M359" s="16">
        <v>0</v>
      </c>
      <c r="N359">
        <f t="array" aca="1" ref="N359" ca="1">MATCH(TRUE,EXACT(I359,OFFSET(rngParamTypes,0,6,,1)),0)</f>
        <v>99</v>
      </c>
      <c r="O359" t="str">
        <f ca="1">IF((INDEX(rngParamTypes,$N359,7)=I359),"",1)</f>
        <v/>
      </c>
      <c r="P359">
        <f ca="1">INDEX(rngParamTypes,$N359,9)</f>
        <v>1</v>
      </c>
      <c r="Q359">
        <f ca="1">INDEX(rngParamTypes,$N359,10)</f>
        <v>-3</v>
      </c>
      <c r="R359">
        <f ca="1">INDEX(rngParamTypes,$N359,11)</f>
        <v>0</v>
      </c>
      <c r="S359">
        <f ca="1">INDEX(rngParamTypes,$N359,12)</f>
        <v>0</v>
      </c>
      <c r="T359">
        <f ca="1">INDEX(rngParamTypes,$N359,13)</f>
        <v>0</v>
      </c>
      <c r="U359">
        <f ca="1">INDEX(rngParamTypes,$N359,14)</f>
        <v>0</v>
      </c>
      <c r="V359">
        <f ca="1">INDEX(rngParamTypes,$N359,15)</f>
        <v>0</v>
      </c>
      <c r="W359">
        <f ca="1">INDEX(rngParamTypes,$N359,16)</f>
        <v>0</v>
      </c>
      <c r="X359">
        <f ca="1">INDEX(rngParamTypes,$N359,17)</f>
        <v>0</v>
      </c>
      <c r="Y359">
        <f ca="1">INDEX(rngParamTypes,$N359,18)</f>
        <v>0</v>
      </c>
    </row>
    <row r="360" spans="1:25" x14ac:dyDescent="0.2">
      <c r="A360" s="16">
        <v>359</v>
      </c>
      <c r="B360" s="37">
        <v>1</v>
      </c>
      <c r="C360" s="16" t="s">
        <v>1320</v>
      </c>
      <c r="D360" s="16" t="s">
        <v>1320</v>
      </c>
      <c r="E360" s="16"/>
      <c r="F360" s="16" t="s">
        <v>3551</v>
      </c>
      <c r="G360" s="16" t="s">
        <v>254</v>
      </c>
      <c r="H360" s="16" t="s">
        <v>1319</v>
      </c>
      <c r="I360" s="16" t="s">
        <v>255</v>
      </c>
      <c r="J360" s="16">
        <v>0</v>
      </c>
      <c r="K360" s="16">
        <v>100000</v>
      </c>
      <c r="L360" s="16">
        <v>1</v>
      </c>
      <c r="M360" s="16">
        <v>0</v>
      </c>
      <c r="N360">
        <f t="array" aca="1" ref="N360" ca="1">MATCH(TRUE,EXACT(I360,OFFSET(rngParamTypes,0,6,,1)),0)</f>
        <v>102</v>
      </c>
      <c r="O360" t="str">
        <f ca="1">IF((INDEX(rngParamTypes,$N360,7)=I360),"",1)</f>
        <v/>
      </c>
      <c r="P360">
        <f ca="1">INDEX(rngParamTypes,$N360,9)</f>
        <v>1</v>
      </c>
      <c r="Q360">
        <f ca="1">INDEX(rngParamTypes,$N360,10)</f>
        <v>-4</v>
      </c>
      <c r="R360">
        <f ca="1">INDEX(rngParamTypes,$N360,11)</f>
        <v>0</v>
      </c>
      <c r="S360">
        <f ca="1">INDEX(rngParamTypes,$N360,12)</f>
        <v>0</v>
      </c>
      <c r="T360">
        <f ca="1">INDEX(rngParamTypes,$N360,13)</f>
        <v>0</v>
      </c>
      <c r="U360">
        <f ca="1">INDEX(rngParamTypes,$N360,14)</f>
        <v>0</v>
      </c>
      <c r="V360">
        <f ca="1">INDEX(rngParamTypes,$N360,15)</f>
        <v>0</v>
      </c>
      <c r="W360">
        <f ca="1">INDEX(rngParamTypes,$N360,16)</f>
        <v>0</v>
      </c>
      <c r="X360">
        <f ca="1">INDEX(rngParamTypes,$N360,17)</f>
        <v>0</v>
      </c>
      <c r="Y360">
        <f ca="1">INDEX(rngParamTypes,$N360,18)</f>
        <v>0</v>
      </c>
    </row>
    <row r="361" spans="1:25" x14ac:dyDescent="0.2">
      <c r="A361" s="16">
        <v>360</v>
      </c>
      <c r="B361" s="37">
        <v>1</v>
      </c>
      <c r="C361" s="16" t="s">
        <v>1322</v>
      </c>
      <c r="D361" s="16" t="s">
        <v>1322</v>
      </c>
      <c r="E361" s="16">
        <v>2</v>
      </c>
      <c r="F361" s="16" t="s">
        <v>3552</v>
      </c>
      <c r="G361" s="16" t="s">
        <v>3253</v>
      </c>
      <c r="H361" s="16" t="s">
        <v>1321</v>
      </c>
      <c r="I361" s="16" t="s">
        <v>252</v>
      </c>
      <c r="J361" s="16">
        <v>0</v>
      </c>
      <c r="K361" s="16">
        <v>1</v>
      </c>
      <c r="L361" s="16">
        <v>1</v>
      </c>
      <c r="M361" s="16">
        <v>0</v>
      </c>
      <c r="N361">
        <f t="array" aca="1" ref="N361" ca="1">MATCH(TRUE,EXACT(I361,OFFSET(rngParamTypes,0,6,,1)),0)</f>
        <v>99</v>
      </c>
      <c r="O361" t="str">
        <f ca="1">IF((INDEX(rngParamTypes,$N361,7)=I361),"",1)</f>
        <v/>
      </c>
      <c r="P361">
        <f ca="1">INDEX(rngParamTypes,$N361,9)</f>
        <v>1</v>
      </c>
      <c r="Q361">
        <f ca="1">INDEX(rngParamTypes,$N361,10)</f>
        <v>-3</v>
      </c>
      <c r="R361">
        <f ca="1">INDEX(rngParamTypes,$N361,11)</f>
        <v>0</v>
      </c>
      <c r="S361">
        <f ca="1">INDEX(rngParamTypes,$N361,12)</f>
        <v>0</v>
      </c>
      <c r="T361">
        <f ca="1">INDEX(rngParamTypes,$N361,13)</f>
        <v>0</v>
      </c>
      <c r="U361">
        <f ca="1">INDEX(rngParamTypes,$N361,14)</f>
        <v>0</v>
      </c>
      <c r="V361">
        <f ca="1">INDEX(rngParamTypes,$N361,15)</f>
        <v>0</v>
      </c>
      <c r="W361">
        <f ca="1">INDEX(rngParamTypes,$N361,16)</f>
        <v>0</v>
      </c>
      <c r="X361">
        <f ca="1">INDEX(rngParamTypes,$N361,17)</f>
        <v>0</v>
      </c>
      <c r="Y361">
        <f ca="1">INDEX(rngParamTypes,$N361,18)</f>
        <v>0</v>
      </c>
    </row>
    <row r="362" spans="1:25" x14ac:dyDescent="0.2">
      <c r="A362" s="16">
        <v>361</v>
      </c>
      <c r="B362" s="37">
        <v>1</v>
      </c>
      <c r="C362" s="16" t="s">
        <v>1324</v>
      </c>
      <c r="D362" s="16" t="s">
        <v>1324</v>
      </c>
      <c r="E362" s="16">
        <v>2</v>
      </c>
      <c r="F362" s="16" t="s">
        <v>3553</v>
      </c>
      <c r="G362" s="16" t="s">
        <v>3253</v>
      </c>
      <c r="H362" s="16" t="s">
        <v>1323</v>
      </c>
      <c r="I362" s="16" t="s">
        <v>252</v>
      </c>
      <c r="J362" s="16">
        <v>0</v>
      </c>
      <c r="K362" s="16">
        <v>0.2199692</v>
      </c>
      <c r="L362" s="16">
        <v>1</v>
      </c>
      <c r="M362" s="16">
        <v>0</v>
      </c>
      <c r="N362">
        <f t="array" aca="1" ref="N362" ca="1">MATCH(TRUE,EXACT(I362,OFFSET(rngParamTypes,0,6,,1)),0)</f>
        <v>99</v>
      </c>
      <c r="O362" t="str">
        <f ca="1">IF((INDEX(rngParamTypes,$N362,7)=I362),"",1)</f>
        <v/>
      </c>
      <c r="P362">
        <f ca="1">INDEX(rngParamTypes,$N362,9)</f>
        <v>1</v>
      </c>
      <c r="Q362">
        <f ca="1">INDEX(rngParamTypes,$N362,10)</f>
        <v>-3</v>
      </c>
      <c r="R362">
        <f ca="1">INDEX(rngParamTypes,$N362,11)</f>
        <v>0</v>
      </c>
      <c r="S362">
        <f ca="1">INDEX(rngParamTypes,$N362,12)</f>
        <v>0</v>
      </c>
      <c r="T362">
        <f ca="1">INDEX(rngParamTypes,$N362,13)</f>
        <v>0</v>
      </c>
      <c r="U362">
        <f ca="1">INDEX(rngParamTypes,$N362,14)</f>
        <v>0</v>
      </c>
      <c r="V362">
        <f ca="1">INDEX(rngParamTypes,$N362,15)</f>
        <v>0</v>
      </c>
      <c r="W362">
        <f ca="1">INDEX(rngParamTypes,$N362,16)</f>
        <v>0</v>
      </c>
      <c r="X362">
        <f ca="1">INDEX(rngParamTypes,$N362,17)</f>
        <v>0</v>
      </c>
      <c r="Y362">
        <f ca="1">INDEX(rngParamTypes,$N362,18)</f>
        <v>0</v>
      </c>
    </row>
    <row r="363" spans="1:25" x14ac:dyDescent="0.2">
      <c r="A363" s="16">
        <v>362</v>
      </c>
      <c r="B363" s="37">
        <v>1</v>
      </c>
      <c r="C363" s="16" t="s">
        <v>1326</v>
      </c>
      <c r="D363" s="16" t="s">
        <v>1326</v>
      </c>
      <c r="E363" s="16">
        <v>2</v>
      </c>
      <c r="F363" s="16" t="s">
        <v>3554</v>
      </c>
      <c r="G363" s="16" t="s">
        <v>3253</v>
      </c>
      <c r="H363" s="16" t="s">
        <v>1325</v>
      </c>
      <c r="I363" s="16" t="s">
        <v>252</v>
      </c>
      <c r="J363" s="16">
        <v>0</v>
      </c>
      <c r="K363" s="16">
        <v>0.26417200000000002</v>
      </c>
      <c r="L363" s="16">
        <v>1</v>
      </c>
      <c r="M363" s="16">
        <v>0</v>
      </c>
      <c r="N363">
        <f t="array" aca="1" ref="N363" ca="1">MATCH(TRUE,EXACT(I363,OFFSET(rngParamTypes,0,6,,1)),0)</f>
        <v>99</v>
      </c>
      <c r="O363" t="str">
        <f ca="1">IF((INDEX(rngParamTypes,$N363,7)=I363),"",1)</f>
        <v/>
      </c>
      <c r="P363">
        <f ca="1">INDEX(rngParamTypes,$N363,9)</f>
        <v>1</v>
      </c>
      <c r="Q363">
        <f ca="1">INDEX(rngParamTypes,$N363,10)</f>
        <v>-3</v>
      </c>
      <c r="R363">
        <f ca="1">INDEX(rngParamTypes,$N363,11)</f>
        <v>0</v>
      </c>
      <c r="S363">
        <f ca="1">INDEX(rngParamTypes,$N363,12)</f>
        <v>0</v>
      </c>
      <c r="T363">
        <f ca="1">INDEX(rngParamTypes,$N363,13)</f>
        <v>0</v>
      </c>
      <c r="U363">
        <f ca="1">INDEX(rngParamTypes,$N363,14)</f>
        <v>0</v>
      </c>
      <c r="V363">
        <f ca="1">INDEX(rngParamTypes,$N363,15)</f>
        <v>0</v>
      </c>
      <c r="W363">
        <f ca="1">INDEX(rngParamTypes,$N363,16)</f>
        <v>0</v>
      </c>
      <c r="X363">
        <f ca="1">INDEX(rngParamTypes,$N363,17)</f>
        <v>0</v>
      </c>
      <c r="Y363">
        <f ca="1">INDEX(rngParamTypes,$N363,18)</f>
        <v>0</v>
      </c>
    </row>
    <row r="364" spans="1:25" x14ac:dyDescent="0.2">
      <c r="A364" s="16">
        <v>363</v>
      </c>
      <c r="B364" s="37">
        <v>1</v>
      </c>
      <c r="C364" s="16" t="s">
        <v>1328</v>
      </c>
      <c r="D364" s="16" t="s">
        <v>1328</v>
      </c>
      <c r="E364" s="16"/>
      <c r="F364" s="16" t="s">
        <v>3555</v>
      </c>
      <c r="G364" s="16" t="s">
        <v>127</v>
      </c>
      <c r="H364" s="16" t="s">
        <v>1327</v>
      </c>
      <c r="I364" s="16" t="s">
        <v>131</v>
      </c>
      <c r="J364" s="16">
        <v>0</v>
      </c>
      <c r="K364" s="16">
        <v>1E-3</v>
      </c>
      <c r="L364" s="16">
        <v>1</v>
      </c>
      <c r="M364" s="16">
        <v>0</v>
      </c>
      <c r="N364">
        <f t="array" aca="1" ref="N364" ca="1">MATCH(TRUE,EXACT(I364,OFFSET(rngParamTypes,0,6,,1)),0)</f>
        <v>42</v>
      </c>
      <c r="O364" t="str">
        <f ca="1">IF((INDEX(rngParamTypes,$N364,7)=I364),"",1)</f>
        <v/>
      </c>
      <c r="P364">
        <f ca="1">INDEX(rngParamTypes,$N364,9)</f>
        <v>0</v>
      </c>
      <c r="Q364">
        <f ca="1">INDEX(rngParamTypes,$N364,10)</f>
        <v>0</v>
      </c>
      <c r="R364">
        <f ca="1">INDEX(rngParamTypes,$N364,11)</f>
        <v>0</v>
      </c>
      <c r="S364">
        <f ca="1">INDEX(rngParamTypes,$N364,12)</f>
        <v>0</v>
      </c>
      <c r="T364">
        <f ca="1">INDEX(rngParamTypes,$N364,13)</f>
        <v>0</v>
      </c>
      <c r="U364">
        <f ca="1">INDEX(rngParamTypes,$N364,14)</f>
        <v>0</v>
      </c>
      <c r="V364">
        <f ca="1">INDEX(rngParamTypes,$N364,15)</f>
        <v>0</v>
      </c>
      <c r="W364">
        <f ca="1">INDEX(rngParamTypes,$N364,16)</f>
        <v>0</v>
      </c>
      <c r="X364">
        <f ca="1">INDEX(rngParamTypes,$N364,17)</f>
        <v>0</v>
      </c>
      <c r="Y364">
        <f ca="1">INDEX(rngParamTypes,$N364,18)</f>
        <v>0</v>
      </c>
    </row>
    <row r="365" spans="1:25" x14ac:dyDescent="0.2">
      <c r="A365" s="16">
        <v>364</v>
      </c>
      <c r="B365" s="37">
        <v>1</v>
      </c>
      <c r="C365" s="16" t="s">
        <v>1330</v>
      </c>
      <c r="D365" s="16" t="s">
        <v>1330</v>
      </c>
      <c r="E365" s="16">
        <v>2</v>
      </c>
      <c r="F365" s="16" t="s">
        <v>3556</v>
      </c>
      <c r="G365" s="16" t="s">
        <v>3253</v>
      </c>
      <c r="H365" s="16" t="s">
        <v>1329</v>
      </c>
      <c r="I365" s="16" t="s">
        <v>252</v>
      </c>
      <c r="J365" s="16">
        <v>0</v>
      </c>
      <c r="K365" s="16">
        <v>1</v>
      </c>
      <c r="L365" s="16">
        <v>1</v>
      </c>
      <c r="M365" s="16">
        <v>0</v>
      </c>
      <c r="N365">
        <f t="array" aca="1" ref="N365" ca="1">MATCH(TRUE,EXACT(I365,OFFSET(rngParamTypes,0,6,,1)),0)</f>
        <v>99</v>
      </c>
      <c r="O365" t="str">
        <f ca="1">IF((INDEX(rngParamTypes,$N365,7)=I365),"",1)</f>
        <v/>
      </c>
      <c r="P365">
        <f ca="1">INDEX(rngParamTypes,$N365,9)</f>
        <v>1</v>
      </c>
      <c r="Q365">
        <f ca="1">INDEX(rngParamTypes,$N365,10)</f>
        <v>-3</v>
      </c>
      <c r="R365">
        <f ca="1">INDEX(rngParamTypes,$N365,11)</f>
        <v>0</v>
      </c>
      <c r="S365">
        <f ca="1">INDEX(rngParamTypes,$N365,12)</f>
        <v>0</v>
      </c>
      <c r="T365">
        <f ca="1">INDEX(rngParamTypes,$N365,13)</f>
        <v>0</v>
      </c>
      <c r="U365">
        <f ca="1">INDEX(rngParamTypes,$N365,14)</f>
        <v>0</v>
      </c>
      <c r="V365">
        <f ca="1">INDEX(rngParamTypes,$N365,15)</f>
        <v>0</v>
      </c>
      <c r="W365">
        <f ca="1">INDEX(rngParamTypes,$N365,16)</f>
        <v>0</v>
      </c>
      <c r="X365">
        <f ca="1">INDEX(rngParamTypes,$N365,17)</f>
        <v>0</v>
      </c>
      <c r="Y365">
        <f ca="1">INDEX(rngParamTypes,$N365,18)</f>
        <v>0</v>
      </c>
    </row>
    <row r="366" spans="1:25" x14ac:dyDescent="0.2">
      <c r="A366" s="16">
        <v>365</v>
      </c>
      <c r="B366" s="37">
        <v>1</v>
      </c>
      <c r="C366" s="16" t="s">
        <v>1332</v>
      </c>
      <c r="D366" s="16" t="s">
        <v>1332</v>
      </c>
      <c r="E366" s="16">
        <v>2</v>
      </c>
      <c r="F366" s="16" t="s">
        <v>3557</v>
      </c>
      <c r="G366" s="16" t="s">
        <v>3253</v>
      </c>
      <c r="H366" s="16" t="s">
        <v>1331</v>
      </c>
      <c r="I366" s="16" t="s">
        <v>252</v>
      </c>
      <c r="J366" s="16">
        <v>0</v>
      </c>
      <c r="K366" s="16">
        <v>1E-3</v>
      </c>
      <c r="L366" s="16">
        <v>1</v>
      </c>
      <c r="M366" s="16">
        <v>0</v>
      </c>
      <c r="N366">
        <f t="array" aca="1" ref="N366" ca="1">MATCH(TRUE,EXACT(I366,OFFSET(rngParamTypes,0,6,,1)),0)</f>
        <v>99</v>
      </c>
      <c r="O366" t="str">
        <f ca="1">IF((INDEX(rngParamTypes,$N366,7)=I366),"",1)</f>
        <v/>
      </c>
      <c r="P366">
        <f ca="1">INDEX(rngParamTypes,$N366,9)</f>
        <v>1</v>
      </c>
      <c r="Q366">
        <f ca="1">INDEX(rngParamTypes,$N366,10)</f>
        <v>-3</v>
      </c>
      <c r="R366">
        <f ca="1">INDEX(rngParamTypes,$N366,11)</f>
        <v>0</v>
      </c>
      <c r="S366">
        <f ca="1">INDEX(rngParamTypes,$N366,12)</f>
        <v>0</v>
      </c>
      <c r="T366">
        <f ca="1">INDEX(rngParamTypes,$N366,13)</f>
        <v>0</v>
      </c>
      <c r="U366">
        <f ca="1">INDEX(rngParamTypes,$N366,14)</f>
        <v>0</v>
      </c>
      <c r="V366">
        <f ca="1">INDEX(rngParamTypes,$N366,15)</f>
        <v>0</v>
      </c>
      <c r="W366">
        <f ca="1">INDEX(rngParamTypes,$N366,16)</f>
        <v>0</v>
      </c>
      <c r="X366">
        <f ca="1">INDEX(rngParamTypes,$N366,17)</f>
        <v>0</v>
      </c>
      <c r="Y366">
        <f ca="1">INDEX(rngParamTypes,$N366,18)</f>
        <v>0</v>
      </c>
    </row>
    <row r="367" spans="1:25" x14ac:dyDescent="0.2">
      <c r="A367" s="16">
        <v>366</v>
      </c>
      <c r="B367" s="37">
        <v>1</v>
      </c>
      <c r="C367" s="16" t="s">
        <v>1334</v>
      </c>
      <c r="D367" s="16" t="s">
        <v>1334</v>
      </c>
      <c r="E367" s="16">
        <v>2</v>
      </c>
      <c r="F367" s="16" t="s">
        <v>3558</v>
      </c>
      <c r="G367" s="16" t="s">
        <v>257</v>
      </c>
      <c r="H367" s="16" t="s">
        <v>1333</v>
      </c>
      <c r="I367" s="16" t="s">
        <v>258</v>
      </c>
      <c r="J367" s="16">
        <v>0</v>
      </c>
      <c r="K367" s="16">
        <v>1E-3</v>
      </c>
      <c r="L367" s="16">
        <v>1</v>
      </c>
      <c r="M367" s="16">
        <v>0</v>
      </c>
      <c r="N367">
        <f t="array" aca="1" ref="N367" ca="1">MATCH(TRUE,EXACT(I367,OFFSET(rngParamTypes,0,6,,1)),0)</f>
        <v>103</v>
      </c>
      <c r="O367" t="str">
        <f ca="1">IF((INDEX(rngParamTypes,$N367,7)=I367),"",1)</f>
        <v/>
      </c>
      <c r="P367">
        <f ca="1">INDEX(rngParamTypes,$N367,9)</f>
        <v>1</v>
      </c>
      <c r="Q367">
        <f ca="1">INDEX(rngParamTypes,$N367,10)</f>
        <v>0</v>
      </c>
      <c r="R367">
        <f ca="1">INDEX(rngParamTypes,$N367,11)</f>
        <v>-1</v>
      </c>
      <c r="S367">
        <f ca="1">INDEX(rngParamTypes,$N367,12)</f>
        <v>0</v>
      </c>
      <c r="T367">
        <f ca="1">INDEX(rngParamTypes,$N367,13)</f>
        <v>0</v>
      </c>
      <c r="U367">
        <f ca="1">INDEX(rngParamTypes,$N367,14)</f>
        <v>0</v>
      </c>
      <c r="V367">
        <f ca="1">INDEX(rngParamTypes,$N367,15)</f>
        <v>0</v>
      </c>
      <c r="W367">
        <f ca="1">INDEX(rngParamTypes,$N367,16)</f>
        <v>0</v>
      </c>
      <c r="X367">
        <f ca="1">INDEX(rngParamTypes,$N367,17)</f>
        <v>0</v>
      </c>
      <c r="Y367">
        <f ca="1">INDEX(rngParamTypes,$N367,18)</f>
        <v>0</v>
      </c>
    </row>
    <row r="368" spans="1:25" x14ac:dyDescent="0.2">
      <c r="A368" s="16">
        <v>367</v>
      </c>
      <c r="B368" s="37">
        <v>1</v>
      </c>
      <c r="C368" s="16" t="s">
        <v>1336</v>
      </c>
      <c r="D368" s="16" t="s">
        <v>1336</v>
      </c>
      <c r="E368" s="16">
        <v>2</v>
      </c>
      <c r="F368" s="16" t="s">
        <v>3559</v>
      </c>
      <c r="G368" s="16" t="s">
        <v>469</v>
      </c>
      <c r="H368" s="16" t="s">
        <v>1335</v>
      </c>
      <c r="I368" s="16" t="s">
        <v>470</v>
      </c>
      <c r="J368" s="16">
        <v>0</v>
      </c>
      <c r="K368" s="16">
        <v>3.155815E+16</v>
      </c>
      <c r="L368" s="16">
        <v>1</v>
      </c>
      <c r="M368" s="16">
        <v>0</v>
      </c>
      <c r="N368">
        <f t="array" aca="1" ref="N368" ca="1">MATCH(TRUE,EXACT(I368,OFFSET(rngParamTypes,0,6,,1)),0)</f>
        <v>190</v>
      </c>
      <c r="O368" t="str">
        <f ca="1">IF((INDEX(rngParamTypes,$N368,7)=I368),"",1)</f>
        <v/>
      </c>
      <c r="P368">
        <f ca="1">INDEX(rngParamTypes,$N368,9)</f>
        <v>0</v>
      </c>
      <c r="Q368">
        <f ca="1">INDEX(rngParamTypes,$N368,10)</f>
        <v>0</v>
      </c>
      <c r="R368">
        <f ca="1">INDEX(rngParamTypes,$N368,11)</f>
        <v>1</v>
      </c>
      <c r="S368">
        <f ca="1">INDEX(rngParamTypes,$N368,12)</f>
        <v>0</v>
      </c>
      <c r="T368">
        <f ca="1">INDEX(rngParamTypes,$N368,13)</f>
        <v>0</v>
      </c>
      <c r="U368">
        <f ca="1">INDEX(rngParamTypes,$N368,14)</f>
        <v>0</v>
      </c>
      <c r="V368">
        <f ca="1">INDEX(rngParamTypes,$N368,15)</f>
        <v>0</v>
      </c>
      <c r="W368">
        <f ca="1">INDEX(rngParamTypes,$N368,16)</f>
        <v>0</v>
      </c>
      <c r="X368">
        <f ca="1">INDEX(rngParamTypes,$N368,17)</f>
        <v>0</v>
      </c>
      <c r="Y368">
        <f ca="1">INDEX(rngParamTypes,$N368,18)</f>
        <v>0</v>
      </c>
    </row>
    <row r="369" spans="1:25" x14ac:dyDescent="0.2">
      <c r="A369" s="16">
        <v>368</v>
      </c>
      <c r="B369" s="37">
        <v>1</v>
      </c>
      <c r="C369" s="16" t="s">
        <v>1338</v>
      </c>
      <c r="D369" s="16" t="s">
        <v>1338</v>
      </c>
      <c r="E369" s="16">
        <v>2</v>
      </c>
      <c r="F369" s="16" t="s">
        <v>3560</v>
      </c>
      <c r="G369" s="16" t="s">
        <v>299</v>
      </c>
      <c r="H369" s="16" t="s">
        <v>1337</v>
      </c>
      <c r="I369" s="16" t="s">
        <v>300</v>
      </c>
      <c r="J369" s="16">
        <v>0</v>
      </c>
      <c r="K369" s="16">
        <v>0.01</v>
      </c>
      <c r="L369" s="16">
        <v>1</v>
      </c>
      <c r="M369" s="16">
        <v>0</v>
      </c>
      <c r="N369">
        <f t="array" aca="1" ref="N369" ca="1">MATCH(TRUE,EXACT(I369,OFFSET(rngParamTypes,0,6,,1)),0)</f>
        <v>124</v>
      </c>
      <c r="O369" t="str">
        <f ca="1">IF((INDEX(rngParamTypes,$N369,7)=I369),"",1)</f>
        <v/>
      </c>
      <c r="P369">
        <f ca="1">INDEX(rngParamTypes,$N369,9)</f>
        <v>0</v>
      </c>
      <c r="Q369">
        <f ca="1">INDEX(rngParamTypes,$N369,10)</f>
        <v>1</v>
      </c>
      <c r="R369">
        <f ca="1">INDEX(rngParamTypes,$N369,11)</f>
        <v>-2</v>
      </c>
      <c r="S369">
        <f ca="1">INDEX(rngParamTypes,$N369,12)</f>
        <v>0</v>
      </c>
      <c r="T369">
        <f ca="1">INDEX(rngParamTypes,$N369,13)</f>
        <v>0</v>
      </c>
      <c r="U369">
        <f ca="1">INDEX(rngParamTypes,$N369,14)</f>
        <v>0</v>
      </c>
      <c r="V369">
        <f ca="1">INDEX(rngParamTypes,$N369,15)</f>
        <v>0</v>
      </c>
      <c r="W369">
        <f ca="1">INDEX(rngParamTypes,$N369,16)</f>
        <v>0</v>
      </c>
      <c r="X369">
        <f ca="1">INDEX(rngParamTypes,$N369,17)</f>
        <v>0</v>
      </c>
      <c r="Y369">
        <f ca="1">INDEX(rngParamTypes,$N369,18)</f>
        <v>0</v>
      </c>
    </row>
    <row r="370" spans="1:25" x14ac:dyDescent="0.2">
      <c r="A370" s="16">
        <v>369</v>
      </c>
      <c r="B370" s="37">
        <v>1</v>
      </c>
      <c r="C370" s="16" t="s">
        <v>1340</v>
      </c>
      <c r="D370" s="16" t="s">
        <v>1340</v>
      </c>
      <c r="E370" s="16">
        <v>2</v>
      </c>
      <c r="F370" s="16" t="s">
        <v>3561</v>
      </c>
      <c r="G370" s="16" t="s">
        <v>3307</v>
      </c>
      <c r="H370" s="16" t="s">
        <v>1339</v>
      </c>
      <c r="I370" s="16" t="s">
        <v>329</v>
      </c>
      <c r="J370" s="16">
        <v>0</v>
      </c>
      <c r="K370" s="16">
        <v>3.7854120000000002E-3</v>
      </c>
      <c r="L370" s="16">
        <v>42.637689999999999</v>
      </c>
      <c r="M370" s="16">
        <v>0</v>
      </c>
      <c r="N370">
        <f t="array" aca="1" ref="N370" ca="1">MATCH(TRUE,EXACT(I370,OFFSET(rngParamTypes,0,6,,1)),0)</f>
        <v>136</v>
      </c>
      <c r="O370" t="str">
        <f ca="1">IF((INDEX(rngParamTypes,$N370,7)=I370),"",1)</f>
        <v/>
      </c>
      <c r="P370">
        <f ca="1">INDEX(rngParamTypes,$N370,9)</f>
        <v>-1</v>
      </c>
      <c r="Q370">
        <f ca="1">INDEX(rngParamTypes,$N370,10)</f>
        <v>3</v>
      </c>
      <c r="R370">
        <f ca="1">INDEX(rngParamTypes,$N370,11)</f>
        <v>0</v>
      </c>
      <c r="S370">
        <f ca="1">INDEX(rngParamTypes,$N370,12)</f>
        <v>0</v>
      </c>
      <c r="T370">
        <f ca="1">INDEX(rngParamTypes,$N370,13)</f>
        <v>0</v>
      </c>
      <c r="U370">
        <f ca="1">INDEX(rngParamTypes,$N370,14)</f>
        <v>0</v>
      </c>
      <c r="V370">
        <f ca="1">INDEX(rngParamTypes,$N370,15)</f>
        <v>0</v>
      </c>
      <c r="W370">
        <f ca="1">INDEX(rngParamTypes,$N370,16)</f>
        <v>0</v>
      </c>
      <c r="X370">
        <f ca="1">INDEX(rngParamTypes,$N370,17)</f>
        <v>0</v>
      </c>
      <c r="Y370">
        <f ca="1">INDEX(rngParamTypes,$N370,18)</f>
        <v>0</v>
      </c>
    </row>
    <row r="371" spans="1:25" x14ac:dyDescent="0.2">
      <c r="A371" s="16">
        <v>370</v>
      </c>
      <c r="B371" s="37">
        <v>1</v>
      </c>
      <c r="C371" s="16" t="s">
        <v>1342</v>
      </c>
      <c r="D371" s="16" t="s">
        <v>1342</v>
      </c>
      <c r="E371" s="16">
        <v>2</v>
      </c>
      <c r="F371" s="16" t="s">
        <v>3562</v>
      </c>
      <c r="G371" s="16" t="s">
        <v>321</v>
      </c>
      <c r="H371" s="16" t="s">
        <v>1341</v>
      </c>
      <c r="I371" s="16" t="s">
        <v>322</v>
      </c>
      <c r="J371" s="16">
        <v>0</v>
      </c>
      <c r="K371" s="16">
        <v>4.5460919999999998E-3</v>
      </c>
      <c r="L371" s="16">
        <v>1</v>
      </c>
      <c r="M371" s="16">
        <v>0</v>
      </c>
      <c r="N371">
        <f t="array" aca="1" ref="N371" ca="1">MATCH(TRUE,EXACT(I371,OFFSET(rngParamTypes,0,6,,1)),0)</f>
        <v>134</v>
      </c>
      <c r="O371" t="str">
        <f ca="1">IF((INDEX(rngParamTypes,$N371,7)=I371),"",1)</f>
        <v/>
      </c>
      <c r="P371">
        <f ca="1">INDEX(rngParamTypes,$N371,9)</f>
        <v>0</v>
      </c>
      <c r="Q371">
        <f ca="1">INDEX(rngParamTypes,$N371,10)</f>
        <v>3</v>
      </c>
      <c r="R371">
        <f ca="1">INDEX(rngParamTypes,$N371,11)</f>
        <v>0</v>
      </c>
      <c r="S371">
        <f ca="1">INDEX(rngParamTypes,$N371,12)</f>
        <v>0</v>
      </c>
      <c r="T371">
        <f ca="1">INDEX(rngParamTypes,$N371,13)</f>
        <v>0</v>
      </c>
      <c r="U371">
        <f ca="1">INDEX(rngParamTypes,$N371,14)</f>
        <v>0</v>
      </c>
      <c r="V371">
        <f ca="1">INDEX(rngParamTypes,$N371,15)</f>
        <v>0</v>
      </c>
      <c r="W371">
        <f ca="1">INDEX(rngParamTypes,$N371,16)</f>
        <v>0</v>
      </c>
      <c r="X371">
        <f ca="1">INDEX(rngParamTypes,$N371,17)</f>
        <v>0</v>
      </c>
      <c r="Y371">
        <f ca="1">INDEX(rngParamTypes,$N371,18)</f>
        <v>0</v>
      </c>
    </row>
    <row r="372" spans="1:25" x14ac:dyDescent="0.2">
      <c r="A372" s="16">
        <v>371</v>
      </c>
      <c r="B372" s="37">
        <v>1</v>
      </c>
      <c r="C372" s="16" t="s">
        <v>1344</v>
      </c>
      <c r="D372" s="16" t="s">
        <v>1344</v>
      </c>
      <c r="E372" s="16">
        <v>2</v>
      </c>
      <c r="F372" s="16" t="s">
        <v>3563</v>
      </c>
      <c r="G372" s="16" t="s">
        <v>343</v>
      </c>
      <c r="H372" s="16" t="s">
        <v>1343</v>
      </c>
      <c r="I372" s="16" t="s">
        <v>344</v>
      </c>
      <c r="J372" s="16">
        <v>0</v>
      </c>
      <c r="K372" s="16">
        <v>4.5490920000000002E-3</v>
      </c>
      <c r="L372" s="16">
        <v>86400</v>
      </c>
      <c r="M372" s="16">
        <v>0</v>
      </c>
      <c r="N372">
        <f t="array" aca="1" ref="N372" ca="1">MATCH(TRUE,EXACT(I372,OFFSET(rngParamTypes,0,6,,1)),0)</f>
        <v>141</v>
      </c>
      <c r="O372" t="str">
        <f ca="1">IF((INDEX(rngParamTypes,$N372,7)=I372),"",1)</f>
        <v/>
      </c>
      <c r="P372">
        <f ca="1">INDEX(rngParamTypes,$N372,9)</f>
        <v>0</v>
      </c>
      <c r="Q372">
        <f ca="1">INDEX(rngParamTypes,$N372,10)</f>
        <v>3</v>
      </c>
      <c r="R372">
        <f ca="1">INDEX(rngParamTypes,$N372,11)</f>
        <v>-1</v>
      </c>
      <c r="S372">
        <f ca="1">INDEX(rngParamTypes,$N372,12)</f>
        <v>0</v>
      </c>
      <c r="T372">
        <f ca="1">INDEX(rngParamTypes,$N372,13)</f>
        <v>0</v>
      </c>
      <c r="U372">
        <f ca="1">INDEX(rngParamTypes,$N372,14)</f>
        <v>0</v>
      </c>
      <c r="V372">
        <f ca="1">INDEX(rngParamTypes,$N372,15)</f>
        <v>0</v>
      </c>
      <c r="W372">
        <f ca="1">INDEX(rngParamTypes,$N372,16)</f>
        <v>0</v>
      </c>
      <c r="X372">
        <f ca="1">INDEX(rngParamTypes,$N372,17)</f>
        <v>0</v>
      </c>
      <c r="Y372">
        <f ca="1">INDEX(rngParamTypes,$N372,18)</f>
        <v>0</v>
      </c>
    </row>
    <row r="373" spans="1:25" x14ac:dyDescent="0.2">
      <c r="A373" s="16">
        <v>372</v>
      </c>
      <c r="B373" s="37">
        <v>1</v>
      </c>
      <c r="C373" s="16" t="s">
        <v>1346</v>
      </c>
      <c r="D373" s="16" t="s">
        <v>1346</v>
      </c>
      <c r="E373" s="16"/>
      <c r="F373" s="16" t="s">
        <v>3564</v>
      </c>
      <c r="G373" s="16" t="s">
        <v>659</v>
      </c>
      <c r="H373" s="16" t="s">
        <v>1345</v>
      </c>
      <c r="I373" s="16" t="s">
        <v>131</v>
      </c>
      <c r="J373" s="16">
        <v>0</v>
      </c>
      <c r="K373" s="16">
        <v>0.16054370000000001</v>
      </c>
      <c r="L373" s="16">
        <v>1</v>
      </c>
      <c r="M373" s="16">
        <v>0</v>
      </c>
      <c r="N373">
        <f t="array" aca="1" ref="N373" ca="1">MATCH(TRUE,EXACT(I373,OFFSET(rngParamTypes,0,6,,1)),0)</f>
        <v>42</v>
      </c>
      <c r="O373" t="str">
        <f ca="1">IF((INDEX(rngParamTypes,$N373,7)=I373),"",1)</f>
        <v/>
      </c>
      <c r="P373">
        <f ca="1">INDEX(rngParamTypes,$N373,9)</f>
        <v>0</v>
      </c>
      <c r="Q373">
        <f ca="1">INDEX(rngParamTypes,$N373,10)</f>
        <v>0</v>
      </c>
      <c r="R373">
        <f ca="1">INDEX(rngParamTypes,$N373,11)</f>
        <v>0</v>
      </c>
      <c r="S373">
        <f ca="1">INDEX(rngParamTypes,$N373,12)</f>
        <v>0</v>
      </c>
      <c r="T373">
        <f ca="1">INDEX(rngParamTypes,$N373,13)</f>
        <v>0</v>
      </c>
      <c r="U373">
        <f ca="1">INDEX(rngParamTypes,$N373,14)</f>
        <v>0</v>
      </c>
      <c r="V373">
        <f ca="1">INDEX(rngParamTypes,$N373,15)</f>
        <v>0</v>
      </c>
      <c r="W373">
        <f ca="1">INDEX(rngParamTypes,$N373,16)</f>
        <v>0</v>
      </c>
      <c r="X373">
        <f ca="1">INDEX(rngParamTypes,$N373,17)</f>
        <v>0</v>
      </c>
      <c r="Y373">
        <f ca="1">INDEX(rngParamTypes,$N373,18)</f>
        <v>0</v>
      </c>
    </row>
    <row r="374" spans="1:25" x14ac:dyDescent="0.2">
      <c r="A374" s="16">
        <v>373</v>
      </c>
      <c r="B374" s="37">
        <v>1</v>
      </c>
      <c r="C374" s="16" t="s">
        <v>1348</v>
      </c>
      <c r="D374" s="16" t="s">
        <v>1348</v>
      </c>
      <c r="E374" s="16">
        <v>2</v>
      </c>
      <c r="F374" s="16" t="s">
        <v>3565</v>
      </c>
      <c r="G374" s="16" t="s">
        <v>343</v>
      </c>
      <c r="H374" s="16" t="s">
        <v>1347</v>
      </c>
      <c r="I374" s="16" t="s">
        <v>344</v>
      </c>
      <c r="J374" s="16">
        <v>0</v>
      </c>
      <c r="K374" s="16">
        <v>4.5490920000000002E-3</v>
      </c>
      <c r="L374" s="16">
        <v>3600</v>
      </c>
      <c r="M374" s="16">
        <v>0</v>
      </c>
      <c r="N374">
        <f t="array" aca="1" ref="N374" ca="1">MATCH(TRUE,EXACT(I374,OFFSET(rngParamTypes,0,6,,1)),0)</f>
        <v>141</v>
      </c>
      <c r="O374" t="str">
        <f ca="1">IF((INDEX(rngParamTypes,$N374,7)=I374),"",1)</f>
        <v/>
      </c>
      <c r="P374">
        <f ca="1">INDEX(rngParamTypes,$N374,9)</f>
        <v>0</v>
      </c>
      <c r="Q374">
        <f ca="1">INDEX(rngParamTypes,$N374,10)</f>
        <v>3</v>
      </c>
      <c r="R374">
        <f ca="1">INDEX(rngParamTypes,$N374,11)</f>
        <v>-1</v>
      </c>
      <c r="S374">
        <f ca="1">INDEX(rngParamTypes,$N374,12)</f>
        <v>0</v>
      </c>
      <c r="T374">
        <f ca="1">INDEX(rngParamTypes,$N374,13)</f>
        <v>0</v>
      </c>
      <c r="U374">
        <f ca="1">INDEX(rngParamTypes,$N374,14)</f>
        <v>0</v>
      </c>
      <c r="V374">
        <f ca="1">INDEX(rngParamTypes,$N374,15)</f>
        <v>0</v>
      </c>
      <c r="W374">
        <f ca="1">INDEX(rngParamTypes,$N374,16)</f>
        <v>0</v>
      </c>
      <c r="X374">
        <f ca="1">INDEX(rngParamTypes,$N374,17)</f>
        <v>0</v>
      </c>
      <c r="Y374">
        <f ca="1">INDEX(rngParamTypes,$N374,18)</f>
        <v>0</v>
      </c>
    </row>
    <row r="375" spans="1:25" x14ac:dyDescent="0.2">
      <c r="A375" s="16">
        <v>374</v>
      </c>
      <c r="B375" s="37">
        <v>1</v>
      </c>
      <c r="C375" s="16" t="s">
        <v>1351</v>
      </c>
      <c r="D375" s="16" t="s">
        <v>1351</v>
      </c>
      <c r="E375" s="16"/>
      <c r="F375" s="16" t="s">
        <v>3566</v>
      </c>
      <c r="G375" s="16" t="s">
        <v>664</v>
      </c>
      <c r="H375" s="16" t="s">
        <v>1350</v>
      </c>
      <c r="I375" s="16" t="s">
        <v>319</v>
      </c>
      <c r="J375" s="16">
        <v>0</v>
      </c>
      <c r="K375" s="16">
        <v>4.1430549999999996E-6</v>
      </c>
      <c r="L375" s="16">
        <v>1</v>
      </c>
      <c r="M375" s="16">
        <v>0</v>
      </c>
      <c r="N375">
        <f t="array" aca="1" ref="N375" ca="1">MATCH(TRUE,EXACT(I375,OFFSET(rngParamTypes,0,6,,1)),0)</f>
        <v>130</v>
      </c>
      <c r="O375" t="str">
        <f ca="1">IF((INDEX(rngParamTypes,$N375,7)=I375),"",1)</f>
        <v/>
      </c>
      <c r="P375">
        <f ca="1">INDEX(rngParamTypes,$N375,9)</f>
        <v>0</v>
      </c>
      <c r="Q375">
        <f ca="1">INDEX(rngParamTypes,$N375,10)</f>
        <v>2</v>
      </c>
      <c r="R375">
        <f ca="1">INDEX(rngParamTypes,$N375,11)</f>
        <v>-1</v>
      </c>
      <c r="S375">
        <f ca="1">INDEX(rngParamTypes,$N375,12)</f>
        <v>0</v>
      </c>
      <c r="T375">
        <f ca="1">INDEX(rngParamTypes,$N375,13)</f>
        <v>0</v>
      </c>
      <c r="U375">
        <f ca="1">INDEX(rngParamTypes,$N375,14)</f>
        <v>0</v>
      </c>
      <c r="V375">
        <f ca="1">INDEX(rngParamTypes,$N375,15)</f>
        <v>0</v>
      </c>
      <c r="W375">
        <f ca="1">INDEX(rngParamTypes,$N375,16)</f>
        <v>0</v>
      </c>
      <c r="X375">
        <f ca="1">INDEX(rngParamTypes,$N375,17)</f>
        <v>0</v>
      </c>
      <c r="Y375">
        <f ca="1">INDEX(rngParamTypes,$N375,18)</f>
        <v>0</v>
      </c>
    </row>
    <row r="376" spans="1:25" x14ac:dyDescent="0.2">
      <c r="A376" s="16">
        <v>375</v>
      </c>
      <c r="B376" s="37">
        <v>1</v>
      </c>
      <c r="C376" s="16" t="s">
        <v>1354</v>
      </c>
      <c r="D376" s="16" t="s">
        <v>1354</v>
      </c>
      <c r="E376" s="16"/>
      <c r="F376" s="16" t="s">
        <v>3567</v>
      </c>
      <c r="G376" s="16" t="s">
        <v>1271</v>
      </c>
      <c r="H376" s="16" t="s">
        <v>1353</v>
      </c>
      <c r="I376" s="16" t="s">
        <v>297</v>
      </c>
      <c r="J376" s="16">
        <v>0</v>
      </c>
      <c r="K376" s="16">
        <v>1.3592699999999999E-5</v>
      </c>
      <c r="L376" s="16">
        <v>1</v>
      </c>
      <c r="M376" s="16">
        <v>0</v>
      </c>
      <c r="N376">
        <f t="array" aca="1" ref="N376" ca="1">MATCH(TRUE,EXACT(I376,OFFSET(rngParamTypes,0,6,,1)),0)</f>
        <v>123</v>
      </c>
      <c r="O376" t="str">
        <f ca="1">IF((INDEX(rngParamTypes,$N376,7)=I376),"",1)</f>
        <v/>
      </c>
      <c r="P376">
        <f ca="1">INDEX(rngParamTypes,$N376,9)</f>
        <v>0</v>
      </c>
      <c r="Q376">
        <f ca="1">INDEX(rngParamTypes,$N376,10)</f>
        <v>1</v>
      </c>
      <c r="R376">
        <f ca="1">INDEX(rngParamTypes,$N376,11)</f>
        <v>-1</v>
      </c>
      <c r="S376">
        <f ca="1">INDEX(rngParamTypes,$N376,12)</f>
        <v>0</v>
      </c>
      <c r="T376">
        <f ca="1">INDEX(rngParamTypes,$N376,13)</f>
        <v>0</v>
      </c>
      <c r="U376">
        <f ca="1">INDEX(rngParamTypes,$N376,14)</f>
        <v>0</v>
      </c>
      <c r="V376">
        <f ca="1">INDEX(rngParamTypes,$N376,15)</f>
        <v>0</v>
      </c>
      <c r="W376">
        <f ca="1">INDEX(rngParamTypes,$N376,16)</f>
        <v>0</v>
      </c>
      <c r="X376">
        <f ca="1">INDEX(rngParamTypes,$N376,17)</f>
        <v>0</v>
      </c>
      <c r="Y376">
        <f ca="1">INDEX(rngParamTypes,$N376,18)</f>
        <v>0</v>
      </c>
    </row>
    <row r="377" spans="1:25" x14ac:dyDescent="0.2">
      <c r="A377" s="16">
        <v>376</v>
      </c>
      <c r="B377" s="37">
        <v>1</v>
      </c>
      <c r="C377" s="16" t="s">
        <v>1357</v>
      </c>
      <c r="D377" s="16" t="s">
        <v>1357</v>
      </c>
      <c r="E377" s="16"/>
      <c r="F377" s="16" t="s">
        <v>3568</v>
      </c>
      <c r="G377" s="16" t="s">
        <v>664</v>
      </c>
      <c r="H377" s="16" t="s">
        <v>1356</v>
      </c>
      <c r="I377" s="16" t="s">
        <v>319</v>
      </c>
      <c r="J377" s="16">
        <v>0</v>
      </c>
      <c r="K377" s="16">
        <v>4.9716670000000003E-5</v>
      </c>
      <c r="L377" s="16">
        <v>1</v>
      </c>
      <c r="M377" s="16">
        <v>0</v>
      </c>
      <c r="N377">
        <f t="array" aca="1" ref="N377" ca="1">MATCH(TRUE,EXACT(I377,OFFSET(rngParamTypes,0,6,,1)),0)</f>
        <v>130</v>
      </c>
      <c r="O377" t="str">
        <f ca="1">IF((INDEX(rngParamTypes,$N377,7)=I377),"",1)</f>
        <v/>
      </c>
      <c r="P377">
        <f ca="1">INDEX(rngParamTypes,$N377,9)</f>
        <v>0</v>
      </c>
      <c r="Q377">
        <f ca="1">INDEX(rngParamTypes,$N377,10)</f>
        <v>2</v>
      </c>
      <c r="R377">
        <f ca="1">INDEX(rngParamTypes,$N377,11)</f>
        <v>-1</v>
      </c>
      <c r="S377">
        <f ca="1">INDEX(rngParamTypes,$N377,12)</f>
        <v>0</v>
      </c>
      <c r="T377">
        <f ca="1">INDEX(rngParamTypes,$N377,13)</f>
        <v>0</v>
      </c>
      <c r="U377">
        <f ca="1">INDEX(rngParamTypes,$N377,14)</f>
        <v>0</v>
      </c>
      <c r="V377">
        <f ca="1">INDEX(rngParamTypes,$N377,15)</f>
        <v>0</v>
      </c>
      <c r="W377">
        <f ca="1">INDEX(rngParamTypes,$N377,16)</f>
        <v>0</v>
      </c>
      <c r="X377">
        <f ca="1">INDEX(rngParamTypes,$N377,17)</f>
        <v>0</v>
      </c>
      <c r="Y377">
        <f ca="1">INDEX(rngParamTypes,$N377,18)</f>
        <v>0</v>
      </c>
    </row>
    <row r="378" spans="1:25" x14ac:dyDescent="0.2">
      <c r="A378" s="16">
        <v>377</v>
      </c>
      <c r="B378" s="37">
        <v>1</v>
      </c>
      <c r="C378" s="16" t="s">
        <v>1360</v>
      </c>
      <c r="D378" s="16" t="s">
        <v>1360</v>
      </c>
      <c r="E378" s="16"/>
      <c r="F378" s="16" t="s">
        <v>3569</v>
      </c>
      <c r="G378" s="16" t="s">
        <v>1271</v>
      </c>
      <c r="H378" s="16" t="s">
        <v>1359</v>
      </c>
      <c r="I378" s="16" t="s">
        <v>297</v>
      </c>
      <c r="J378" s="16">
        <v>0</v>
      </c>
      <c r="K378" s="16">
        <v>1.9573490000000002E-3</v>
      </c>
      <c r="L378" s="16">
        <v>1</v>
      </c>
      <c r="M378" s="16">
        <v>0</v>
      </c>
      <c r="N378">
        <f t="array" aca="1" ref="N378" ca="1">MATCH(TRUE,EXACT(I378,OFFSET(rngParamTypes,0,6,,1)),0)</f>
        <v>123</v>
      </c>
      <c r="O378" t="str">
        <f ca="1">IF((INDEX(rngParamTypes,$N378,7)=I378),"",1)</f>
        <v/>
      </c>
      <c r="P378">
        <f ca="1">INDEX(rngParamTypes,$N378,9)</f>
        <v>0</v>
      </c>
      <c r="Q378">
        <f ca="1">INDEX(rngParamTypes,$N378,10)</f>
        <v>1</v>
      </c>
      <c r="R378">
        <f ca="1">INDEX(rngParamTypes,$N378,11)</f>
        <v>-1</v>
      </c>
      <c r="S378">
        <f ca="1">INDEX(rngParamTypes,$N378,12)</f>
        <v>0</v>
      </c>
      <c r="T378">
        <f ca="1">INDEX(rngParamTypes,$N378,13)</f>
        <v>0</v>
      </c>
      <c r="U378">
        <f ca="1">INDEX(rngParamTypes,$N378,14)</f>
        <v>0</v>
      </c>
      <c r="V378">
        <f ca="1">INDEX(rngParamTypes,$N378,15)</f>
        <v>0</v>
      </c>
      <c r="W378">
        <f ca="1">INDEX(rngParamTypes,$N378,16)</f>
        <v>0</v>
      </c>
      <c r="X378">
        <f ca="1">INDEX(rngParamTypes,$N378,17)</f>
        <v>0</v>
      </c>
      <c r="Y378">
        <f ca="1">INDEX(rngParamTypes,$N378,18)</f>
        <v>0</v>
      </c>
    </row>
    <row r="379" spans="1:25" x14ac:dyDescent="0.2">
      <c r="A379" s="16">
        <v>378</v>
      </c>
      <c r="B379" s="37">
        <v>1</v>
      </c>
      <c r="C379" s="16" t="s">
        <v>1363</v>
      </c>
      <c r="D379" s="16" t="s">
        <v>1363</v>
      </c>
      <c r="E379" s="16"/>
      <c r="F379" s="16" t="s">
        <v>3570</v>
      </c>
      <c r="G379" s="16" t="s">
        <v>346</v>
      </c>
      <c r="H379" s="16" t="s">
        <v>1362</v>
      </c>
      <c r="I379" s="16" t="s">
        <v>347</v>
      </c>
      <c r="J379" s="16">
        <v>0</v>
      </c>
      <c r="K379" s="16">
        <v>4.5460919999999998E-3</v>
      </c>
      <c r="L379" s="16">
        <v>12960000</v>
      </c>
      <c r="M379" s="16">
        <v>0</v>
      </c>
      <c r="N379">
        <f t="array" aca="1" ref="N379" ca="1">MATCH(TRUE,EXACT(I379,OFFSET(rngParamTypes,0,6,,1)),0)</f>
        <v>142</v>
      </c>
      <c r="O379" t="str">
        <f ca="1">IF((INDEX(rngParamTypes,$N379,7)=I379),"",1)</f>
        <v/>
      </c>
      <c r="P379">
        <f ca="1">INDEX(rngParamTypes,$N379,9)</f>
        <v>0</v>
      </c>
      <c r="Q379">
        <f ca="1">INDEX(rngParamTypes,$N379,10)</f>
        <v>3</v>
      </c>
      <c r="R379">
        <f ca="1">INDEX(rngParamTypes,$N379,11)</f>
        <v>-2</v>
      </c>
      <c r="S379">
        <f ca="1">INDEX(rngParamTypes,$N379,12)</f>
        <v>0</v>
      </c>
      <c r="T379">
        <f ca="1">INDEX(rngParamTypes,$N379,13)</f>
        <v>0</v>
      </c>
      <c r="U379">
        <f ca="1">INDEX(rngParamTypes,$N379,14)</f>
        <v>0</v>
      </c>
      <c r="V379">
        <f ca="1">INDEX(rngParamTypes,$N379,15)</f>
        <v>0</v>
      </c>
      <c r="W379">
        <f ca="1">INDEX(rngParamTypes,$N379,16)</f>
        <v>0</v>
      </c>
      <c r="X379">
        <f ca="1">INDEX(rngParamTypes,$N379,17)</f>
        <v>0</v>
      </c>
      <c r="Y379">
        <f ca="1">INDEX(rngParamTypes,$N379,18)</f>
        <v>0</v>
      </c>
    </row>
    <row r="380" spans="1:25" x14ac:dyDescent="0.2">
      <c r="A380" s="16">
        <v>379</v>
      </c>
      <c r="B380" s="37">
        <v>1</v>
      </c>
      <c r="C380" s="16" t="s">
        <v>1366</v>
      </c>
      <c r="D380" s="16" t="s">
        <v>1366</v>
      </c>
      <c r="E380" s="16"/>
      <c r="F380" s="16" t="s">
        <v>3571</v>
      </c>
      <c r="G380" s="16" t="s">
        <v>659</v>
      </c>
      <c r="H380" s="16" t="s">
        <v>1365</v>
      </c>
      <c r="I380" s="16" t="s">
        <v>131</v>
      </c>
      <c r="J380" s="16">
        <v>0</v>
      </c>
      <c r="K380" s="16">
        <v>1E-3</v>
      </c>
      <c r="L380" s="16">
        <v>1</v>
      </c>
      <c r="M380" s="16">
        <v>0</v>
      </c>
      <c r="N380">
        <f t="array" aca="1" ref="N380" ca="1">MATCH(TRUE,EXACT(I380,OFFSET(rngParamTypes,0,6,,1)),0)</f>
        <v>42</v>
      </c>
      <c r="O380" t="str">
        <f ca="1">IF((INDEX(rngParamTypes,$N380,7)=I380),"",1)</f>
        <v/>
      </c>
      <c r="P380">
        <f ca="1">INDEX(rngParamTypes,$N380,9)</f>
        <v>0</v>
      </c>
      <c r="Q380">
        <f ca="1">INDEX(rngParamTypes,$N380,10)</f>
        <v>0</v>
      </c>
      <c r="R380">
        <f ca="1">INDEX(rngParamTypes,$N380,11)</f>
        <v>0</v>
      </c>
      <c r="S380">
        <f ca="1">INDEX(rngParamTypes,$N380,12)</f>
        <v>0</v>
      </c>
      <c r="T380">
        <f ca="1">INDEX(rngParamTypes,$N380,13)</f>
        <v>0</v>
      </c>
      <c r="U380">
        <f ca="1">INDEX(rngParamTypes,$N380,14)</f>
        <v>0</v>
      </c>
      <c r="V380">
        <f ca="1">INDEX(rngParamTypes,$N380,15)</f>
        <v>0</v>
      </c>
      <c r="W380">
        <f ca="1">INDEX(rngParamTypes,$N380,16)</f>
        <v>0</v>
      </c>
      <c r="X380">
        <f ca="1">INDEX(rngParamTypes,$N380,17)</f>
        <v>0</v>
      </c>
      <c r="Y380">
        <f ca="1">INDEX(rngParamTypes,$N380,18)</f>
        <v>0</v>
      </c>
    </row>
    <row r="381" spans="1:25" x14ac:dyDescent="0.2">
      <c r="A381" s="16">
        <v>380</v>
      </c>
      <c r="B381" s="37">
        <v>1</v>
      </c>
      <c r="C381" s="16" t="s">
        <v>1368</v>
      </c>
      <c r="D381" s="16" t="s">
        <v>1368</v>
      </c>
      <c r="E381" s="16">
        <v>2</v>
      </c>
      <c r="F381" s="16" t="s">
        <v>3572</v>
      </c>
      <c r="G381" s="16" t="s">
        <v>3307</v>
      </c>
      <c r="H381" s="16" t="s">
        <v>1367</v>
      </c>
      <c r="I381" s="16" t="s">
        <v>329</v>
      </c>
      <c r="J381" s="16">
        <v>0</v>
      </c>
      <c r="K381" s="16">
        <v>1.0022420000000001E-2</v>
      </c>
      <c r="L381" s="16">
        <v>1</v>
      </c>
      <c r="M381" s="16">
        <v>0</v>
      </c>
      <c r="N381">
        <f t="array" aca="1" ref="N381" ca="1">MATCH(TRUE,EXACT(I381,OFFSET(rngParamTypes,0,6,,1)),0)</f>
        <v>136</v>
      </c>
      <c r="O381" t="str">
        <f ca="1">IF((INDEX(rngParamTypes,$N381,7)=I381),"",1)</f>
        <v/>
      </c>
      <c r="P381">
        <f ca="1">INDEX(rngParamTypes,$N381,9)</f>
        <v>-1</v>
      </c>
      <c r="Q381">
        <f ca="1">INDEX(rngParamTypes,$N381,10)</f>
        <v>3</v>
      </c>
      <c r="R381">
        <f ca="1">INDEX(rngParamTypes,$N381,11)</f>
        <v>0</v>
      </c>
      <c r="S381">
        <f ca="1">INDEX(rngParamTypes,$N381,12)</f>
        <v>0</v>
      </c>
      <c r="T381">
        <f ca="1">INDEX(rngParamTypes,$N381,13)</f>
        <v>0</v>
      </c>
      <c r="U381">
        <f ca="1">INDEX(rngParamTypes,$N381,14)</f>
        <v>0</v>
      </c>
      <c r="V381">
        <f ca="1">INDEX(rngParamTypes,$N381,15)</f>
        <v>0</v>
      </c>
      <c r="W381">
        <f ca="1">INDEX(rngParamTypes,$N381,16)</f>
        <v>0</v>
      </c>
      <c r="X381">
        <f ca="1">INDEX(rngParamTypes,$N381,17)</f>
        <v>0</v>
      </c>
      <c r="Y381">
        <f ca="1">INDEX(rngParamTypes,$N381,18)</f>
        <v>0</v>
      </c>
    </row>
    <row r="382" spans="1:25" x14ac:dyDescent="0.2">
      <c r="A382" s="16">
        <v>381</v>
      </c>
      <c r="B382" s="37">
        <v>1</v>
      </c>
      <c r="C382" s="16" t="s">
        <v>1370</v>
      </c>
      <c r="D382" s="16" t="s">
        <v>1370</v>
      </c>
      <c r="E382" s="16"/>
      <c r="F382" s="16" t="s">
        <v>3573</v>
      </c>
      <c r="G382" s="16" t="s">
        <v>659</v>
      </c>
      <c r="H382" s="16" t="s">
        <v>1369</v>
      </c>
      <c r="I382" s="16" t="s">
        <v>131</v>
      </c>
      <c r="J382" s="16">
        <v>0</v>
      </c>
      <c r="K382" s="16">
        <v>2.8594059999999998E-5</v>
      </c>
      <c r="L382" s="16">
        <v>1</v>
      </c>
      <c r="M382" s="16">
        <v>0</v>
      </c>
      <c r="N382">
        <f t="array" aca="1" ref="N382" ca="1">MATCH(TRUE,EXACT(I382,OFFSET(rngParamTypes,0,6,,1)),0)</f>
        <v>42</v>
      </c>
      <c r="O382" t="str">
        <f ca="1">IF((INDEX(rngParamTypes,$N382,7)=I382),"",1)</f>
        <v/>
      </c>
      <c r="P382">
        <f ca="1">INDEX(rngParamTypes,$N382,9)</f>
        <v>0</v>
      </c>
      <c r="Q382">
        <f ca="1">INDEX(rngParamTypes,$N382,10)</f>
        <v>0</v>
      </c>
      <c r="R382">
        <f ca="1">INDEX(rngParamTypes,$N382,11)</f>
        <v>0</v>
      </c>
      <c r="S382">
        <f ca="1">INDEX(rngParamTypes,$N382,12)</f>
        <v>0</v>
      </c>
      <c r="T382">
        <f ca="1">INDEX(rngParamTypes,$N382,13)</f>
        <v>0</v>
      </c>
      <c r="U382">
        <f ca="1">INDEX(rngParamTypes,$N382,14)</f>
        <v>0</v>
      </c>
      <c r="V382">
        <f ca="1">INDEX(rngParamTypes,$N382,15)</f>
        <v>0</v>
      </c>
      <c r="W382">
        <f ca="1">INDEX(rngParamTypes,$N382,16)</f>
        <v>0</v>
      </c>
      <c r="X382">
        <f ca="1">INDEX(rngParamTypes,$N382,17)</f>
        <v>0</v>
      </c>
      <c r="Y382">
        <f ca="1">INDEX(rngParamTypes,$N382,18)</f>
        <v>0</v>
      </c>
    </row>
    <row r="383" spans="1:25" x14ac:dyDescent="0.2">
      <c r="A383" s="16">
        <v>382</v>
      </c>
      <c r="B383" s="37">
        <v>1</v>
      </c>
      <c r="C383" s="16" t="s">
        <v>1372</v>
      </c>
      <c r="D383" s="16" t="s">
        <v>1372</v>
      </c>
      <c r="E383" s="16"/>
      <c r="F383" s="16" t="s">
        <v>3574</v>
      </c>
      <c r="G383" s="16" t="s">
        <v>767</v>
      </c>
      <c r="H383" s="16" t="s">
        <v>1371</v>
      </c>
      <c r="I383" s="16" t="s">
        <v>303</v>
      </c>
      <c r="J383" s="16">
        <v>0</v>
      </c>
      <c r="K383" s="16">
        <v>4.5460919999999998E-3</v>
      </c>
      <c r="L383" s="16">
        <v>1609.3440000000001</v>
      </c>
      <c r="M383" s="16">
        <v>0</v>
      </c>
      <c r="N383">
        <f t="array" aca="1" ref="N383" ca="1">MATCH(TRUE,EXACT(I383,OFFSET(rngParamTypes,0,6,,1)),0)</f>
        <v>125</v>
      </c>
      <c r="O383" t="str">
        <f ca="1">IF((INDEX(rngParamTypes,$N383,7)=I383),"",1)</f>
        <v/>
      </c>
      <c r="P383">
        <f ca="1">INDEX(rngParamTypes,$N383,9)</f>
        <v>0</v>
      </c>
      <c r="Q383">
        <f ca="1">INDEX(rngParamTypes,$N383,10)</f>
        <v>2</v>
      </c>
      <c r="R383">
        <f ca="1">INDEX(rngParamTypes,$N383,11)</f>
        <v>0</v>
      </c>
      <c r="S383">
        <f ca="1">INDEX(rngParamTypes,$N383,12)</f>
        <v>0</v>
      </c>
      <c r="T383">
        <f ca="1">INDEX(rngParamTypes,$N383,13)</f>
        <v>0</v>
      </c>
      <c r="U383">
        <f ca="1">INDEX(rngParamTypes,$N383,14)</f>
        <v>0</v>
      </c>
      <c r="V383">
        <f ca="1">INDEX(rngParamTypes,$N383,15)</f>
        <v>0</v>
      </c>
      <c r="W383">
        <f ca="1">INDEX(rngParamTypes,$N383,16)</f>
        <v>0</v>
      </c>
      <c r="X383">
        <f ca="1">INDEX(rngParamTypes,$N383,17)</f>
        <v>0</v>
      </c>
      <c r="Y383">
        <f ca="1">INDEX(rngParamTypes,$N383,18)</f>
        <v>0</v>
      </c>
    </row>
    <row r="384" spans="1:25" x14ac:dyDescent="0.2">
      <c r="A384" s="16">
        <v>383</v>
      </c>
      <c r="B384" s="37">
        <v>1</v>
      </c>
      <c r="C384" s="16" t="s">
        <v>1374</v>
      </c>
      <c r="D384" s="16" t="s">
        <v>1374</v>
      </c>
      <c r="E384" s="16">
        <v>2</v>
      </c>
      <c r="F384" s="16" t="s">
        <v>3575</v>
      </c>
      <c r="G384" s="16" t="s">
        <v>343</v>
      </c>
      <c r="H384" s="16" t="s">
        <v>1373</v>
      </c>
      <c r="I384" s="16" t="s">
        <v>344</v>
      </c>
      <c r="J384" s="16">
        <v>0</v>
      </c>
      <c r="K384" s="16">
        <v>4.5490920000000002E-3</v>
      </c>
      <c r="L384" s="16">
        <v>60</v>
      </c>
      <c r="M384" s="16">
        <v>0</v>
      </c>
      <c r="N384">
        <f t="array" aca="1" ref="N384" ca="1">MATCH(TRUE,EXACT(I384,OFFSET(rngParamTypes,0,6,,1)),0)</f>
        <v>141</v>
      </c>
      <c r="O384" t="str">
        <f ca="1">IF((INDEX(rngParamTypes,$N384,7)=I384),"",1)</f>
        <v/>
      </c>
      <c r="P384">
        <f ca="1">INDEX(rngParamTypes,$N384,9)</f>
        <v>0</v>
      </c>
      <c r="Q384">
        <f ca="1">INDEX(rngParamTypes,$N384,10)</f>
        <v>3</v>
      </c>
      <c r="R384">
        <f ca="1">INDEX(rngParamTypes,$N384,11)</f>
        <v>-1</v>
      </c>
      <c r="S384">
        <f ca="1">INDEX(rngParamTypes,$N384,12)</f>
        <v>0</v>
      </c>
      <c r="T384">
        <f ca="1">INDEX(rngParamTypes,$N384,13)</f>
        <v>0</v>
      </c>
      <c r="U384">
        <f ca="1">INDEX(rngParamTypes,$N384,14)</f>
        <v>0</v>
      </c>
      <c r="V384">
        <f ca="1">INDEX(rngParamTypes,$N384,15)</f>
        <v>0</v>
      </c>
      <c r="W384">
        <f ca="1">INDEX(rngParamTypes,$N384,16)</f>
        <v>0</v>
      </c>
      <c r="X384">
        <f ca="1">INDEX(rngParamTypes,$N384,17)</f>
        <v>0</v>
      </c>
      <c r="Y384">
        <f ca="1">INDEX(rngParamTypes,$N384,18)</f>
        <v>0</v>
      </c>
    </row>
    <row r="385" spans="1:25" x14ac:dyDescent="0.2">
      <c r="A385" s="16">
        <v>384</v>
      </c>
      <c r="B385" s="37">
        <v>1</v>
      </c>
      <c r="C385" s="16" t="s">
        <v>1376</v>
      </c>
      <c r="D385" s="16" t="s">
        <v>1376</v>
      </c>
      <c r="E385" s="16"/>
      <c r="F385" s="16" t="s">
        <v>3576</v>
      </c>
      <c r="G385" s="16" t="s">
        <v>664</v>
      </c>
      <c r="H385" s="16" t="s">
        <v>1375</v>
      </c>
      <c r="I385" s="16" t="s">
        <v>319</v>
      </c>
      <c r="J385" s="16">
        <v>0</v>
      </c>
      <c r="K385" s="16">
        <v>2.4853329999999999E-4</v>
      </c>
      <c r="L385" s="16">
        <v>1</v>
      </c>
      <c r="M385" s="16">
        <v>0</v>
      </c>
      <c r="N385">
        <f t="array" aca="1" ref="N385" ca="1">MATCH(TRUE,EXACT(I385,OFFSET(rngParamTypes,0,6,,1)),0)</f>
        <v>130</v>
      </c>
      <c r="O385" t="str">
        <f ca="1">IF((INDEX(rngParamTypes,$N385,7)=I385),"",1)</f>
        <v/>
      </c>
      <c r="P385">
        <f ca="1">INDEX(rngParamTypes,$N385,9)</f>
        <v>0</v>
      </c>
      <c r="Q385">
        <f ca="1">INDEX(rngParamTypes,$N385,10)</f>
        <v>2</v>
      </c>
      <c r="R385">
        <f ca="1">INDEX(rngParamTypes,$N385,11)</f>
        <v>-1</v>
      </c>
      <c r="S385">
        <f ca="1">INDEX(rngParamTypes,$N385,12)</f>
        <v>0</v>
      </c>
      <c r="T385">
        <f ca="1">INDEX(rngParamTypes,$N385,13)</f>
        <v>0</v>
      </c>
      <c r="U385">
        <f ca="1">INDEX(rngParamTypes,$N385,14)</f>
        <v>0</v>
      </c>
      <c r="V385">
        <f ca="1">INDEX(rngParamTypes,$N385,15)</f>
        <v>0</v>
      </c>
      <c r="W385">
        <f ca="1">INDEX(rngParamTypes,$N385,16)</f>
        <v>0</v>
      </c>
      <c r="X385">
        <f ca="1">INDEX(rngParamTypes,$N385,17)</f>
        <v>0</v>
      </c>
      <c r="Y385">
        <f ca="1">INDEX(rngParamTypes,$N385,18)</f>
        <v>0</v>
      </c>
    </row>
    <row r="386" spans="1:25" x14ac:dyDescent="0.2">
      <c r="A386" s="16">
        <v>385</v>
      </c>
      <c r="B386" s="37">
        <v>1</v>
      </c>
      <c r="C386" s="16" t="s">
        <v>1378</v>
      </c>
      <c r="D386" s="16" t="s">
        <v>1378</v>
      </c>
      <c r="E386" s="16"/>
      <c r="F386" s="16" t="s">
        <v>3577</v>
      </c>
      <c r="G386" s="16" t="s">
        <v>1271</v>
      </c>
      <c r="H386" s="16" t="s">
        <v>1377</v>
      </c>
      <c r="I386" s="16" t="s">
        <v>297</v>
      </c>
      <c r="J386" s="16">
        <v>0</v>
      </c>
      <c r="K386" s="16">
        <v>8.1556209999999996E-4</v>
      </c>
      <c r="L386" s="16">
        <v>1</v>
      </c>
      <c r="M386" s="16">
        <v>0</v>
      </c>
      <c r="N386">
        <f t="array" aca="1" ref="N386" ca="1">MATCH(TRUE,EXACT(I386,OFFSET(rngParamTypes,0,6,,1)),0)</f>
        <v>123</v>
      </c>
      <c r="O386" t="str">
        <f ca="1">IF((INDEX(rngParamTypes,$N386,7)=I386),"",1)</f>
        <v/>
      </c>
      <c r="P386">
        <f ca="1">INDEX(rngParamTypes,$N386,9)</f>
        <v>0</v>
      </c>
      <c r="Q386">
        <f ca="1">INDEX(rngParamTypes,$N386,10)</f>
        <v>1</v>
      </c>
      <c r="R386">
        <f ca="1">INDEX(rngParamTypes,$N386,11)</f>
        <v>-1</v>
      </c>
      <c r="S386">
        <f ca="1">INDEX(rngParamTypes,$N386,12)</f>
        <v>0</v>
      </c>
      <c r="T386">
        <f ca="1">INDEX(rngParamTypes,$N386,13)</f>
        <v>0</v>
      </c>
      <c r="U386">
        <f ca="1">INDEX(rngParamTypes,$N386,14)</f>
        <v>0</v>
      </c>
      <c r="V386">
        <f ca="1">INDEX(rngParamTypes,$N386,15)</f>
        <v>0</v>
      </c>
      <c r="W386">
        <f ca="1">INDEX(rngParamTypes,$N386,16)</f>
        <v>0</v>
      </c>
      <c r="X386">
        <f ca="1">INDEX(rngParamTypes,$N386,17)</f>
        <v>0</v>
      </c>
      <c r="Y386">
        <f ca="1">INDEX(rngParamTypes,$N386,18)</f>
        <v>0</v>
      </c>
    </row>
    <row r="387" spans="1:25" x14ac:dyDescent="0.2">
      <c r="A387" s="16">
        <v>386</v>
      </c>
      <c r="B387" s="37">
        <v>1</v>
      </c>
      <c r="C387" s="16" t="s">
        <v>1380</v>
      </c>
      <c r="D387" s="16" t="s">
        <v>1380</v>
      </c>
      <c r="E387" s="16"/>
      <c r="F387" s="16" t="s">
        <v>3578</v>
      </c>
      <c r="G387" s="16" t="s">
        <v>346</v>
      </c>
      <c r="H387" s="16" t="s">
        <v>1379</v>
      </c>
      <c r="I387" s="16" t="s">
        <v>347</v>
      </c>
      <c r="J387" s="16">
        <v>0</v>
      </c>
      <c r="K387" s="16">
        <v>4.5460919999999998E-3</v>
      </c>
      <c r="L387" s="16">
        <v>3600</v>
      </c>
      <c r="M387" s="16">
        <v>0</v>
      </c>
      <c r="N387">
        <f t="array" aca="1" ref="N387" ca="1">MATCH(TRUE,EXACT(I387,OFFSET(rngParamTypes,0,6,,1)),0)</f>
        <v>142</v>
      </c>
      <c r="O387" t="str">
        <f ca="1">IF((INDEX(rngParamTypes,$N387,7)=I387),"",1)</f>
        <v/>
      </c>
      <c r="P387">
        <f ca="1">INDEX(rngParamTypes,$N387,9)</f>
        <v>0</v>
      </c>
      <c r="Q387">
        <f ca="1">INDEX(rngParamTypes,$N387,10)</f>
        <v>3</v>
      </c>
      <c r="R387">
        <f ca="1">INDEX(rngParamTypes,$N387,11)</f>
        <v>-2</v>
      </c>
      <c r="S387">
        <f ca="1">INDEX(rngParamTypes,$N387,12)</f>
        <v>0</v>
      </c>
      <c r="T387">
        <f ca="1">INDEX(rngParamTypes,$N387,13)</f>
        <v>0</v>
      </c>
      <c r="U387">
        <f ca="1">INDEX(rngParamTypes,$N387,14)</f>
        <v>0</v>
      </c>
      <c r="V387">
        <f ca="1">INDEX(rngParamTypes,$N387,15)</f>
        <v>0</v>
      </c>
      <c r="W387">
        <f ca="1">INDEX(rngParamTypes,$N387,16)</f>
        <v>0</v>
      </c>
      <c r="X387">
        <f ca="1">INDEX(rngParamTypes,$N387,17)</f>
        <v>0</v>
      </c>
      <c r="Y387">
        <f ca="1">INDEX(rngParamTypes,$N387,18)</f>
        <v>0</v>
      </c>
    </row>
    <row r="388" spans="1:25" x14ac:dyDescent="0.2">
      <c r="A388" s="16">
        <v>387</v>
      </c>
      <c r="B388" s="37">
        <v>1</v>
      </c>
      <c r="C388" s="16" t="s">
        <v>1382</v>
      </c>
      <c r="D388" s="16" t="s">
        <v>1382</v>
      </c>
      <c r="E388" s="16">
        <v>2</v>
      </c>
      <c r="F388" s="16" t="s">
        <v>3579</v>
      </c>
      <c r="G388" s="16" t="s">
        <v>321</v>
      </c>
      <c r="H388" s="16" t="s">
        <v>1381</v>
      </c>
      <c r="I388" s="16" t="s">
        <v>322</v>
      </c>
      <c r="J388" s="16">
        <v>0</v>
      </c>
      <c r="K388" s="16">
        <v>3.7854120000000002E-3</v>
      </c>
      <c r="L388" s="16">
        <v>1</v>
      </c>
      <c r="M388" s="16">
        <v>0</v>
      </c>
      <c r="N388">
        <f t="array" aca="1" ref="N388" ca="1">MATCH(TRUE,EXACT(I388,OFFSET(rngParamTypes,0,6,,1)),0)</f>
        <v>134</v>
      </c>
      <c r="O388" t="str">
        <f ca="1">IF((INDEX(rngParamTypes,$N388,7)=I388),"",1)</f>
        <v/>
      </c>
      <c r="P388">
        <f ca="1">INDEX(rngParamTypes,$N388,9)</f>
        <v>0</v>
      </c>
      <c r="Q388">
        <f ca="1">INDEX(rngParamTypes,$N388,10)</f>
        <v>3</v>
      </c>
      <c r="R388">
        <f ca="1">INDEX(rngParamTypes,$N388,11)</f>
        <v>0</v>
      </c>
      <c r="S388">
        <f ca="1">INDEX(rngParamTypes,$N388,12)</f>
        <v>0</v>
      </c>
      <c r="T388">
        <f ca="1">INDEX(rngParamTypes,$N388,13)</f>
        <v>0</v>
      </c>
      <c r="U388">
        <f ca="1">INDEX(rngParamTypes,$N388,14)</f>
        <v>0</v>
      </c>
      <c r="V388">
        <f ca="1">INDEX(rngParamTypes,$N388,15)</f>
        <v>0</v>
      </c>
      <c r="W388">
        <f ca="1">INDEX(rngParamTypes,$N388,16)</f>
        <v>0</v>
      </c>
      <c r="X388">
        <f ca="1">INDEX(rngParamTypes,$N388,17)</f>
        <v>0</v>
      </c>
      <c r="Y388">
        <f ca="1">INDEX(rngParamTypes,$N388,18)</f>
        <v>0</v>
      </c>
    </row>
    <row r="389" spans="1:25" x14ac:dyDescent="0.2">
      <c r="A389" s="16">
        <v>388</v>
      </c>
      <c r="B389" s="37">
        <v>1</v>
      </c>
      <c r="C389" s="16" t="s">
        <v>1384</v>
      </c>
      <c r="D389" s="16" t="s">
        <v>1384</v>
      </c>
      <c r="E389" s="16"/>
      <c r="F389" s="16" t="s">
        <v>4288</v>
      </c>
      <c r="G389" s="16" t="s">
        <v>659</v>
      </c>
      <c r="H389" s="16" t="s">
        <v>1383</v>
      </c>
      <c r="I389" s="16" t="s">
        <v>131</v>
      </c>
      <c r="J389" s="16">
        <v>0</v>
      </c>
      <c r="K389" s="16">
        <v>2.3809523810000002E-3</v>
      </c>
      <c r="L389" s="16">
        <v>1</v>
      </c>
      <c r="M389" s="16">
        <v>0</v>
      </c>
      <c r="N389">
        <f t="array" aca="1" ref="N389" ca="1">MATCH(TRUE,EXACT(I389,OFFSET(rngParamTypes,0,6,,1)),0)</f>
        <v>42</v>
      </c>
      <c r="O389" t="str">
        <f ca="1">IF((INDEX(rngParamTypes,$N389,7)=I389),"",1)</f>
        <v/>
      </c>
      <c r="P389">
        <f ca="1">INDEX(rngParamTypes,$N389,9)</f>
        <v>0</v>
      </c>
      <c r="Q389">
        <f ca="1">INDEX(rngParamTypes,$N389,10)</f>
        <v>0</v>
      </c>
      <c r="R389">
        <f ca="1">INDEX(rngParamTypes,$N389,11)</f>
        <v>0</v>
      </c>
      <c r="S389">
        <f ca="1">INDEX(rngParamTypes,$N389,12)</f>
        <v>0</v>
      </c>
      <c r="T389">
        <f ca="1">INDEX(rngParamTypes,$N389,13)</f>
        <v>0</v>
      </c>
      <c r="U389">
        <f ca="1">INDEX(rngParamTypes,$N389,14)</f>
        <v>0</v>
      </c>
      <c r="V389">
        <f ca="1">INDEX(rngParamTypes,$N389,15)</f>
        <v>0</v>
      </c>
      <c r="W389">
        <f ca="1">INDEX(rngParamTypes,$N389,16)</f>
        <v>0</v>
      </c>
      <c r="X389">
        <f ca="1">INDEX(rngParamTypes,$N389,17)</f>
        <v>0</v>
      </c>
      <c r="Y389">
        <f ca="1">INDEX(rngParamTypes,$N389,18)</f>
        <v>0</v>
      </c>
    </row>
    <row r="390" spans="1:25" x14ac:dyDescent="0.2">
      <c r="A390" s="16">
        <v>389</v>
      </c>
      <c r="B390" s="37">
        <v>1</v>
      </c>
      <c r="C390" s="16" t="s">
        <v>1386</v>
      </c>
      <c r="D390" s="16" t="s">
        <v>1386</v>
      </c>
      <c r="E390" s="16"/>
      <c r="F390" s="16" t="s">
        <v>3580</v>
      </c>
      <c r="G390" s="16" t="s">
        <v>659</v>
      </c>
      <c r="H390" s="16" t="s">
        <v>1385</v>
      </c>
      <c r="I390" s="16" t="s">
        <v>131</v>
      </c>
      <c r="J390" s="16">
        <v>0</v>
      </c>
      <c r="K390" s="16">
        <v>2.380952381E-2</v>
      </c>
      <c r="L390" s="16">
        <v>1</v>
      </c>
      <c r="M390" s="16">
        <v>0</v>
      </c>
      <c r="N390">
        <f t="array" aca="1" ref="N390" ca="1">MATCH(TRUE,EXACT(I390,OFFSET(rngParamTypes,0,6,,1)),0)</f>
        <v>42</v>
      </c>
      <c r="O390" t="str">
        <f ca="1">IF((INDEX(rngParamTypes,$N390,7)=I390),"",1)</f>
        <v/>
      </c>
      <c r="P390">
        <f ca="1">INDEX(rngParamTypes,$N390,9)</f>
        <v>0</v>
      </c>
      <c r="Q390">
        <f ca="1">INDEX(rngParamTypes,$N390,10)</f>
        <v>0</v>
      </c>
      <c r="R390">
        <f ca="1">INDEX(rngParamTypes,$N390,11)</f>
        <v>0</v>
      </c>
      <c r="S390">
        <f ca="1">INDEX(rngParamTypes,$N390,12)</f>
        <v>0</v>
      </c>
      <c r="T390">
        <f ca="1">INDEX(rngParamTypes,$N390,13)</f>
        <v>0</v>
      </c>
      <c r="U390">
        <f ca="1">INDEX(rngParamTypes,$N390,14)</f>
        <v>0</v>
      </c>
      <c r="V390">
        <f ca="1">INDEX(rngParamTypes,$N390,15)</f>
        <v>0</v>
      </c>
      <c r="W390">
        <f ca="1">INDEX(rngParamTypes,$N390,16)</f>
        <v>0</v>
      </c>
      <c r="X390">
        <f ca="1">INDEX(rngParamTypes,$N390,17)</f>
        <v>0</v>
      </c>
      <c r="Y390">
        <f ca="1">INDEX(rngParamTypes,$N390,18)</f>
        <v>0</v>
      </c>
    </row>
    <row r="391" spans="1:25" x14ac:dyDescent="0.2">
      <c r="A391" s="16">
        <v>390</v>
      </c>
      <c r="B391" s="37">
        <v>1</v>
      </c>
      <c r="C391" s="16" t="s">
        <v>1388</v>
      </c>
      <c r="D391" s="16" t="s">
        <v>1388</v>
      </c>
      <c r="E391" s="16">
        <v>2</v>
      </c>
      <c r="F391" s="16" t="s">
        <v>3581</v>
      </c>
      <c r="G391" s="16" t="s">
        <v>343</v>
      </c>
      <c r="H391" s="16" t="s">
        <v>1387</v>
      </c>
      <c r="I391" s="16" t="s">
        <v>344</v>
      </c>
      <c r="J391" s="16">
        <v>0</v>
      </c>
      <c r="K391" s="16">
        <v>3.7854120000000002E-3</v>
      </c>
      <c r="L391" s="16">
        <v>86400</v>
      </c>
      <c r="M391" s="16">
        <v>0</v>
      </c>
      <c r="N391">
        <f t="array" aca="1" ref="N391" ca="1">MATCH(TRUE,EXACT(I391,OFFSET(rngParamTypes,0,6,,1)),0)</f>
        <v>141</v>
      </c>
      <c r="O391" t="str">
        <f ca="1">IF((INDEX(rngParamTypes,$N391,7)=I391),"",1)</f>
        <v/>
      </c>
      <c r="P391">
        <f ca="1">INDEX(rngParamTypes,$N391,9)</f>
        <v>0</v>
      </c>
      <c r="Q391">
        <f ca="1">INDEX(rngParamTypes,$N391,10)</f>
        <v>3</v>
      </c>
      <c r="R391">
        <f ca="1">INDEX(rngParamTypes,$N391,11)</f>
        <v>-1</v>
      </c>
      <c r="S391">
        <f ca="1">INDEX(rngParamTypes,$N391,12)</f>
        <v>0</v>
      </c>
      <c r="T391">
        <f ca="1">INDEX(rngParamTypes,$N391,13)</f>
        <v>0</v>
      </c>
      <c r="U391">
        <f ca="1">INDEX(rngParamTypes,$N391,14)</f>
        <v>0</v>
      </c>
      <c r="V391">
        <f ca="1">INDEX(rngParamTypes,$N391,15)</f>
        <v>0</v>
      </c>
      <c r="W391">
        <f ca="1">INDEX(rngParamTypes,$N391,16)</f>
        <v>0</v>
      </c>
      <c r="X391">
        <f ca="1">INDEX(rngParamTypes,$N391,17)</f>
        <v>0</v>
      </c>
      <c r="Y391">
        <f ca="1">INDEX(rngParamTypes,$N391,18)</f>
        <v>0</v>
      </c>
    </row>
    <row r="392" spans="1:25" x14ac:dyDescent="0.2">
      <c r="A392" s="16">
        <v>391</v>
      </c>
      <c r="B392" s="37">
        <v>1</v>
      </c>
      <c r="C392" s="16" t="s">
        <v>1390</v>
      </c>
      <c r="D392" s="16" t="s">
        <v>1390</v>
      </c>
      <c r="E392" s="16"/>
      <c r="F392" s="16" t="s">
        <v>3582</v>
      </c>
      <c r="G392" s="16" t="s">
        <v>767</v>
      </c>
      <c r="H392" s="16" t="s">
        <v>1389</v>
      </c>
      <c r="I392" s="16" t="s">
        <v>303</v>
      </c>
      <c r="J392" s="16">
        <v>0</v>
      </c>
      <c r="K392" s="16">
        <v>3.7854120000000002E-3</v>
      </c>
      <c r="L392" s="16">
        <v>0.30480000000000002</v>
      </c>
      <c r="M392" s="16">
        <v>0</v>
      </c>
      <c r="N392">
        <f t="array" aca="1" ref="N392" ca="1">MATCH(TRUE,EXACT(I392,OFFSET(rngParamTypes,0,6,,1)),0)</f>
        <v>125</v>
      </c>
      <c r="O392" t="str">
        <f ca="1">IF((INDEX(rngParamTypes,$N392,7)=I392),"",1)</f>
        <v/>
      </c>
      <c r="P392">
        <f ca="1">INDEX(rngParamTypes,$N392,9)</f>
        <v>0</v>
      </c>
      <c r="Q392">
        <f ca="1">INDEX(rngParamTypes,$N392,10)</f>
        <v>2</v>
      </c>
      <c r="R392">
        <f ca="1">INDEX(rngParamTypes,$N392,11)</f>
        <v>0</v>
      </c>
      <c r="S392">
        <f ca="1">INDEX(rngParamTypes,$N392,12)</f>
        <v>0</v>
      </c>
      <c r="T392">
        <f ca="1">INDEX(rngParamTypes,$N392,13)</f>
        <v>0</v>
      </c>
      <c r="U392">
        <f ca="1">INDEX(rngParamTypes,$N392,14)</f>
        <v>0</v>
      </c>
      <c r="V392">
        <f ca="1">INDEX(rngParamTypes,$N392,15)</f>
        <v>0</v>
      </c>
      <c r="W392">
        <f ca="1">INDEX(rngParamTypes,$N392,16)</f>
        <v>0</v>
      </c>
      <c r="X392">
        <f ca="1">INDEX(rngParamTypes,$N392,17)</f>
        <v>0</v>
      </c>
      <c r="Y392">
        <f ca="1">INDEX(rngParamTypes,$N392,18)</f>
        <v>0</v>
      </c>
    </row>
    <row r="393" spans="1:25" x14ac:dyDescent="0.2">
      <c r="A393" s="16">
        <v>392</v>
      </c>
      <c r="B393" s="37">
        <v>1</v>
      </c>
      <c r="C393" s="16" t="s">
        <v>1392</v>
      </c>
      <c r="D393" s="16" t="s">
        <v>1392</v>
      </c>
      <c r="E393" s="16"/>
      <c r="F393" s="16" t="s">
        <v>3583</v>
      </c>
      <c r="G393" s="16" t="s">
        <v>659</v>
      </c>
      <c r="H393" s="16" t="s">
        <v>1391</v>
      </c>
      <c r="I393" s="16" t="s">
        <v>131</v>
      </c>
      <c r="J393" s="16">
        <v>0</v>
      </c>
      <c r="K393" s="16">
        <v>0.13368060000000001</v>
      </c>
      <c r="L393" s="16">
        <v>1</v>
      </c>
      <c r="M393" s="16">
        <v>0</v>
      </c>
      <c r="N393">
        <f t="array" aca="1" ref="N393" ca="1">MATCH(TRUE,EXACT(I393,OFFSET(rngParamTypes,0,6,,1)),0)</f>
        <v>42</v>
      </c>
      <c r="O393" t="str">
        <f ca="1">IF((INDEX(rngParamTypes,$N393,7)=I393),"",1)</f>
        <v/>
      </c>
      <c r="P393">
        <f ca="1">INDEX(rngParamTypes,$N393,9)</f>
        <v>0</v>
      </c>
      <c r="Q393">
        <f ca="1">INDEX(rngParamTypes,$N393,10)</f>
        <v>0</v>
      </c>
      <c r="R393">
        <f ca="1">INDEX(rngParamTypes,$N393,11)</f>
        <v>0</v>
      </c>
      <c r="S393">
        <f ca="1">INDEX(rngParamTypes,$N393,12)</f>
        <v>0</v>
      </c>
      <c r="T393">
        <f ca="1">INDEX(rngParamTypes,$N393,13)</f>
        <v>0</v>
      </c>
      <c r="U393">
        <f ca="1">INDEX(rngParamTypes,$N393,14)</f>
        <v>0</v>
      </c>
      <c r="V393">
        <f ca="1">INDEX(rngParamTypes,$N393,15)</f>
        <v>0</v>
      </c>
      <c r="W393">
        <f ca="1">INDEX(rngParamTypes,$N393,16)</f>
        <v>0</v>
      </c>
      <c r="X393">
        <f ca="1">INDEX(rngParamTypes,$N393,17)</f>
        <v>0</v>
      </c>
      <c r="Y393">
        <f ca="1">INDEX(rngParamTypes,$N393,18)</f>
        <v>0</v>
      </c>
    </row>
    <row r="394" spans="1:25" x14ac:dyDescent="0.2">
      <c r="A394" s="16">
        <v>393</v>
      </c>
      <c r="B394" s="37">
        <v>1</v>
      </c>
      <c r="C394" s="16" t="s">
        <v>1394</v>
      </c>
      <c r="D394" s="16" t="s">
        <v>1394</v>
      </c>
      <c r="E394" s="16">
        <v>2</v>
      </c>
      <c r="F394" s="16" t="s">
        <v>3584</v>
      </c>
      <c r="G394" s="16" t="s">
        <v>343</v>
      </c>
      <c r="H394" s="16" t="s">
        <v>1393</v>
      </c>
      <c r="I394" s="16" t="s">
        <v>344</v>
      </c>
      <c r="J394" s="16">
        <v>0</v>
      </c>
      <c r="K394" s="16">
        <v>3.7854120000000002E-3</v>
      </c>
      <c r="L394" s="16">
        <v>3600</v>
      </c>
      <c r="M394" s="16">
        <v>0</v>
      </c>
      <c r="N394">
        <f t="array" aca="1" ref="N394" ca="1">MATCH(TRUE,EXACT(I394,OFFSET(rngParamTypes,0,6,,1)),0)</f>
        <v>141</v>
      </c>
      <c r="O394" t="str">
        <f ca="1">IF((INDEX(rngParamTypes,$N394,7)=I394),"",1)</f>
        <v/>
      </c>
      <c r="P394">
        <f ca="1">INDEX(rngParamTypes,$N394,9)</f>
        <v>0</v>
      </c>
      <c r="Q394">
        <f ca="1">INDEX(rngParamTypes,$N394,10)</f>
        <v>3</v>
      </c>
      <c r="R394">
        <f ca="1">INDEX(rngParamTypes,$N394,11)</f>
        <v>-1</v>
      </c>
      <c r="S394">
        <f ca="1">INDEX(rngParamTypes,$N394,12)</f>
        <v>0</v>
      </c>
      <c r="T394">
        <f ca="1">INDEX(rngParamTypes,$N394,13)</f>
        <v>0</v>
      </c>
      <c r="U394">
        <f ca="1">INDEX(rngParamTypes,$N394,14)</f>
        <v>0</v>
      </c>
      <c r="V394">
        <f ca="1">INDEX(rngParamTypes,$N394,15)</f>
        <v>0</v>
      </c>
      <c r="W394">
        <f ca="1">INDEX(rngParamTypes,$N394,16)</f>
        <v>0</v>
      </c>
      <c r="X394">
        <f ca="1">INDEX(rngParamTypes,$N394,17)</f>
        <v>0</v>
      </c>
      <c r="Y394">
        <f ca="1">INDEX(rngParamTypes,$N394,18)</f>
        <v>0</v>
      </c>
    </row>
    <row r="395" spans="1:25" x14ac:dyDescent="0.2">
      <c r="A395" s="16">
        <v>394</v>
      </c>
      <c r="B395" s="37">
        <v>1</v>
      </c>
      <c r="C395" s="16" t="s">
        <v>1397</v>
      </c>
      <c r="D395" s="16" t="s">
        <v>1397</v>
      </c>
      <c r="E395" s="16"/>
      <c r="F395" s="16" t="s">
        <v>3585</v>
      </c>
      <c r="G395" s="16" t="s">
        <v>664</v>
      </c>
      <c r="H395" s="16" t="s">
        <v>1396</v>
      </c>
      <c r="I395" s="16" t="s">
        <v>319</v>
      </c>
      <c r="J395" s="16">
        <v>0</v>
      </c>
      <c r="K395" s="16">
        <v>3.449814E-6</v>
      </c>
      <c r="L395" s="16">
        <v>1</v>
      </c>
      <c r="M395" s="16">
        <v>0</v>
      </c>
      <c r="N395">
        <f t="array" aca="1" ref="N395" ca="1">MATCH(TRUE,EXACT(I395,OFFSET(rngParamTypes,0,6,,1)),0)</f>
        <v>130</v>
      </c>
      <c r="O395" t="str">
        <f ca="1">IF((INDEX(rngParamTypes,$N395,7)=I395),"",1)</f>
        <v/>
      </c>
      <c r="P395">
        <f ca="1">INDEX(rngParamTypes,$N395,9)</f>
        <v>0</v>
      </c>
      <c r="Q395">
        <f ca="1">INDEX(rngParamTypes,$N395,10)</f>
        <v>2</v>
      </c>
      <c r="R395">
        <f ca="1">INDEX(rngParamTypes,$N395,11)</f>
        <v>-1</v>
      </c>
      <c r="S395">
        <f ca="1">INDEX(rngParamTypes,$N395,12)</f>
        <v>0</v>
      </c>
      <c r="T395">
        <f ca="1">INDEX(rngParamTypes,$N395,13)</f>
        <v>0</v>
      </c>
      <c r="U395">
        <f ca="1">INDEX(rngParamTypes,$N395,14)</f>
        <v>0</v>
      </c>
      <c r="V395">
        <f ca="1">INDEX(rngParamTypes,$N395,15)</f>
        <v>0</v>
      </c>
      <c r="W395">
        <f ca="1">INDEX(rngParamTypes,$N395,16)</f>
        <v>0</v>
      </c>
      <c r="X395">
        <f ca="1">INDEX(rngParamTypes,$N395,17)</f>
        <v>0</v>
      </c>
      <c r="Y395">
        <f ca="1">INDEX(rngParamTypes,$N395,18)</f>
        <v>0</v>
      </c>
    </row>
    <row r="396" spans="1:25" x14ac:dyDescent="0.2">
      <c r="A396" s="16">
        <v>395</v>
      </c>
      <c r="B396" s="37">
        <v>1</v>
      </c>
      <c r="C396" s="16" t="s">
        <v>1400</v>
      </c>
      <c r="D396" s="16" t="s">
        <v>1400</v>
      </c>
      <c r="E396" s="16"/>
      <c r="F396" s="16" t="s">
        <v>3586</v>
      </c>
      <c r="G396" s="16" t="s">
        <v>1271</v>
      </c>
      <c r="H396" s="16" t="s">
        <v>1399</v>
      </c>
      <c r="I396" s="16" t="s">
        <v>297</v>
      </c>
      <c r="J396" s="16">
        <v>0</v>
      </c>
      <c r="K396" s="16">
        <v>1.1318290000000001E-5</v>
      </c>
      <c r="L396" s="16">
        <v>1</v>
      </c>
      <c r="M396" s="16">
        <v>0</v>
      </c>
      <c r="N396">
        <f t="array" aca="1" ref="N396" ca="1">MATCH(TRUE,EXACT(I396,OFFSET(rngParamTypes,0,6,,1)),0)</f>
        <v>123</v>
      </c>
      <c r="O396" t="str">
        <f ca="1">IF((INDEX(rngParamTypes,$N396,7)=I396),"",1)</f>
        <v/>
      </c>
      <c r="P396">
        <f ca="1">INDEX(rngParamTypes,$N396,9)</f>
        <v>0</v>
      </c>
      <c r="Q396">
        <f ca="1">INDEX(rngParamTypes,$N396,10)</f>
        <v>1</v>
      </c>
      <c r="R396">
        <f ca="1">INDEX(rngParamTypes,$N396,11)</f>
        <v>-1</v>
      </c>
      <c r="S396">
        <f ca="1">INDEX(rngParamTypes,$N396,12)</f>
        <v>0</v>
      </c>
      <c r="T396">
        <f ca="1">INDEX(rngParamTypes,$N396,13)</f>
        <v>0</v>
      </c>
      <c r="U396">
        <f ca="1">INDEX(rngParamTypes,$N396,14)</f>
        <v>0</v>
      </c>
      <c r="V396">
        <f ca="1">INDEX(rngParamTypes,$N396,15)</f>
        <v>0</v>
      </c>
      <c r="W396">
        <f ca="1">INDEX(rngParamTypes,$N396,16)</f>
        <v>0</v>
      </c>
      <c r="X396">
        <f ca="1">INDEX(rngParamTypes,$N396,17)</f>
        <v>0</v>
      </c>
      <c r="Y396">
        <f ca="1">INDEX(rngParamTypes,$N396,18)</f>
        <v>0</v>
      </c>
    </row>
    <row r="397" spans="1:25" x14ac:dyDescent="0.2">
      <c r="A397" s="16">
        <v>396</v>
      </c>
      <c r="B397" s="37">
        <v>1</v>
      </c>
      <c r="C397" s="16" t="s">
        <v>1403</v>
      </c>
      <c r="D397" s="16" t="s">
        <v>1403</v>
      </c>
      <c r="E397" s="16"/>
      <c r="F397" s="16" t="s">
        <v>3587</v>
      </c>
      <c r="G397" s="16" t="s">
        <v>664</v>
      </c>
      <c r="H397" s="16" t="s">
        <v>1402</v>
      </c>
      <c r="I397" s="16" t="s">
        <v>319</v>
      </c>
      <c r="J397" s="16">
        <v>0</v>
      </c>
      <c r="K397" s="16">
        <v>4.1397760000000003E-5</v>
      </c>
      <c r="L397" s="16">
        <v>1</v>
      </c>
      <c r="M397" s="16">
        <v>0</v>
      </c>
      <c r="N397">
        <f t="array" aca="1" ref="N397" ca="1">MATCH(TRUE,EXACT(I397,OFFSET(rngParamTypes,0,6,,1)),0)</f>
        <v>130</v>
      </c>
      <c r="O397" t="str">
        <f ca="1">IF((INDEX(rngParamTypes,$N397,7)=I397),"",1)</f>
        <v/>
      </c>
      <c r="P397">
        <f ca="1">INDEX(rngParamTypes,$N397,9)</f>
        <v>0</v>
      </c>
      <c r="Q397">
        <f ca="1">INDEX(rngParamTypes,$N397,10)</f>
        <v>2</v>
      </c>
      <c r="R397">
        <f ca="1">INDEX(rngParamTypes,$N397,11)</f>
        <v>-1</v>
      </c>
      <c r="S397">
        <f ca="1">INDEX(rngParamTypes,$N397,12)</f>
        <v>0</v>
      </c>
      <c r="T397">
        <f ca="1">INDEX(rngParamTypes,$N397,13)</f>
        <v>0</v>
      </c>
      <c r="U397">
        <f ca="1">INDEX(rngParamTypes,$N397,14)</f>
        <v>0</v>
      </c>
      <c r="V397">
        <f ca="1">INDEX(rngParamTypes,$N397,15)</f>
        <v>0</v>
      </c>
      <c r="W397">
        <f ca="1">INDEX(rngParamTypes,$N397,16)</f>
        <v>0</v>
      </c>
      <c r="X397">
        <f ca="1">INDEX(rngParamTypes,$N397,17)</f>
        <v>0</v>
      </c>
      <c r="Y397">
        <f ca="1">INDEX(rngParamTypes,$N397,18)</f>
        <v>0</v>
      </c>
    </row>
    <row r="398" spans="1:25" x14ac:dyDescent="0.2">
      <c r="A398" s="16">
        <v>397</v>
      </c>
      <c r="B398" s="37">
        <v>1</v>
      </c>
      <c r="C398" s="16" t="s">
        <v>1406</v>
      </c>
      <c r="D398" s="16" t="s">
        <v>1406</v>
      </c>
      <c r="E398" s="16"/>
      <c r="F398" s="16" t="s">
        <v>3588</v>
      </c>
      <c r="G398" s="16" t="s">
        <v>1271</v>
      </c>
      <c r="H398" s="16" t="s">
        <v>1405</v>
      </c>
      <c r="I398" s="16" t="s">
        <v>297</v>
      </c>
      <c r="J398" s="16">
        <v>0</v>
      </c>
      <c r="K398" s="16">
        <v>1.629833E-3</v>
      </c>
      <c r="L398" s="16">
        <v>1</v>
      </c>
      <c r="M398" s="16">
        <v>0</v>
      </c>
      <c r="N398">
        <f t="array" aca="1" ref="N398" ca="1">MATCH(TRUE,EXACT(I398,OFFSET(rngParamTypes,0,6,,1)),0)</f>
        <v>123</v>
      </c>
      <c r="O398" t="str">
        <f ca="1">IF((INDEX(rngParamTypes,$N398,7)=I398),"",1)</f>
        <v/>
      </c>
      <c r="P398">
        <f ca="1">INDEX(rngParamTypes,$N398,9)</f>
        <v>0</v>
      </c>
      <c r="Q398">
        <f ca="1">INDEX(rngParamTypes,$N398,10)</f>
        <v>1</v>
      </c>
      <c r="R398">
        <f ca="1">INDEX(rngParamTypes,$N398,11)</f>
        <v>-1</v>
      </c>
      <c r="S398">
        <f ca="1">INDEX(rngParamTypes,$N398,12)</f>
        <v>0</v>
      </c>
      <c r="T398">
        <f ca="1">INDEX(rngParamTypes,$N398,13)</f>
        <v>0</v>
      </c>
      <c r="U398">
        <f ca="1">INDEX(rngParamTypes,$N398,14)</f>
        <v>0</v>
      </c>
      <c r="V398">
        <f ca="1">INDEX(rngParamTypes,$N398,15)</f>
        <v>0</v>
      </c>
      <c r="W398">
        <f ca="1">INDEX(rngParamTypes,$N398,16)</f>
        <v>0</v>
      </c>
      <c r="X398">
        <f ca="1">INDEX(rngParamTypes,$N398,17)</f>
        <v>0</v>
      </c>
      <c r="Y398">
        <f ca="1">INDEX(rngParamTypes,$N398,18)</f>
        <v>0</v>
      </c>
    </row>
    <row r="399" spans="1:25" x14ac:dyDescent="0.2">
      <c r="A399" s="16">
        <v>398</v>
      </c>
      <c r="B399" s="37">
        <v>1</v>
      </c>
      <c r="C399" s="16" t="s">
        <v>1409</v>
      </c>
      <c r="D399" s="16" t="s">
        <v>1409</v>
      </c>
      <c r="E399" s="16"/>
      <c r="F399" s="16" t="s">
        <v>3589</v>
      </c>
      <c r="G399" s="16" t="s">
        <v>346</v>
      </c>
      <c r="H399" s="16" t="s">
        <v>1408</v>
      </c>
      <c r="I399" s="16" t="s">
        <v>347</v>
      </c>
      <c r="J399" s="16">
        <v>0</v>
      </c>
      <c r="K399" s="16">
        <v>3.7854120000000002E-3</v>
      </c>
      <c r="L399" s="16">
        <v>12960000</v>
      </c>
      <c r="M399" s="16">
        <v>0</v>
      </c>
      <c r="N399">
        <f t="array" aca="1" ref="N399" ca="1">MATCH(TRUE,EXACT(I399,OFFSET(rngParamTypes,0,6,,1)),0)</f>
        <v>142</v>
      </c>
      <c r="O399" t="str">
        <f ca="1">IF((INDEX(rngParamTypes,$N399,7)=I399),"",1)</f>
        <v/>
      </c>
      <c r="P399">
        <f ca="1">INDEX(rngParamTypes,$N399,9)</f>
        <v>0</v>
      </c>
      <c r="Q399">
        <f ca="1">INDEX(rngParamTypes,$N399,10)</f>
        <v>3</v>
      </c>
      <c r="R399">
        <f ca="1">INDEX(rngParamTypes,$N399,11)</f>
        <v>-2</v>
      </c>
      <c r="S399">
        <f ca="1">INDEX(rngParamTypes,$N399,12)</f>
        <v>0</v>
      </c>
      <c r="T399">
        <f ca="1">INDEX(rngParamTypes,$N399,13)</f>
        <v>0</v>
      </c>
      <c r="U399">
        <f ca="1">INDEX(rngParamTypes,$N399,14)</f>
        <v>0</v>
      </c>
      <c r="V399">
        <f ca="1">INDEX(rngParamTypes,$N399,15)</f>
        <v>0</v>
      </c>
      <c r="W399">
        <f ca="1">INDEX(rngParamTypes,$N399,16)</f>
        <v>0</v>
      </c>
      <c r="X399">
        <f ca="1">INDEX(rngParamTypes,$N399,17)</f>
        <v>0</v>
      </c>
      <c r="Y399">
        <f ca="1">INDEX(rngParamTypes,$N399,18)</f>
        <v>0</v>
      </c>
    </row>
    <row r="400" spans="1:25" x14ac:dyDescent="0.2">
      <c r="A400" s="16">
        <v>399</v>
      </c>
      <c r="B400" s="37">
        <v>1</v>
      </c>
      <c r="C400" s="16" t="s">
        <v>1412</v>
      </c>
      <c r="D400" s="16" t="s">
        <v>1412</v>
      </c>
      <c r="E400" s="16"/>
      <c r="F400" s="16" t="s">
        <v>3590</v>
      </c>
      <c r="G400" s="16" t="s">
        <v>659</v>
      </c>
      <c r="H400" s="16" t="s">
        <v>1411</v>
      </c>
      <c r="I400" s="16" t="s">
        <v>131</v>
      </c>
      <c r="J400" s="16">
        <v>0</v>
      </c>
      <c r="K400" s="16">
        <v>1E-3</v>
      </c>
      <c r="L400" s="16">
        <v>1</v>
      </c>
      <c r="M400" s="16">
        <v>0</v>
      </c>
      <c r="N400">
        <f t="array" aca="1" ref="N400" ca="1">MATCH(TRUE,EXACT(I400,OFFSET(rngParamTypes,0,6,,1)),0)</f>
        <v>42</v>
      </c>
      <c r="O400" t="str">
        <f ca="1">IF((INDEX(rngParamTypes,$N400,7)=I400),"",1)</f>
        <v/>
      </c>
      <c r="P400">
        <f ca="1">INDEX(rngParamTypes,$N400,9)</f>
        <v>0</v>
      </c>
      <c r="Q400">
        <f ca="1">INDEX(rngParamTypes,$N400,10)</f>
        <v>0</v>
      </c>
      <c r="R400">
        <f ca="1">INDEX(rngParamTypes,$N400,11)</f>
        <v>0</v>
      </c>
      <c r="S400">
        <f ca="1">INDEX(rngParamTypes,$N400,12)</f>
        <v>0</v>
      </c>
      <c r="T400">
        <f ca="1">INDEX(rngParamTypes,$N400,13)</f>
        <v>0</v>
      </c>
      <c r="U400">
        <f ca="1">INDEX(rngParamTypes,$N400,14)</f>
        <v>0</v>
      </c>
      <c r="V400">
        <f ca="1">INDEX(rngParamTypes,$N400,15)</f>
        <v>0</v>
      </c>
      <c r="W400">
        <f ca="1">INDEX(rngParamTypes,$N400,16)</f>
        <v>0</v>
      </c>
      <c r="X400">
        <f ca="1">INDEX(rngParamTypes,$N400,17)</f>
        <v>0</v>
      </c>
      <c r="Y400">
        <f ca="1">INDEX(rngParamTypes,$N400,18)</f>
        <v>0</v>
      </c>
    </row>
    <row r="401" spans="1:25" x14ac:dyDescent="0.2">
      <c r="A401" s="16">
        <v>400</v>
      </c>
      <c r="B401" s="37">
        <v>1</v>
      </c>
      <c r="C401" s="16" t="s">
        <v>1414</v>
      </c>
      <c r="D401" s="16" t="s">
        <v>1414</v>
      </c>
      <c r="E401" s="16">
        <v>2</v>
      </c>
      <c r="F401" s="16" t="s">
        <v>3591</v>
      </c>
      <c r="G401" s="16" t="s">
        <v>3307</v>
      </c>
      <c r="H401" s="16" t="s">
        <v>1413</v>
      </c>
      <c r="I401" s="16" t="s">
        <v>329</v>
      </c>
      <c r="J401" s="16">
        <v>0</v>
      </c>
      <c r="K401" s="16">
        <v>8.3454040000000007E-3</v>
      </c>
      <c r="L401" s="16">
        <v>1</v>
      </c>
      <c r="M401" s="16">
        <v>0</v>
      </c>
      <c r="N401">
        <f t="array" aca="1" ref="N401" ca="1">MATCH(TRUE,EXACT(I401,OFFSET(rngParamTypes,0,6,,1)),0)</f>
        <v>136</v>
      </c>
      <c r="O401" t="str">
        <f ca="1">IF((INDEX(rngParamTypes,$N401,7)=I401),"",1)</f>
        <v/>
      </c>
      <c r="P401">
        <f ca="1">INDEX(rngParamTypes,$N401,9)</f>
        <v>-1</v>
      </c>
      <c r="Q401">
        <f ca="1">INDEX(rngParamTypes,$N401,10)</f>
        <v>3</v>
      </c>
      <c r="R401">
        <f ca="1">INDEX(rngParamTypes,$N401,11)</f>
        <v>0</v>
      </c>
      <c r="S401">
        <f ca="1">INDEX(rngParamTypes,$N401,12)</f>
        <v>0</v>
      </c>
      <c r="T401">
        <f ca="1">INDEX(rngParamTypes,$N401,13)</f>
        <v>0</v>
      </c>
      <c r="U401">
        <f ca="1">INDEX(rngParamTypes,$N401,14)</f>
        <v>0</v>
      </c>
      <c r="V401">
        <f ca="1">INDEX(rngParamTypes,$N401,15)</f>
        <v>0</v>
      </c>
      <c r="W401">
        <f ca="1">INDEX(rngParamTypes,$N401,16)</f>
        <v>0</v>
      </c>
      <c r="X401">
        <f ca="1">INDEX(rngParamTypes,$N401,17)</f>
        <v>0</v>
      </c>
      <c r="Y401">
        <f ca="1">INDEX(rngParamTypes,$N401,18)</f>
        <v>0</v>
      </c>
    </row>
    <row r="402" spans="1:25" x14ac:dyDescent="0.2">
      <c r="A402" s="16">
        <v>401</v>
      </c>
      <c r="B402" s="37">
        <v>1</v>
      </c>
      <c r="C402" s="16" t="s">
        <v>1416</v>
      </c>
      <c r="D402" s="16" t="s">
        <v>1416</v>
      </c>
      <c r="E402" s="16"/>
      <c r="F402" s="16" t="s">
        <v>3592</v>
      </c>
      <c r="G402" s="16" t="s">
        <v>659</v>
      </c>
      <c r="H402" s="16" t="s">
        <v>1415</v>
      </c>
      <c r="I402" s="16" t="s">
        <v>131</v>
      </c>
      <c r="J402" s="16">
        <v>0</v>
      </c>
      <c r="K402" s="16">
        <v>2.3809520000000001E-5</v>
      </c>
      <c r="L402" s="16">
        <v>1</v>
      </c>
      <c r="M402" s="16">
        <v>0</v>
      </c>
      <c r="N402">
        <f t="array" aca="1" ref="N402" ca="1">MATCH(TRUE,EXACT(I402,OFFSET(rngParamTypes,0,6,,1)),0)</f>
        <v>42</v>
      </c>
      <c r="O402" t="str">
        <f ca="1">IF((INDEX(rngParamTypes,$N402,7)=I402),"",1)</f>
        <v/>
      </c>
      <c r="P402">
        <f ca="1">INDEX(rngParamTypes,$N402,9)</f>
        <v>0</v>
      </c>
      <c r="Q402">
        <f ca="1">INDEX(rngParamTypes,$N402,10)</f>
        <v>0</v>
      </c>
      <c r="R402">
        <f ca="1">INDEX(rngParamTypes,$N402,11)</f>
        <v>0</v>
      </c>
      <c r="S402">
        <f ca="1">INDEX(rngParamTypes,$N402,12)</f>
        <v>0</v>
      </c>
      <c r="T402">
        <f ca="1">INDEX(rngParamTypes,$N402,13)</f>
        <v>0</v>
      </c>
      <c r="U402">
        <f ca="1">INDEX(rngParamTypes,$N402,14)</f>
        <v>0</v>
      </c>
      <c r="V402">
        <f ca="1">INDEX(rngParamTypes,$N402,15)</f>
        <v>0</v>
      </c>
      <c r="W402">
        <f ca="1">INDEX(rngParamTypes,$N402,16)</f>
        <v>0</v>
      </c>
      <c r="X402">
        <f ca="1">INDEX(rngParamTypes,$N402,17)</f>
        <v>0</v>
      </c>
      <c r="Y402">
        <f ca="1">INDEX(rngParamTypes,$N402,18)</f>
        <v>0</v>
      </c>
    </row>
    <row r="403" spans="1:25" x14ac:dyDescent="0.2">
      <c r="A403" s="16">
        <v>402</v>
      </c>
      <c r="B403" s="37">
        <v>1</v>
      </c>
      <c r="C403" s="16" t="s">
        <v>1418</v>
      </c>
      <c r="D403" s="16" t="s">
        <v>1418</v>
      </c>
      <c r="E403" s="16"/>
      <c r="F403" s="16" t="s">
        <v>3593</v>
      </c>
      <c r="G403" s="16" t="s">
        <v>767</v>
      </c>
      <c r="H403" s="16" t="s">
        <v>1417</v>
      </c>
      <c r="I403" s="16" t="s">
        <v>303</v>
      </c>
      <c r="J403" s="16">
        <v>0</v>
      </c>
      <c r="K403" s="16">
        <v>3.7854120000000002E-3</v>
      </c>
      <c r="L403" s="16">
        <v>1609.3440000000001</v>
      </c>
      <c r="M403" s="16">
        <v>0</v>
      </c>
      <c r="N403">
        <f t="array" aca="1" ref="N403" ca="1">MATCH(TRUE,EXACT(I403,OFFSET(rngParamTypes,0,6,,1)),0)</f>
        <v>125</v>
      </c>
      <c r="O403" t="str">
        <f ca="1">IF((INDEX(rngParamTypes,$N403,7)=I403),"",1)</f>
        <v/>
      </c>
      <c r="P403">
        <f ca="1">INDEX(rngParamTypes,$N403,9)</f>
        <v>0</v>
      </c>
      <c r="Q403">
        <f ca="1">INDEX(rngParamTypes,$N403,10)</f>
        <v>2</v>
      </c>
      <c r="R403">
        <f ca="1">INDEX(rngParamTypes,$N403,11)</f>
        <v>0</v>
      </c>
      <c r="S403">
        <f ca="1">INDEX(rngParamTypes,$N403,12)</f>
        <v>0</v>
      </c>
      <c r="T403">
        <f ca="1">INDEX(rngParamTypes,$N403,13)</f>
        <v>0</v>
      </c>
      <c r="U403">
        <f ca="1">INDEX(rngParamTypes,$N403,14)</f>
        <v>0</v>
      </c>
      <c r="V403">
        <f ca="1">INDEX(rngParamTypes,$N403,15)</f>
        <v>0</v>
      </c>
      <c r="W403">
        <f ca="1">INDEX(rngParamTypes,$N403,16)</f>
        <v>0</v>
      </c>
      <c r="X403">
        <f ca="1">INDEX(rngParamTypes,$N403,17)</f>
        <v>0</v>
      </c>
      <c r="Y403">
        <f ca="1">INDEX(rngParamTypes,$N403,18)</f>
        <v>0</v>
      </c>
    </row>
    <row r="404" spans="1:25" x14ac:dyDescent="0.2">
      <c r="A404" s="16">
        <v>403</v>
      </c>
      <c r="B404" s="37">
        <v>1</v>
      </c>
      <c r="C404" s="16" t="s">
        <v>1420</v>
      </c>
      <c r="D404" s="16" t="s">
        <v>1420</v>
      </c>
      <c r="E404" s="16">
        <v>2</v>
      </c>
      <c r="F404" s="16" t="s">
        <v>3594</v>
      </c>
      <c r="G404" s="16" t="s">
        <v>343</v>
      </c>
      <c r="H404" s="16" t="s">
        <v>1419</v>
      </c>
      <c r="I404" s="16" t="s">
        <v>344</v>
      </c>
      <c r="J404" s="16">
        <v>0</v>
      </c>
      <c r="K404" s="16">
        <v>3.7854120000000002E-3</v>
      </c>
      <c r="L404" s="16">
        <v>60</v>
      </c>
      <c r="M404" s="16">
        <v>0</v>
      </c>
      <c r="N404">
        <f t="array" aca="1" ref="N404" ca="1">MATCH(TRUE,EXACT(I404,OFFSET(rngParamTypes,0,6,,1)),0)</f>
        <v>141</v>
      </c>
      <c r="O404" t="str">
        <f ca="1">IF((INDEX(rngParamTypes,$N404,7)=I404),"",1)</f>
        <v/>
      </c>
      <c r="P404">
        <f ca="1">INDEX(rngParamTypes,$N404,9)</f>
        <v>0</v>
      </c>
      <c r="Q404">
        <f ca="1">INDEX(rngParamTypes,$N404,10)</f>
        <v>3</v>
      </c>
      <c r="R404">
        <f ca="1">INDEX(rngParamTypes,$N404,11)</f>
        <v>-1</v>
      </c>
      <c r="S404">
        <f ca="1">INDEX(rngParamTypes,$N404,12)</f>
        <v>0</v>
      </c>
      <c r="T404">
        <f ca="1">INDEX(rngParamTypes,$N404,13)</f>
        <v>0</v>
      </c>
      <c r="U404">
        <f ca="1">INDEX(rngParamTypes,$N404,14)</f>
        <v>0</v>
      </c>
      <c r="V404">
        <f ca="1">INDEX(rngParamTypes,$N404,15)</f>
        <v>0</v>
      </c>
      <c r="W404">
        <f ca="1">INDEX(rngParamTypes,$N404,16)</f>
        <v>0</v>
      </c>
      <c r="X404">
        <f ca="1">INDEX(rngParamTypes,$N404,17)</f>
        <v>0</v>
      </c>
      <c r="Y404">
        <f ca="1">INDEX(rngParamTypes,$N404,18)</f>
        <v>0</v>
      </c>
    </row>
    <row r="405" spans="1:25" x14ac:dyDescent="0.2">
      <c r="A405" s="16">
        <v>404</v>
      </c>
      <c r="B405" s="37">
        <v>1</v>
      </c>
      <c r="C405" s="16" t="s">
        <v>1422</v>
      </c>
      <c r="D405" s="16" t="s">
        <v>1422</v>
      </c>
      <c r="E405" s="16"/>
      <c r="F405" s="16" t="s">
        <v>3595</v>
      </c>
      <c r="G405" s="16" t="s">
        <v>664</v>
      </c>
      <c r="H405" s="16" t="s">
        <v>1421</v>
      </c>
      <c r="I405" s="16" t="s">
        <v>319</v>
      </c>
      <c r="J405" s="16">
        <v>0</v>
      </c>
      <c r="K405" s="16">
        <v>2.0698879999999999E-4</v>
      </c>
      <c r="L405" s="16">
        <v>1</v>
      </c>
      <c r="M405" s="16">
        <v>0</v>
      </c>
      <c r="N405">
        <f t="array" aca="1" ref="N405" ca="1">MATCH(TRUE,EXACT(I405,OFFSET(rngParamTypes,0,6,,1)),0)</f>
        <v>130</v>
      </c>
      <c r="O405" t="str">
        <f ca="1">IF((INDEX(rngParamTypes,$N405,7)=I405),"",1)</f>
        <v/>
      </c>
      <c r="P405">
        <f ca="1">INDEX(rngParamTypes,$N405,9)</f>
        <v>0</v>
      </c>
      <c r="Q405">
        <f ca="1">INDEX(rngParamTypes,$N405,10)</f>
        <v>2</v>
      </c>
      <c r="R405">
        <f ca="1">INDEX(rngParamTypes,$N405,11)</f>
        <v>-1</v>
      </c>
      <c r="S405">
        <f ca="1">INDEX(rngParamTypes,$N405,12)</f>
        <v>0</v>
      </c>
      <c r="T405">
        <f ca="1">INDEX(rngParamTypes,$N405,13)</f>
        <v>0</v>
      </c>
      <c r="U405">
        <f ca="1">INDEX(rngParamTypes,$N405,14)</f>
        <v>0</v>
      </c>
      <c r="V405">
        <f ca="1">INDEX(rngParamTypes,$N405,15)</f>
        <v>0</v>
      </c>
      <c r="W405">
        <f ca="1">INDEX(rngParamTypes,$N405,16)</f>
        <v>0</v>
      </c>
      <c r="X405">
        <f ca="1">INDEX(rngParamTypes,$N405,17)</f>
        <v>0</v>
      </c>
      <c r="Y405">
        <f ca="1">INDEX(rngParamTypes,$N405,18)</f>
        <v>0</v>
      </c>
    </row>
    <row r="406" spans="1:25" x14ac:dyDescent="0.2">
      <c r="A406" s="16">
        <v>405</v>
      </c>
      <c r="B406" s="37">
        <v>1</v>
      </c>
      <c r="C406" s="16" t="s">
        <v>1424</v>
      </c>
      <c r="D406" s="16" t="s">
        <v>1424</v>
      </c>
      <c r="E406" s="16"/>
      <c r="F406" s="16" t="s">
        <v>3596</v>
      </c>
      <c r="G406" s="16" t="s">
        <v>1271</v>
      </c>
      <c r="H406" s="16" t="s">
        <v>1423</v>
      </c>
      <c r="I406" s="16" t="s">
        <v>297</v>
      </c>
      <c r="J406" s="16">
        <v>0</v>
      </c>
      <c r="K406" s="16">
        <v>6.7909719999999999E-4</v>
      </c>
      <c r="L406" s="16">
        <v>1</v>
      </c>
      <c r="M406" s="16">
        <v>0</v>
      </c>
      <c r="N406">
        <f t="array" aca="1" ref="N406" ca="1">MATCH(TRUE,EXACT(I406,OFFSET(rngParamTypes,0,6,,1)),0)</f>
        <v>123</v>
      </c>
      <c r="O406" t="str">
        <f ca="1">IF((INDEX(rngParamTypes,$N406,7)=I406),"",1)</f>
        <v/>
      </c>
      <c r="P406">
        <f ca="1">INDEX(rngParamTypes,$N406,9)</f>
        <v>0</v>
      </c>
      <c r="Q406">
        <f ca="1">INDEX(rngParamTypes,$N406,10)</f>
        <v>1</v>
      </c>
      <c r="R406">
        <f ca="1">INDEX(rngParamTypes,$N406,11)</f>
        <v>-1</v>
      </c>
      <c r="S406">
        <f ca="1">INDEX(rngParamTypes,$N406,12)</f>
        <v>0</v>
      </c>
      <c r="T406">
        <f ca="1">INDEX(rngParamTypes,$N406,13)</f>
        <v>0</v>
      </c>
      <c r="U406">
        <f ca="1">INDEX(rngParamTypes,$N406,14)</f>
        <v>0</v>
      </c>
      <c r="V406">
        <f ca="1">INDEX(rngParamTypes,$N406,15)</f>
        <v>0</v>
      </c>
      <c r="W406">
        <f ca="1">INDEX(rngParamTypes,$N406,16)</f>
        <v>0</v>
      </c>
      <c r="X406">
        <f ca="1">INDEX(rngParamTypes,$N406,17)</f>
        <v>0</v>
      </c>
      <c r="Y406">
        <f ca="1">INDEX(rngParamTypes,$N406,18)</f>
        <v>0</v>
      </c>
    </row>
    <row r="407" spans="1:25" x14ac:dyDescent="0.2">
      <c r="A407" s="16">
        <v>406</v>
      </c>
      <c r="B407" s="37">
        <v>1</v>
      </c>
      <c r="C407" s="16" t="s">
        <v>1426</v>
      </c>
      <c r="D407" s="16" t="s">
        <v>1426</v>
      </c>
      <c r="E407" s="16"/>
      <c r="F407" s="16" t="s">
        <v>3597</v>
      </c>
      <c r="G407" s="16" t="s">
        <v>346</v>
      </c>
      <c r="H407" s="16" t="s">
        <v>1425</v>
      </c>
      <c r="I407" s="16" t="s">
        <v>347</v>
      </c>
      <c r="J407" s="16">
        <v>0</v>
      </c>
      <c r="K407" s="16">
        <v>3.7854120000000002E-3</v>
      </c>
      <c r="L407" s="16">
        <v>3600</v>
      </c>
      <c r="M407" s="16">
        <v>0</v>
      </c>
      <c r="N407">
        <f t="array" aca="1" ref="N407" ca="1">MATCH(TRUE,EXACT(I407,OFFSET(rngParamTypes,0,6,,1)),0)</f>
        <v>142</v>
      </c>
      <c r="O407" t="str">
        <f ca="1">IF((INDEX(rngParamTypes,$N407,7)=I407),"",1)</f>
        <v/>
      </c>
      <c r="P407">
        <f ca="1">INDEX(rngParamTypes,$N407,9)</f>
        <v>0</v>
      </c>
      <c r="Q407">
        <f ca="1">INDEX(rngParamTypes,$N407,10)</f>
        <v>3</v>
      </c>
      <c r="R407">
        <f ca="1">INDEX(rngParamTypes,$N407,11)</f>
        <v>-2</v>
      </c>
      <c r="S407">
        <f ca="1">INDEX(rngParamTypes,$N407,12)</f>
        <v>0</v>
      </c>
      <c r="T407">
        <f ca="1">INDEX(rngParamTypes,$N407,13)</f>
        <v>0</v>
      </c>
      <c r="U407">
        <f ca="1">INDEX(rngParamTypes,$N407,14)</f>
        <v>0</v>
      </c>
      <c r="V407">
        <f ca="1">INDEX(rngParamTypes,$N407,15)</f>
        <v>0</v>
      </c>
      <c r="W407">
        <f ca="1">INDEX(rngParamTypes,$N407,16)</f>
        <v>0</v>
      </c>
      <c r="X407">
        <f ca="1">INDEX(rngParamTypes,$N407,17)</f>
        <v>0</v>
      </c>
      <c r="Y407">
        <f ca="1">INDEX(rngParamTypes,$N407,18)</f>
        <v>0</v>
      </c>
    </row>
    <row r="408" spans="1:25" x14ac:dyDescent="0.2">
      <c r="A408" s="16">
        <v>407</v>
      </c>
      <c r="B408" s="37">
        <v>1</v>
      </c>
      <c r="C408" s="16" t="s">
        <v>1428</v>
      </c>
      <c r="D408" s="16" t="s">
        <v>1428</v>
      </c>
      <c r="E408" s="16"/>
      <c r="F408" s="16" t="s">
        <v>4289</v>
      </c>
      <c r="G408" s="16" t="s">
        <v>349</v>
      </c>
      <c r="H408" s="16" t="s">
        <v>1427</v>
      </c>
      <c r="I408" s="16" t="s">
        <v>352</v>
      </c>
      <c r="J408" s="16">
        <v>0</v>
      </c>
      <c r="K408" s="16">
        <v>3.7854120000000002E-3</v>
      </c>
      <c r="L408" s="16">
        <v>28.262357000000002</v>
      </c>
      <c r="M408" s="16">
        <v>0</v>
      </c>
      <c r="N408">
        <f t="array" aca="1" ref="N408" ca="1">MATCH(TRUE,EXACT(I408,OFFSET(rngParamTypes,0,6,,1)),0)</f>
        <v>144</v>
      </c>
      <c r="O408" t="str">
        <f ca="1">IF((INDEX(rngParamTypes,$N408,7)=I408),"",1)</f>
        <v/>
      </c>
      <c r="P408">
        <f ca="1">INDEX(rngParamTypes,$N408,9)</f>
        <v>0</v>
      </c>
      <c r="Q408">
        <f ca="1">INDEX(rngParamTypes,$N408,10)</f>
        <v>0</v>
      </c>
      <c r="R408">
        <f ca="1">INDEX(rngParamTypes,$N408,11)</f>
        <v>0</v>
      </c>
      <c r="S408">
        <f ca="1">INDEX(rngParamTypes,$N408,12)</f>
        <v>0</v>
      </c>
      <c r="T408">
        <f ca="1">INDEX(rngParamTypes,$N408,13)</f>
        <v>0</v>
      </c>
      <c r="U408">
        <f ca="1">INDEX(rngParamTypes,$N408,14)</f>
        <v>0</v>
      </c>
      <c r="V408">
        <f ca="1">INDEX(rngParamTypes,$N408,15)</f>
        <v>0</v>
      </c>
      <c r="W408">
        <f ca="1">INDEX(rngParamTypes,$N408,16)</f>
        <v>0</v>
      </c>
      <c r="X408">
        <f ca="1">INDEX(rngParamTypes,$N408,17)</f>
        <v>0</v>
      </c>
      <c r="Y408">
        <f ca="1">INDEX(rngParamTypes,$N408,18)</f>
        <v>0</v>
      </c>
    </row>
    <row r="409" spans="1:25" x14ac:dyDescent="0.2">
      <c r="A409" s="16">
        <v>408</v>
      </c>
      <c r="B409" s="37">
        <v>1</v>
      </c>
      <c r="C409" s="16" t="s">
        <v>1429</v>
      </c>
      <c r="D409" s="16" t="s">
        <v>1429</v>
      </c>
      <c r="E409" s="16">
        <v>2</v>
      </c>
      <c r="F409" s="16" t="s">
        <v>4384</v>
      </c>
      <c r="G409" s="16" t="s">
        <v>3307</v>
      </c>
      <c r="H409" s="16" t="s">
        <v>1339</v>
      </c>
      <c r="I409" s="16" t="s">
        <v>329</v>
      </c>
      <c r="J409" s="16">
        <v>0</v>
      </c>
      <c r="K409" s="16">
        <v>3.7854120000000002E-3</v>
      </c>
      <c r="L409" s="16">
        <v>42.637689999999999</v>
      </c>
      <c r="M409" s="16">
        <v>0</v>
      </c>
      <c r="N409">
        <f t="array" aca="1" ref="N409" ca="1">MATCH(TRUE,EXACT(I409,OFFSET(rngParamTypes,0,6,,1)),0)</f>
        <v>136</v>
      </c>
      <c r="O409" t="str">
        <f ca="1">IF((INDEX(rngParamTypes,$N409,7)=I409),"",1)</f>
        <v/>
      </c>
      <c r="P409">
        <f ca="1">INDEX(rngParamTypes,$N409,9)</f>
        <v>-1</v>
      </c>
      <c r="Q409">
        <f ca="1">INDEX(rngParamTypes,$N409,10)</f>
        <v>3</v>
      </c>
      <c r="R409">
        <f ca="1">INDEX(rngParamTypes,$N409,11)</f>
        <v>0</v>
      </c>
      <c r="S409">
        <f ca="1">INDEX(rngParamTypes,$N409,12)</f>
        <v>0</v>
      </c>
      <c r="T409">
        <f ca="1">INDEX(rngParamTypes,$N409,13)</f>
        <v>0</v>
      </c>
      <c r="U409">
        <f ca="1">INDEX(rngParamTypes,$N409,14)</f>
        <v>0</v>
      </c>
      <c r="V409">
        <f ca="1">INDEX(rngParamTypes,$N409,15)</f>
        <v>0</v>
      </c>
      <c r="W409">
        <f ca="1">INDEX(rngParamTypes,$N409,16)</f>
        <v>0</v>
      </c>
      <c r="X409">
        <f ca="1">INDEX(rngParamTypes,$N409,17)</f>
        <v>0</v>
      </c>
      <c r="Y409">
        <f ca="1">INDEX(rngParamTypes,$N409,18)</f>
        <v>0</v>
      </c>
    </row>
    <row r="410" spans="1:25" x14ac:dyDescent="0.2">
      <c r="A410" s="16">
        <v>409</v>
      </c>
      <c r="B410" s="37">
        <v>1</v>
      </c>
      <c r="C410" s="16" t="s">
        <v>1431</v>
      </c>
      <c r="D410" s="16" t="s">
        <v>1431</v>
      </c>
      <c r="E410" s="16">
        <v>2</v>
      </c>
      <c r="F410" s="16" t="s">
        <v>3598</v>
      </c>
      <c r="G410" s="16" t="s">
        <v>3307</v>
      </c>
      <c r="H410" s="16" t="s">
        <v>1430</v>
      </c>
      <c r="I410" s="16" t="s">
        <v>329</v>
      </c>
      <c r="J410" s="16">
        <v>0</v>
      </c>
      <c r="K410" s="16">
        <v>3.7256270000000001E-6</v>
      </c>
      <c r="L410" s="16">
        <v>1</v>
      </c>
      <c r="M410" s="16">
        <v>0</v>
      </c>
      <c r="N410">
        <f t="array" aca="1" ref="N410" ca="1">MATCH(TRUE,EXACT(I410,OFFSET(rngParamTypes,0,6,,1)),0)</f>
        <v>136</v>
      </c>
      <c r="O410" t="str">
        <f ca="1">IF((INDEX(rngParamTypes,$N410,7)=I410),"",1)</f>
        <v/>
      </c>
      <c r="P410">
        <f ca="1">INDEX(rngParamTypes,$N410,9)</f>
        <v>-1</v>
      </c>
      <c r="Q410">
        <f ca="1">INDEX(rngParamTypes,$N410,10)</f>
        <v>3</v>
      </c>
      <c r="R410">
        <f ca="1">INDEX(rngParamTypes,$N410,11)</f>
        <v>0</v>
      </c>
      <c r="S410">
        <f ca="1">INDEX(rngParamTypes,$N410,12)</f>
        <v>0</v>
      </c>
      <c r="T410">
        <f ca="1">INDEX(rngParamTypes,$N410,13)</f>
        <v>0</v>
      </c>
      <c r="U410">
        <f ca="1">INDEX(rngParamTypes,$N410,14)</f>
        <v>0</v>
      </c>
      <c r="V410">
        <f ca="1">INDEX(rngParamTypes,$N410,15)</f>
        <v>0</v>
      </c>
      <c r="W410">
        <f ca="1">INDEX(rngParamTypes,$N410,16)</f>
        <v>0</v>
      </c>
      <c r="X410">
        <f ca="1">INDEX(rngParamTypes,$N410,17)</f>
        <v>0</v>
      </c>
      <c r="Y410">
        <f ca="1">INDEX(rngParamTypes,$N410,18)</f>
        <v>0</v>
      </c>
    </row>
    <row r="411" spans="1:25" x14ac:dyDescent="0.2">
      <c r="A411" s="16">
        <v>410</v>
      </c>
      <c r="B411" s="37">
        <v>1</v>
      </c>
      <c r="C411" s="16" t="s">
        <v>1433</v>
      </c>
      <c r="D411" s="16" t="s">
        <v>1433</v>
      </c>
      <c r="E411" s="16">
        <v>2</v>
      </c>
      <c r="F411" s="16" t="s">
        <v>3599</v>
      </c>
      <c r="G411" s="16" t="s">
        <v>3307</v>
      </c>
      <c r="H411" s="16" t="s">
        <v>1432</v>
      </c>
      <c r="I411" s="16" t="s">
        <v>329</v>
      </c>
      <c r="J411" s="16">
        <v>0</v>
      </c>
      <c r="K411" s="16">
        <v>4.1727020000000004E-6</v>
      </c>
      <c r="L411" s="16">
        <v>1</v>
      </c>
      <c r="M411" s="16">
        <v>0</v>
      </c>
      <c r="N411">
        <f t="array" aca="1" ref="N411" ca="1">MATCH(TRUE,EXACT(I411,OFFSET(rngParamTypes,0,6,,1)),0)</f>
        <v>136</v>
      </c>
      <c r="O411" t="str">
        <f ca="1">IF((INDEX(rngParamTypes,$N411,7)=I411),"",1)</f>
        <v/>
      </c>
      <c r="P411">
        <f ca="1">INDEX(rngParamTypes,$N411,9)</f>
        <v>-1</v>
      </c>
      <c r="Q411">
        <f ca="1">INDEX(rngParamTypes,$N411,10)</f>
        <v>3</v>
      </c>
      <c r="R411">
        <f ca="1">INDEX(rngParamTypes,$N411,11)</f>
        <v>0</v>
      </c>
      <c r="S411">
        <f ca="1">INDEX(rngParamTypes,$N411,12)</f>
        <v>0</v>
      </c>
      <c r="T411">
        <f ca="1">INDEX(rngParamTypes,$N411,13)</f>
        <v>0</v>
      </c>
      <c r="U411">
        <f ca="1">INDEX(rngParamTypes,$N411,14)</f>
        <v>0</v>
      </c>
      <c r="V411">
        <f ca="1">INDEX(rngParamTypes,$N411,15)</f>
        <v>0</v>
      </c>
      <c r="W411">
        <f ca="1">INDEX(rngParamTypes,$N411,16)</f>
        <v>0</v>
      </c>
      <c r="X411">
        <f ca="1">INDEX(rngParamTypes,$N411,17)</f>
        <v>0</v>
      </c>
      <c r="Y411">
        <f ca="1">INDEX(rngParamTypes,$N411,18)</f>
        <v>0</v>
      </c>
    </row>
    <row r="412" spans="1:25" x14ac:dyDescent="0.2">
      <c r="A412" s="16">
        <v>411</v>
      </c>
      <c r="B412" s="37">
        <v>1</v>
      </c>
      <c r="C412" s="16" t="s">
        <v>1434</v>
      </c>
      <c r="D412" s="16" t="s">
        <v>1434</v>
      </c>
      <c r="E412" s="16"/>
      <c r="F412" s="16" t="s">
        <v>3600</v>
      </c>
      <c r="G412" s="16" t="s">
        <v>3260</v>
      </c>
      <c r="H412" s="16" t="s">
        <v>1434</v>
      </c>
      <c r="I412" s="16" t="s">
        <v>55</v>
      </c>
      <c r="J412" s="16">
        <v>0</v>
      </c>
      <c r="K412" s="16">
        <v>7.9577469999999998E-4</v>
      </c>
      <c r="L412" s="16">
        <v>1</v>
      </c>
      <c r="M412" s="16">
        <v>0</v>
      </c>
      <c r="N412">
        <f t="array" aca="1" ref="N412" ca="1">MATCH(TRUE,EXACT(I412,OFFSET(rngParamTypes,0,6,,1)),0)</f>
        <v>19</v>
      </c>
      <c r="O412" t="str">
        <f ca="1">IF((INDEX(rngParamTypes,$N412,7)=I412),"",1)</f>
        <v/>
      </c>
      <c r="P412">
        <f ca="1">INDEX(rngParamTypes,$N412,9)</f>
        <v>0</v>
      </c>
      <c r="Q412">
        <f ca="1">INDEX(rngParamTypes,$N412,10)</f>
        <v>-1</v>
      </c>
      <c r="R412">
        <f ca="1">INDEX(rngParamTypes,$N412,11)</f>
        <v>0</v>
      </c>
      <c r="S412">
        <f ca="1">INDEX(rngParamTypes,$N412,12)</f>
        <v>1</v>
      </c>
      <c r="T412">
        <f ca="1">INDEX(rngParamTypes,$N412,13)</f>
        <v>0</v>
      </c>
      <c r="U412">
        <f ca="1">INDEX(rngParamTypes,$N412,14)</f>
        <v>0</v>
      </c>
      <c r="V412">
        <f ca="1">INDEX(rngParamTypes,$N412,15)</f>
        <v>0</v>
      </c>
      <c r="W412">
        <f ca="1">INDEX(rngParamTypes,$N412,16)</f>
        <v>0</v>
      </c>
      <c r="X412">
        <f ca="1">INDEX(rngParamTypes,$N412,17)</f>
        <v>0</v>
      </c>
      <c r="Y412">
        <f ca="1">INDEX(rngParamTypes,$N412,18)</f>
        <v>0</v>
      </c>
    </row>
    <row r="413" spans="1:25" x14ac:dyDescent="0.2">
      <c r="A413" s="16">
        <v>412</v>
      </c>
      <c r="B413" s="37">
        <v>1</v>
      </c>
      <c r="C413" s="16" t="s">
        <v>1435</v>
      </c>
      <c r="D413" s="16" t="s">
        <v>1435</v>
      </c>
      <c r="E413" s="16"/>
      <c r="F413" s="16" t="s">
        <v>3601</v>
      </c>
      <c r="G413" s="16" t="s">
        <v>3602</v>
      </c>
      <c r="H413" s="16" t="s">
        <v>1435</v>
      </c>
      <c r="I413" s="16" t="s">
        <v>518</v>
      </c>
      <c r="J413" s="16">
        <v>0</v>
      </c>
      <c r="K413" s="16">
        <v>1E-4</v>
      </c>
      <c r="L413" s="16">
        <v>1</v>
      </c>
      <c r="M413" s="16">
        <v>0</v>
      </c>
      <c r="N413">
        <f t="array" aca="1" ref="N413" ca="1">MATCH(TRUE,EXACT(I413,OFFSET(rngParamTypes,0,6,,1)),0)</f>
        <v>206</v>
      </c>
      <c r="O413" t="str">
        <f ca="1">IF((INDEX(rngParamTypes,$N413,7)=I413),"",1)</f>
        <v/>
      </c>
      <c r="P413">
        <f ca="1">INDEX(rngParamTypes,$N413,9)</f>
        <v>1</v>
      </c>
      <c r="Q413">
        <f ca="1">INDEX(rngParamTypes,$N413,10)</f>
        <v>0</v>
      </c>
      <c r="R413">
        <f ca="1">INDEX(rngParamTypes,$N413,11)</f>
        <v>-2</v>
      </c>
      <c r="S413">
        <f ca="1">INDEX(rngParamTypes,$N413,12)</f>
        <v>-1</v>
      </c>
      <c r="T413">
        <f ca="1">INDEX(rngParamTypes,$N413,13)</f>
        <v>0</v>
      </c>
      <c r="U413">
        <f ca="1">INDEX(rngParamTypes,$N413,14)</f>
        <v>0</v>
      </c>
      <c r="V413">
        <f ca="1">INDEX(rngParamTypes,$N413,15)</f>
        <v>0</v>
      </c>
      <c r="W413">
        <f ca="1">INDEX(rngParamTypes,$N413,16)</f>
        <v>0</v>
      </c>
      <c r="X413">
        <f ca="1">INDEX(rngParamTypes,$N413,17)</f>
        <v>0</v>
      </c>
      <c r="Y413">
        <f ca="1">INDEX(rngParamTypes,$N413,18)</f>
        <v>0</v>
      </c>
    </row>
    <row r="414" spans="1:25" x14ac:dyDescent="0.2">
      <c r="A414" s="16">
        <v>413</v>
      </c>
      <c r="B414" s="37">
        <v>1</v>
      </c>
      <c r="C414" s="16" t="s">
        <v>1437</v>
      </c>
      <c r="D414" s="16" t="s">
        <v>1437</v>
      </c>
      <c r="E414" s="16"/>
      <c r="F414" s="16" t="s">
        <v>3603</v>
      </c>
      <c r="G414" s="16" t="s">
        <v>80</v>
      </c>
      <c r="H414" s="16" t="s">
        <v>1436</v>
      </c>
      <c r="I414" s="16" t="s">
        <v>81</v>
      </c>
      <c r="J414" s="16">
        <v>0</v>
      </c>
      <c r="K414" s="16">
        <v>1000000000</v>
      </c>
      <c r="L414" s="16">
        <v>1</v>
      </c>
      <c r="M414" s="16">
        <v>0</v>
      </c>
      <c r="N414">
        <f t="array" aca="1" ref="N414" ca="1">MATCH(TRUE,EXACT(I414,OFFSET(rngParamTypes,0,6,,1)),0)</f>
        <v>27</v>
      </c>
      <c r="O414" t="str">
        <f ca="1">IF((INDEX(rngParamTypes,$N414,7)=I414),"",1)</f>
        <v/>
      </c>
      <c r="P414">
        <f ca="1">INDEX(rngParamTypes,$N414,9)</f>
        <v>0</v>
      </c>
      <c r="Q414">
        <f ca="1">INDEX(rngParamTypes,$N414,10)</f>
        <v>0</v>
      </c>
      <c r="R414">
        <f ca="1">INDEX(rngParamTypes,$N414,11)</f>
        <v>-1</v>
      </c>
      <c r="S414">
        <f ca="1">INDEX(rngParamTypes,$N414,12)</f>
        <v>0</v>
      </c>
      <c r="T414">
        <f ca="1">INDEX(rngParamTypes,$N414,13)</f>
        <v>0</v>
      </c>
      <c r="U414">
        <f ca="1">INDEX(rngParamTypes,$N414,14)</f>
        <v>0</v>
      </c>
      <c r="V414">
        <f ca="1">INDEX(rngParamTypes,$N414,15)</f>
        <v>0</v>
      </c>
      <c r="W414">
        <f ca="1">INDEX(rngParamTypes,$N414,16)</f>
        <v>0</v>
      </c>
      <c r="X414">
        <f ca="1">INDEX(rngParamTypes,$N414,17)</f>
        <v>0</v>
      </c>
      <c r="Y414">
        <f ca="1">INDEX(rngParamTypes,$N414,18)</f>
        <v>0</v>
      </c>
    </row>
    <row r="415" spans="1:25" x14ac:dyDescent="0.2">
      <c r="A415" s="16">
        <v>414</v>
      </c>
      <c r="B415" s="37">
        <v>1</v>
      </c>
      <c r="C415" s="16" t="s">
        <v>1439</v>
      </c>
      <c r="D415" s="16" t="s">
        <v>1439</v>
      </c>
      <c r="E415" s="16">
        <v>2</v>
      </c>
      <c r="F415" s="16" t="s">
        <v>3604</v>
      </c>
      <c r="G415" s="16" t="s">
        <v>3267</v>
      </c>
      <c r="H415" s="16" t="s">
        <v>1438</v>
      </c>
      <c r="I415" s="16" t="s">
        <v>168</v>
      </c>
      <c r="J415" s="16">
        <v>0</v>
      </c>
      <c r="K415" s="16">
        <v>1.6021900000000001E-10</v>
      </c>
      <c r="L415" s="16">
        <v>1</v>
      </c>
      <c r="M415" s="16">
        <v>0</v>
      </c>
      <c r="N415">
        <f t="array" aca="1" ref="N415" ca="1">MATCH(TRUE,EXACT(I415,OFFSET(rngParamTypes,0,6,,1)),0)</f>
        <v>56</v>
      </c>
      <c r="O415" t="str">
        <f ca="1">IF((INDEX(rngParamTypes,$N415,7)=I415),"",1)</f>
        <v/>
      </c>
      <c r="P415">
        <f ca="1">INDEX(rngParamTypes,$N415,9)</f>
        <v>1</v>
      </c>
      <c r="Q415">
        <f ca="1">INDEX(rngParamTypes,$N415,10)</f>
        <v>2</v>
      </c>
      <c r="R415">
        <f ca="1">INDEX(rngParamTypes,$N415,11)</f>
        <v>-2</v>
      </c>
      <c r="S415">
        <f ca="1">INDEX(rngParamTypes,$N415,12)</f>
        <v>0</v>
      </c>
      <c r="T415">
        <f ca="1">INDEX(rngParamTypes,$N415,13)</f>
        <v>0</v>
      </c>
      <c r="U415">
        <f ca="1">INDEX(rngParamTypes,$N415,14)</f>
        <v>0</v>
      </c>
      <c r="V415">
        <f ca="1">INDEX(rngParamTypes,$N415,15)</f>
        <v>0</v>
      </c>
      <c r="W415">
        <f ca="1">INDEX(rngParamTypes,$N415,16)</f>
        <v>0</v>
      </c>
      <c r="X415">
        <f ca="1">INDEX(rngParamTypes,$N415,17)</f>
        <v>0</v>
      </c>
      <c r="Y415">
        <f ca="1">INDEX(rngParamTypes,$N415,18)</f>
        <v>0</v>
      </c>
    </row>
    <row r="416" spans="1:25" x14ac:dyDescent="0.2">
      <c r="A416" s="16">
        <v>415</v>
      </c>
      <c r="B416" s="37">
        <v>1</v>
      </c>
      <c r="C416" s="16" t="s">
        <v>1441</v>
      </c>
      <c r="D416" s="16" t="s">
        <v>1441</v>
      </c>
      <c r="E416" s="16">
        <v>2</v>
      </c>
      <c r="F416" s="16" t="s">
        <v>3605</v>
      </c>
      <c r="G416" s="16" t="s">
        <v>378</v>
      </c>
      <c r="H416" s="16" t="s">
        <v>1440</v>
      </c>
      <c r="I416" s="16" t="s">
        <v>379</v>
      </c>
      <c r="J416" s="16">
        <v>0</v>
      </c>
      <c r="K416" s="16">
        <v>9.8066500000000001E-3</v>
      </c>
      <c r="L416" s="16">
        <v>1</v>
      </c>
      <c r="M416" s="16">
        <v>0</v>
      </c>
      <c r="N416">
        <f t="array" aca="1" ref="N416" ca="1">MATCH(TRUE,EXACT(I416,OFFSET(rngParamTypes,0,6,,1)),0)</f>
        <v>154</v>
      </c>
      <c r="O416" t="str">
        <f ca="1">IF((INDEX(rngParamTypes,$N416,7)=I416),"",1)</f>
        <v/>
      </c>
      <c r="P416">
        <f ca="1">INDEX(rngParamTypes,$N416,9)</f>
        <v>1</v>
      </c>
      <c r="Q416">
        <f ca="1">INDEX(rngParamTypes,$N416,10)</f>
        <v>1</v>
      </c>
      <c r="R416">
        <f ca="1">INDEX(rngParamTypes,$N416,11)</f>
        <v>-2</v>
      </c>
      <c r="S416">
        <f ca="1">INDEX(rngParamTypes,$N416,12)</f>
        <v>0</v>
      </c>
      <c r="T416">
        <f ca="1">INDEX(rngParamTypes,$N416,13)</f>
        <v>0</v>
      </c>
      <c r="U416">
        <f ca="1">INDEX(rngParamTypes,$N416,14)</f>
        <v>0</v>
      </c>
      <c r="V416">
        <f ca="1">INDEX(rngParamTypes,$N416,15)</f>
        <v>0</v>
      </c>
      <c r="W416">
        <f ca="1">INDEX(rngParamTypes,$N416,16)</f>
        <v>0</v>
      </c>
      <c r="X416">
        <f ca="1">INDEX(rngParamTypes,$N416,17)</f>
        <v>0</v>
      </c>
      <c r="Y416">
        <f ca="1">INDEX(rngParamTypes,$N416,18)</f>
        <v>0</v>
      </c>
    </row>
    <row r="417" spans="1:25" x14ac:dyDescent="0.2">
      <c r="A417" s="16">
        <v>416</v>
      </c>
      <c r="B417" s="37">
        <v>1</v>
      </c>
      <c r="C417" s="16" t="s">
        <v>1443</v>
      </c>
      <c r="D417" s="16" t="s">
        <v>1443</v>
      </c>
      <c r="E417" s="16"/>
      <c r="F417" s="16" t="s">
        <v>3606</v>
      </c>
      <c r="G417" s="16" t="s">
        <v>37</v>
      </c>
      <c r="H417" s="16" t="s">
        <v>1442</v>
      </c>
      <c r="I417" s="16" t="s">
        <v>160</v>
      </c>
      <c r="J417" s="16">
        <v>0</v>
      </c>
      <c r="K417" s="16">
        <v>1000000000</v>
      </c>
      <c r="L417" s="16">
        <v>1</v>
      </c>
      <c r="M417" s="16">
        <v>0</v>
      </c>
      <c r="N417">
        <f t="array" aca="1" ref="N417" ca="1">MATCH(TRUE,EXACT(I417,OFFSET(rngParamTypes,0,6,,1)),0)</f>
        <v>55</v>
      </c>
      <c r="O417" t="str">
        <f ca="1">IF((INDEX(rngParamTypes,$N417,7)=I417),"",1)</f>
        <v/>
      </c>
      <c r="P417">
        <f ca="1">INDEX(rngParamTypes,$N417,9)</f>
        <v>0</v>
      </c>
      <c r="Q417">
        <f ca="1">INDEX(rngParamTypes,$N417,10)</f>
        <v>0</v>
      </c>
      <c r="R417">
        <f ca="1">INDEX(rngParamTypes,$N417,11)</f>
        <v>-1</v>
      </c>
      <c r="S417">
        <f ca="1">INDEX(rngParamTypes,$N417,12)</f>
        <v>0</v>
      </c>
      <c r="T417">
        <f ca="1">INDEX(rngParamTypes,$N417,13)</f>
        <v>0</v>
      </c>
      <c r="U417">
        <f ca="1">INDEX(rngParamTypes,$N417,14)</f>
        <v>0</v>
      </c>
      <c r="V417">
        <f ca="1">INDEX(rngParamTypes,$N417,15)</f>
        <v>0</v>
      </c>
      <c r="W417">
        <f ca="1">INDEX(rngParamTypes,$N417,16)</f>
        <v>0</v>
      </c>
      <c r="X417">
        <f ca="1">INDEX(rngParamTypes,$N417,17)</f>
        <v>0</v>
      </c>
      <c r="Y417">
        <f ca="1">INDEX(rngParamTypes,$N417,18)</f>
        <v>0</v>
      </c>
    </row>
    <row r="418" spans="1:25" x14ac:dyDescent="0.2">
      <c r="A418" s="16">
        <v>417</v>
      </c>
      <c r="B418" s="37">
        <v>1</v>
      </c>
      <c r="C418" s="16" t="s">
        <v>1445</v>
      </c>
      <c r="D418" s="16" t="s">
        <v>1445</v>
      </c>
      <c r="E418" s="16">
        <v>2</v>
      </c>
      <c r="F418" s="16" t="s">
        <v>3607</v>
      </c>
      <c r="G418" s="16" t="s">
        <v>3267</v>
      </c>
      <c r="H418" s="16" t="s">
        <v>1444</v>
      </c>
      <c r="I418" s="16" t="s">
        <v>168</v>
      </c>
      <c r="J418" s="16">
        <v>0</v>
      </c>
      <c r="K418" s="16">
        <v>1000000000</v>
      </c>
      <c r="L418" s="16">
        <v>1</v>
      </c>
      <c r="M418" s="16">
        <v>0</v>
      </c>
      <c r="N418">
        <f t="array" aca="1" ref="N418" ca="1">MATCH(TRUE,EXACT(I418,OFFSET(rngParamTypes,0,6,,1)),0)</f>
        <v>56</v>
      </c>
      <c r="O418" t="str">
        <f ca="1">IF((INDEX(rngParamTypes,$N418,7)=I418),"",1)</f>
        <v/>
      </c>
      <c r="P418">
        <f ca="1">INDEX(rngParamTypes,$N418,9)</f>
        <v>1</v>
      </c>
      <c r="Q418">
        <f ca="1">INDEX(rngParamTypes,$N418,10)</f>
        <v>2</v>
      </c>
      <c r="R418">
        <f ca="1">INDEX(rngParamTypes,$N418,11)</f>
        <v>-2</v>
      </c>
      <c r="S418">
        <f ca="1">INDEX(rngParamTypes,$N418,12)</f>
        <v>0</v>
      </c>
      <c r="T418">
        <f ca="1">INDEX(rngParamTypes,$N418,13)</f>
        <v>0</v>
      </c>
      <c r="U418">
        <f ca="1">INDEX(rngParamTypes,$N418,14)</f>
        <v>0</v>
      </c>
      <c r="V418">
        <f ca="1">INDEX(rngParamTypes,$N418,15)</f>
        <v>0</v>
      </c>
      <c r="W418">
        <f ca="1">INDEX(rngParamTypes,$N418,16)</f>
        <v>0</v>
      </c>
      <c r="X418">
        <f ca="1">INDEX(rngParamTypes,$N418,17)</f>
        <v>0</v>
      </c>
      <c r="Y418">
        <f ca="1">INDEX(rngParamTypes,$N418,18)</f>
        <v>0</v>
      </c>
    </row>
    <row r="419" spans="1:25" x14ac:dyDescent="0.2">
      <c r="A419" s="16">
        <v>418</v>
      </c>
      <c r="B419" s="37">
        <v>1</v>
      </c>
      <c r="C419" s="16" t="s">
        <v>1447</v>
      </c>
      <c r="D419" s="16" t="s">
        <v>1447</v>
      </c>
      <c r="E419" s="16">
        <v>2</v>
      </c>
      <c r="F419" s="16" t="s">
        <v>3608</v>
      </c>
      <c r="G419" s="16" t="s">
        <v>299</v>
      </c>
      <c r="H419" s="16" t="s">
        <v>1446</v>
      </c>
      <c r="I419" s="16" t="s">
        <v>300</v>
      </c>
      <c r="J419" s="16">
        <v>0</v>
      </c>
      <c r="K419" s="16">
        <v>9.8066499999999994</v>
      </c>
      <c r="L419" s="16">
        <v>1</v>
      </c>
      <c r="M419" s="16">
        <v>0</v>
      </c>
      <c r="N419">
        <f t="array" aca="1" ref="N419" ca="1">MATCH(TRUE,EXACT(I419,OFFSET(rngParamTypes,0,6,,1)),0)</f>
        <v>124</v>
      </c>
      <c r="O419" t="str">
        <f ca="1">IF((INDEX(rngParamTypes,$N419,7)=I419),"",1)</f>
        <v/>
      </c>
      <c r="P419">
        <f ca="1">INDEX(rngParamTypes,$N419,9)</f>
        <v>0</v>
      </c>
      <c r="Q419">
        <f ca="1">INDEX(rngParamTypes,$N419,10)</f>
        <v>1</v>
      </c>
      <c r="R419">
        <f ca="1">INDEX(rngParamTypes,$N419,11)</f>
        <v>-2</v>
      </c>
      <c r="S419">
        <f ca="1">INDEX(rngParamTypes,$N419,12)</f>
        <v>0</v>
      </c>
      <c r="T419">
        <f ca="1">INDEX(rngParamTypes,$N419,13)</f>
        <v>0</v>
      </c>
      <c r="U419">
        <f ca="1">INDEX(rngParamTypes,$N419,14)</f>
        <v>0</v>
      </c>
      <c r="V419">
        <f ca="1">INDEX(rngParamTypes,$N419,15)</f>
        <v>0</v>
      </c>
      <c r="W419">
        <f ca="1">INDEX(rngParamTypes,$N419,16)</f>
        <v>0</v>
      </c>
      <c r="X419">
        <f ca="1">INDEX(rngParamTypes,$N419,17)</f>
        <v>0</v>
      </c>
      <c r="Y419">
        <f ca="1">INDEX(rngParamTypes,$N419,18)</f>
        <v>0</v>
      </c>
    </row>
    <row r="420" spans="1:25" x14ac:dyDescent="0.2">
      <c r="A420" s="16">
        <v>419</v>
      </c>
      <c r="B420" s="37">
        <v>1</v>
      </c>
      <c r="C420" s="16" t="s">
        <v>1449</v>
      </c>
      <c r="D420" s="16" t="s">
        <v>1449</v>
      </c>
      <c r="E420" s="16"/>
      <c r="F420" s="16" t="s">
        <v>3609</v>
      </c>
      <c r="G420" s="16" t="s">
        <v>3610</v>
      </c>
      <c r="H420" s="16" t="s">
        <v>1448</v>
      </c>
      <c r="I420" s="16" t="s">
        <v>403</v>
      </c>
      <c r="J420" s="16">
        <v>0</v>
      </c>
      <c r="K420" s="16">
        <v>1000000000</v>
      </c>
      <c r="L420" s="16">
        <v>1</v>
      </c>
      <c r="M420" s="16">
        <v>0</v>
      </c>
      <c r="N420">
        <f t="array" aca="1" ref="N420" ca="1">MATCH(TRUE,EXACT(I420,OFFSET(rngParamTypes,0,6,,1)),0)</f>
        <v>163</v>
      </c>
      <c r="O420" t="str">
        <f ca="1">IF((INDEX(rngParamTypes,$N420,7)=I420),"",1)</f>
        <v/>
      </c>
      <c r="P420">
        <f ca="1">INDEX(rngParamTypes,$N420,9)</f>
        <v>1</v>
      </c>
      <c r="Q420">
        <f ca="1">INDEX(rngParamTypes,$N420,10)</f>
        <v>2</v>
      </c>
      <c r="R420">
        <f ca="1">INDEX(rngParamTypes,$N420,11)</f>
        <v>-3</v>
      </c>
      <c r="S420">
        <f ca="1">INDEX(rngParamTypes,$N420,12)</f>
        <v>-2</v>
      </c>
      <c r="T420">
        <f ca="1">INDEX(rngParamTypes,$N420,13)</f>
        <v>0</v>
      </c>
      <c r="U420">
        <f ca="1">INDEX(rngParamTypes,$N420,14)</f>
        <v>0</v>
      </c>
      <c r="V420">
        <f ca="1">INDEX(rngParamTypes,$N420,15)</f>
        <v>0</v>
      </c>
      <c r="W420">
        <f ca="1">INDEX(rngParamTypes,$N420,16)</f>
        <v>0</v>
      </c>
      <c r="X420">
        <f ca="1">INDEX(rngParamTypes,$N420,17)</f>
        <v>0</v>
      </c>
      <c r="Y420">
        <f ca="1">INDEX(rngParamTypes,$N420,18)</f>
        <v>0</v>
      </c>
    </row>
    <row r="421" spans="1:25" x14ac:dyDescent="0.2">
      <c r="A421" s="16">
        <v>420</v>
      </c>
      <c r="B421" s="37">
        <v>1</v>
      </c>
      <c r="C421" s="16" t="s">
        <v>1451</v>
      </c>
      <c r="D421" s="16" t="s">
        <v>1451</v>
      </c>
      <c r="E421" s="16">
        <v>2</v>
      </c>
      <c r="F421" s="16" t="s">
        <v>3611</v>
      </c>
      <c r="G421" s="16" t="s">
        <v>443</v>
      </c>
      <c r="H421" s="16" t="s">
        <v>1450</v>
      </c>
      <c r="I421" s="16" t="s">
        <v>444</v>
      </c>
      <c r="J421" s="16">
        <v>0</v>
      </c>
      <c r="K421" s="16">
        <v>1.5707963267999999E-2</v>
      </c>
      <c r="L421" s="16">
        <v>1</v>
      </c>
      <c r="M421" s="16">
        <v>0</v>
      </c>
      <c r="N421">
        <f t="array" aca="1" ref="N421" ca="1">MATCH(TRUE,EXACT(I421,OFFSET(rngParamTypes,0,6,,1)),0)</f>
        <v>178</v>
      </c>
      <c r="O421" t="str">
        <f ca="1">IF((INDEX(rngParamTypes,$N421,7)=I421),"",1)</f>
        <v/>
      </c>
      <c r="P421">
        <f ca="1">INDEX(rngParamTypes,$N421,9)</f>
        <v>0</v>
      </c>
      <c r="Q421">
        <f ca="1">INDEX(rngParamTypes,$N421,10)</f>
        <v>0</v>
      </c>
      <c r="R421">
        <f ca="1">INDEX(rngParamTypes,$N421,11)</f>
        <v>0</v>
      </c>
      <c r="S421">
        <f ca="1">INDEX(rngParamTypes,$N421,12)</f>
        <v>0</v>
      </c>
      <c r="T421">
        <f ca="1">INDEX(rngParamTypes,$N421,13)</f>
        <v>0</v>
      </c>
      <c r="U421">
        <f ca="1">INDEX(rngParamTypes,$N421,14)</f>
        <v>0</v>
      </c>
      <c r="V421">
        <f ca="1">INDEX(rngParamTypes,$N421,15)</f>
        <v>0</v>
      </c>
      <c r="W421">
        <f ca="1">INDEX(rngParamTypes,$N421,16)</f>
        <v>1</v>
      </c>
      <c r="X421">
        <f ca="1">INDEX(rngParamTypes,$N421,17)</f>
        <v>0</v>
      </c>
      <c r="Y421">
        <f ca="1">INDEX(rngParamTypes,$N421,18)</f>
        <v>0</v>
      </c>
    </row>
    <row r="422" spans="1:25" x14ac:dyDescent="0.2">
      <c r="A422" s="16">
        <v>421</v>
      </c>
      <c r="B422" s="37">
        <v>1</v>
      </c>
      <c r="C422" s="16" t="s">
        <v>1453</v>
      </c>
      <c r="D422" s="16" t="s">
        <v>1453</v>
      </c>
      <c r="E422" s="16">
        <v>2</v>
      </c>
      <c r="F422" s="16" t="s">
        <v>3612</v>
      </c>
      <c r="G422" s="16" t="s">
        <v>3270</v>
      </c>
      <c r="H422" s="16" t="s">
        <v>1452</v>
      </c>
      <c r="I422" s="16" t="s">
        <v>416</v>
      </c>
      <c r="J422" s="16">
        <v>0</v>
      </c>
      <c r="K422" s="16">
        <v>1000000000</v>
      </c>
      <c r="L422" s="16">
        <v>1</v>
      </c>
      <c r="M422" s="16">
        <v>0</v>
      </c>
      <c r="N422">
        <f t="array" aca="1" ref="N422" ca="1">MATCH(TRUE,EXACT(I422,OFFSET(rngParamTypes,0,6,,1)),0)</f>
        <v>167</v>
      </c>
      <c r="O422" t="str">
        <f ca="1">IF((INDEX(rngParamTypes,$N422,7)=I422),"",1)</f>
        <v/>
      </c>
      <c r="P422">
        <f ca="1">INDEX(rngParamTypes,$N422,9)</f>
        <v>1</v>
      </c>
      <c r="Q422">
        <f ca="1">INDEX(rngParamTypes,$N422,10)</f>
        <v>-1</v>
      </c>
      <c r="R422">
        <f ca="1">INDEX(rngParamTypes,$N422,11)</f>
        <v>-2</v>
      </c>
      <c r="S422">
        <f ca="1">INDEX(rngParamTypes,$N422,12)</f>
        <v>0</v>
      </c>
      <c r="T422">
        <f ca="1">INDEX(rngParamTypes,$N422,13)</f>
        <v>0</v>
      </c>
      <c r="U422">
        <f ca="1">INDEX(rngParamTypes,$N422,14)</f>
        <v>0</v>
      </c>
      <c r="V422">
        <f ca="1">INDEX(rngParamTypes,$N422,15)</f>
        <v>0</v>
      </c>
      <c r="W422">
        <f ca="1">INDEX(rngParamTypes,$N422,16)</f>
        <v>0</v>
      </c>
      <c r="X422">
        <f ca="1">INDEX(rngParamTypes,$N422,17)</f>
        <v>0</v>
      </c>
      <c r="Y422">
        <f ca="1">INDEX(rngParamTypes,$N422,18)</f>
        <v>0</v>
      </c>
    </row>
    <row r="423" spans="1:25" x14ac:dyDescent="0.2">
      <c r="A423" s="16">
        <v>422</v>
      </c>
      <c r="B423" s="37">
        <v>1</v>
      </c>
      <c r="C423" s="16" t="s">
        <v>1455</v>
      </c>
      <c r="D423" s="16" t="s">
        <v>1455</v>
      </c>
      <c r="E423" s="16"/>
      <c r="F423" s="16" t="s">
        <v>3613</v>
      </c>
      <c r="G423" s="16" t="s">
        <v>3273</v>
      </c>
      <c r="H423" s="16" t="s">
        <v>1454</v>
      </c>
      <c r="I423" s="16" t="s">
        <v>391</v>
      </c>
      <c r="J423" s="16">
        <v>0</v>
      </c>
      <c r="K423" s="16">
        <v>100000000000</v>
      </c>
      <c r="L423" s="16">
        <v>1</v>
      </c>
      <c r="M423" s="16">
        <v>0</v>
      </c>
      <c r="N423">
        <f t="array" aca="1" ref="N423" ca="1">MATCH(TRUE,EXACT(I423,OFFSET(rngParamTypes,0,6,,1)),0)</f>
        <v>158</v>
      </c>
      <c r="O423" t="str">
        <f ca="1">IF((INDEX(rngParamTypes,$N423,7)=I423),"",1)</f>
        <v/>
      </c>
      <c r="P423">
        <f ca="1">INDEX(rngParamTypes,$N423,9)</f>
        <v>1</v>
      </c>
      <c r="Q423">
        <f ca="1">INDEX(rngParamTypes,$N423,10)</f>
        <v>-2</v>
      </c>
      <c r="R423">
        <f ca="1">INDEX(rngParamTypes,$N423,11)</f>
        <v>-2</v>
      </c>
      <c r="S423">
        <f ca="1">INDEX(rngParamTypes,$N423,12)</f>
        <v>0</v>
      </c>
      <c r="T423">
        <f ca="1">INDEX(rngParamTypes,$N423,13)</f>
        <v>0</v>
      </c>
      <c r="U423">
        <f ca="1">INDEX(rngParamTypes,$N423,14)</f>
        <v>0</v>
      </c>
      <c r="V423">
        <f ca="1">INDEX(rngParamTypes,$N423,15)</f>
        <v>0</v>
      </c>
      <c r="W423">
        <f ca="1">INDEX(rngParamTypes,$N423,16)</f>
        <v>0</v>
      </c>
      <c r="X423">
        <f ca="1">INDEX(rngParamTypes,$N423,17)</f>
        <v>0</v>
      </c>
      <c r="Y423">
        <f ca="1">INDEX(rngParamTypes,$N423,18)</f>
        <v>0</v>
      </c>
    </row>
    <row r="424" spans="1:25" x14ac:dyDescent="0.2">
      <c r="A424" s="16">
        <v>423</v>
      </c>
      <c r="B424" s="37">
        <v>1</v>
      </c>
      <c r="C424" s="16" t="s">
        <v>1457</v>
      </c>
      <c r="D424" s="16" t="s">
        <v>1457</v>
      </c>
      <c r="E424" s="16"/>
      <c r="F424" s="16" t="s">
        <v>3614</v>
      </c>
      <c r="G424" s="16" t="s">
        <v>438</v>
      </c>
      <c r="H424" s="16" t="s">
        <v>1456</v>
      </c>
      <c r="I424" s="16" t="s">
        <v>439</v>
      </c>
      <c r="J424" s="16">
        <v>0</v>
      </c>
      <c r="K424" s="16">
        <v>1E+18</v>
      </c>
      <c r="L424" s="16">
        <v>1</v>
      </c>
      <c r="M424" s="16">
        <v>0</v>
      </c>
      <c r="N424">
        <f t="array" aca="1" ref="N424" ca="1">MATCH(TRUE,EXACT(I424,OFFSET(rngParamTypes,0,6,,1)),0)</f>
        <v>176</v>
      </c>
      <c r="O424" t="str">
        <f ca="1">IF((INDEX(rngParamTypes,$N424,7)=I424),"",1)</f>
        <v/>
      </c>
      <c r="P424">
        <f ca="1">INDEX(rngParamTypes,$N424,9)</f>
        <v>2</v>
      </c>
      <c r="Q424">
        <f ca="1">INDEX(rngParamTypes,$N424,10)</f>
        <v>-2</v>
      </c>
      <c r="R424">
        <f ca="1">INDEX(rngParamTypes,$N424,11)</f>
        <v>-4</v>
      </c>
      <c r="S424">
        <f ca="1">INDEX(rngParamTypes,$N424,12)</f>
        <v>0</v>
      </c>
      <c r="T424">
        <f ca="1">INDEX(rngParamTypes,$N424,13)</f>
        <v>0</v>
      </c>
      <c r="U424">
        <f ca="1">INDEX(rngParamTypes,$N424,14)</f>
        <v>0</v>
      </c>
      <c r="V424">
        <f ca="1">INDEX(rngParamTypes,$N424,15)</f>
        <v>0</v>
      </c>
      <c r="W424">
        <f ca="1">INDEX(rngParamTypes,$N424,16)</f>
        <v>0</v>
      </c>
      <c r="X424">
        <f ca="1">INDEX(rngParamTypes,$N424,17)</f>
        <v>0</v>
      </c>
      <c r="Y424">
        <f ca="1">INDEX(rngParamTypes,$N424,18)</f>
        <v>0</v>
      </c>
    </row>
    <row r="425" spans="1:25" x14ac:dyDescent="0.2">
      <c r="A425" s="16">
        <v>424</v>
      </c>
      <c r="B425" s="37">
        <v>1</v>
      </c>
      <c r="C425" s="16" t="s">
        <v>1459</v>
      </c>
      <c r="D425" s="16" t="s">
        <v>1459</v>
      </c>
      <c r="E425" s="16">
        <v>2</v>
      </c>
      <c r="F425" s="16" t="s">
        <v>3615</v>
      </c>
      <c r="G425" s="16" t="s">
        <v>443</v>
      </c>
      <c r="H425" s="16" t="s">
        <v>1458</v>
      </c>
      <c r="I425" s="16" t="s">
        <v>444</v>
      </c>
      <c r="J425" s="16">
        <v>0</v>
      </c>
      <c r="K425" s="16">
        <v>1.5707963267999999E-2</v>
      </c>
      <c r="L425" s="16">
        <v>1</v>
      </c>
      <c r="M425" s="16">
        <v>0</v>
      </c>
      <c r="N425">
        <f t="array" aca="1" ref="N425" ca="1">MATCH(TRUE,EXACT(I425,OFFSET(rngParamTypes,0,6,,1)),0)</f>
        <v>178</v>
      </c>
      <c r="O425" t="str">
        <f ca="1">IF((INDEX(rngParamTypes,$N425,7)=I425),"",1)</f>
        <v/>
      </c>
      <c r="P425">
        <f ca="1">INDEX(rngParamTypes,$N425,9)</f>
        <v>0</v>
      </c>
      <c r="Q425">
        <f ca="1">INDEX(rngParamTypes,$N425,10)</f>
        <v>0</v>
      </c>
      <c r="R425">
        <f ca="1">INDEX(rngParamTypes,$N425,11)</f>
        <v>0</v>
      </c>
      <c r="S425">
        <f ca="1">INDEX(rngParamTypes,$N425,12)</f>
        <v>0</v>
      </c>
      <c r="T425">
        <f ca="1">INDEX(rngParamTypes,$N425,13)</f>
        <v>0</v>
      </c>
      <c r="U425">
        <f ca="1">INDEX(rngParamTypes,$N425,14)</f>
        <v>0</v>
      </c>
      <c r="V425">
        <f ca="1">INDEX(rngParamTypes,$N425,15)</f>
        <v>0</v>
      </c>
      <c r="W425">
        <f ca="1">INDEX(rngParamTypes,$N425,16)</f>
        <v>1</v>
      </c>
      <c r="X425">
        <f ca="1">INDEX(rngParamTypes,$N425,17)</f>
        <v>0</v>
      </c>
      <c r="Y425">
        <f ca="1">INDEX(rngParamTypes,$N425,18)</f>
        <v>0</v>
      </c>
    </row>
    <row r="426" spans="1:25" x14ac:dyDescent="0.2">
      <c r="A426" s="16">
        <v>425</v>
      </c>
      <c r="B426" s="37">
        <v>1</v>
      </c>
      <c r="C426" s="16" t="s">
        <v>1461</v>
      </c>
      <c r="D426" s="16" t="s">
        <v>1461</v>
      </c>
      <c r="E426" s="16">
        <v>2</v>
      </c>
      <c r="F426" s="16" t="s">
        <v>3616</v>
      </c>
      <c r="G426" s="16" t="s">
        <v>443</v>
      </c>
      <c r="H426" s="16" t="s">
        <v>1460</v>
      </c>
      <c r="I426" s="16" t="s">
        <v>444</v>
      </c>
      <c r="J426" s="16">
        <v>0</v>
      </c>
      <c r="K426" s="16">
        <v>1000000000</v>
      </c>
      <c r="L426" s="16">
        <v>1</v>
      </c>
      <c r="M426" s="16">
        <v>0</v>
      </c>
      <c r="N426">
        <f t="array" aca="1" ref="N426" ca="1">MATCH(TRUE,EXACT(I426,OFFSET(rngParamTypes,0,6,,1)),0)</f>
        <v>178</v>
      </c>
      <c r="O426" t="str">
        <f ca="1">IF((INDEX(rngParamTypes,$N426,7)=I426),"",1)</f>
        <v/>
      </c>
      <c r="P426">
        <f ca="1">INDEX(rngParamTypes,$N426,9)</f>
        <v>0</v>
      </c>
      <c r="Q426">
        <f ca="1">INDEX(rngParamTypes,$N426,10)</f>
        <v>0</v>
      </c>
      <c r="R426">
        <f ca="1">INDEX(rngParamTypes,$N426,11)</f>
        <v>0</v>
      </c>
      <c r="S426">
        <f ca="1">INDEX(rngParamTypes,$N426,12)</f>
        <v>0</v>
      </c>
      <c r="T426">
        <f ca="1">INDEX(rngParamTypes,$N426,13)</f>
        <v>0</v>
      </c>
      <c r="U426">
        <f ca="1">INDEX(rngParamTypes,$N426,14)</f>
        <v>0</v>
      </c>
      <c r="V426">
        <f ca="1">INDEX(rngParamTypes,$N426,15)</f>
        <v>0</v>
      </c>
      <c r="W426">
        <f ca="1">INDEX(rngParamTypes,$N426,16)</f>
        <v>1</v>
      </c>
      <c r="X426">
        <f ca="1">INDEX(rngParamTypes,$N426,17)</f>
        <v>0</v>
      </c>
      <c r="Y426">
        <f ca="1">INDEX(rngParamTypes,$N426,18)</f>
        <v>0</v>
      </c>
    </row>
    <row r="427" spans="1:25" x14ac:dyDescent="0.2">
      <c r="A427" s="16">
        <v>426</v>
      </c>
      <c r="B427" s="37">
        <v>1</v>
      </c>
      <c r="C427" s="16" t="s">
        <v>1462</v>
      </c>
      <c r="D427" s="16" t="s">
        <v>1462</v>
      </c>
      <c r="E427" s="16">
        <v>2</v>
      </c>
      <c r="F427" s="16" t="s">
        <v>3617</v>
      </c>
      <c r="G427" s="16" t="s">
        <v>220</v>
      </c>
      <c r="H427" s="16" t="s">
        <v>1462</v>
      </c>
      <c r="I427" s="16" t="s">
        <v>221</v>
      </c>
      <c r="J427" s="16">
        <v>0</v>
      </c>
      <c r="K427" s="16">
        <v>6.4798909999999995E-5</v>
      </c>
      <c r="L427" s="16">
        <v>1</v>
      </c>
      <c r="M427" s="16">
        <v>0</v>
      </c>
      <c r="N427">
        <f t="array" aca="1" ref="N427" ca="1">MATCH(TRUE,EXACT(I427,OFFSET(rngParamTypes,0,6,,1)),0)</f>
        <v>87</v>
      </c>
      <c r="O427" t="str">
        <f ca="1">IF((INDEX(rngParamTypes,$N427,7)=I427),"",1)</f>
        <v/>
      </c>
      <c r="P427">
        <f ca="1">INDEX(rngParamTypes,$N427,9)</f>
        <v>1</v>
      </c>
      <c r="Q427">
        <f ca="1">INDEX(rngParamTypes,$N427,10)</f>
        <v>0</v>
      </c>
      <c r="R427">
        <f ca="1">INDEX(rngParamTypes,$N427,11)</f>
        <v>0</v>
      </c>
      <c r="S427">
        <f ca="1">INDEX(rngParamTypes,$N427,12)</f>
        <v>0</v>
      </c>
      <c r="T427">
        <f ca="1">INDEX(rngParamTypes,$N427,13)</f>
        <v>0</v>
      </c>
      <c r="U427">
        <f ca="1">INDEX(rngParamTypes,$N427,14)</f>
        <v>0</v>
      </c>
      <c r="V427">
        <f ca="1">INDEX(rngParamTypes,$N427,15)</f>
        <v>0</v>
      </c>
      <c r="W427">
        <f ca="1">INDEX(rngParamTypes,$N427,16)</f>
        <v>0</v>
      </c>
      <c r="X427">
        <f ca="1">INDEX(rngParamTypes,$N427,17)</f>
        <v>0</v>
      </c>
      <c r="Y427">
        <f ca="1">INDEX(rngParamTypes,$N427,18)</f>
        <v>0</v>
      </c>
    </row>
    <row r="428" spans="1:25" x14ac:dyDescent="0.2">
      <c r="A428" s="16">
        <v>427</v>
      </c>
      <c r="B428" s="37">
        <v>1</v>
      </c>
      <c r="C428" s="16" t="s">
        <v>1464</v>
      </c>
      <c r="D428" s="16" t="s">
        <v>1464</v>
      </c>
      <c r="E428" s="16">
        <v>2</v>
      </c>
      <c r="F428" s="16" t="s">
        <v>4290</v>
      </c>
      <c r="G428" s="16" t="s">
        <v>3253</v>
      </c>
      <c r="H428" s="16" t="s">
        <v>1463</v>
      </c>
      <c r="I428" s="16" t="s">
        <v>252</v>
      </c>
      <c r="J428" s="16">
        <v>0</v>
      </c>
      <c r="K428" s="16">
        <v>2.288352E-5</v>
      </c>
      <c r="L428" s="16">
        <v>1</v>
      </c>
      <c r="M428" s="16">
        <v>0</v>
      </c>
      <c r="N428">
        <f t="array" aca="1" ref="N428" ca="1">MATCH(TRUE,EXACT(I428,OFFSET(rngParamTypes,0,6,,1)),0)</f>
        <v>99</v>
      </c>
      <c r="O428" t="str">
        <f ca="1">IF((INDEX(rngParamTypes,$N428,7)=I428),"",1)</f>
        <v/>
      </c>
      <c r="P428">
        <f ca="1">INDEX(rngParamTypes,$N428,9)</f>
        <v>1</v>
      </c>
      <c r="Q428">
        <f ca="1">INDEX(rngParamTypes,$N428,10)</f>
        <v>-3</v>
      </c>
      <c r="R428">
        <f ca="1">INDEX(rngParamTypes,$N428,11)</f>
        <v>0</v>
      </c>
      <c r="S428">
        <f ca="1">INDEX(rngParamTypes,$N428,12)</f>
        <v>0</v>
      </c>
      <c r="T428">
        <f ca="1">INDEX(rngParamTypes,$N428,13)</f>
        <v>0</v>
      </c>
      <c r="U428">
        <f ca="1">INDEX(rngParamTypes,$N428,14)</f>
        <v>0</v>
      </c>
      <c r="V428">
        <f ca="1">INDEX(rngParamTypes,$N428,15)</f>
        <v>0</v>
      </c>
      <c r="W428">
        <f ca="1">INDEX(rngParamTypes,$N428,16)</f>
        <v>0</v>
      </c>
      <c r="X428">
        <f ca="1">INDEX(rngParamTypes,$N428,17)</f>
        <v>0</v>
      </c>
      <c r="Y428">
        <f ca="1">INDEX(rngParamTypes,$N428,18)</f>
        <v>0</v>
      </c>
    </row>
    <row r="429" spans="1:25" x14ac:dyDescent="0.2">
      <c r="A429" s="16">
        <v>428</v>
      </c>
      <c r="B429" s="37">
        <v>1</v>
      </c>
      <c r="C429" s="16" t="s">
        <v>1466</v>
      </c>
      <c r="D429" s="16" t="s">
        <v>1466</v>
      </c>
      <c r="E429" s="16">
        <v>2</v>
      </c>
      <c r="F429" s="16" t="s">
        <v>3618</v>
      </c>
      <c r="G429" s="16" t="s">
        <v>3253</v>
      </c>
      <c r="H429" s="16" t="s">
        <v>1465</v>
      </c>
      <c r="I429" s="16" t="s">
        <v>252</v>
      </c>
      <c r="J429" s="16">
        <v>0</v>
      </c>
      <c r="K429" s="16">
        <v>2.288352E-3</v>
      </c>
      <c r="L429" s="16">
        <v>1</v>
      </c>
      <c r="M429" s="16">
        <v>0</v>
      </c>
      <c r="N429">
        <f t="array" aca="1" ref="N429" ca="1">MATCH(TRUE,EXACT(I429,OFFSET(rngParamTypes,0,6,,1)),0)</f>
        <v>99</v>
      </c>
      <c r="O429" t="str">
        <f ca="1">IF((INDEX(rngParamTypes,$N429,7)=I429),"",1)</f>
        <v/>
      </c>
      <c r="P429">
        <f ca="1">INDEX(rngParamTypes,$N429,9)</f>
        <v>1</v>
      </c>
      <c r="Q429">
        <f ca="1">INDEX(rngParamTypes,$N429,10)</f>
        <v>-3</v>
      </c>
      <c r="R429">
        <f ca="1">INDEX(rngParamTypes,$N429,11)</f>
        <v>0</v>
      </c>
      <c r="S429">
        <f ca="1">INDEX(rngParamTypes,$N429,12)</f>
        <v>0</v>
      </c>
      <c r="T429">
        <f ca="1">INDEX(rngParamTypes,$N429,13)</f>
        <v>0</v>
      </c>
      <c r="U429">
        <f ca="1">INDEX(rngParamTypes,$N429,14)</f>
        <v>0</v>
      </c>
      <c r="V429">
        <f ca="1">INDEX(rngParamTypes,$N429,15)</f>
        <v>0</v>
      </c>
      <c r="W429">
        <f ca="1">INDEX(rngParamTypes,$N429,16)</f>
        <v>0</v>
      </c>
      <c r="X429">
        <f ca="1">INDEX(rngParamTypes,$N429,17)</f>
        <v>0</v>
      </c>
      <c r="Y429">
        <f ca="1">INDEX(rngParamTypes,$N429,18)</f>
        <v>0</v>
      </c>
    </row>
    <row r="430" spans="1:25" x14ac:dyDescent="0.2">
      <c r="A430" s="16">
        <v>429</v>
      </c>
      <c r="B430" s="37">
        <v>1</v>
      </c>
      <c r="C430" s="16" t="s">
        <v>1467</v>
      </c>
      <c r="D430" s="16" t="s">
        <v>1467</v>
      </c>
      <c r="E430" s="16">
        <v>2</v>
      </c>
      <c r="F430" s="16" t="s">
        <v>4291</v>
      </c>
      <c r="G430" s="16" t="s">
        <v>3253</v>
      </c>
      <c r="H430" s="16" t="s">
        <v>1463</v>
      </c>
      <c r="I430" s="16" t="s">
        <v>252</v>
      </c>
      <c r="J430" s="16">
        <v>0</v>
      </c>
      <c r="K430" s="16">
        <v>2.288352E-5</v>
      </c>
      <c r="L430" s="16">
        <v>1</v>
      </c>
      <c r="M430" s="16">
        <v>0</v>
      </c>
      <c r="N430">
        <f t="array" aca="1" ref="N430" ca="1">MATCH(TRUE,EXACT(I430,OFFSET(rngParamTypes,0,6,,1)),0)</f>
        <v>99</v>
      </c>
      <c r="O430" t="str">
        <f ca="1">IF((INDEX(rngParamTypes,$N430,7)=I430),"",1)</f>
        <v/>
      </c>
      <c r="P430">
        <f ca="1">INDEX(rngParamTypes,$N430,9)</f>
        <v>1</v>
      </c>
      <c r="Q430">
        <f ca="1">INDEX(rngParamTypes,$N430,10)</f>
        <v>-3</v>
      </c>
      <c r="R430">
        <f ca="1">INDEX(rngParamTypes,$N430,11)</f>
        <v>0</v>
      </c>
      <c r="S430">
        <f ca="1">INDEX(rngParamTypes,$N430,12)</f>
        <v>0</v>
      </c>
      <c r="T430">
        <f ca="1">INDEX(rngParamTypes,$N430,13)</f>
        <v>0</v>
      </c>
      <c r="U430">
        <f ca="1">INDEX(rngParamTypes,$N430,14)</f>
        <v>0</v>
      </c>
      <c r="V430">
        <f ca="1">INDEX(rngParamTypes,$N430,15)</f>
        <v>0</v>
      </c>
      <c r="W430">
        <f ca="1">INDEX(rngParamTypes,$N430,16)</f>
        <v>0</v>
      </c>
      <c r="X430">
        <f ca="1">INDEX(rngParamTypes,$N430,17)</f>
        <v>0</v>
      </c>
      <c r="Y430">
        <f ca="1">INDEX(rngParamTypes,$N430,18)</f>
        <v>0</v>
      </c>
    </row>
    <row r="431" spans="1:25" x14ac:dyDescent="0.2">
      <c r="A431" s="16">
        <v>430</v>
      </c>
      <c r="B431" s="37">
        <v>1</v>
      </c>
      <c r="C431" s="16" t="s">
        <v>1469</v>
      </c>
      <c r="D431" s="16" t="s">
        <v>1469</v>
      </c>
      <c r="E431" s="16">
        <v>2</v>
      </c>
      <c r="F431" s="16" t="s">
        <v>3619</v>
      </c>
      <c r="G431" s="16" t="s">
        <v>3253</v>
      </c>
      <c r="H431" s="16" t="s">
        <v>1468</v>
      </c>
      <c r="I431" s="16" t="s">
        <v>252</v>
      </c>
      <c r="J431" s="16">
        <v>0</v>
      </c>
      <c r="K431" s="16">
        <v>1.7118060000000001E-2</v>
      </c>
      <c r="L431" s="16">
        <v>1</v>
      </c>
      <c r="M431" s="16">
        <v>0</v>
      </c>
      <c r="N431">
        <f t="array" aca="1" ref="N431" ca="1">MATCH(TRUE,EXACT(I431,OFFSET(rngParamTypes,0,6,,1)),0)</f>
        <v>99</v>
      </c>
      <c r="O431" t="str">
        <f ca="1">IF((INDEX(rngParamTypes,$N431,7)=I431),"",1)</f>
        <v/>
      </c>
      <c r="P431">
        <f ca="1">INDEX(rngParamTypes,$N431,9)</f>
        <v>1</v>
      </c>
      <c r="Q431">
        <f ca="1">INDEX(rngParamTypes,$N431,10)</f>
        <v>-3</v>
      </c>
      <c r="R431">
        <f ca="1">INDEX(rngParamTypes,$N431,11)</f>
        <v>0</v>
      </c>
      <c r="S431">
        <f ca="1">INDEX(rngParamTypes,$N431,12)</f>
        <v>0</v>
      </c>
      <c r="T431">
        <f ca="1">INDEX(rngParamTypes,$N431,13)</f>
        <v>0</v>
      </c>
      <c r="U431">
        <f ca="1">INDEX(rngParamTypes,$N431,14)</f>
        <v>0</v>
      </c>
      <c r="V431">
        <f ca="1">INDEX(rngParamTypes,$N431,15)</f>
        <v>0</v>
      </c>
      <c r="W431">
        <f ca="1">INDEX(rngParamTypes,$N431,16)</f>
        <v>0</v>
      </c>
      <c r="X431">
        <f ca="1">INDEX(rngParamTypes,$N431,17)</f>
        <v>0</v>
      </c>
      <c r="Y431">
        <f ca="1">INDEX(rngParamTypes,$N431,18)</f>
        <v>0</v>
      </c>
    </row>
    <row r="432" spans="1:25" x14ac:dyDescent="0.2">
      <c r="A432" s="16">
        <v>431</v>
      </c>
      <c r="B432" s="37">
        <v>1</v>
      </c>
      <c r="C432" s="16" t="s">
        <v>1471</v>
      </c>
      <c r="D432" s="16" t="s">
        <v>1471</v>
      </c>
      <c r="E432" s="16"/>
      <c r="F432" s="16" t="s">
        <v>3620</v>
      </c>
      <c r="G432" s="16" t="s">
        <v>3621</v>
      </c>
      <c r="H432" s="16" t="s">
        <v>1470</v>
      </c>
      <c r="I432" s="16" t="s">
        <v>466</v>
      </c>
      <c r="J432" s="16">
        <v>0</v>
      </c>
      <c r="K432" s="16">
        <v>1000000000</v>
      </c>
      <c r="L432" s="16">
        <v>1</v>
      </c>
      <c r="M432" s="16">
        <v>0</v>
      </c>
      <c r="N432">
        <f t="array" aca="1" ref="N432" ca="1">MATCH(TRUE,EXACT(I432,OFFSET(rngParamTypes,0,6,,1)),0)</f>
        <v>187</v>
      </c>
      <c r="O432" t="str">
        <f ca="1">IF((INDEX(rngParamTypes,$N432,7)=I432),"",1)</f>
        <v/>
      </c>
      <c r="P432">
        <f ca="1">INDEX(rngParamTypes,$N432,9)</f>
        <v>-1</v>
      </c>
      <c r="Q432">
        <f ca="1">INDEX(rngParamTypes,$N432,10)</f>
        <v>-2</v>
      </c>
      <c r="R432">
        <f ca="1">INDEX(rngParamTypes,$N432,11)</f>
        <v>3</v>
      </c>
      <c r="S432">
        <f ca="1">INDEX(rngParamTypes,$N432,12)</f>
        <v>2</v>
      </c>
      <c r="T432">
        <f ca="1">INDEX(rngParamTypes,$N432,13)</f>
        <v>0</v>
      </c>
      <c r="U432">
        <f ca="1">INDEX(rngParamTypes,$N432,14)</f>
        <v>0</v>
      </c>
      <c r="V432">
        <f ca="1">INDEX(rngParamTypes,$N432,15)</f>
        <v>0</v>
      </c>
      <c r="W432">
        <f ca="1">INDEX(rngParamTypes,$N432,16)</f>
        <v>0</v>
      </c>
      <c r="X432">
        <f ca="1">INDEX(rngParamTypes,$N432,17)</f>
        <v>0</v>
      </c>
      <c r="Y432">
        <f ca="1">INDEX(rngParamTypes,$N432,18)</f>
        <v>0</v>
      </c>
    </row>
    <row r="433" spans="1:25" x14ac:dyDescent="0.2">
      <c r="A433" s="16">
        <v>432</v>
      </c>
      <c r="B433" s="37">
        <v>1</v>
      </c>
      <c r="C433" s="16" t="s">
        <v>1473</v>
      </c>
      <c r="D433" s="16" t="s">
        <v>1473</v>
      </c>
      <c r="E433" s="16"/>
      <c r="F433" s="16" t="s">
        <v>3622</v>
      </c>
      <c r="G433" s="16" t="s">
        <v>484</v>
      </c>
      <c r="H433" s="16" t="s">
        <v>1472</v>
      </c>
      <c r="I433" s="16" t="s">
        <v>494</v>
      </c>
      <c r="J433" s="16">
        <v>0</v>
      </c>
      <c r="K433" s="16">
        <v>1000000000</v>
      </c>
      <c r="L433" s="16">
        <v>1</v>
      </c>
      <c r="M433" s="16">
        <v>0</v>
      </c>
      <c r="N433">
        <f t="array" aca="1" ref="N433" ca="1">MATCH(TRUE,EXACT(I433,OFFSET(rngParamTypes,0,6,,1)),0)</f>
        <v>199</v>
      </c>
      <c r="O433" t="str">
        <f ca="1">IF((INDEX(rngParamTypes,$N433,7)=I433),"",1)</f>
        <v/>
      </c>
      <c r="P433">
        <f ca="1">INDEX(rngParamTypes,$N433,9)</f>
        <v>0</v>
      </c>
      <c r="Q433">
        <f ca="1">INDEX(rngParamTypes,$N433,10)</f>
        <v>3</v>
      </c>
      <c r="R433">
        <f ca="1">INDEX(rngParamTypes,$N433,11)</f>
        <v>0</v>
      </c>
      <c r="S433">
        <f ca="1">INDEX(rngParamTypes,$N433,12)</f>
        <v>0</v>
      </c>
      <c r="T433">
        <f ca="1">INDEX(rngParamTypes,$N433,13)</f>
        <v>0</v>
      </c>
      <c r="U433">
        <f ca="1">INDEX(rngParamTypes,$N433,14)</f>
        <v>0</v>
      </c>
      <c r="V433">
        <f ca="1">INDEX(rngParamTypes,$N433,15)</f>
        <v>0</v>
      </c>
      <c r="W433">
        <f ca="1">INDEX(rngParamTypes,$N433,16)</f>
        <v>0</v>
      </c>
      <c r="X433">
        <f ca="1">INDEX(rngParamTypes,$N433,17)</f>
        <v>0</v>
      </c>
      <c r="Y433">
        <f ca="1">INDEX(rngParamTypes,$N433,18)</f>
        <v>0</v>
      </c>
    </row>
    <row r="434" spans="1:25" x14ac:dyDescent="0.2">
      <c r="A434" s="16">
        <v>433</v>
      </c>
      <c r="B434" s="37">
        <v>1</v>
      </c>
      <c r="C434" s="16" t="s">
        <v>1475</v>
      </c>
      <c r="D434" s="16" t="s">
        <v>1475</v>
      </c>
      <c r="E434" s="16">
        <v>2</v>
      </c>
      <c r="F434" s="16" t="s">
        <v>3623</v>
      </c>
      <c r="G434" s="16" t="s">
        <v>3624</v>
      </c>
      <c r="H434" s="16" t="s">
        <v>1474</v>
      </c>
      <c r="I434" s="16" t="s">
        <v>533</v>
      </c>
      <c r="J434" s="16">
        <v>0</v>
      </c>
      <c r="K434" s="16">
        <v>1000000000</v>
      </c>
      <c r="L434" s="16">
        <v>1</v>
      </c>
      <c r="M434" s="16">
        <v>0</v>
      </c>
      <c r="N434">
        <f t="array" aca="1" ref="N434" ca="1">MATCH(TRUE,EXACT(I434,OFFSET(rngParamTypes,0,6,,1)),0)</f>
        <v>211</v>
      </c>
      <c r="O434" t="str">
        <f ca="1">IF((INDEX(rngParamTypes,$N434,7)=I434),"",1)</f>
        <v/>
      </c>
      <c r="P434">
        <f ca="1">INDEX(rngParamTypes,$N434,9)</f>
        <v>1</v>
      </c>
      <c r="Q434">
        <f ca="1">INDEX(rngParamTypes,$N434,10)</f>
        <v>2</v>
      </c>
      <c r="R434">
        <f ca="1">INDEX(rngParamTypes,$N434,11)</f>
        <v>-3</v>
      </c>
      <c r="S434">
        <f ca="1">INDEX(rngParamTypes,$N434,12)</f>
        <v>0</v>
      </c>
      <c r="T434">
        <f ca="1">INDEX(rngParamTypes,$N434,13)</f>
        <v>0</v>
      </c>
      <c r="U434">
        <f ca="1">INDEX(rngParamTypes,$N434,14)</f>
        <v>0</v>
      </c>
      <c r="V434">
        <f ca="1">INDEX(rngParamTypes,$N434,15)</f>
        <v>0</v>
      </c>
      <c r="W434">
        <f ca="1">INDEX(rngParamTypes,$N434,16)</f>
        <v>0</v>
      </c>
      <c r="X434">
        <f ca="1">INDEX(rngParamTypes,$N434,17)</f>
        <v>0</v>
      </c>
      <c r="Y434">
        <f ca="1">INDEX(rngParamTypes,$N434,18)</f>
        <v>0</v>
      </c>
    </row>
    <row r="435" spans="1:25" x14ac:dyDescent="0.2">
      <c r="A435" s="16">
        <v>434</v>
      </c>
      <c r="B435" s="37">
        <v>1</v>
      </c>
      <c r="C435" s="16" t="s">
        <v>1477</v>
      </c>
      <c r="D435" s="16" t="s">
        <v>1477</v>
      </c>
      <c r="E435" s="16">
        <v>2</v>
      </c>
      <c r="F435" s="16" t="s">
        <v>3625</v>
      </c>
      <c r="G435" s="16" t="s">
        <v>3267</v>
      </c>
      <c r="H435" s="16" t="s">
        <v>1476</v>
      </c>
      <c r="I435" s="16" t="s">
        <v>168</v>
      </c>
      <c r="J435" s="16">
        <v>0</v>
      </c>
      <c r="K435" s="16">
        <v>3600000000000</v>
      </c>
      <c r="L435" s="16">
        <v>1</v>
      </c>
      <c r="M435" s="16">
        <v>0</v>
      </c>
      <c r="N435">
        <f t="array" aca="1" ref="N435" ca="1">MATCH(TRUE,EXACT(I435,OFFSET(rngParamTypes,0,6,,1)),0)</f>
        <v>56</v>
      </c>
      <c r="O435" t="str">
        <f ca="1">IF((INDEX(rngParamTypes,$N435,7)=I435),"",1)</f>
        <v/>
      </c>
      <c r="P435">
        <f ca="1">INDEX(rngParamTypes,$N435,9)</f>
        <v>1</v>
      </c>
      <c r="Q435">
        <f ca="1">INDEX(rngParamTypes,$N435,10)</f>
        <v>2</v>
      </c>
      <c r="R435">
        <f ca="1">INDEX(rngParamTypes,$N435,11)</f>
        <v>-2</v>
      </c>
      <c r="S435">
        <f ca="1">INDEX(rngParamTypes,$N435,12)</f>
        <v>0</v>
      </c>
      <c r="T435">
        <f ca="1">INDEX(rngParamTypes,$N435,13)</f>
        <v>0</v>
      </c>
      <c r="U435">
        <f ca="1">INDEX(rngParamTypes,$N435,14)</f>
        <v>0</v>
      </c>
      <c r="V435">
        <f ca="1">INDEX(rngParamTypes,$N435,15)</f>
        <v>0</v>
      </c>
      <c r="W435">
        <f ca="1">INDEX(rngParamTypes,$N435,16)</f>
        <v>0</v>
      </c>
      <c r="X435">
        <f ca="1">INDEX(rngParamTypes,$N435,17)</f>
        <v>0</v>
      </c>
      <c r="Y435">
        <f ca="1">INDEX(rngParamTypes,$N435,18)</f>
        <v>0</v>
      </c>
    </row>
    <row r="436" spans="1:25" x14ac:dyDescent="0.2">
      <c r="A436" s="16">
        <v>435</v>
      </c>
      <c r="B436" s="37">
        <v>1</v>
      </c>
      <c r="C436" s="16" t="s">
        <v>1479</v>
      </c>
      <c r="D436" s="16" t="s">
        <v>1479</v>
      </c>
      <c r="E436" s="16">
        <v>2</v>
      </c>
      <c r="F436" s="16" t="s">
        <v>3626</v>
      </c>
      <c r="G436" s="16" t="s">
        <v>469</v>
      </c>
      <c r="H436" s="16" t="s">
        <v>1478</v>
      </c>
      <c r="I436" s="16" t="s">
        <v>470</v>
      </c>
      <c r="J436" s="16">
        <v>0</v>
      </c>
      <c r="K436" s="16">
        <v>3600</v>
      </c>
      <c r="L436" s="16">
        <v>1</v>
      </c>
      <c r="M436" s="16">
        <v>0</v>
      </c>
      <c r="N436">
        <f t="array" aca="1" ref="N436" ca="1">MATCH(TRUE,EXACT(I436,OFFSET(rngParamTypes,0,6,,1)),0)</f>
        <v>190</v>
      </c>
      <c r="O436" t="str">
        <f ca="1">IF((INDEX(rngParamTypes,$N436,7)=I436),"",1)</f>
        <v/>
      </c>
      <c r="P436">
        <f ca="1">INDEX(rngParamTypes,$N436,9)</f>
        <v>0</v>
      </c>
      <c r="Q436">
        <f ca="1">INDEX(rngParamTypes,$N436,10)</f>
        <v>0</v>
      </c>
      <c r="R436">
        <f ca="1">INDEX(rngParamTypes,$N436,11)</f>
        <v>1</v>
      </c>
      <c r="S436">
        <f ca="1">INDEX(rngParamTypes,$N436,12)</f>
        <v>0</v>
      </c>
      <c r="T436">
        <f ca="1">INDEX(rngParamTypes,$N436,13)</f>
        <v>0</v>
      </c>
      <c r="U436">
        <f ca="1">INDEX(rngParamTypes,$N436,14)</f>
        <v>0</v>
      </c>
      <c r="V436">
        <f ca="1">INDEX(rngParamTypes,$N436,15)</f>
        <v>0</v>
      </c>
      <c r="W436">
        <f ca="1">INDEX(rngParamTypes,$N436,16)</f>
        <v>0</v>
      </c>
      <c r="X436">
        <f ca="1">INDEX(rngParamTypes,$N436,17)</f>
        <v>0</v>
      </c>
      <c r="Y436">
        <f ca="1">INDEX(rngParamTypes,$N436,18)</f>
        <v>0</v>
      </c>
    </row>
    <row r="437" spans="1:25" x14ac:dyDescent="0.2">
      <c r="A437" s="16">
        <v>436</v>
      </c>
      <c r="B437" s="37">
        <v>1</v>
      </c>
      <c r="C437" s="16" t="s">
        <v>1481</v>
      </c>
      <c r="D437" s="16" t="s">
        <v>1481</v>
      </c>
      <c r="E437" s="16"/>
      <c r="F437" s="16" t="s">
        <v>3627</v>
      </c>
      <c r="G437" s="16" t="s">
        <v>481</v>
      </c>
      <c r="H437" s="16" t="s">
        <v>1480</v>
      </c>
      <c r="I437" s="16" t="s">
        <v>482</v>
      </c>
      <c r="J437" s="16">
        <v>0</v>
      </c>
      <c r="K437" s="16">
        <v>3600</v>
      </c>
      <c r="L437" s="16">
        <v>2.8316846592000001E-2</v>
      </c>
      <c r="M437" s="16">
        <v>0</v>
      </c>
      <c r="N437">
        <f t="array" aca="1" ref="N437" ca="1">MATCH(TRUE,EXACT(I437,OFFSET(rngParamTypes,0,6,,1)),0)</f>
        <v>195</v>
      </c>
      <c r="O437" t="str">
        <f ca="1">IF((INDEX(rngParamTypes,$N437,7)=I437),"",1)</f>
        <v/>
      </c>
      <c r="P437">
        <f ca="1">INDEX(rngParamTypes,$N437,9)</f>
        <v>0</v>
      </c>
      <c r="Q437">
        <f ca="1">INDEX(rngParamTypes,$N437,10)</f>
        <v>-3</v>
      </c>
      <c r="R437">
        <f ca="1">INDEX(rngParamTypes,$N437,11)</f>
        <v>1</v>
      </c>
      <c r="S437">
        <f ca="1">INDEX(rngParamTypes,$N437,12)</f>
        <v>0</v>
      </c>
      <c r="T437">
        <f ca="1">INDEX(rngParamTypes,$N437,13)</f>
        <v>0</v>
      </c>
      <c r="U437">
        <f ca="1">INDEX(rngParamTypes,$N437,14)</f>
        <v>0</v>
      </c>
      <c r="V437">
        <f ca="1">INDEX(rngParamTypes,$N437,15)</f>
        <v>0</v>
      </c>
      <c r="W437">
        <f ca="1">INDEX(rngParamTypes,$N437,16)</f>
        <v>0</v>
      </c>
      <c r="X437">
        <f ca="1">INDEX(rngParamTypes,$N437,17)</f>
        <v>0</v>
      </c>
      <c r="Y437">
        <f ca="1">INDEX(rngParamTypes,$N437,18)</f>
        <v>0</v>
      </c>
    </row>
    <row r="438" spans="1:25" x14ac:dyDescent="0.2">
      <c r="A438" s="16">
        <v>437</v>
      </c>
      <c r="B438" s="37">
        <v>1</v>
      </c>
      <c r="C438" s="16" t="s">
        <v>1483</v>
      </c>
      <c r="D438" s="16" t="s">
        <v>1483</v>
      </c>
      <c r="E438" s="16"/>
      <c r="F438" s="16" t="s">
        <v>3628</v>
      </c>
      <c r="G438" s="16" t="s">
        <v>476</v>
      </c>
      <c r="H438" s="16" t="s">
        <v>1482</v>
      </c>
      <c r="I438" s="16" t="s">
        <v>479</v>
      </c>
      <c r="J438" s="16">
        <v>0</v>
      </c>
      <c r="K438" s="16">
        <v>3600</v>
      </c>
      <c r="L438" s="16">
        <v>304.8</v>
      </c>
      <c r="M438" s="16">
        <v>0</v>
      </c>
      <c r="N438">
        <f t="array" aca="1" ref="N438" ca="1">MATCH(TRUE,EXACT(I438,OFFSET(rngParamTypes,0,6,,1)),0)</f>
        <v>192</v>
      </c>
      <c r="O438" t="str">
        <f ca="1">IF((INDEX(rngParamTypes,$N438,7)=I438),"",1)</f>
        <v/>
      </c>
      <c r="P438">
        <f ca="1">INDEX(rngParamTypes,$N438,9)</f>
        <v>0</v>
      </c>
      <c r="Q438">
        <f ca="1">INDEX(rngParamTypes,$N438,10)</f>
        <v>-1</v>
      </c>
      <c r="R438">
        <f ca="1">INDEX(rngParamTypes,$N438,11)</f>
        <v>1</v>
      </c>
      <c r="S438">
        <f ca="1">INDEX(rngParamTypes,$N438,12)</f>
        <v>0</v>
      </c>
      <c r="T438">
        <f ca="1">INDEX(rngParamTypes,$N438,13)</f>
        <v>0</v>
      </c>
      <c r="U438">
        <f ca="1">INDEX(rngParamTypes,$N438,14)</f>
        <v>0</v>
      </c>
      <c r="V438">
        <f ca="1">INDEX(rngParamTypes,$N438,15)</f>
        <v>0</v>
      </c>
      <c r="W438">
        <f ca="1">INDEX(rngParamTypes,$N438,16)</f>
        <v>0</v>
      </c>
      <c r="X438">
        <f ca="1">INDEX(rngParamTypes,$N438,17)</f>
        <v>0</v>
      </c>
      <c r="Y438">
        <f ca="1">INDEX(rngParamTypes,$N438,18)</f>
        <v>0</v>
      </c>
    </row>
    <row r="439" spans="1:25" x14ac:dyDescent="0.2">
      <c r="A439" s="16">
        <v>438</v>
      </c>
      <c r="B439" s="37">
        <v>1</v>
      </c>
      <c r="C439" s="16" t="s">
        <v>1485</v>
      </c>
      <c r="D439" s="16" t="s">
        <v>1485</v>
      </c>
      <c r="E439" s="16"/>
      <c r="F439" s="16" t="s">
        <v>3629</v>
      </c>
      <c r="G439" s="16" t="s">
        <v>476</v>
      </c>
      <c r="H439" s="16" t="s">
        <v>1484</v>
      </c>
      <c r="I439" s="16" t="s">
        <v>479</v>
      </c>
      <c r="J439" s="16">
        <v>0</v>
      </c>
      <c r="K439" s="16">
        <v>3.6</v>
      </c>
      <c r="L439" s="16">
        <v>1</v>
      </c>
      <c r="M439" s="16">
        <v>0</v>
      </c>
      <c r="N439">
        <f t="array" aca="1" ref="N439" ca="1">MATCH(TRUE,EXACT(I439,OFFSET(rngParamTypes,0,6,,1)),0)</f>
        <v>192</v>
      </c>
      <c r="O439" t="str">
        <f ca="1">IF((INDEX(rngParamTypes,$N439,7)=I439),"",1)</f>
        <v/>
      </c>
      <c r="P439">
        <f ca="1">INDEX(rngParamTypes,$N439,9)</f>
        <v>0</v>
      </c>
      <c r="Q439">
        <f ca="1">INDEX(rngParamTypes,$N439,10)</f>
        <v>-1</v>
      </c>
      <c r="R439">
        <f ca="1">INDEX(rngParamTypes,$N439,11)</f>
        <v>1</v>
      </c>
      <c r="S439">
        <f ca="1">INDEX(rngParamTypes,$N439,12)</f>
        <v>0</v>
      </c>
      <c r="T439">
        <f ca="1">INDEX(rngParamTypes,$N439,13)</f>
        <v>0</v>
      </c>
      <c r="U439">
        <f ca="1">INDEX(rngParamTypes,$N439,14)</f>
        <v>0</v>
      </c>
      <c r="V439">
        <f ca="1">INDEX(rngParamTypes,$N439,15)</f>
        <v>0</v>
      </c>
      <c r="W439">
        <f ca="1">INDEX(rngParamTypes,$N439,16)</f>
        <v>0</v>
      </c>
      <c r="X439">
        <f ca="1">INDEX(rngParamTypes,$N439,17)</f>
        <v>0</v>
      </c>
      <c r="Y439">
        <f ca="1">INDEX(rngParamTypes,$N439,18)</f>
        <v>0</v>
      </c>
    </row>
    <row r="440" spans="1:25" x14ac:dyDescent="0.2">
      <c r="A440" s="16">
        <v>439</v>
      </c>
      <c r="B440" s="37">
        <v>1</v>
      </c>
      <c r="C440" s="16" t="s">
        <v>1487</v>
      </c>
      <c r="D440" s="16" t="s">
        <v>1487</v>
      </c>
      <c r="E440" s="16"/>
      <c r="F440" s="16" t="s">
        <v>3630</v>
      </c>
      <c r="G440" s="16" t="s">
        <v>481</v>
      </c>
      <c r="H440" s="16" t="s">
        <v>1486</v>
      </c>
      <c r="I440" s="16" t="s">
        <v>482</v>
      </c>
      <c r="J440" s="16">
        <v>0</v>
      </c>
      <c r="K440" s="16">
        <v>3600</v>
      </c>
      <c r="L440" s="16">
        <v>1</v>
      </c>
      <c r="M440" s="16">
        <v>0</v>
      </c>
      <c r="N440">
        <f t="array" aca="1" ref="N440" ca="1">MATCH(TRUE,EXACT(I440,OFFSET(rngParamTypes,0,6,,1)),0)</f>
        <v>195</v>
      </c>
      <c r="O440" t="str">
        <f ca="1">IF((INDEX(rngParamTypes,$N440,7)=I440),"",1)</f>
        <v/>
      </c>
      <c r="P440">
        <f ca="1">INDEX(rngParamTypes,$N440,9)</f>
        <v>0</v>
      </c>
      <c r="Q440">
        <f ca="1">INDEX(rngParamTypes,$N440,10)</f>
        <v>-3</v>
      </c>
      <c r="R440">
        <f ca="1">INDEX(rngParamTypes,$N440,11)</f>
        <v>1</v>
      </c>
      <c r="S440">
        <f ca="1">INDEX(rngParamTypes,$N440,12)</f>
        <v>0</v>
      </c>
      <c r="T440">
        <f ca="1">INDEX(rngParamTypes,$N440,13)</f>
        <v>0</v>
      </c>
      <c r="U440">
        <f ca="1">INDEX(rngParamTypes,$N440,14)</f>
        <v>0</v>
      </c>
      <c r="V440">
        <f ca="1">INDEX(rngParamTypes,$N440,15)</f>
        <v>0</v>
      </c>
      <c r="W440">
        <f ca="1">INDEX(rngParamTypes,$N440,16)</f>
        <v>0</v>
      </c>
      <c r="X440">
        <f ca="1">INDEX(rngParamTypes,$N440,17)</f>
        <v>0</v>
      </c>
      <c r="Y440">
        <f ca="1">INDEX(rngParamTypes,$N440,18)</f>
        <v>0</v>
      </c>
    </row>
    <row r="441" spans="1:25" x14ac:dyDescent="0.2">
      <c r="A441" s="16">
        <v>440</v>
      </c>
      <c r="B441" s="37">
        <v>1</v>
      </c>
      <c r="C441" s="16" t="s">
        <v>1489</v>
      </c>
      <c r="D441" s="16" t="s">
        <v>1489</v>
      </c>
      <c r="E441" s="16">
        <v>2</v>
      </c>
      <c r="F441" s="16" t="s">
        <v>3631</v>
      </c>
      <c r="G441" s="16" t="s">
        <v>302</v>
      </c>
      <c r="H441" s="16" t="s">
        <v>1488</v>
      </c>
      <c r="I441" s="16" t="s">
        <v>303</v>
      </c>
      <c r="J441" s="16">
        <v>0</v>
      </c>
      <c r="K441" s="16">
        <v>10000</v>
      </c>
      <c r="L441" s="16">
        <v>1</v>
      </c>
      <c r="M441" s="16">
        <v>0</v>
      </c>
      <c r="N441">
        <f t="array" aca="1" ref="N441" ca="1">MATCH(TRUE,EXACT(I441,OFFSET(rngParamTypes,0,6,,1)),0)</f>
        <v>125</v>
      </c>
      <c r="O441" t="str">
        <f ca="1">IF((INDEX(rngParamTypes,$N441,7)=I441),"",1)</f>
        <v/>
      </c>
      <c r="P441">
        <f ca="1">INDEX(rngParamTypes,$N441,9)</f>
        <v>0</v>
      </c>
      <c r="Q441">
        <f ca="1">INDEX(rngParamTypes,$N441,10)</f>
        <v>2</v>
      </c>
      <c r="R441">
        <f ca="1">INDEX(rngParamTypes,$N441,11)</f>
        <v>0</v>
      </c>
      <c r="S441">
        <f ca="1">INDEX(rngParamTypes,$N441,12)</f>
        <v>0</v>
      </c>
      <c r="T441">
        <f ca="1">INDEX(rngParamTypes,$N441,13)</f>
        <v>0</v>
      </c>
      <c r="U441">
        <f ca="1">INDEX(rngParamTypes,$N441,14)</f>
        <v>0</v>
      </c>
      <c r="V441">
        <f ca="1">INDEX(rngParamTypes,$N441,15)</f>
        <v>0</v>
      </c>
      <c r="W441">
        <f ca="1">INDEX(rngParamTypes,$N441,16)</f>
        <v>0</v>
      </c>
      <c r="X441">
        <f ca="1">INDEX(rngParamTypes,$N441,17)</f>
        <v>0</v>
      </c>
      <c r="Y441">
        <f ca="1">INDEX(rngParamTypes,$N441,18)</f>
        <v>0</v>
      </c>
    </row>
    <row r="442" spans="1:25" x14ac:dyDescent="0.2">
      <c r="A442" s="16">
        <v>441</v>
      </c>
      <c r="B442" s="37">
        <v>1</v>
      </c>
      <c r="C442" s="16" t="s">
        <v>1491</v>
      </c>
      <c r="D442" s="16" t="s">
        <v>1491</v>
      </c>
      <c r="E442" s="16">
        <v>2</v>
      </c>
      <c r="F442" s="16" t="s">
        <v>3632</v>
      </c>
      <c r="G442" s="16" t="s">
        <v>321</v>
      </c>
      <c r="H442" s="16" t="s">
        <v>1490</v>
      </c>
      <c r="I442" s="16" t="s">
        <v>322</v>
      </c>
      <c r="J442" s="16">
        <v>0</v>
      </c>
      <c r="K442" s="16">
        <v>10000</v>
      </c>
      <c r="L442" s="16">
        <v>1</v>
      </c>
      <c r="M442" s="16">
        <v>0</v>
      </c>
      <c r="N442">
        <f t="array" aca="1" ref="N442" ca="1">MATCH(TRUE,EXACT(I442,OFFSET(rngParamTypes,0,6,,1)),0)</f>
        <v>134</v>
      </c>
      <c r="O442" t="str">
        <f ca="1">IF((INDEX(rngParamTypes,$N442,7)=I442),"",1)</f>
        <v/>
      </c>
      <c r="P442">
        <f ca="1">INDEX(rngParamTypes,$N442,9)</f>
        <v>0</v>
      </c>
      <c r="Q442">
        <f ca="1">INDEX(rngParamTypes,$N442,10)</f>
        <v>3</v>
      </c>
      <c r="R442">
        <f ca="1">INDEX(rngParamTypes,$N442,11)</f>
        <v>0</v>
      </c>
      <c r="S442">
        <f ca="1">INDEX(rngParamTypes,$N442,12)</f>
        <v>0</v>
      </c>
      <c r="T442">
        <f ca="1">INDEX(rngParamTypes,$N442,13)</f>
        <v>0</v>
      </c>
      <c r="U442">
        <f ca="1">INDEX(rngParamTypes,$N442,14)</f>
        <v>0</v>
      </c>
      <c r="V442">
        <f ca="1">INDEX(rngParamTypes,$N442,15)</f>
        <v>0</v>
      </c>
      <c r="W442">
        <f ca="1">INDEX(rngParamTypes,$N442,16)</f>
        <v>0</v>
      </c>
      <c r="X442">
        <f ca="1">INDEX(rngParamTypes,$N442,17)</f>
        <v>0</v>
      </c>
      <c r="Y442">
        <f ca="1">INDEX(rngParamTypes,$N442,18)</f>
        <v>0</v>
      </c>
    </row>
    <row r="443" spans="1:25" x14ac:dyDescent="0.2">
      <c r="A443" s="16">
        <v>442</v>
      </c>
      <c r="B443" s="37">
        <v>1</v>
      </c>
      <c r="C443" s="16" t="s">
        <v>1493</v>
      </c>
      <c r="D443" s="16" t="s">
        <v>1493</v>
      </c>
      <c r="E443" s="16">
        <v>2</v>
      </c>
      <c r="F443" s="16" t="s">
        <v>3633</v>
      </c>
      <c r="G443" s="16" t="s">
        <v>3270</v>
      </c>
      <c r="H443" s="16" t="s">
        <v>1492</v>
      </c>
      <c r="I443" s="16" t="s">
        <v>416</v>
      </c>
      <c r="J443" s="16">
        <v>0</v>
      </c>
      <c r="K443" s="16">
        <v>10000000</v>
      </c>
      <c r="L443" s="16">
        <v>1</v>
      </c>
      <c r="M443" s="16">
        <v>0</v>
      </c>
      <c r="N443">
        <f t="array" aca="1" ref="N443" ca="1">MATCH(TRUE,EXACT(I443,OFFSET(rngParamTypes,0,6,,1)),0)</f>
        <v>167</v>
      </c>
      <c r="O443" t="str">
        <f ca="1">IF((INDEX(rngParamTypes,$N443,7)=I443),"",1)</f>
        <v/>
      </c>
      <c r="P443">
        <f ca="1">INDEX(rngParamTypes,$N443,9)</f>
        <v>1</v>
      </c>
      <c r="Q443">
        <f ca="1">INDEX(rngParamTypes,$N443,10)</f>
        <v>-1</v>
      </c>
      <c r="R443">
        <f ca="1">INDEX(rngParamTypes,$N443,11)</f>
        <v>-2</v>
      </c>
      <c r="S443">
        <f ca="1">INDEX(rngParamTypes,$N443,12)</f>
        <v>0</v>
      </c>
      <c r="T443">
        <f ca="1">INDEX(rngParamTypes,$N443,13)</f>
        <v>0</v>
      </c>
      <c r="U443">
        <f ca="1">INDEX(rngParamTypes,$N443,14)</f>
        <v>0</v>
      </c>
      <c r="V443">
        <f ca="1">INDEX(rngParamTypes,$N443,15)</f>
        <v>0</v>
      </c>
      <c r="W443">
        <f ca="1">INDEX(rngParamTypes,$N443,16)</f>
        <v>0</v>
      </c>
      <c r="X443">
        <f ca="1">INDEX(rngParamTypes,$N443,17)</f>
        <v>0</v>
      </c>
      <c r="Y443">
        <f ca="1">INDEX(rngParamTypes,$N443,18)</f>
        <v>0</v>
      </c>
    </row>
    <row r="444" spans="1:25" x14ac:dyDescent="0.2">
      <c r="A444" s="16">
        <v>443</v>
      </c>
      <c r="B444" s="37">
        <v>1</v>
      </c>
      <c r="C444" s="16" t="s">
        <v>1495</v>
      </c>
      <c r="D444" s="16" t="s">
        <v>1495</v>
      </c>
      <c r="E444" s="16">
        <v>2</v>
      </c>
      <c r="F444" s="16" t="s">
        <v>3634</v>
      </c>
      <c r="G444" s="16" t="s">
        <v>531</v>
      </c>
      <c r="H444" s="16" t="s">
        <v>1494</v>
      </c>
      <c r="I444" s="16" t="s">
        <v>533</v>
      </c>
      <c r="J444" s="16">
        <v>0</v>
      </c>
      <c r="K444" s="16">
        <v>746.04300000000001</v>
      </c>
      <c r="L444" s="16">
        <v>1</v>
      </c>
      <c r="M444" s="16">
        <v>0</v>
      </c>
      <c r="N444">
        <f t="array" aca="1" ref="N444" ca="1">MATCH(TRUE,EXACT(I444,OFFSET(rngParamTypes,0,6,,1)),0)</f>
        <v>211</v>
      </c>
      <c r="O444" t="str">
        <f ca="1">IF((INDEX(rngParamTypes,$N444,7)=I444),"",1)</f>
        <v/>
      </c>
      <c r="P444">
        <f ca="1">INDEX(rngParamTypes,$N444,9)</f>
        <v>1</v>
      </c>
      <c r="Q444">
        <f ca="1">INDEX(rngParamTypes,$N444,10)</f>
        <v>2</v>
      </c>
      <c r="R444">
        <f ca="1">INDEX(rngParamTypes,$N444,11)</f>
        <v>-3</v>
      </c>
      <c r="S444">
        <f ca="1">INDEX(rngParamTypes,$N444,12)</f>
        <v>0</v>
      </c>
      <c r="T444">
        <f ca="1">INDEX(rngParamTypes,$N444,13)</f>
        <v>0</v>
      </c>
      <c r="U444">
        <f ca="1">INDEX(rngParamTypes,$N444,14)</f>
        <v>0</v>
      </c>
      <c r="V444">
        <f ca="1">INDEX(rngParamTypes,$N444,15)</f>
        <v>0</v>
      </c>
      <c r="W444">
        <f ca="1">INDEX(rngParamTypes,$N444,16)</f>
        <v>0</v>
      </c>
      <c r="X444">
        <f ca="1">INDEX(rngParamTypes,$N444,17)</f>
        <v>0</v>
      </c>
      <c r="Y444">
        <f ca="1">INDEX(rngParamTypes,$N444,18)</f>
        <v>0</v>
      </c>
    </row>
    <row r="445" spans="1:25" x14ac:dyDescent="0.2">
      <c r="A445" s="16">
        <v>444</v>
      </c>
      <c r="B445" s="37">
        <v>1</v>
      </c>
      <c r="C445" s="16" t="s">
        <v>1497</v>
      </c>
      <c r="D445" s="16" t="s">
        <v>1497</v>
      </c>
      <c r="E445" s="16">
        <v>2</v>
      </c>
      <c r="F445" s="16" t="s">
        <v>3635</v>
      </c>
      <c r="G445" s="16" t="s">
        <v>3322</v>
      </c>
      <c r="H445" s="16" t="s">
        <v>1496</v>
      </c>
      <c r="I445" s="16" t="s">
        <v>551</v>
      </c>
      <c r="J445" s="16">
        <v>0</v>
      </c>
      <c r="K445" s="16">
        <v>746.04300000000001</v>
      </c>
      <c r="L445" s="16">
        <v>6.4515999999999998E-4</v>
      </c>
      <c r="M445" s="16">
        <v>0</v>
      </c>
      <c r="N445">
        <f t="array" aca="1" ref="N445" ca="1">MATCH(TRUE,EXACT(I445,OFFSET(rngParamTypes,0,6,,1)),0)</f>
        <v>216</v>
      </c>
      <c r="O445" t="str">
        <f ca="1">IF((INDEX(rngParamTypes,$N445,7)=I445),"",1)</f>
        <v/>
      </c>
      <c r="P445">
        <f ca="1">INDEX(rngParamTypes,$N445,9)</f>
        <v>1</v>
      </c>
      <c r="Q445">
        <f ca="1">INDEX(rngParamTypes,$N445,10)</f>
        <v>0</v>
      </c>
      <c r="R445">
        <f ca="1">INDEX(rngParamTypes,$N445,11)</f>
        <v>-3</v>
      </c>
      <c r="S445">
        <f ca="1">INDEX(rngParamTypes,$N445,12)</f>
        <v>0</v>
      </c>
      <c r="T445">
        <f ca="1">INDEX(rngParamTypes,$N445,13)</f>
        <v>0</v>
      </c>
      <c r="U445">
        <f ca="1">INDEX(rngParamTypes,$N445,14)</f>
        <v>0</v>
      </c>
      <c r="V445">
        <f ca="1">INDEX(rngParamTypes,$N445,15)</f>
        <v>0</v>
      </c>
      <c r="W445">
        <f ca="1">INDEX(rngParamTypes,$N445,16)</f>
        <v>0</v>
      </c>
      <c r="X445">
        <f ca="1">INDEX(rngParamTypes,$N445,17)</f>
        <v>0</v>
      </c>
      <c r="Y445">
        <f ca="1">INDEX(rngParamTypes,$N445,18)</f>
        <v>0</v>
      </c>
    </row>
    <row r="446" spans="1:25" x14ac:dyDescent="0.2">
      <c r="A446" s="16">
        <v>445</v>
      </c>
      <c r="B446" s="37">
        <v>1</v>
      </c>
      <c r="C446" s="16" t="s">
        <v>1499</v>
      </c>
      <c r="D446" s="16" t="s">
        <v>1499</v>
      </c>
      <c r="E446" s="16">
        <v>2</v>
      </c>
      <c r="F446" s="16" t="s">
        <v>3636</v>
      </c>
      <c r="G446" s="16" t="s">
        <v>321</v>
      </c>
      <c r="H446" s="16" t="s">
        <v>1498</v>
      </c>
      <c r="I446" s="16" t="s">
        <v>322</v>
      </c>
      <c r="J446" s="16">
        <v>0</v>
      </c>
      <c r="K446" s="16">
        <v>0.1</v>
      </c>
      <c r="L446" s="16">
        <v>1</v>
      </c>
      <c r="M446" s="16">
        <v>0</v>
      </c>
      <c r="N446">
        <f t="array" aca="1" ref="N446" ca="1">MATCH(TRUE,EXACT(I446,OFFSET(rngParamTypes,0,6,,1)),0)</f>
        <v>134</v>
      </c>
      <c r="O446" t="str">
        <f ca="1">IF((INDEX(rngParamTypes,$N446,7)=I446),"",1)</f>
        <v/>
      </c>
      <c r="P446">
        <f ca="1">INDEX(rngParamTypes,$N446,9)</f>
        <v>0</v>
      </c>
      <c r="Q446">
        <f ca="1">INDEX(rngParamTypes,$N446,10)</f>
        <v>3</v>
      </c>
      <c r="R446">
        <f ca="1">INDEX(rngParamTypes,$N446,11)</f>
        <v>0</v>
      </c>
      <c r="S446">
        <f ca="1">INDEX(rngParamTypes,$N446,12)</f>
        <v>0</v>
      </c>
      <c r="T446">
        <f ca="1">INDEX(rngParamTypes,$N446,13)</f>
        <v>0</v>
      </c>
      <c r="U446">
        <f ca="1">INDEX(rngParamTypes,$N446,14)</f>
        <v>0</v>
      </c>
      <c r="V446">
        <f ca="1">INDEX(rngParamTypes,$N446,15)</f>
        <v>0</v>
      </c>
      <c r="W446">
        <f ca="1">INDEX(rngParamTypes,$N446,16)</f>
        <v>0</v>
      </c>
      <c r="X446">
        <f ca="1">INDEX(rngParamTypes,$N446,17)</f>
        <v>0</v>
      </c>
      <c r="Y446">
        <f ca="1">INDEX(rngParamTypes,$N446,18)</f>
        <v>0</v>
      </c>
    </row>
    <row r="447" spans="1:25" x14ac:dyDescent="0.2">
      <c r="A447" s="16">
        <v>446</v>
      </c>
      <c r="B447" s="37">
        <v>1</v>
      </c>
      <c r="C447" s="16" t="s">
        <v>1501</v>
      </c>
      <c r="D447" s="16" t="s">
        <v>1501</v>
      </c>
      <c r="E447" s="16">
        <v>2</v>
      </c>
      <c r="F447" s="16" t="s">
        <v>3637</v>
      </c>
      <c r="G447" s="16" t="s">
        <v>531</v>
      </c>
      <c r="H447" s="16" t="s">
        <v>1500</v>
      </c>
      <c r="I447" s="16" t="s">
        <v>533</v>
      </c>
      <c r="J447" s="16">
        <v>0</v>
      </c>
      <c r="K447" s="16">
        <v>745.69989999999996</v>
      </c>
      <c r="L447" s="16">
        <v>1</v>
      </c>
      <c r="M447" s="16">
        <v>0</v>
      </c>
      <c r="N447">
        <f t="array" aca="1" ref="N447" ca="1">MATCH(TRUE,EXACT(I447,OFFSET(rngParamTypes,0,6,,1)),0)</f>
        <v>211</v>
      </c>
      <c r="O447" t="str">
        <f ca="1">IF((INDEX(rngParamTypes,$N447,7)=I447),"",1)</f>
        <v/>
      </c>
      <c r="P447">
        <f ca="1">INDEX(rngParamTypes,$N447,9)</f>
        <v>1</v>
      </c>
      <c r="Q447">
        <f ca="1">INDEX(rngParamTypes,$N447,10)</f>
        <v>2</v>
      </c>
      <c r="R447">
        <f ca="1">INDEX(rngParamTypes,$N447,11)</f>
        <v>-3</v>
      </c>
      <c r="S447">
        <f ca="1">INDEX(rngParamTypes,$N447,12)</f>
        <v>0</v>
      </c>
      <c r="T447">
        <f ca="1">INDEX(rngParamTypes,$N447,13)</f>
        <v>0</v>
      </c>
      <c r="U447">
        <f ca="1">INDEX(rngParamTypes,$N447,14)</f>
        <v>0</v>
      </c>
      <c r="V447">
        <f ca="1">INDEX(rngParamTypes,$N447,15)</f>
        <v>0</v>
      </c>
      <c r="W447">
        <f ca="1">INDEX(rngParamTypes,$N447,16)</f>
        <v>0</v>
      </c>
      <c r="X447">
        <f ca="1">INDEX(rngParamTypes,$N447,17)</f>
        <v>0</v>
      </c>
      <c r="Y447">
        <f ca="1">INDEX(rngParamTypes,$N447,18)</f>
        <v>0</v>
      </c>
    </row>
    <row r="448" spans="1:25" x14ac:dyDescent="0.2">
      <c r="A448" s="16">
        <v>447</v>
      </c>
      <c r="B448" s="37">
        <v>1</v>
      </c>
      <c r="C448" s="16" t="s">
        <v>1503</v>
      </c>
      <c r="D448" s="16" t="s">
        <v>1503</v>
      </c>
      <c r="E448" s="16">
        <v>2</v>
      </c>
      <c r="F448" s="16" t="s">
        <v>3638</v>
      </c>
      <c r="G448" s="16" t="s">
        <v>3267</v>
      </c>
      <c r="H448" s="16" t="s">
        <v>1502</v>
      </c>
      <c r="I448" s="16" t="s">
        <v>168</v>
      </c>
      <c r="J448" s="16">
        <v>0</v>
      </c>
      <c r="K448" s="16">
        <v>2684520</v>
      </c>
      <c r="L448" s="16">
        <v>1</v>
      </c>
      <c r="M448" s="16">
        <v>0</v>
      </c>
      <c r="N448">
        <f t="array" aca="1" ref="N448" ca="1">MATCH(TRUE,EXACT(I448,OFFSET(rngParamTypes,0,6,,1)),0)</f>
        <v>56</v>
      </c>
      <c r="O448" t="str">
        <f ca="1">IF((INDEX(rngParamTypes,$N448,7)=I448),"",1)</f>
        <v/>
      </c>
      <c r="P448">
        <f ca="1">INDEX(rngParamTypes,$N448,9)</f>
        <v>1</v>
      </c>
      <c r="Q448">
        <f ca="1">INDEX(rngParamTypes,$N448,10)</f>
        <v>2</v>
      </c>
      <c r="R448">
        <f ca="1">INDEX(rngParamTypes,$N448,11)</f>
        <v>-2</v>
      </c>
      <c r="S448">
        <f ca="1">INDEX(rngParamTypes,$N448,12)</f>
        <v>0</v>
      </c>
      <c r="T448">
        <f ca="1">INDEX(rngParamTypes,$N448,13)</f>
        <v>0</v>
      </c>
      <c r="U448">
        <f ca="1">INDEX(rngParamTypes,$N448,14)</f>
        <v>0</v>
      </c>
      <c r="V448">
        <f ca="1">INDEX(rngParamTypes,$N448,15)</f>
        <v>0</v>
      </c>
      <c r="W448">
        <f ca="1">INDEX(rngParamTypes,$N448,16)</f>
        <v>0</v>
      </c>
      <c r="X448">
        <f ca="1">INDEX(rngParamTypes,$N448,17)</f>
        <v>0</v>
      </c>
      <c r="Y448">
        <f ca="1">INDEX(rngParamTypes,$N448,18)</f>
        <v>0</v>
      </c>
    </row>
    <row r="449" spans="1:25" x14ac:dyDescent="0.2">
      <c r="A449" s="16">
        <v>448</v>
      </c>
      <c r="B449" s="37">
        <v>1</v>
      </c>
      <c r="C449" s="16" t="s">
        <v>1506</v>
      </c>
      <c r="D449" s="16" t="s">
        <v>1506</v>
      </c>
      <c r="E449" s="16"/>
      <c r="F449" s="16" t="s">
        <v>3639</v>
      </c>
      <c r="G449" s="16" t="s">
        <v>3314</v>
      </c>
      <c r="H449" s="16" t="s">
        <v>1505</v>
      </c>
      <c r="I449" s="16" t="s">
        <v>190</v>
      </c>
      <c r="J449" s="16">
        <v>0</v>
      </c>
      <c r="K449" s="16">
        <v>2684520</v>
      </c>
      <c r="L449" s="16">
        <v>0.1589873</v>
      </c>
      <c r="M449" s="16">
        <v>0</v>
      </c>
      <c r="N449">
        <f t="array" aca="1" ref="N449" ca="1">MATCH(TRUE,EXACT(I449,OFFSET(rngParamTypes,0,6,,1)),0)</f>
        <v>65</v>
      </c>
      <c r="O449" t="str">
        <f ca="1">IF((INDEX(rngParamTypes,$N449,7)=I449),"",1)</f>
        <v/>
      </c>
      <c r="P449">
        <f ca="1">INDEX(rngParamTypes,$N449,9)</f>
        <v>1</v>
      </c>
      <c r="Q449">
        <f ca="1">INDEX(rngParamTypes,$N449,10)</f>
        <v>-1</v>
      </c>
      <c r="R449">
        <f ca="1">INDEX(rngParamTypes,$N449,11)</f>
        <v>-2</v>
      </c>
      <c r="S449">
        <f ca="1">INDEX(rngParamTypes,$N449,12)</f>
        <v>0</v>
      </c>
      <c r="T449">
        <f ca="1">INDEX(rngParamTypes,$N449,13)</f>
        <v>0</v>
      </c>
      <c r="U449">
        <f ca="1">INDEX(rngParamTypes,$N449,14)</f>
        <v>0</v>
      </c>
      <c r="V449">
        <f ca="1">INDEX(rngParamTypes,$N449,15)</f>
        <v>0</v>
      </c>
      <c r="W449">
        <f ca="1">INDEX(rngParamTypes,$N449,16)</f>
        <v>0</v>
      </c>
      <c r="X449">
        <f ca="1">INDEX(rngParamTypes,$N449,17)</f>
        <v>0</v>
      </c>
      <c r="Y449">
        <f ca="1">INDEX(rngParamTypes,$N449,18)</f>
        <v>0</v>
      </c>
    </row>
    <row r="450" spans="1:25" x14ac:dyDescent="0.2">
      <c r="A450" s="16">
        <v>449</v>
      </c>
      <c r="B450" s="37">
        <v>1</v>
      </c>
      <c r="C450" s="16" t="s">
        <v>1509</v>
      </c>
      <c r="D450" s="16" t="s">
        <v>1509</v>
      </c>
      <c r="E450" s="16">
        <v>2</v>
      </c>
      <c r="F450" s="16" t="s">
        <v>3640</v>
      </c>
      <c r="G450" s="16" t="s">
        <v>174</v>
      </c>
      <c r="H450" s="16" t="s">
        <v>1508</v>
      </c>
      <c r="I450" s="16" t="s">
        <v>175</v>
      </c>
      <c r="J450" s="16">
        <v>0</v>
      </c>
      <c r="K450" s="16">
        <v>2684520</v>
      </c>
      <c r="L450" s="16">
        <v>0.45359240000000001</v>
      </c>
      <c r="M450" s="16">
        <v>0</v>
      </c>
      <c r="N450">
        <f t="array" aca="1" ref="N450" ca="1">MATCH(TRUE,EXACT(I450,OFFSET(rngParamTypes,0,6,,1)),0)</f>
        <v>62</v>
      </c>
      <c r="O450" t="str">
        <f ca="1">IF((INDEX(rngParamTypes,$N450,7)=I450),"",1)</f>
        <v/>
      </c>
      <c r="P450">
        <f ca="1">INDEX(rngParamTypes,$N450,9)</f>
        <v>0</v>
      </c>
      <c r="Q450">
        <f ca="1">INDEX(rngParamTypes,$N450,10)</f>
        <v>2</v>
      </c>
      <c r="R450">
        <f ca="1">INDEX(rngParamTypes,$N450,11)</f>
        <v>-2</v>
      </c>
      <c r="S450">
        <f ca="1">INDEX(rngParamTypes,$N450,12)</f>
        <v>0</v>
      </c>
      <c r="T450">
        <f ca="1">INDEX(rngParamTypes,$N450,13)</f>
        <v>0</v>
      </c>
      <c r="U450">
        <f ca="1">INDEX(rngParamTypes,$N450,14)</f>
        <v>0</v>
      </c>
      <c r="V450">
        <f ca="1">INDEX(rngParamTypes,$N450,15)</f>
        <v>0</v>
      </c>
      <c r="W450">
        <f ca="1">INDEX(rngParamTypes,$N450,16)</f>
        <v>0</v>
      </c>
      <c r="X450">
        <f ca="1">INDEX(rngParamTypes,$N450,17)</f>
        <v>0</v>
      </c>
      <c r="Y450">
        <f ca="1">INDEX(rngParamTypes,$N450,18)</f>
        <v>0</v>
      </c>
    </row>
    <row r="451" spans="1:25" x14ac:dyDescent="0.2">
      <c r="A451" s="16">
        <v>450</v>
      </c>
      <c r="B451" s="37">
        <v>1</v>
      </c>
      <c r="C451" s="16" t="s">
        <v>1512</v>
      </c>
      <c r="D451" s="16" t="s">
        <v>1512</v>
      </c>
      <c r="E451" s="16"/>
      <c r="F451" s="16" t="s">
        <v>3641</v>
      </c>
      <c r="G451" s="16" t="s">
        <v>559</v>
      </c>
      <c r="H451" s="16" t="s">
        <v>1511</v>
      </c>
      <c r="I451" s="16" t="s">
        <v>560</v>
      </c>
      <c r="J451" s="16">
        <v>0</v>
      </c>
      <c r="K451" s="16">
        <v>26334.14</v>
      </c>
      <c r="L451" s="16">
        <v>1</v>
      </c>
      <c r="M451" s="16">
        <v>0</v>
      </c>
      <c r="N451">
        <f t="array" aca="1" ref="N451" ca="1">MATCH(TRUE,EXACT(I451,OFFSET(rngParamTypes,0,6,,1)),0)</f>
        <v>226</v>
      </c>
      <c r="O451" t="str">
        <f ca="1">IF((INDEX(rngParamTypes,$N451,7)=I451),"",1)</f>
        <v/>
      </c>
      <c r="P451">
        <f ca="1">INDEX(rngParamTypes,$N451,9)</f>
        <v>1</v>
      </c>
      <c r="Q451">
        <f ca="1">INDEX(rngParamTypes,$N451,10)</f>
        <v>-1</v>
      </c>
      <c r="R451">
        <f ca="1">INDEX(rngParamTypes,$N451,11)</f>
        <v>-3</v>
      </c>
      <c r="S451">
        <f ca="1">INDEX(rngParamTypes,$N451,12)</f>
        <v>0</v>
      </c>
      <c r="T451">
        <f ca="1">INDEX(rngParamTypes,$N451,13)</f>
        <v>0</v>
      </c>
      <c r="U451">
        <f ca="1">INDEX(rngParamTypes,$N451,14)</f>
        <v>0</v>
      </c>
      <c r="V451">
        <f ca="1">INDEX(rngParamTypes,$N451,15)</f>
        <v>0</v>
      </c>
      <c r="W451">
        <f ca="1">INDEX(rngParamTypes,$N451,16)</f>
        <v>0</v>
      </c>
      <c r="X451">
        <f ca="1">INDEX(rngParamTypes,$N451,17)</f>
        <v>0</v>
      </c>
      <c r="Y451">
        <f ca="1">INDEX(rngParamTypes,$N451,18)</f>
        <v>0</v>
      </c>
    </row>
    <row r="452" spans="1:25" x14ac:dyDescent="0.2">
      <c r="A452" s="16">
        <v>451</v>
      </c>
      <c r="B452" s="37">
        <v>1</v>
      </c>
      <c r="C452" s="16" t="s">
        <v>1514</v>
      </c>
      <c r="D452" s="16" t="s">
        <v>1514</v>
      </c>
      <c r="E452" s="16">
        <v>2</v>
      </c>
      <c r="F452" s="16" t="s">
        <v>3642</v>
      </c>
      <c r="G452" s="16" t="s">
        <v>3322</v>
      </c>
      <c r="H452" s="16" t="s">
        <v>1513</v>
      </c>
      <c r="I452" s="16" t="s">
        <v>551</v>
      </c>
      <c r="J452" s="16">
        <v>0</v>
      </c>
      <c r="K452" s="16">
        <v>745.69989999999996</v>
      </c>
      <c r="L452" s="16">
        <v>6.4515999999999998E-4</v>
      </c>
      <c r="M452" s="16">
        <v>0</v>
      </c>
      <c r="N452">
        <f t="array" aca="1" ref="N452" ca="1">MATCH(TRUE,EXACT(I452,OFFSET(rngParamTypes,0,6,,1)),0)</f>
        <v>216</v>
      </c>
      <c r="O452" t="str">
        <f ca="1">IF((INDEX(rngParamTypes,$N452,7)=I452),"",1)</f>
        <v/>
      </c>
      <c r="P452">
        <f ca="1">INDEX(rngParamTypes,$N452,9)</f>
        <v>1</v>
      </c>
      <c r="Q452">
        <f ca="1">INDEX(rngParamTypes,$N452,10)</f>
        <v>0</v>
      </c>
      <c r="R452">
        <f ca="1">INDEX(rngParamTypes,$N452,11)</f>
        <v>-3</v>
      </c>
      <c r="S452">
        <f ca="1">INDEX(rngParamTypes,$N452,12)</f>
        <v>0</v>
      </c>
      <c r="T452">
        <f ca="1">INDEX(rngParamTypes,$N452,13)</f>
        <v>0</v>
      </c>
      <c r="U452">
        <f ca="1">INDEX(rngParamTypes,$N452,14)</f>
        <v>0</v>
      </c>
      <c r="V452">
        <f ca="1">INDEX(rngParamTypes,$N452,15)</f>
        <v>0</v>
      </c>
      <c r="W452">
        <f ca="1">INDEX(rngParamTypes,$N452,16)</f>
        <v>0</v>
      </c>
      <c r="X452">
        <f ca="1">INDEX(rngParamTypes,$N452,17)</f>
        <v>0</v>
      </c>
      <c r="Y452">
        <f ca="1">INDEX(rngParamTypes,$N452,18)</f>
        <v>0</v>
      </c>
    </row>
    <row r="453" spans="1:25" x14ac:dyDescent="0.2">
      <c r="A453" s="16">
        <v>452</v>
      </c>
      <c r="B453" s="37">
        <v>1</v>
      </c>
      <c r="C453" s="16" t="s">
        <v>1516</v>
      </c>
      <c r="D453" s="16" t="s">
        <v>1516</v>
      </c>
      <c r="E453" s="16">
        <v>2</v>
      </c>
      <c r="F453" s="16" t="s">
        <v>3643</v>
      </c>
      <c r="G453" s="16" t="s">
        <v>469</v>
      </c>
      <c r="H453" s="16" t="s">
        <v>1515</v>
      </c>
      <c r="I453" s="16" t="s">
        <v>470</v>
      </c>
      <c r="J453" s="16">
        <v>0</v>
      </c>
      <c r="K453" s="16">
        <v>100</v>
      </c>
      <c r="L453" s="16">
        <v>1</v>
      </c>
      <c r="M453" s="16">
        <v>0</v>
      </c>
      <c r="N453">
        <f t="array" aca="1" ref="N453" ca="1">MATCH(TRUE,EXACT(I453,OFFSET(rngParamTypes,0,6,,1)),0)</f>
        <v>190</v>
      </c>
      <c r="O453" t="str">
        <f ca="1">IF((INDEX(rngParamTypes,$N453,7)=I453),"",1)</f>
        <v/>
      </c>
      <c r="P453">
        <f ca="1">INDEX(rngParamTypes,$N453,9)</f>
        <v>0</v>
      </c>
      <c r="Q453">
        <f ca="1">INDEX(rngParamTypes,$N453,10)</f>
        <v>0</v>
      </c>
      <c r="R453">
        <f ca="1">INDEX(rngParamTypes,$N453,11)</f>
        <v>1</v>
      </c>
      <c r="S453">
        <f ca="1">INDEX(rngParamTypes,$N453,12)</f>
        <v>0</v>
      </c>
      <c r="T453">
        <f ca="1">INDEX(rngParamTypes,$N453,13)</f>
        <v>0</v>
      </c>
      <c r="U453">
        <f ca="1">INDEX(rngParamTypes,$N453,14)</f>
        <v>0</v>
      </c>
      <c r="V453">
        <f ca="1">INDEX(rngParamTypes,$N453,15)</f>
        <v>0</v>
      </c>
      <c r="W453">
        <f ca="1">INDEX(rngParamTypes,$N453,16)</f>
        <v>0</v>
      </c>
      <c r="X453">
        <f ca="1">INDEX(rngParamTypes,$N453,17)</f>
        <v>0</v>
      </c>
      <c r="Y453">
        <f ca="1">INDEX(rngParamTypes,$N453,18)</f>
        <v>0</v>
      </c>
    </row>
    <row r="454" spans="1:25" x14ac:dyDescent="0.2">
      <c r="A454" s="16">
        <v>453</v>
      </c>
      <c r="B454" s="37">
        <v>1</v>
      </c>
      <c r="C454" s="16" t="s">
        <v>1518</v>
      </c>
      <c r="D454" s="16" t="s">
        <v>1518</v>
      </c>
      <c r="E454" s="16">
        <v>2</v>
      </c>
      <c r="F454" s="16" t="s">
        <v>3644</v>
      </c>
      <c r="G454" s="16" t="s">
        <v>3380</v>
      </c>
      <c r="H454" s="16" t="s">
        <v>1517</v>
      </c>
      <c r="I454" s="16" t="s">
        <v>290</v>
      </c>
      <c r="J454" s="16">
        <v>0</v>
      </c>
      <c r="K454" s="16">
        <v>2.5399999999999999E-2</v>
      </c>
      <c r="L454" s="16">
        <v>1</v>
      </c>
      <c r="M454" s="16">
        <v>0</v>
      </c>
      <c r="N454">
        <f t="array" aca="1" ref="N454" ca="1">MATCH(TRUE,EXACT(I454,OFFSET(rngParamTypes,0,6,,1)),0)</f>
        <v>109</v>
      </c>
      <c r="O454" t="str">
        <f ca="1">IF((INDEX(rngParamTypes,$N454,7)=I454),"",1)</f>
        <v/>
      </c>
      <c r="P454">
        <f ca="1">INDEX(rngParamTypes,$N454,9)</f>
        <v>0</v>
      </c>
      <c r="Q454">
        <f ca="1">INDEX(rngParamTypes,$N454,10)</f>
        <v>1</v>
      </c>
      <c r="R454">
        <f ca="1">INDEX(rngParamTypes,$N454,11)</f>
        <v>0</v>
      </c>
      <c r="S454">
        <f ca="1">INDEX(rngParamTypes,$N454,12)</f>
        <v>0</v>
      </c>
      <c r="T454">
        <f ca="1">INDEX(rngParamTypes,$N454,13)</f>
        <v>0</v>
      </c>
      <c r="U454">
        <f ca="1">INDEX(rngParamTypes,$N454,14)</f>
        <v>0</v>
      </c>
      <c r="V454">
        <f ca="1">INDEX(rngParamTypes,$N454,15)</f>
        <v>0</v>
      </c>
      <c r="W454">
        <f ca="1">INDEX(rngParamTypes,$N454,16)</f>
        <v>0</v>
      </c>
      <c r="X454">
        <f ca="1">INDEX(rngParamTypes,$N454,17)</f>
        <v>0</v>
      </c>
      <c r="Y454">
        <f ca="1">INDEX(rngParamTypes,$N454,18)</f>
        <v>0</v>
      </c>
    </row>
    <row r="455" spans="1:25" x14ac:dyDescent="0.2">
      <c r="A455" s="16">
        <v>454</v>
      </c>
      <c r="B455" s="37">
        <v>1</v>
      </c>
      <c r="C455" s="16" t="s">
        <v>1520</v>
      </c>
      <c r="D455" s="16" t="s">
        <v>1520</v>
      </c>
      <c r="E455" s="16">
        <v>2</v>
      </c>
      <c r="F455" s="16" t="s">
        <v>4472</v>
      </c>
      <c r="G455" s="16" t="s">
        <v>3645</v>
      </c>
      <c r="H455" s="16" t="s">
        <v>1519</v>
      </c>
      <c r="I455" s="16" t="s">
        <v>290</v>
      </c>
      <c r="J455" s="16">
        <v>0</v>
      </c>
      <c r="K455" s="16">
        <v>2.5400000000000002E-3</v>
      </c>
      <c r="L455" s="16">
        <v>1</v>
      </c>
      <c r="M455" s="16">
        <v>0</v>
      </c>
      <c r="N455">
        <f t="array" aca="1" ref="N455" ca="1">MATCH(TRUE,EXACT(I455,OFFSET(rngParamTypes,0,6,,1)),0)</f>
        <v>109</v>
      </c>
      <c r="O455" t="str">
        <f ca="1">IF((INDEX(rngParamTypes,$N455,7)=I455),"",1)</f>
        <v/>
      </c>
      <c r="P455">
        <f ca="1">INDEX(rngParamTypes,$N455,9)</f>
        <v>0</v>
      </c>
      <c r="Q455">
        <f ca="1">INDEX(rngParamTypes,$N455,10)</f>
        <v>1</v>
      </c>
      <c r="R455">
        <f ca="1">INDEX(rngParamTypes,$N455,11)</f>
        <v>0</v>
      </c>
      <c r="S455">
        <f ca="1">INDEX(rngParamTypes,$N455,12)</f>
        <v>0</v>
      </c>
      <c r="T455">
        <f ca="1">INDEX(rngParamTypes,$N455,13)</f>
        <v>0</v>
      </c>
      <c r="U455">
        <f ca="1">INDEX(rngParamTypes,$N455,14)</f>
        <v>0</v>
      </c>
      <c r="V455">
        <f ca="1">INDEX(rngParamTypes,$N455,15)</f>
        <v>0</v>
      </c>
      <c r="W455">
        <f ca="1">INDEX(rngParamTypes,$N455,16)</f>
        <v>0</v>
      </c>
      <c r="X455">
        <f ca="1">INDEX(rngParamTypes,$N455,17)</f>
        <v>0</v>
      </c>
      <c r="Y455">
        <f ca="1">INDEX(rngParamTypes,$N455,18)</f>
        <v>0</v>
      </c>
    </row>
    <row r="456" spans="1:25" x14ac:dyDescent="0.2">
      <c r="A456" s="16">
        <v>455</v>
      </c>
      <c r="B456" s="37">
        <v>1</v>
      </c>
      <c r="C456" s="16" t="s">
        <v>1522</v>
      </c>
      <c r="D456" s="16" t="s">
        <v>1522</v>
      </c>
      <c r="E456" s="16">
        <v>2</v>
      </c>
      <c r="F456" s="16" t="s">
        <v>4391</v>
      </c>
      <c r="G456" s="16" t="s">
        <v>3645</v>
      </c>
      <c r="H456" s="16" t="s">
        <v>1521</v>
      </c>
      <c r="I456" s="16" t="s">
        <v>290</v>
      </c>
      <c r="J456" s="16">
        <v>0</v>
      </c>
      <c r="K456" s="16">
        <v>1.5874999999999999E-3</v>
      </c>
      <c r="L456" s="16">
        <v>1</v>
      </c>
      <c r="M456" s="16">
        <v>0</v>
      </c>
      <c r="N456">
        <f t="array" aca="1" ref="N456" ca="1">MATCH(TRUE,EXACT(I456,OFFSET(rngParamTypes,0,6,,1)),0)</f>
        <v>109</v>
      </c>
      <c r="O456" t="str">
        <f ca="1">IF((INDEX(rngParamTypes,$N456,7)=I456),"",1)</f>
        <v/>
      </c>
      <c r="P456">
        <f ca="1">INDEX(rngParamTypes,$N456,9)</f>
        <v>0</v>
      </c>
      <c r="Q456">
        <f ca="1">INDEX(rngParamTypes,$N456,10)</f>
        <v>1</v>
      </c>
      <c r="R456">
        <f ca="1">INDEX(rngParamTypes,$N456,11)</f>
        <v>0</v>
      </c>
      <c r="S456">
        <f ca="1">INDEX(rngParamTypes,$N456,12)</f>
        <v>0</v>
      </c>
      <c r="T456">
        <f ca="1">INDEX(rngParamTypes,$N456,13)</f>
        <v>0</v>
      </c>
      <c r="U456">
        <f ca="1">INDEX(rngParamTypes,$N456,14)</f>
        <v>0</v>
      </c>
      <c r="V456">
        <f ca="1">INDEX(rngParamTypes,$N456,15)</f>
        <v>0</v>
      </c>
      <c r="W456">
        <f ca="1">INDEX(rngParamTypes,$N456,16)</f>
        <v>0</v>
      </c>
      <c r="X456">
        <f ca="1">INDEX(rngParamTypes,$N456,17)</f>
        <v>0</v>
      </c>
      <c r="Y456">
        <f ca="1">INDEX(rngParamTypes,$N456,18)</f>
        <v>0</v>
      </c>
    </row>
    <row r="457" spans="1:25" x14ac:dyDescent="0.2">
      <c r="A457" s="16">
        <v>456</v>
      </c>
      <c r="B457" s="37">
        <v>1</v>
      </c>
      <c r="C457" s="16" t="s">
        <v>1525</v>
      </c>
      <c r="D457" s="16" t="s">
        <v>1525</v>
      </c>
      <c r="E457" s="16">
        <v>2</v>
      </c>
      <c r="F457" s="16" t="s">
        <v>4392</v>
      </c>
      <c r="G457" s="16" t="s">
        <v>3645</v>
      </c>
      <c r="H457" s="16" t="s">
        <v>1524</v>
      </c>
      <c r="I457" s="16" t="s">
        <v>290</v>
      </c>
      <c r="J457" s="16">
        <v>0</v>
      </c>
      <c r="K457" s="16">
        <v>7.9374999999999997E-4</v>
      </c>
      <c r="L457" s="16">
        <v>1</v>
      </c>
      <c r="M457" s="16">
        <v>0</v>
      </c>
      <c r="N457">
        <f t="array" aca="1" ref="N457" ca="1">MATCH(TRUE,EXACT(I457,OFFSET(rngParamTypes,0,6,,1)),0)</f>
        <v>109</v>
      </c>
      <c r="O457" t="str">
        <f ca="1">IF((INDEX(rngParamTypes,$N457,7)=I457),"",1)</f>
        <v/>
      </c>
      <c r="P457">
        <f ca="1">INDEX(rngParamTypes,$N457,9)</f>
        <v>0</v>
      </c>
      <c r="Q457">
        <f ca="1">INDEX(rngParamTypes,$N457,10)</f>
        <v>1</v>
      </c>
      <c r="R457">
        <f ca="1">INDEX(rngParamTypes,$N457,11)</f>
        <v>0</v>
      </c>
      <c r="S457">
        <f ca="1">INDEX(rngParamTypes,$N457,12)</f>
        <v>0</v>
      </c>
      <c r="T457">
        <f ca="1">INDEX(rngParamTypes,$N457,13)</f>
        <v>0</v>
      </c>
      <c r="U457">
        <f ca="1">INDEX(rngParamTypes,$N457,14)</f>
        <v>0</v>
      </c>
      <c r="V457">
        <f ca="1">INDEX(rngParamTypes,$N457,15)</f>
        <v>0</v>
      </c>
      <c r="W457">
        <f ca="1">INDEX(rngParamTypes,$N457,16)</f>
        <v>0</v>
      </c>
      <c r="X457">
        <f ca="1">INDEX(rngParamTypes,$N457,17)</f>
        <v>0</v>
      </c>
      <c r="Y457">
        <f ca="1">INDEX(rngParamTypes,$N457,18)</f>
        <v>0</v>
      </c>
    </row>
    <row r="458" spans="1:25" x14ac:dyDescent="0.2">
      <c r="A458" s="16">
        <v>457</v>
      </c>
      <c r="B458" s="37">
        <v>1</v>
      </c>
      <c r="C458" s="16" t="s">
        <v>1528</v>
      </c>
      <c r="D458" s="16" t="s">
        <v>1528</v>
      </c>
      <c r="E458" s="16">
        <v>2</v>
      </c>
      <c r="F458" s="16" t="s">
        <v>4393</v>
      </c>
      <c r="G458" s="16" t="s">
        <v>3645</v>
      </c>
      <c r="H458" s="16" t="s">
        <v>1527</v>
      </c>
      <c r="I458" s="16" t="s">
        <v>290</v>
      </c>
      <c r="J458" s="16">
        <v>0</v>
      </c>
      <c r="K458" s="16">
        <v>3.9687499999999998E-4</v>
      </c>
      <c r="L458" s="16">
        <v>1</v>
      </c>
      <c r="M458" s="16">
        <v>0</v>
      </c>
      <c r="N458">
        <f t="array" aca="1" ref="N458" ca="1">MATCH(TRUE,EXACT(I458,OFFSET(rngParamTypes,0,6,,1)),0)</f>
        <v>109</v>
      </c>
      <c r="O458" t="str">
        <f ca="1">IF((INDEX(rngParamTypes,$N458,7)=I458),"",1)</f>
        <v/>
      </c>
      <c r="P458">
        <f ca="1">INDEX(rngParamTypes,$N458,9)</f>
        <v>0</v>
      </c>
      <c r="Q458">
        <f ca="1">INDEX(rngParamTypes,$N458,10)</f>
        <v>1</v>
      </c>
      <c r="R458">
        <f ca="1">INDEX(rngParamTypes,$N458,11)</f>
        <v>0</v>
      </c>
      <c r="S458">
        <f ca="1">INDEX(rngParamTypes,$N458,12)</f>
        <v>0</v>
      </c>
      <c r="T458">
        <f ca="1">INDEX(rngParamTypes,$N458,13)</f>
        <v>0</v>
      </c>
      <c r="U458">
        <f ca="1">INDEX(rngParamTypes,$N458,14)</f>
        <v>0</v>
      </c>
      <c r="V458">
        <f ca="1">INDEX(rngParamTypes,$N458,15)</f>
        <v>0</v>
      </c>
      <c r="W458">
        <f ca="1">INDEX(rngParamTypes,$N458,16)</f>
        <v>0</v>
      </c>
      <c r="X458">
        <f ca="1">INDEX(rngParamTypes,$N458,17)</f>
        <v>0</v>
      </c>
      <c r="Y458">
        <f ca="1">INDEX(rngParamTypes,$N458,18)</f>
        <v>0</v>
      </c>
    </row>
    <row r="459" spans="1:25" x14ac:dyDescent="0.2">
      <c r="A459" s="16">
        <v>458</v>
      </c>
      <c r="B459" s="37">
        <v>1</v>
      </c>
      <c r="C459" s="16" t="s">
        <v>1531</v>
      </c>
      <c r="D459" s="16" t="s">
        <v>1531</v>
      </c>
      <c r="E459" s="16">
        <v>2</v>
      </c>
      <c r="F459" s="16" t="s">
        <v>3646</v>
      </c>
      <c r="G459" s="16" t="s">
        <v>296</v>
      </c>
      <c r="H459" s="16" t="s">
        <v>1530</v>
      </c>
      <c r="I459" s="16" t="s">
        <v>297</v>
      </c>
      <c r="J459" s="16">
        <v>0</v>
      </c>
      <c r="K459" s="16">
        <v>2.5399999999999999E-2</v>
      </c>
      <c r="L459" s="16">
        <v>31558150</v>
      </c>
      <c r="M459" s="16">
        <v>0</v>
      </c>
      <c r="N459">
        <f t="array" aca="1" ref="N459" ca="1">MATCH(TRUE,EXACT(I459,OFFSET(rngParamTypes,0,6,,1)),0)</f>
        <v>123</v>
      </c>
      <c r="O459" t="str">
        <f ca="1">IF((INDEX(rngParamTypes,$N459,7)=I459),"",1)</f>
        <v/>
      </c>
      <c r="P459">
        <f ca="1">INDEX(rngParamTypes,$N459,9)</f>
        <v>0</v>
      </c>
      <c r="Q459">
        <f ca="1">INDEX(rngParamTypes,$N459,10)</f>
        <v>1</v>
      </c>
      <c r="R459">
        <f ca="1">INDEX(rngParamTypes,$N459,11)</f>
        <v>-1</v>
      </c>
      <c r="S459">
        <f ca="1">INDEX(rngParamTypes,$N459,12)</f>
        <v>0</v>
      </c>
      <c r="T459">
        <f ca="1">INDEX(rngParamTypes,$N459,13)</f>
        <v>0</v>
      </c>
      <c r="U459">
        <f ca="1">INDEX(rngParamTypes,$N459,14)</f>
        <v>0</v>
      </c>
      <c r="V459">
        <f ca="1">INDEX(rngParamTypes,$N459,15)</f>
        <v>0</v>
      </c>
      <c r="W459">
        <f ca="1">INDEX(rngParamTypes,$N459,16)</f>
        <v>0</v>
      </c>
      <c r="X459">
        <f ca="1">INDEX(rngParamTypes,$N459,17)</f>
        <v>0</v>
      </c>
      <c r="Y459">
        <f ca="1">INDEX(rngParamTypes,$N459,18)</f>
        <v>0</v>
      </c>
    </row>
    <row r="460" spans="1:25" x14ac:dyDescent="0.2">
      <c r="A460" s="16">
        <v>459</v>
      </c>
      <c r="B460" s="37">
        <v>1</v>
      </c>
      <c r="C460" s="16" t="s">
        <v>1533</v>
      </c>
      <c r="D460" s="16" t="s">
        <v>1533</v>
      </c>
      <c r="E460" s="16"/>
      <c r="F460" s="16" t="s">
        <v>3647</v>
      </c>
      <c r="G460" s="16" t="s">
        <v>12</v>
      </c>
      <c r="H460" s="16" t="s">
        <v>1532</v>
      </c>
      <c r="I460" s="16" t="s">
        <v>13</v>
      </c>
      <c r="J460" s="16">
        <v>0</v>
      </c>
      <c r="K460" s="16">
        <v>1.8</v>
      </c>
      <c r="L460" s="16">
        <v>1</v>
      </c>
      <c r="M460" s="16">
        <v>0</v>
      </c>
      <c r="N460">
        <f t="array" aca="1" ref="N460" ca="1">MATCH(TRUE,EXACT(I460,OFFSET(rngParamTypes,0,6,,1)),0)</f>
        <v>2</v>
      </c>
      <c r="O460" t="str">
        <f ca="1">IF((INDEX(rngParamTypes,$N460,7)=I460),"",1)</f>
        <v/>
      </c>
      <c r="P460">
        <f ca="1">INDEX(rngParamTypes,$N460,9)</f>
        <v>0</v>
      </c>
      <c r="Q460">
        <f ca="1">INDEX(rngParamTypes,$N460,10)</f>
        <v>0</v>
      </c>
      <c r="R460">
        <f ca="1">INDEX(rngParamTypes,$N460,11)</f>
        <v>0</v>
      </c>
      <c r="S460">
        <f ca="1">INDEX(rngParamTypes,$N460,12)</f>
        <v>0</v>
      </c>
      <c r="T460">
        <f ca="1">INDEX(rngParamTypes,$N460,13)</f>
        <v>-1</v>
      </c>
      <c r="U460">
        <f ca="1">INDEX(rngParamTypes,$N460,14)</f>
        <v>0</v>
      </c>
      <c r="V460">
        <f ca="1">INDEX(rngParamTypes,$N460,15)</f>
        <v>0</v>
      </c>
      <c r="W460">
        <f ca="1">INDEX(rngParamTypes,$N460,16)</f>
        <v>0</v>
      </c>
      <c r="X460">
        <f ca="1">INDEX(rngParamTypes,$N460,17)</f>
        <v>0</v>
      </c>
      <c r="Y460">
        <f ca="1">INDEX(rngParamTypes,$N460,18)</f>
        <v>0</v>
      </c>
    </row>
    <row r="461" spans="1:25" x14ac:dyDescent="0.2">
      <c r="A461" s="16">
        <v>460</v>
      </c>
      <c r="B461" s="37">
        <v>1</v>
      </c>
      <c r="C461" s="16" t="s">
        <v>1535</v>
      </c>
      <c r="D461" s="16" t="s">
        <v>1535</v>
      </c>
      <c r="E461" s="16">
        <v>2</v>
      </c>
      <c r="F461" s="16" t="s">
        <v>3648</v>
      </c>
      <c r="G461" s="16" t="s">
        <v>296</v>
      </c>
      <c r="H461" s="16" t="s">
        <v>1534</v>
      </c>
      <c r="I461" s="16" t="s">
        <v>297</v>
      </c>
      <c r="J461" s="16">
        <v>0</v>
      </c>
      <c r="K461" s="16">
        <v>2.5399999999999999E-2</v>
      </c>
      <c r="L461" s="16">
        <v>60</v>
      </c>
      <c r="M461" s="16">
        <v>0</v>
      </c>
      <c r="N461">
        <f t="array" aca="1" ref="N461" ca="1">MATCH(TRUE,EXACT(I461,OFFSET(rngParamTypes,0,6,,1)),0)</f>
        <v>123</v>
      </c>
      <c r="O461" t="str">
        <f ca="1">IF((INDEX(rngParamTypes,$N461,7)=I461),"",1)</f>
        <v/>
      </c>
      <c r="P461">
        <f ca="1">INDEX(rngParamTypes,$N461,9)</f>
        <v>0</v>
      </c>
      <c r="Q461">
        <f ca="1">INDEX(rngParamTypes,$N461,10)</f>
        <v>1</v>
      </c>
      <c r="R461">
        <f ca="1">INDEX(rngParamTypes,$N461,11)</f>
        <v>-1</v>
      </c>
      <c r="S461">
        <f ca="1">INDEX(rngParamTypes,$N461,12)</f>
        <v>0</v>
      </c>
      <c r="T461">
        <f ca="1">INDEX(rngParamTypes,$N461,13)</f>
        <v>0</v>
      </c>
      <c r="U461">
        <f ca="1">INDEX(rngParamTypes,$N461,14)</f>
        <v>0</v>
      </c>
      <c r="V461">
        <f ca="1">INDEX(rngParamTypes,$N461,15)</f>
        <v>0</v>
      </c>
      <c r="W461">
        <f ca="1">INDEX(rngParamTypes,$N461,16)</f>
        <v>0</v>
      </c>
      <c r="X461">
        <f ca="1">INDEX(rngParamTypes,$N461,17)</f>
        <v>0</v>
      </c>
      <c r="Y461">
        <f ca="1">INDEX(rngParamTypes,$N461,18)</f>
        <v>0</v>
      </c>
    </row>
    <row r="462" spans="1:25" x14ac:dyDescent="0.2">
      <c r="A462" s="16">
        <v>461</v>
      </c>
      <c r="B462" s="37">
        <v>1</v>
      </c>
      <c r="C462" s="16" t="s">
        <v>1537</v>
      </c>
      <c r="D462" s="16" t="s">
        <v>1537</v>
      </c>
      <c r="E462" s="16">
        <v>2</v>
      </c>
      <c r="F462" s="16" t="s">
        <v>3649</v>
      </c>
      <c r="G462" s="16" t="s">
        <v>296</v>
      </c>
      <c r="H462" s="16" t="s">
        <v>1536</v>
      </c>
      <c r="I462" s="16" t="s">
        <v>297</v>
      </c>
      <c r="J462" s="16">
        <v>0</v>
      </c>
      <c r="K462" s="16">
        <v>2.5399999999999999E-2</v>
      </c>
      <c r="L462" s="16">
        <v>1</v>
      </c>
      <c r="M462" s="16">
        <v>0</v>
      </c>
      <c r="N462">
        <f t="array" aca="1" ref="N462" ca="1">MATCH(TRUE,EXACT(I462,OFFSET(rngParamTypes,0,6,,1)),0)</f>
        <v>123</v>
      </c>
      <c r="O462" t="str">
        <f ca="1">IF((INDEX(rngParamTypes,$N462,7)=I462),"",1)</f>
        <v/>
      </c>
      <c r="P462">
        <f ca="1">INDEX(rngParamTypes,$N462,9)</f>
        <v>0</v>
      </c>
      <c r="Q462">
        <f ca="1">INDEX(rngParamTypes,$N462,10)</f>
        <v>1</v>
      </c>
      <c r="R462">
        <f ca="1">INDEX(rngParamTypes,$N462,11)</f>
        <v>-1</v>
      </c>
      <c r="S462">
        <f ca="1">INDEX(rngParamTypes,$N462,12)</f>
        <v>0</v>
      </c>
      <c r="T462">
        <f ca="1">INDEX(rngParamTypes,$N462,13)</f>
        <v>0</v>
      </c>
      <c r="U462">
        <f ca="1">INDEX(rngParamTypes,$N462,14)</f>
        <v>0</v>
      </c>
      <c r="V462">
        <f ca="1">INDEX(rngParamTypes,$N462,15)</f>
        <v>0</v>
      </c>
      <c r="W462">
        <f ca="1">INDEX(rngParamTypes,$N462,16)</f>
        <v>0</v>
      </c>
      <c r="X462">
        <f ca="1">INDEX(rngParamTypes,$N462,17)</f>
        <v>0</v>
      </c>
      <c r="Y462">
        <f ca="1">INDEX(rngParamTypes,$N462,18)</f>
        <v>0</v>
      </c>
    </row>
    <row r="463" spans="1:25" x14ac:dyDescent="0.2">
      <c r="A463" s="16">
        <v>462</v>
      </c>
      <c r="B463" s="37">
        <v>1</v>
      </c>
      <c r="C463" s="16" t="s">
        <v>1539</v>
      </c>
      <c r="D463" s="16" t="s">
        <v>1539</v>
      </c>
      <c r="E463" s="16">
        <v>2</v>
      </c>
      <c r="F463" s="16" t="s">
        <v>3650</v>
      </c>
      <c r="G463" s="16" t="s">
        <v>302</v>
      </c>
      <c r="H463" s="16" t="s">
        <v>1538</v>
      </c>
      <c r="I463" s="16" t="s">
        <v>303</v>
      </c>
      <c r="J463" s="16">
        <v>0</v>
      </c>
      <c r="K463" s="16">
        <v>6.4515999999999998E-4</v>
      </c>
      <c r="L463" s="16">
        <v>1</v>
      </c>
      <c r="M463" s="16">
        <v>0</v>
      </c>
      <c r="N463">
        <f t="array" aca="1" ref="N463" ca="1">MATCH(TRUE,EXACT(I463,OFFSET(rngParamTypes,0,6,,1)),0)</f>
        <v>125</v>
      </c>
      <c r="O463" t="str">
        <f ca="1">IF((INDEX(rngParamTypes,$N463,7)=I463),"",1)</f>
        <v/>
      </c>
      <c r="P463">
        <f ca="1">INDEX(rngParamTypes,$N463,9)</f>
        <v>0</v>
      </c>
      <c r="Q463">
        <f ca="1">INDEX(rngParamTypes,$N463,10)</f>
        <v>2</v>
      </c>
      <c r="R463">
        <f ca="1">INDEX(rngParamTypes,$N463,11)</f>
        <v>0</v>
      </c>
      <c r="S463">
        <f ca="1">INDEX(rngParamTypes,$N463,12)</f>
        <v>0</v>
      </c>
      <c r="T463">
        <f ca="1">INDEX(rngParamTypes,$N463,13)</f>
        <v>0</v>
      </c>
      <c r="U463">
        <f ca="1">INDEX(rngParamTypes,$N463,14)</f>
        <v>0</v>
      </c>
      <c r="V463">
        <f ca="1">INDEX(rngParamTypes,$N463,15)</f>
        <v>0</v>
      </c>
      <c r="W463">
        <f ca="1">INDEX(rngParamTypes,$N463,16)</f>
        <v>0</v>
      </c>
      <c r="X463">
        <f ca="1">INDEX(rngParamTypes,$N463,17)</f>
        <v>0</v>
      </c>
      <c r="Y463">
        <f ca="1">INDEX(rngParamTypes,$N463,18)</f>
        <v>0</v>
      </c>
    </row>
    <row r="464" spans="1:25" x14ac:dyDescent="0.2">
      <c r="A464" s="16">
        <v>463</v>
      </c>
      <c r="B464" s="37">
        <v>1</v>
      </c>
      <c r="C464" s="16" t="s">
        <v>1542</v>
      </c>
      <c r="D464" s="16" t="s">
        <v>1542</v>
      </c>
      <c r="E464" s="16"/>
      <c r="F464" s="16" t="s">
        <v>3651</v>
      </c>
      <c r="G464" s="16" t="s">
        <v>3652</v>
      </c>
      <c r="H464" s="16" t="s">
        <v>1541</v>
      </c>
      <c r="I464" s="16" t="s">
        <v>131</v>
      </c>
      <c r="J464" s="16">
        <v>0</v>
      </c>
      <c r="K464" s="16">
        <v>1</v>
      </c>
      <c r="L464" s="16">
        <v>144</v>
      </c>
      <c r="M464" s="16">
        <v>0</v>
      </c>
      <c r="N464">
        <f t="array" aca="1" ref="N464" ca="1">MATCH(TRUE,EXACT(I464,OFFSET(rngParamTypes,0,6,,1)),0)</f>
        <v>42</v>
      </c>
      <c r="O464" t="str">
        <f ca="1">IF((INDEX(rngParamTypes,$N464,7)=I464),"",1)</f>
        <v/>
      </c>
      <c r="P464">
        <f ca="1">INDEX(rngParamTypes,$N464,9)</f>
        <v>0</v>
      </c>
      <c r="Q464">
        <f ca="1">INDEX(rngParamTypes,$N464,10)</f>
        <v>0</v>
      </c>
      <c r="R464">
        <f ca="1">INDEX(rngParamTypes,$N464,11)</f>
        <v>0</v>
      </c>
      <c r="S464">
        <f ca="1">INDEX(rngParamTypes,$N464,12)</f>
        <v>0</v>
      </c>
      <c r="T464">
        <f ca="1">INDEX(rngParamTypes,$N464,13)</f>
        <v>0</v>
      </c>
      <c r="U464">
        <f ca="1">INDEX(rngParamTypes,$N464,14)</f>
        <v>0</v>
      </c>
      <c r="V464">
        <f ca="1">INDEX(rngParamTypes,$N464,15)</f>
        <v>0</v>
      </c>
      <c r="W464">
        <f ca="1">INDEX(rngParamTypes,$N464,16)</f>
        <v>0</v>
      </c>
      <c r="X464">
        <f ca="1">INDEX(rngParamTypes,$N464,17)</f>
        <v>0</v>
      </c>
      <c r="Y464">
        <f ca="1">INDEX(rngParamTypes,$N464,18)</f>
        <v>0</v>
      </c>
    </row>
    <row r="465" spans="1:25" x14ac:dyDescent="0.2">
      <c r="A465" s="16">
        <v>464</v>
      </c>
      <c r="B465" s="37">
        <v>1</v>
      </c>
      <c r="C465" s="16" t="s">
        <v>1544</v>
      </c>
      <c r="D465" s="16" t="s">
        <v>1544</v>
      </c>
      <c r="E465" s="16"/>
      <c r="F465" s="16" t="s">
        <v>3653</v>
      </c>
      <c r="G465" s="16" t="s">
        <v>3652</v>
      </c>
      <c r="H465" s="16" t="s">
        <v>1543</v>
      </c>
      <c r="I465" s="16" t="s">
        <v>131</v>
      </c>
      <c r="J465" s="16">
        <v>0</v>
      </c>
      <c r="K465" s="16">
        <v>1</v>
      </c>
      <c r="L465" s="16">
        <v>1</v>
      </c>
      <c r="M465" s="16">
        <v>0</v>
      </c>
      <c r="N465">
        <f t="array" aca="1" ref="N465" ca="1">MATCH(TRUE,EXACT(I465,OFFSET(rngParamTypes,0,6,,1)),0)</f>
        <v>42</v>
      </c>
      <c r="O465" t="str">
        <f ca="1">IF((INDEX(rngParamTypes,$N465,7)=I465),"",1)</f>
        <v/>
      </c>
      <c r="P465">
        <f ca="1">INDEX(rngParamTypes,$N465,9)</f>
        <v>0</v>
      </c>
      <c r="Q465">
        <f ca="1">INDEX(rngParamTypes,$N465,10)</f>
        <v>0</v>
      </c>
      <c r="R465">
        <f ca="1">INDEX(rngParamTypes,$N465,11)</f>
        <v>0</v>
      </c>
      <c r="S465">
        <f ca="1">INDEX(rngParamTypes,$N465,12)</f>
        <v>0</v>
      </c>
      <c r="T465">
        <f ca="1">INDEX(rngParamTypes,$N465,13)</f>
        <v>0</v>
      </c>
      <c r="U465">
        <f ca="1">INDEX(rngParamTypes,$N465,14)</f>
        <v>0</v>
      </c>
      <c r="V465">
        <f ca="1">INDEX(rngParamTypes,$N465,15)</f>
        <v>0</v>
      </c>
      <c r="W465">
        <f ca="1">INDEX(rngParamTypes,$N465,16)</f>
        <v>0</v>
      </c>
      <c r="X465">
        <f ca="1">INDEX(rngParamTypes,$N465,17)</f>
        <v>0</v>
      </c>
      <c r="Y465">
        <f ca="1">INDEX(rngParamTypes,$N465,18)</f>
        <v>0</v>
      </c>
    </row>
    <row r="466" spans="1:25" x14ac:dyDescent="0.2">
      <c r="A466" s="16">
        <v>465</v>
      </c>
      <c r="B466" s="37">
        <v>1</v>
      </c>
      <c r="C466" s="16" t="s">
        <v>1546</v>
      </c>
      <c r="D466" s="16" t="s">
        <v>1546</v>
      </c>
      <c r="E466" s="16">
        <v>2</v>
      </c>
      <c r="F466" s="16" t="s">
        <v>3654</v>
      </c>
      <c r="G466" s="16" t="s">
        <v>3387</v>
      </c>
      <c r="H466" s="16" t="s">
        <v>1545</v>
      </c>
      <c r="I466" s="16" t="s">
        <v>319</v>
      </c>
      <c r="J466" s="16">
        <v>0</v>
      </c>
      <c r="K466" s="16">
        <v>6.4515999999999998E-4</v>
      </c>
      <c r="L466" s="16">
        <v>1</v>
      </c>
      <c r="M466" s="16">
        <v>0</v>
      </c>
      <c r="N466">
        <f t="array" aca="1" ref="N466" ca="1">MATCH(TRUE,EXACT(I466,OFFSET(rngParamTypes,0,6,,1)),0)</f>
        <v>130</v>
      </c>
      <c r="O466" t="str">
        <f ca="1">IF((INDEX(rngParamTypes,$N466,7)=I466),"",1)</f>
        <v/>
      </c>
      <c r="P466">
        <f ca="1">INDEX(rngParamTypes,$N466,9)</f>
        <v>0</v>
      </c>
      <c r="Q466">
        <f ca="1">INDEX(rngParamTypes,$N466,10)</f>
        <v>2</v>
      </c>
      <c r="R466">
        <f ca="1">INDEX(rngParamTypes,$N466,11)</f>
        <v>-1</v>
      </c>
      <c r="S466">
        <f ca="1">INDEX(rngParamTypes,$N466,12)</f>
        <v>0</v>
      </c>
      <c r="T466">
        <f ca="1">INDEX(rngParamTypes,$N466,13)</f>
        <v>0</v>
      </c>
      <c r="U466">
        <f ca="1">INDEX(rngParamTypes,$N466,14)</f>
        <v>0</v>
      </c>
      <c r="V466">
        <f ca="1">INDEX(rngParamTypes,$N466,15)</f>
        <v>0</v>
      </c>
      <c r="W466">
        <f ca="1">INDEX(rngParamTypes,$N466,16)</f>
        <v>0</v>
      </c>
      <c r="X466">
        <f ca="1">INDEX(rngParamTypes,$N466,17)</f>
        <v>0</v>
      </c>
      <c r="Y466">
        <f ca="1">INDEX(rngParamTypes,$N466,18)</f>
        <v>0</v>
      </c>
    </row>
    <row r="467" spans="1:25" x14ac:dyDescent="0.2">
      <c r="A467" s="16">
        <v>466</v>
      </c>
      <c r="B467" s="37">
        <v>1</v>
      </c>
      <c r="C467" s="16" t="s">
        <v>985</v>
      </c>
      <c r="D467" s="16" t="s">
        <v>985</v>
      </c>
      <c r="E467" s="16">
        <v>2</v>
      </c>
      <c r="F467" s="16" t="s">
        <v>3655</v>
      </c>
      <c r="G467" s="16" t="s">
        <v>321</v>
      </c>
      <c r="H467" s="16" t="s">
        <v>1547</v>
      </c>
      <c r="I467" s="16" t="s">
        <v>322</v>
      </c>
      <c r="J467" s="16">
        <v>0</v>
      </c>
      <c r="K467" s="16">
        <v>1.6387060000000002E-5</v>
      </c>
      <c r="L467" s="16">
        <v>1</v>
      </c>
      <c r="M467" s="16">
        <v>0</v>
      </c>
      <c r="N467">
        <f t="array" aca="1" ref="N467" ca="1">MATCH(TRUE,EXACT(I467,OFFSET(rngParamTypes,0,6,,1)),0)</f>
        <v>134</v>
      </c>
      <c r="O467" t="str">
        <f ca="1">IF((INDEX(rngParamTypes,$N467,7)=I467),"",1)</f>
        <v/>
      </c>
      <c r="P467">
        <f ca="1">INDEX(rngParamTypes,$N467,9)</f>
        <v>0</v>
      </c>
      <c r="Q467">
        <f ca="1">INDEX(rngParamTypes,$N467,10)</f>
        <v>3</v>
      </c>
      <c r="R467">
        <f ca="1">INDEX(rngParamTypes,$N467,11)</f>
        <v>0</v>
      </c>
      <c r="S467">
        <f ca="1">INDEX(rngParamTypes,$N467,12)</f>
        <v>0</v>
      </c>
      <c r="T467">
        <f ca="1">INDEX(rngParamTypes,$N467,13)</f>
        <v>0</v>
      </c>
      <c r="U467">
        <f ca="1">INDEX(rngParamTypes,$N467,14)</f>
        <v>0</v>
      </c>
      <c r="V467">
        <f ca="1">INDEX(rngParamTypes,$N467,15)</f>
        <v>0</v>
      </c>
      <c r="W467">
        <f ca="1">INDEX(rngParamTypes,$N467,16)</f>
        <v>0</v>
      </c>
      <c r="X467">
        <f ca="1">INDEX(rngParamTypes,$N467,17)</f>
        <v>0</v>
      </c>
      <c r="Y467">
        <f ca="1">INDEX(rngParamTypes,$N467,18)</f>
        <v>0</v>
      </c>
    </row>
    <row r="468" spans="1:25" x14ac:dyDescent="0.2">
      <c r="A468" s="16">
        <v>467</v>
      </c>
      <c r="B468" s="37">
        <v>1</v>
      </c>
      <c r="C468" s="16" t="s">
        <v>1550</v>
      </c>
      <c r="D468" s="16" t="s">
        <v>1550</v>
      </c>
      <c r="E468" s="16"/>
      <c r="F468" s="16" t="s">
        <v>3656</v>
      </c>
      <c r="G468" s="16" t="s">
        <v>767</v>
      </c>
      <c r="H468" s="16" t="s">
        <v>1549</v>
      </c>
      <c r="I468" s="16" t="s">
        <v>303</v>
      </c>
      <c r="J468" s="16">
        <v>0</v>
      </c>
      <c r="K468" s="16">
        <v>1.6387063999999999E-5</v>
      </c>
      <c r="L468" s="16">
        <v>0.30480000000000002</v>
      </c>
      <c r="M468" s="16">
        <v>0</v>
      </c>
      <c r="N468">
        <f t="array" aca="1" ref="N468" ca="1">MATCH(TRUE,EXACT(I468,OFFSET(rngParamTypes,0,6,,1)),0)</f>
        <v>125</v>
      </c>
      <c r="O468" t="str">
        <f ca="1">IF((INDEX(rngParamTypes,$N468,7)=I468),"",1)</f>
        <v/>
      </c>
      <c r="P468">
        <f ca="1">INDEX(rngParamTypes,$N468,9)</f>
        <v>0</v>
      </c>
      <c r="Q468">
        <f ca="1">INDEX(rngParamTypes,$N468,10)</f>
        <v>2</v>
      </c>
      <c r="R468">
        <f ca="1">INDEX(rngParamTypes,$N468,11)</f>
        <v>0</v>
      </c>
      <c r="S468">
        <f ca="1">INDEX(rngParamTypes,$N468,12)</f>
        <v>0</v>
      </c>
      <c r="T468">
        <f ca="1">INDEX(rngParamTypes,$N468,13)</f>
        <v>0</v>
      </c>
      <c r="U468">
        <f ca="1">INDEX(rngParamTypes,$N468,14)</f>
        <v>0</v>
      </c>
      <c r="V468">
        <f ca="1">INDEX(rngParamTypes,$N468,15)</f>
        <v>0</v>
      </c>
      <c r="W468">
        <f ca="1">INDEX(rngParamTypes,$N468,16)</f>
        <v>0</v>
      </c>
      <c r="X468">
        <f ca="1">INDEX(rngParamTypes,$N468,17)</f>
        <v>0</v>
      </c>
      <c r="Y468">
        <f ca="1">INDEX(rngParamTypes,$N468,18)</f>
        <v>0</v>
      </c>
    </row>
    <row r="469" spans="1:25" x14ac:dyDescent="0.2">
      <c r="A469" s="16">
        <v>468</v>
      </c>
      <c r="B469" s="37">
        <v>1</v>
      </c>
      <c r="C469" s="16" t="s">
        <v>1552</v>
      </c>
      <c r="D469" s="16" t="s">
        <v>1552</v>
      </c>
      <c r="E469" s="16"/>
      <c r="F469" s="16" t="s">
        <v>3657</v>
      </c>
      <c r="G469" s="16" t="s">
        <v>354</v>
      </c>
      <c r="H469" s="16" t="s">
        <v>1551</v>
      </c>
      <c r="I469" s="16" t="s">
        <v>356</v>
      </c>
      <c r="J469" s="16">
        <v>0</v>
      </c>
      <c r="K469" s="16">
        <v>4.1623140000000001E-7</v>
      </c>
      <c r="L469" s="16">
        <v>1</v>
      </c>
      <c r="M469" s="16">
        <v>0</v>
      </c>
      <c r="N469">
        <f t="array" aca="1" ref="N469" ca="1">MATCH(TRUE,EXACT(I469,OFFSET(rngParamTypes,0,6,,1)),0)</f>
        <v>145</v>
      </c>
      <c r="O469" t="str">
        <f ca="1">IF((INDEX(rngParamTypes,$N469,7)=I469),"",1)</f>
        <v/>
      </c>
      <c r="P469">
        <f ca="1">INDEX(rngParamTypes,$N469,9)</f>
        <v>0</v>
      </c>
      <c r="Q469">
        <f ca="1">INDEX(rngParamTypes,$N469,10)</f>
        <v>4</v>
      </c>
      <c r="R469">
        <f ca="1">INDEX(rngParamTypes,$N469,11)</f>
        <v>0</v>
      </c>
      <c r="S469">
        <f ca="1">INDEX(rngParamTypes,$N469,12)</f>
        <v>0</v>
      </c>
      <c r="T469">
        <f ca="1">INDEX(rngParamTypes,$N469,13)</f>
        <v>0</v>
      </c>
      <c r="U469">
        <f ca="1">INDEX(rngParamTypes,$N469,14)</f>
        <v>0</v>
      </c>
      <c r="V469">
        <f ca="1">INDEX(rngParamTypes,$N469,15)</f>
        <v>0</v>
      </c>
      <c r="W469">
        <f ca="1">INDEX(rngParamTypes,$N469,16)</f>
        <v>0</v>
      </c>
      <c r="X469">
        <f ca="1">INDEX(rngParamTypes,$N469,17)</f>
        <v>0</v>
      </c>
      <c r="Y469">
        <f ca="1">INDEX(rngParamTypes,$N469,18)</f>
        <v>0</v>
      </c>
    </row>
    <row r="470" spans="1:25" x14ac:dyDescent="0.2">
      <c r="A470" s="16">
        <v>469</v>
      </c>
      <c r="B470" s="37">
        <v>1</v>
      </c>
      <c r="C470" s="16" t="s">
        <v>1554</v>
      </c>
      <c r="D470" s="16" t="s">
        <v>1554</v>
      </c>
      <c r="E470" s="16">
        <v>2</v>
      </c>
      <c r="F470" s="16" t="s">
        <v>4382</v>
      </c>
      <c r="G470" s="16" t="s">
        <v>3270</v>
      </c>
      <c r="H470" s="16" t="s">
        <v>1553</v>
      </c>
      <c r="I470" s="16" t="s">
        <v>416</v>
      </c>
      <c r="J470" s="16">
        <v>0</v>
      </c>
      <c r="K470" s="16">
        <v>249.08199999999999</v>
      </c>
      <c r="L470" s="16">
        <v>1</v>
      </c>
      <c r="M470" s="16">
        <v>0</v>
      </c>
      <c r="N470">
        <f t="array" aca="1" ref="N470" ca="1">MATCH(TRUE,EXACT(I470,OFFSET(rngParamTypes,0,6,,1)),0)</f>
        <v>167</v>
      </c>
      <c r="O470" t="str">
        <f ca="1">IF((INDEX(rngParamTypes,$N470,7)=I470),"",1)</f>
        <v/>
      </c>
      <c r="P470">
        <f ca="1">INDEX(rngParamTypes,$N470,9)</f>
        <v>1</v>
      </c>
      <c r="Q470">
        <f ca="1">INDEX(rngParamTypes,$N470,10)</f>
        <v>-1</v>
      </c>
      <c r="R470">
        <f ca="1">INDEX(rngParamTypes,$N470,11)</f>
        <v>-2</v>
      </c>
      <c r="S470">
        <f ca="1">INDEX(rngParamTypes,$N470,12)</f>
        <v>0</v>
      </c>
      <c r="T470">
        <f ca="1">INDEX(rngParamTypes,$N470,13)</f>
        <v>0</v>
      </c>
      <c r="U470">
        <f ca="1">INDEX(rngParamTypes,$N470,14)</f>
        <v>0</v>
      </c>
      <c r="V470">
        <f ca="1">INDEX(rngParamTypes,$N470,15)</f>
        <v>0</v>
      </c>
      <c r="W470">
        <f ca="1">INDEX(rngParamTypes,$N470,16)</f>
        <v>0</v>
      </c>
      <c r="X470">
        <f ca="1">INDEX(rngParamTypes,$N470,17)</f>
        <v>0</v>
      </c>
      <c r="Y470">
        <f ca="1">INDEX(rngParamTypes,$N470,18)</f>
        <v>0</v>
      </c>
    </row>
    <row r="471" spans="1:25" x14ac:dyDescent="0.2">
      <c r="A471" s="16">
        <v>470</v>
      </c>
      <c r="B471" s="37">
        <v>1</v>
      </c>
      <c r="C471" s="16" t="s">
        <v>1556</v>
      </c>
      <c r="D471" s="16" t="s">
        <v>1556</v>
      </c>
      <c r="E471" s="16">
        <v>2</v>
      </c>
      <c r="F471" s="16" t="s">
        <v>4292</v>
      </c>
      <c r="G471" s="16" t="s">
        <v>3270</v>
      </c>
      <c r="H471" s="16" t="s">
        <v>1555</v>
      </c>
      <c r="I471" s="16" t="s">
        <v>416</v>
      </c>
      <c r="J471" s="16">
        <v>0</v>
      </c>
      <c r="K471" s="16">
        <v>248.84</v>
      </c>
      <c r="L471" s="16">
        <v>1</v>
      </c>
      <c r="M471" s="16">
        <v>0</v>
      </c>
      <c r="N471">
        <f t="array" aca="1" ref="N471" ca="1">MATCH(TRUE,EXACT(I471,OFFSET(rngParamTypes,0,6,,1)),0)</f>
        <v>167</v>
      </c>
      <c r="O471" t="str">
        <f ca="1">IF((INDEX(rngParamTypes,$N471,7)=I471),"",1)</f>
        <v/>
      </c>
      <c r="P471">
        <f ca="1">INDEX(rngParamTypes,$N471,9)</f>
        <v>1</v>
      </c>
      <c r="Q471">
        <f ca="1">INDEX(rngParamTypes,$N471,10)</f>
        <v>-1</v>
      </c>
      <c r="R471">
        <f ca="1">INDEX(rngParamTypes,$N471,11)</f>
        <v>-2</v>
      </c>
      <c r="S471">
        <f ca="1">INDEX(rngParamTypes,$N471,12)</f>
        <v>0</v>
      </c>
      <c r="T471">
        <f ca="1">INDEX(rngParamTypes,$N471,13)</f>
        <v>0</v>
      </c>
      <c r="U471">
        <f ca="1">INDEX(rngParamTypes,$N471,14)</f>
        <v>0</v>
      </c>
      <c r="V471">
        <f ca="1">INDEX(rngParamTypes,$N471,15)</f>
        <v>0</v>
      </c>
      <c r="W471">
        <f ca="1">INDEX(rngParamTypes,$N471,16)</f>
        <v>0</v>
      </c>
      <c r="X471">
        <f ca="1">INDEX(rngParamTypes,$N471,17)</f>
        <v>0</v>
      </c>
      <c r="Y471">
        <f ca="1">INDEX(rngParamTypes,$N471,18)</f>
        <v>0</v>
      </c>
    </row>
    <row r="472" spans="1:25" x14ac:dyDescent="0.2">
      <c r="A472" s="16">
        <v>471</v>
      </c>
      <c r="B472" s="37">
        <v>1</v>
      </c>
      <c r="C472" s="16" t="s">
        <v>1558</v>
      </c>
      <c r="D472" s="16" t="s">
        <v>1558</v>
      </c>
      <c r="E472" s="16">
        <v>2</v>
      </c>
      <c r="F472" s="16" t="s">
        <v>4293</v>
      </c>
      <c r="G472" s="16" t="s">
        <v>3270</v>
      </c>
      <c r="H472" s="16" t="s">
        <v>1557</v>
      </c>
      <c r="I472" s="16" t="s">
        <v>416</v>
      </c>
      <c r="J472" s="16">
        <v>0</v>
      </c>
      <c r="K472" s="16">
        <v>3386.38</v>
      </c>
      <c r="L472" s="16">
        <v>1</v>
      </c>
      <c r="M472" s="16">
        <v>0</v>
      </c>
      <c r="N472">
        <f t="array" aca="1" ref="N472" ca="1">MATCH(TRUE,EXACT(I472,OFFSET(rngParamTypes,0,6,,1)),0)</f>
        <v>167</v>
      </c>
      <c r="O472" t="str">
        <f ca="1">IF((INDEX(rngParamTypes,$N472,7)=I472),"",1)</f>
        <v/>
      </c>
      <c r="P472">
        <f ca="1">INDEX(rngParamTypes,$N472,9)</f>
        <v>1</v>
      </c>
      <c r="Q472">
        <f ca="1">INDEX(rngParamTypes,$N472,10)</f>
        <v>-1</v>
      </c>
      <c r="R472">
        <f ca="1">INDEX(rngParamTypes,$N472,11)</f>
        <v>-2</v>
      </c>
      <c r="S472">
        <f ca="1">INDEX(rngParamTypes,$N472,12)</f>
        <v>0</v>
      </c>
      <c r="T472">
        <f ca="1">INDEX(rngParamTypes,$N472,13)</f>
        <v>0</v>
      </c>
      <c r="U472">
        <f ca="1">INDEX(rngParamTypes,$N472,14)</f>
        <v>0</v>
      </c>
      <c r="V472">
        <f ca="1">INDEX(rngParamTypes,$N472,15)</f>
        <v>0</v>
      </c>
      <c r="W472">
        <f ca="1">INDEX(rngParamTypes,$N472,16)</f>
        <v>0</v>
      </c>
      <c r="X472">
        <f ca="1">INDEX(rngParamTypes,$N472,17)</f>
        <v>0</v>
      </c>
      <c r="Y472">
        <f ca="1">INDEX(rngParamTypes,$N472,18)</f>
        <v>0</v>
      </c>
    </row>
    <row r="473" spans="1:25" x14ac:dyDescent="0.2">
      <c r="A473" s="16">
        <v>472</v>
      </c>
      <c r="B473" s="37">
        <v>1</v>
      </c>
      <c r="C473" s="16" t="s">
        <v>1560</v>
      </c>
      <c r="D473" s="16" t="s">
        <v>1560</v>
      </c>
      <c r="E473" s="16">
        <v>2</v>
      </c>
      <c r="F473" s="16" t="s">
        <v>4294</v>
      </c>
      <c r="G473" s="16" t="s">
        <v>3270</v>
      </c>
      <c r="H473" s="16" t="s">
        <v>1559</v>
      </c>
      <c r="I473" s="16" t="s">
        <v>416</v>
      </c>
      <c r="J473" s="16">
        <v>0</v>
      </c>
      <c r="K473" s="16">
        <v>3376.85</v>
      </c>
      <c r="L473" s="16">
        <v>1</v>
      </c>
      <c r="M473" s="16">
        <v>0</v>
      </c>
      <c r="N473">
        <f t="array" aca="1" ref="N473" ca="1">MATCH(TRUE,EXACT(I473,OFFSET(rngParamTypes,0,6,,1)),0)</f>
        <v>167</v>
      </c>
      <c r="O473" t="str">
        <f ca="1">IF((INDEX(rngParamTypes,$N473,7)=I473),"",1)</f>
        <v/>
      </c>
      <c r="P473">
        <f ca="1">INDEX(rngParamTypes,$N473,9)</f>
        <v>1</v>
      </c>
      <c r="Q473">
        <f ca="1">INDEX(rngParamTypes,$N473,10)</f>
        <v>-1</v>
      </c>
      <c r="R473">
        <f ca="1">INDEX(rngParamTypes,$N473,11)</f>
        <v>-2</v>
      </c>
      <c r="S473">
        <f ca="1">INDEX(rngParamTypes,$N473,12)</f>
        <v>0</v>
      </c>
      <c r="T473">
        <f ca="1">INDEX(rngParamTypes,$N473,13)</f>
        <v>0</v>
      </c>
      <c r="U473">
        <f ca="1">INDEX(rngParamTypes,$N473,14)</f>
        <v>0</v>
      </c>
      <c r="V473">
        <f ca="1">INDEX(rngParamTypes,$N473,15)</f>
        <v>0</v>
      </c>
      <c r="W473">
        <f ca="1">INDEX(rngParamTypes,$N473,16)</f>
        <v>0</v>
      </c>
      <c r="X473">
        <f ca="1">INDEX(rngParamTypes,$N473,17)</f>
        <v>0</v>
      </c>
      <c r="Y473">
        <f ca="1">INDEX(rngParamTypes,$N473,18)</f>
        <v>0</v>
      </c>
    </row>
    <row r="474" spans="1:25" x14ac:dyDescent="0.2">
      <c r="A474" s="16">
        <v>473</v>
      </c>
      <c r="B474" s="37">
        <v>1</v>
      </c>
      <c r="C474" s="16" t="s">
        <v>1562</v>
      </c>
      <c r="D474" s="16" t="s">
        <v>1562</v>
      </c>
      <c r="E474" s="16">
        <v>2</v>
      </c>
      <c r="F474" s="16" t="s">
        <v>3658</v>
      </c>
      <c r="G474" s="16" t="s">
        <v>3540</v>
      </c>
      <c r="H474" s="16" t="s">
        <v>1561</v>
      </c>
      <c r="I474" s="16" t="s">
        <v>290</v>
      </c>
      <c r="J474" s="16">
        <v>0</v>
      </c>
      <c r="K474" s="16">
        <v>1</v>
      </c>
      <c r="L474" s="16">
        <v>39.369999999999997</v>
      </c>
      <c r="M474" s="16">
        <v>0</v>
      </c>
      <c r="N474">
        <f t="array" aca="1" ref="N474" ca="1">MATCH(TRUE,EXACT(I474,OFFSET(rngParamTypes,0,6,,1)),0)</f>
        <v>109</v>
      </c>
      <c r="O474" t="str">
        <f ca="1">IF((INDEX(rngParamTypes,$N474,7)=I474),"",1)</f>
        <v/>
      </c>
      <c r="P474">
        <f ca="1">INDEX(rngParamTypes,$N474,9)</f>
        <v>0</v>
      </c>
      <c r="Q474">
        <f ca="1">INDEX(rngParamTypes,$N474,10)</f>
        <v>1</v>
      </c>
      <c r="R474">
        <f ca="1">INDEX(rngParamTypes,$N474,11)</f>
        <v>0</v>
      </c>
      <c r="S474">
        <f ca="1">INDEX(rngParamTypes,$N474,12)</f>
        <v>0</v>
      </c>
      <c r="T474">
        <f ca="1">INDEX(rngParamTypes,$N474,13)</f>
        <v>0</v>
      </c>
      <c r="U474">
        <f ca="1">INDEX(rngParamTypes,$N474,14)</f>
        <v>0</v>
      </c>
      <c r="V474">
        <f ca="1">INDEX(rngParamTypes,$N474,15)</f>
        <v>0</v>
      </c>
      <c r="W474">
        <f ca="1">INDEX(rngParamTypes,$N474,16)</f>
        <v>0</v>
      </c>
      <c r="X474">
        <f ca="1">INDEX(rngParamTypes,$N474,17)</f>
        <v>0</v>
      </c>
      <c r="Y474">
        <f ca="1">INDEX(rngParamTypes,$N474,18)</f>
        <v>0</v>
      </c>
    </row>
    <row r="475" spans="1:25" x14ac:dyDescent="0.2">
      <c r="A475" s="16">
        <v>474</v>
      </c>
      <c r="B475" s="37">
        <v>1</v>
      </c>
      <c r="C475" s="16" t="s">
        <v>1564</v>
      </c>
      <c r="D475" s="16" t="s">
        <v>1564</v>
      </c>
      <c r="E475" s="16"/>
      <c r="F475" s="16" t="s">
        <v>3659</v>
      </c>
      <c r="G475" s="16" t="s">
        <v>386</v>
      </c>
      <c r="H475" s="16" t="s">
        <v>1563</v>
      </c>
      <c r="I475" s="16" t="s">
        <v>387</v>
      </c>
      <c r="J475" s="16">
        <v>0</v>
      </c>
      <c r="K475" s="16">
        <v>10000</v>
      </c>
      <c r="L475" s="16">
        <v>1</v>
      </c>
      <c r="M475" s="16">
        <v>0</v>
      </c>
      <c r="N475">
        <f t="array" aca="1" ref="N475" ca="1">MATCH(TRUE,EXACT(I475,OFFSET(rngParamTypes,0,6,,1)),0)</f>
        <v>156</v>
      </c>
      <c r="O475" t="str">
        <f ca="1">IF((INDEX(rngParamTypes,$N475,7)=I475),"",1)</f>
        <v/>
      </c>
      <c r="P475">
        <f ca="1">INDEX(rngParamTypes,$N475,9)</f>
        <v>1</v>
      </c>
      <c r="Q475">
        <f ca="1">INDEX(rngParamTypes,$N475,10)</f>
        <v>0</v>
      </c>
      <c r="R475">
        <f ca="1">INDEX(rngParamTypes,$N475,11)</f>
        <v>-2</v>
      </c>
      <c r="S475">
        <f ca="1">INDEX(rngParamTypes,$N475,12)</f>
        <v>0</v>
      </c>
      <c r="T475">
        <f ca="1">INDEX(rngParamTypes,$N475,13)</f>
        <v>0</v>
      </c>
      <c r="U475">
        <f ca="1">INDEX(rngParamTypes,$N475,14)</f>
        <v>0</v>
      </c>
      <c r="V475">
        <f ca="1">INDEX(rngParamTypes,$N475,15)</f>
        <v>0</v>
      </c>
      <c r="W475">
        <f ca="1">INDEX(rngParamTypes,$N475,16)</f>
        <v>0</v>
      </c>
      <c r="X475">
        <f ca="1">INDEX(rngParamTypes,$N475,17)</f>
        <v>0</v>
      </c>
      <c r="Y475">
        <f ca="1">INDEX(rngParamTypes,$N475,18)</f>
        <v>0</v>
      </c>
    </row>
    <row r="476" spans="1:25" x14ac:dyDescent="0.2">
      <c r="A476" s="16">
        <v>475</v>
      </c>
      <c r="B476" s="37">
        <v>1</v>
      </c>
      <c r="C476" s="16" t="s">
        <v>1566</v>
      </c>
      <c r="D476" s="16" t="s">
        <v>1566</v>
      </c>
      <c r="E476" s="16"/>
      <c r="F476" s="16" t="s">
        <v>3660</v>
      </c>
      <c r="G476" s="16" t="s">
        <v>3314</v>
      </c>
      <c r="H476" s="16" t="s">
        <v>1565</v>
      </c>
      <c r="I476" s="16" t="s">
        <v>190</v>
      </c>
      <c r="J476" s="16">
        <v>0</v>
      </c>
      <c r="K476" s="16">
        <v>1000</v>
      </c>
      <c r="L476" s="16">
        <v>1</v>
      </c>
      <c r="M476" s="16">
        <v>0</v>
      </c>
      <c r="N476">
        <f t="array" aca="1" ref="N476" ca="1">MATCH(TRUE,EXACT(I476,OFFSET(rngParamTypes,0,6,,1)),0)</f>
        <v>65</v>
      </c>
      <c r="O476" t="str">
        <f ca="1">IF((INDEX(rngParamTypes,$N476,7)=I476),"",1)</f>
        <v/>
      </c>
      <c r="P476">
        <f ca="1">INDEX(rngParamTypes,$N476,9)</f>
        <v>1</v>
      </c>
      <c r="Q476">
        <f ca="1">INDEX(rngParamTypes,$N476,10)</f>
        <v>-1</v>
      </c>
      <c r="R476">
        <f ca="1">INDEX(rngParamTypes,$N476,11)</f>
        <v>-2</v>
      </c>
      <c r="S476">
        <f ca="1">INDEX(rngParamTypes,$N476,12)</f>
        <v>0</v>
      </c>
      <c r="T476">
        <f ca="1">INDEX(rngParamTypes,$N476,13)</f>
        <v>0</v>
      </c>
      <c r="U476">
        <f ca="1">INDEX(rngParamTypes,$N476,14)</f>
        <v>0</v>
      </c>
      <c r="V476">
        <f ca="1">INDEX(rngParamTypes,$N476,15)</f>
        <v>0</v>
      </c>
      <c r="W476">
        <f ca="1">INDEX(rngParamTypes,$N476,16)</f>
        <v>0</v>
      </c>
      <c r="X476">
        <f ca="1">INDEX(rngParamTypes,$N476,17)</f>
        <v>0</v>
      </c>
      <c r="Y476">
        <f ca="1">INDEX(rngParamTypes,$N476,18)</f>
        <v>0</v>
      </c>
    </row>
    <row r="477" spans="1:25" x14ac:dyDescent="0.2">
      <c r="A477" s="16">
        <v>476</v>
      </c>
      <c r="B477" s="37">
        <v>1</v>
      </c>
      <c r="C477" s="16" t="s">
        <v>1568</v>
      </c>
      <c r="D477" s="16" t="s">
        <v>1568</v>
      </c>
      <c r="E477" s="16">
        <v>2</v>
      </c>
      <c r="F477" s="16" t="s">
        <v>3661</v>
      </c>
      <c r="G477" s="16" t="s">
        <v>174</v>
      </c>
      <c r="H477" s="16" t="s">
        <v>1567</v>
      </c>
      <c r="I477" s="16" t="s">
        <v>175</v>
      </c>
      <c r="J477" s="16">
        <v>0</v>
      </c>
      <c r="K477" s="16">
        <v>1000</v>
      </c>
      <c r="L477" s="16">
        <v>1</v>
      </c>
      <c r="M477" s="16">
        <v>0</v>
      </c>
      <c r="N477">
        <f t="array" aca="1" ref="N477" ca="1">MATCH(TRUE,EXACT(I477,OFFSET(rngParamTypes,0,6,,1)),0)</f>
        <v>62</v>
      </c>
      <c r="O477" t="str">
        <f ca="1">IF((INDEX(rngParamTypes,$N477,7)=I477),"",1)</f>
        <v/>
      </c>
      <c r="P477">
        <f ca="1">INDEX(rngParamTypes,$N477,9)</f>
        <v>0</v>
      </c>
      <c r="Q477">
        <f ca="1">INDEX(rngParamTypes,$N477,10)</f>
        <v>2</v>
      </c>
      <c r="R477">
        <f ca="1">INDEX(rngParamTypes,$N477,11)</f>
        <v>-2</v>
      </c>
      <c r="S477">
        <f ca="1">INDEX(rngParamTypes,$N477,12)</f>
        <v>0</v>
      </c>
      <c r="T477">
        <f ca="1">INDEX(rngParamTypes,$N477,13)</f>
        <v>0</v>
      </c>
      <c r="U477">
        <f ca="1">INDEX(rngParamTypes,$N477,14)</f>
        <v>0</v>
      </c>
      <c r="V477">
        <f ca="1">INDEX(rngParamTypes,$N477,15)</f>
        <v>0</v>
      </c>
      <c r="W477">
        <f ca="1">INDEX(rngParamTypes,$N477,16)</f>
        <v>0</v>
      </c>
      <c r="X477">
        <f ca="1">INDEX(rngParamTypes,$N477,17)</f>
        <v>0</v>
      </c>
      <c r="Y477">
        <f ca="1">INDEX(rngParamTypes,$N477,18)</f>
        <v>0</v>
      </c>
    </row>
    <row r="478" spans="1:25" x14ac:dyDescent="0.2">
      <c r="A478" s="16">
        <v>477</v>
      </c>
      <c r="B478" s="37">
        <v>1</v>
      </c>
      <c r="C478" s="16" t="s">
        <v>1570</v>
      </c>
      <c r="D478" s="16" t="s">
        <v>1570</v>
      </c>
      <c r="E478" s="16">
        <v>2</v>
      </c>
      <c r="F478" s="16" t="s">
        <v>3662</v>
      </c>
      <c r="G478" s="16" t="s">
        <v>3330</v>
      </c>
      <c r="H478" s="16" t="s">
        <v>1569</v>
      </c>
      <c r="I478" s="16" t="s">
        <v>179</v>
      </c>
      <c r="J478" s="16">
        <v>0</v>
      </c>
      <c r="K478" s="16">
        <v>1000</v>
      </c>
      <c r="L478" s="16">
        <v>1</v>
      </c>
      <c r="M478" s="16">
        <v>0</v>
      </c>
      <c r="N478">
        <f t="array" aca="1" ref="N478" ca="1">MATCH(TRUE,EXACT(I478,OFFSET(rngParamTypes,0,6,,1)),0)</f>
        <v>63</v>
      </c>
      <c r="O478" t="str">
        <f ca="1">IF((INDEX(rngParamTypes,$N478,7)=I478),"",1)</f>
        <v/>
      </c>
      <c r="P478">
        <f ca="1">INDEX(rngParamTypes,$N478,9)</f>
        <v>0</v>
      </c>
      <c r="Q478">
        <f ca="1">INDEX(rngParamTypes,$N478,10)</f>
        <v>2</v>
      </c>
      <c r="R478">
        <f ca="1">INDEX(rngParamTypes,$N478,11)</f>
        <v>-2</v>
      </c>
      <c r="S478">
        <f ca="1">INDEX(rngParamTypes,$N478,12)</f>
        <v>0</v>
      </c>
      <c r="T478">
        <f ca="1">INDEX(rngParamTypes,$N478,13)</f>
        <v>-1</v>
      </c>
      <c r="U478">
        <f ca="1">INDEX(rngParamTypes,$N478,14)</f>
        <v>0</v>
      </c>
      <c r="V478">
        <f ca="1">INDEX(rngParamTypes,$N478,15)</f>
        <v>0</v>
      </c>
      <c r="W478">
        <f ca="1">INDEX(rngParamTypes,$N478,16)</f>
        <v>0</v>
      </c>
      <c r="X478">
        <f ca="1">INDEX(rngParamTypes,$N478,17)</f>
        <v>0</v>
      </c>
      <c r="Y478">
        <f ca="1">INDEX(rngParamTypes,$N478,18)</f>
        <v>0</v>
      </c>
    </row>
    <row r="479" spans="1:25" x14ac:dyDescent="0.2">
      <c r="A479" s="16">
        <v>478</v>
      </c>
      <c r="B479" s="37">
        <v>1</v>
      </c>
      <c r="C479" s="16" t="s">
        <v>1573</v>
      </c>
      <c r="D479" s="16" t="s">
        <v>1573</v>
      </c>
      <c r="E479" s="16"/>
      <c r="F479" s="16" t="s">
        <v>3663</v>
      </c>
      <c r="G479" s="16" t="s">
        <v>1572</v>
      </c>
      <c r="H479" s="16" t="s">
        <v>1571</v>
      </c>
      <c r="I479" s="16" t="s">
        <v>379</v>
      </c>
      <c r="J479" s="16">
        <v>0</v>
      </c>
      <c r="K479" s="16">
        <v>1</v>
      </c>
      <c r="L479" s="16">
        <v>1</v>
      </c>
      <c r="M479" s="16">
        <v>0</v>
      </c>
      <c r="N479">
        <f t="array" aca="1" ref="N479" ca="1">MATCH(TRUE,EXACT(I479,OFFSET(rngParamTypes,0,6,,1)),0)</f>
        <v>154</v>
      </c>
      <c r="O479" t="str">
        <f ca="1">IF((INDEX(rngParamTypes,$N479,7)=I479),"",1)</f>
        <v/>
      </c>
      <c r="P479">
        <f ca="1">INDEX(rngParamTypes,$N479,9)</f>
        <v>1</v>
      </c>
      <c r="Q479">
        <f ca="1">INDEX(rngParamTypes,$N479,10)</f>
        <v>1</v>
      </c>
      <c r="R479">
        <f ca="1">INDEX(rngParamTypes,$N479,11)</f>
        <v>-2</v>
      </c>
      <c r="S479">
        <f ca="1">INDEX(rngParamTypes,$N479,12)</f>
        <v>0</v>
      </c>
      <c r="T479">
        <f ca="1">INDEX(rngParamTypes,$N479,13)</f>
        <v>0</v>
      </c>
      <c r="U479">
        <f ca="1">INDEX(rngParamTypes,$N479,14)</f>
        <v>0</v>
      </c>
      <c r="V479">
        <f ca="1">INDEX(rngParamTypes,$N479,15)</f>
        <v>0</v>
      </c>
      <c r="W479">
        <f ca="1">INDEX(rngParamTypes,$N479,16)</f>
        <v>0</v>
      </c>
      <c r="X479">
        <f ca="1">INDEX(rngParamTypes,$N479,17)</f>
        <v>0</v>
      </c>
      <c r="Y479">
        <f ca="1">INDEX(rngParamTypes,$N479,18)</f>
        <v>0</v>
      </c>
    </row>
    <row r="480" spans="1:25" x14ac:dyDescent="0.2">
      <c r="A480" s="16">
        <v>479</v>
      </c>
      <c r="B480" s="37">
        <v>1</v>
      </c>
      <c r="C480" s="16" t="s">
        <v>1575</v>
      </c>
      <c r="D480" s="16" t="s">
        <v>1575</v>
      </c>
      <c r="E480" s="16"/>
      <c r="F480" s="16" t="s">
        <v>3664</v>
      </c>
      <c r="G480" s="16" t="s">
        <v>386</v>
      </c>
      <c r="H480" s="16" t="s">
        <v>1574</v>
      </c>
      <c r="I480" s="16" t="s">
        <v>387</v>
      </c>
      <c r="J480" s="16">
        <v>0</v>
      </c>
      <c r="K480" s="16">
        <v>1</v>
      </c>
      <c r="L480" s="16">
        <v>1</v>
      </c>
      <c r="M480" s="16">
        <v>0</v>
      </c>
      <c r="N480">
        <f t="array" aca="1" ref="N480" ca="1">MATCH(TRUE,EXACT(I480,OFFSET(rngParamTypes,0,6,,1)),0)</f>
        <v>156</v>
      </c>
      <c r="O480" t="str">
        <f ca="1">IF((INDEX(rngParamTypes,$N480,7)=I480),"",1)</f>
        <v/>
      </c>
      <c r="P480">
        <f ca="1">INDEX(rngParamTypes,$N480,9)</f>
        <v>1</v>
      </c>
      <c r="Q480">
        <f ca="1">INDEX(rngParamTypes,$N480,10)</f>
        <v>0</v>
      </c>
      <c r="R480">
        <f ca="1">INDEX(rngParamTypes,$N480,11)</f>
        <v>-2</v>
      </c>
      <c r="S480">
        <f ca="1">INDEX(rngParamTypes,$N480,12)</f>
        <v>0</v>
      </c>
      <c r="T480">
        <f ca="1">INDEX(rngParamTypes,$N480,13)</f>
        <v>0</v>
      </c>
      <c r="U480">
        <f ca="1">INDEX(rngParamTypes,$N480,14)</f>
        <v>0</v>
      </c>
      <c r="V480">
        <f ca="1">INDEX(rngParamTypes,$N480,15)</f>
        <v>0</v>
      </c>
      <c r="W480">
        <f ca="1">INDEX(rngParamTypes,$N480,16)</f>
        <v>0</v>
      </c>
      <c r="X480">
        <f ca="1">INDEX(rngParamTypes,$N480,17)</f>
        <v>0</v>
      </c>
      <c r="Y480">
        <f ca="1">INDEX(rngParamTypes,$N480,18)</f>
        <v>0</v>
      </c>
    </row>
    <row r="481" spans="1:25" x14ac:dyDescent="0.2">
      <c r="A481" s="16">
        <v>480</v>
      </c>
      <c r="B481" s="37">
        <v>1</v>
      </c>
      <c r="C481" s="16" t="s">
        <v>1577</v>
      </c>
      <c r="D481" s="16" t="s">
        <v>1577</v>
      </c>
      <c r="E481" s="16">
        <v>2</v>
      </c>
      <c r="F481" s="16" t="s">
        <v>3665</v>
      </c>
      <c r="G481" s="16" t="s">
        <v>553</v>
      </c>
      <c r="H481" s="16" t="s">
        <v>1576</v>
      </c>
      <c r="I481" s="16" t="s">
        <v>554</v>
      </c>
      <c r="J481" s="16">
        <v>0</v>
      </c>
      <c r="K481" s="16">
        <v>1</v>
      </c>
      <c r="L481" s="16">
        <v>1</v>
      </c>
      <c r="M481" s="16">
        <v>0</v>
      </c>
      <c r="N481">
        <f t="array" aca="1" ref="N481" ca="1">MATCH(TRUE,EXACT(I481,OFFSET(rngParamTypes,0,6,,1)),0)</f>
        <v>224</v>
      </c>
      <c r="O481" t="str">
        <f ca="1">IF((INDEX(rngParamTypes,$N481,7)=I481),"",1)</f>
        <v/>
      </c>
      <c r="P481">
        <f ca="1">INDEX(rngParamTypes,$N481,9)</f>
        <v>1</v>
      </c>
      <c r="Q481">
        <f ca="1">INDEX(rngParamTypes,$N481,10)</f>
        <v>0</v>
      </c>
      <c r="R481">
        <f ca="1">INDEX(rngParamTypes,$N481,11)</f>
        <v>-3</v>
      </c>
      <c r="S481">
        <f ca="1">INDEX(rngParamTypes,$N481,12)</f>
        <v>0</v>
      </c>
      <c r="T481">
        <f ca="1">INDEX(rngParamTypes,$N481,13)</f>
        <v>-1</v>
      </c>
      <c r="U481">
        <f ca="1">INDEX(rngParamTypes,$N481,14)</f>
        <v>0</v>
      </c>
      <c r="V481">
        <f ca="1">INDEX(rngParamTypes,$N481,15)</f>
        <v>0</v>
      </c>
      <c r="W481">
        <f ca="1">INDEX(rngParamTypes,$N481,16)</f>
        <v>0</v>
      </c>
      <c r="X481">
        <f ca="1">INDEX(rngParamTypes,$N481,17)</f>
        <v>0</v>
      </c>
      <c r="Y481">
        <f ca="1">INDEX(rngParamTypes,$N481,18)</f>
        <v>0</v>
      </c>
    </row>
    <row r="482" spans="1:25" x14ac:dyDescent="0.2">
      <c r="A482" s="16">
        <v>481</v>
      </c>
      <c r="B482" s="37">
        <v>1</v>
      </c>
      <c r="C482" s="16" t="s">
        <v>1579</v>
      </c>
      <c r="D482" s="16" t="s">
        <v>1579</v>
      </c>
      <c r="E482" s="16"/>
      <c r="F482" s="16" t="s">
        <v>3666</v>
      </c>
      <c r="G482" s="16" t="s">
        <v>3438</v>
      </c>
      <c r="H482" s="16" t="s">
        <v>1578</v>
      </c>
      <c r="I482" s="16" t="s">
        <v>209</v>
      </c>
      <c r="J482" s="16">
        <v>0</v>
      </c>
      <c r="K482" s="16">
        <v>1E-3</v>
      </c>
      <c r="L482" s="16">
        <v>1</v>
      </c>
      <c r="M482" s="16">
        <v>0</v>
      </c>
      <c r="N482">
        <f t="array" aca="1" ref="N482" ca="1">MATCH(TRUE,EXACT(I482,OFFSET(rngParamTypes,0,6,,1)),0)</f>
        <v>82</v>
      </c>
      <c r="O482" t="str">
        <f ca="1">IF((INDEX(rngParamTypes,$N482,7)=I482),"",1)</f>
        <v/>
      </c>
      <c r="P482">
        <f ca="1">INDEX(rngParamTypes,$N482,9)</f>
        <v>-1</v>
      </c>
      <c r="Q482">
        <f ca="1">INDEX(rngParamTypes,$N482,10)</f>
        <v>0</v>
      </c>
      <c r="R482">
        <f ca="1">INDEX(rngParamTypes,$N482,11)</f>
        <v>3</v>
      </c>
      <c r="S482">
        <f ca="1">INDEX(rngParamTypes,$N482,12)</f>
        <v>0</v>
      </c>
      <c r="T482">
        <f ca="1">INDEX(rngParamTypes,$N482,13)</f>
        <v>1</v>
      </c>
      <c r="U482">
        <f ca="1">INDEX(rngParamTypes,$N482,14)</f>
        <v>0</v>
      </c>
      <c r="V482">
        <f ca="1">INDEX(rngParamTypes,$N482,15)</f>
        <v>0</v>
      </c>
      <c r="W482">
        <f ca="1">INDEX(rngParamTypes,$N482,16)</f>
        <v>0</v>
      </c>
      <c r="X482">
        <f ca="1">INDEX(rngParamTypes,$N482,17)</f>
        <v>0</v>
      </c>
      <c r="Y482">
        <f ca="1">INDEX(rngParamTypes,$N482,18)</f>
        <v>0</v>
      </c>
    </row>
    <row r="483" spans="1:25" x14ac:dyDescent="0.2">
      <c r="A483" s="16">
        <v>482</v>
      </c>
      <c r="B483" s="37">
        <v>1</v>
      </c>
      <c r="C483" s="16" t="s">
        <v>1581</v>
      </c>
      <c r="D483" s="16" t="s">
        <v>1581</v>
      </c>
      <c r="E483" s="16">
        <v>2</v>
      </c>
      <c r="F483" s="16" t="s">
        <v>3667</v>
      </c>
      <c r="G483" s="16" t="s">
        <v>3668</v>
      </c>
      <c r="H483" s="16" t="s">
        <v>1580</v>
      </c>
      <c r="I483" s="16" t="s">
        <v>46</v>
      </c>
      <c r="J483" s="16">
        <v>0</v>
      </c>
      <c r="K483" s="16">
        <v>1000</v>
      </c>
      <c r="L483" s="16">
        <v>1</v>
      </c>
      <c r="M483" s="16">
        <v>0</v>
      </c>
      <c r="N483">
        <f t="array" aca="1" ref="N483" ca="1">MATCH(TRUE,EXACT(I483,OFFSET(rngParamTypes,0,6,,1)),0)</f>
        <v>15</v>
      </c>
      <c r="O483" t="str">
        <f ca="1">IF((INDEX(rngParamTypes,$N483,7)=I483),"",1)</f>
        <v/>
      </c>
      <c r="P483">
        <f ca="1">INDEX(rngParamTypes,$N483,9)</f>
        <v>0</v>
      </c>
      <c r="Q483">
        <f ca="1">INDEX(rngParamTypes,$N483,10)</f>
        <v>0</v>
      </c>
      <c r="R483">
        <f ca="1">INDEX(rngParamTypes,$N483,11)</f>
        <v>0</v>
      </c>
      <c r="S483">
        <f ca="1">INDEX(rngParamTypes,$N483,12)</f>
        <v>1</v>
      </c>
      <c r="T483">
        <f ca="1">INDEX(rngParamTypes,$N483,13)</f>
        <v>0</v>
      </c>
      <c r="U483">
        <f ca="1">INDEX(rngParamTypes,$N483,14)</f>
        <v>0</v>
      </c>
      <c r="V483">
        <f ca="1">INDEX(rngParamTypes,$N483,15)</f>
        <v>0</v>
      </c>
      <c r="W483">
        <f ca="1">INDEX(rngParamTypes,$N483,16)</f>
        <v>0</v>
      </c>
      <c r="X483">
        <f ca="1">INDEX(rngParamTypes,$N483,17)</f>
        <v>0</v>
      </c>
      <c r="Y483">
        <f ca="1">INDEX(rngParamTypes,$N483,18)</f>
        <v>0</v>
      </c>
    </row>
    <row r="484" spans="1:25" x14ac:dyDescent="0.2">
      <c r="A484" s="16">
        <v>483</v>
      </c>
      <c r="B484" s="37">
        <v>1</v>
      </c>
      <c r="C484" s="16" t="s">
        <v>1583</v>
      </c>
      <c r="D484" s="16" t="s">
        <v>1583</v>
      </c>
      <c r="E484" s="16">
        <v>2</v>
      </c>
      <c r="F484" s="16" t="s">
        <v>3669</v>
      </c>
      <c r="G484" s="16" t="s">
        <v>343</v>
      </c>
      <c r="H484" s="16" t="s">
        <v>1582</v>
      </c>
      <c r="I484" s="16" t="s">
        <v>344</v>
      </c>
      <c r="J484" s="16">
        <v>0</v>
      </c>
      <c r="K484" s="16">
        <v>158.9873</v>
      </c>
      <c r="L484" s="16">
        <v>86400</v>
      </c>
      <c r="M484" s="16">
        <v>0</v>
      </c>
      <c r="N484">
        <f t="array" aca="1" ref="N484" ca="1">MATCH(TRUE,EXACT(I484,OFFSET(rngParamTypes,0,6,,1)),0)</f>
        <v>141</v>
      </c>
      <c r="O484" t="str">
        <f ca="1">IF((INDEX(rngParamTypes,$N484,7)=I484),"",1)</f>
        <v/>
      </c>
      <c r="P484">
        <f ca="1">INDEX(rngParamTypes,$N484,9)</f>
        <v>0</v>
      </c>
      <c r="Q484">
        <f ca="1">INDEX(rngParamTypes,$N484,10)</f>
        <v>3</v>
      </c>
      <c r="R484">
        <f ca="1">INDEX(rngParamTypes,$N484,11)</f>
        <v>-1</v>
      </c>
      <c r="S484">
        <f ca="1">INDEX(rngParamTypes,$N484,12)</f>
        <v>0</v>
      </c>
      <c r="T484">
        <f ca="1">INDEX(rngParamTypes,$N484,13)</f>
        <v>0</v>
      </c>
      <c r="U484">
        <f ca="1">INDEX(rngParamTypes,$N484,14)</f>
        <v>0</v>
      </c>
      <c r="V484">
        <f ca="1">INDEX(rngParamTypes,$N484,15)</f>
        <v>0</v>
      </c>
      <c r="W484">
        <f ca="1">INDEX(rngParamTypes,$N484,16)</f>
        <v>0</v>
      </c>
      <c r="X484">
        <f ca="1">INDEX(rngParamTypes,$N484,17)</f>
        <v>0</v>
      </c>
      <c r="Y484">
        <f ca="1">INDEX(rngParamTypes,$N484,18)</f>
        <v>0</v>
      </c>
    </row>
    <row r="485" spans="1:25" x14ac:dyDescent="0.2">
      <c r="A485" s="16">
        <v>484</v>
      </c>
      <c r="B485" s="37">
        <v>1</v>
      </c>
      <c r="C485" s="16" t="s">
        <v>1585</v>
      </c>
      <c r="D485" s="16" t="s">
        <v>1585</v>
      </c>
      <c r="E485" s="16"/>
      <c r="F485" s="16" t="s">
        <v>3670</v>
      </c>
      <c r="G485" s="16" t="s">
        <v>87</v>
      </c>
      <c r="H485" s="16" t="s">
        <v>1584</v>
      </c>
      <c r="I485" s="16" t="s">
        <v>86</v>
      </c>
      <c r="J485" s="16">
        <v>0</v>
      </c>
      <c r="K485" s="16">
        <v>1024</v>
      </c>
      <c r="L485" s="16">
        <v>1</v>
      </c>
      <c r="M485" s="16">
        <v>0</v>
      </c>
      <c r="N485">
        <f t="array" aca="1" ref="N485" ca="1">MATCH(TRUE,EXACT(I485,OFFSET(rngParamTypes,0,6,,1)),0)</f>
        <v>29</v>
      </c>
      <c r="O485" t="str">
        <f ca="1">IF((INDEX(rngParamTypes,$N485,7)=I485),"",1)</f>
        <v/>
      </c>
      <c r="P485">
        <f ca="1">INDEX(rngParamTypes,$N485,9)</f>
        <v>0</v>
      </c>
      <c r="Q485">
        <f ca="1">INDEX(rngParamTypes,$N485,10)</f>
        <v>0</v>
      </c>
      <c r="R485">
        <f ca="1">INDEX(rngParamTypes,$N485,11)</f>
        <v>0</v>
      </c>
      <c r="S485">
        <f ca="1">INDEX(rngParamTypes,$N485,12)</f>
        <v>0</v>
      </c>
      <c r="T485">
        <f ca="1">INDEX(rngParamTypes,$N485,13)</f>
        <v>0</v>
      </c>
      <c r="U485">
        <f ca="1">INDEX(rngParamTypes,$N485,14)</f>
        <v>0</v>
      </c>
      <c r="V485">
        <f ca="1">INDEX(rngParamTypes,$N485,15)</f>
        <v>0</v>
      </c>
      <c r="W485">
        <f ca="1">INDEX(rngParamTypes,$N485,16)</f>
        <v>0</v>
      </c>
      <c r="X485">
        <f ca="1">INDEX(rngParamTypes,$N485,17)</f>
        <v>0</v>
      </c>
      <c r="Y485">
        <f ca="1">INDEX(rngParamTypes,$N485,18)</f>
        <v>0</v>
      </c>
    </row>
    <row r="486" spans="1:25" x14ac:dyDescent="0.2">
      <c r="A486" s="16">
        <v>485</v>
      </c>
      <c r="B486" s="37">
        <v>1</v>
      </c>
      <c r="C486" s="16" t="s">
        <v>1587</v>
      </c>
      <c r="D486" s="16" t="s">
        <v>1587</v>
      </c>
      <c r="E486" s="16"/>
      <c r="F486" s="16" t="s">
        <v>3671</v>
      </c>
      <c r="G486" s="16" t="s">
        <v>3256</v>
      </c>
      <c r="H486" s="16" t="s">
        <v>1586</v>
      </c>
      <c r="I486" s="16" t="s">
        <v>93</v>
      </c>
      <c r="J486" s="16">
        <v>0</v>
      </c>
      <c r="K486" s="16">
        <v>1000</v>
      </c>
      <c r="L486" s="16">
        <v>1</v>
      </c>
      <c r="M486" s="16">
        <v>0</v>
      </c>
      <c r="N486">
        <f t="array" aca="1" ref="N486" ca="1">MATCH(TRUE,EXACT(I486,OFFSET(rngParamTypes,0,6,,1)),0)</f>
        <v>30</v>
      </c>
      <c r="O486" t="str">
        <f ca="1">IF((INDEX(rngParamTypes,$N486,7)=I486),"",1)</f>
        <v/>
      </c>
      <c r="P486">
        <f ca="1">INDEX(rngParamTypes,$N486,9)</f>
        <v>0</v>
      </c>
      <c r="Q486">
        <f ca="1">INDEX(rngParamTypes,$N486,10)</f>
        <v>0</v>
      </c>
      <c r="R486">
        <f ca="1">INDEX(rngParamTypes,$N486,11)</f>
        <v>1</v>
      </c>
      <c r="S486">
        <f ca="1">INDEX(rngParamTypes,$N486,12)</f>
        <v>1</v>
      </c>
      <c r="T486">
        <f ca="1">INDEX(rngParamTypes,$N486,13)</f>
        <v>0</v>
      </c>
      <c r="U486">
        <f ca="1">INDEX(rngParamTypes,$N486,14)</f>
        <v>0</v>
      </c>
      <c r="V486">
        <f ca="1">INDEX(rngParamTypes,$N486,15)</f>
        <v>0</v>
      </c>
      <c r="W486">
        <f ca="1">INDEX(rngParamTypes,$N486,16)</f>
        <v>0</v>
      </c>
      <c r="X486">
        <f ca="1">INDEX(rngParamTypes,$N486,17)</f>
        <v>0</v>
      </c>
      <c r="Y486">
        <f ca="1">INDEX(rngParamTypes,$N486,18)</f>
        <v>0</v>
      </c>
    </row>
    <row r="487" spans="1:25" x14ac:dyDescent="0.2">
      <c r="A487" s="16">
        <v>486</v>
      </c>
      <c r="B487" s="37">
        <v>1</v>
      </c>
      <c r="C487" s="16" t="s">
        <v>1589</v>
      </c>
      <c r="D487" s="16" t="s">
        <v>1589</v>
      </c>
      <c r="E487" s="16">
        <v>2</v>
      </c>
      <c r="F487" s="16" t="s">
        <v>3672</v>
      </c>
      <c r="G487" s="16" t="s">
        <v>3267</v>
      </c>
      <c r="H487" s="16" t="s">
        <v>1588</v>
      </c>
      <c r="I487" s="16" t="s">
        <v>168</v>
      </c>
      <c r="J487" s="16">
        <v>0</v>
      </c>
      <c r="K487" s="16">
        <v>4184</v>
      </c>
      <c r="L487" s="16">
        <v>1</v>
      </c>
      <c r="M487" s="16">
        <v>0</v>
      </c>
      <c r="N487">
        <f t="array" aca="1" ref="N487" ca="1">MATCH(TRUE,EXACT(I487,OFFSET(rngParamTypes,0,6,,1)),0)</f>
        <v>56</v>
      </c>
      <c r="O487" t="str">
        <f ca="1">IF((INDEX(rngParamTypes,$N487,7)=I487),"",1)</f>
        <v/>
      </c>
      <c r="P487">
        <f ca="1">INDEX(rngParamTypes,$N487,9)</f>
        <v>1</v>
      </c>
      <c r="Q487">
        <f ca="1">INDEX(rngParamTypes,$N487,10)</f>
        <v>2</v>
      </c>
      <c r="R487">
        <f ca="1">INDEX(rngParamTypes,$N487,11)</f>
        <v>-2</v>
      </c>
      <c r="S487">
        <f ca="1">INDEX(rngParamTypes,$N487,12)</f>
        <v>0</v>
      </c>
      <c r="T487">
        <f ca="1">INDEX(rngParamTypes,$N487,13)</f>
        <v>0</v>
      </c>
      <c r="U487">
        <f ca="1">INDEX(rngParamTypes,$N487,14)</f>
        <v>0</v>
      </c>
      <c r="V487">
        <f ca="1">INDEX(rngParamTypes,$N487,15)</f>
        <v>0</v>
      </c>
      <c r="W487">
        <f ca="1">INDEX(rngParamTypes,$N487,16)</f>
        <v>0</v>
      </c>
      <c r="X487">
        <f ca="1">INDEX(rngParamTypes,$N487,17)</f>
        <v>0</v>
      </c>
      <c r="Y487">
        <f ca="1">INDEX(rngParamTypes,$N487,18)</f>
        <v>0</v>
      </c>
    </row>
    <row r="488" spans="1:25" x14ac:dyDescent="0.2">
      <c r="A488" s="16">
        <v>487</v>
      </c>
      <c r="B488" s="37">
        <v>1</v>
      </c>
      <c r="C488" s="16" t="s">
        <v>1592</v>
      </c>
      <c r="D488" s="16" t="s">
        <v>1592</v>
      </c>
      <c r="E488" s="16"/>
      <c r="F488" s="16" t="s">
        <v>3673</v>
      </c>
      <c r="G488" s="16" t="s">
        <v>1591</v>
      </c>
      <c r="H488" s="16" t="s">
        <v>1590</v>
      </c>
      <c r="I488" s="16" t="s">
        <v>379</v>
      </c>
      <c r="J488" s="16">
        <v>0</v>
      </c>
      <c r="K488" s="16">
        <v>4184</v>
      </c>
      <c r="L488" s="16">
        <v>1E-4</v>
      </c>
      <c r="M488" s="16">
        <v>0</v>
      </c>
      <c r="N488">
        <f t="array" aca="1" ref="N488" ca="1">MATCH(TRUE,EXACT(I488,OFFSET(rngParamTypes,0,6,,1)),0)</f>
        <v>154</v>
      </c>
      <c r="O488" t="str">
        <f ca="1">IF((INDEX(rngParamTypes,$N488,7)=I488),"",1)</f>
        <v/>
      </c>
      <c r="P488">
        <f ca="1">INDEX(rngParamTypes,$N488,9)</f>
        <v>1</v>
      </c>
      <c r="Q488">
        <f ca="1">INDEX(rngParamTypes,$N488,10)</f>
        <v>1</v>
      </c>
      <c r="R488">
        <f ca="1">INDEX(rngParamTypes,$N488,11)</f>
        <v>-2</v>
      </c>
      <c r="S488">
        <f ca="1">INDEX(rngParamTypes,$N488,12)</f>
        <v>0</v>
      </c>
      <c r="T488">
        <f ca="1">INDEX(rngParamTypes,$N488,13)</f>
        <v>0</v>
      </c>
      <c r="U488">
        <f ca="1">INDEX(rngParamTypes,$N488,14)</f>
        <v>0</v>
      </c>
      <c r="V488">
        <f ca="1">INDEX(rngParamTypes,$N488,15)</f>
        <v>0</v>
      </c>
      <c r="W488">
        <f ca="1">INDEX(rngParamTypes,$N488,16)</f>
        <v>0</v>
      </c>
      <c r="X488">
        <f ca="1">INDEX(rngParamTypes,$N488,17)</f>
        <v>0</v>
      </c>
      <c r="Y488">
        <f ca="1">INDEX(rngParamTypes,$N488,18)</f>
        <v>0</v>
      </c>
    </row>
    <row r="489" spans="1:25" x14ac:dyDescent="0.2">
      <c r="A489" s="16">
        <v>488</v>
      </c>
      <c r="B489" s="37">
        <v>1</v>
      </c>
      <c r="C489" s="16" t="s">
        <v>1594</v>
      </c>
      <c r="D489" s="16" t="s">
        <v>1594</v>
      </c>
      <c r="E489" s="16"/>
      <c r="F489" s="16" t="s">
        <v>3674</v>
      </c>
      <c r="G489" s="16" t="s">
        <v>3314</v>
      </c>
      <c r="H489" s="16" t="s">
        <v>1593</v>
      </c>
      <c r="I489" s="16" t="s">
        <v>190</v>
      </c>
      <c r="J489" s="16">
        <v>0</v>
      </c>
      <c r="K489" s="16">
        <v>4184</v>
      </c>
      <c r="L489" s="16">
        <v>9.9999999999999995E-7</v>
      </c>
      <c r="M489" s="16">
        <v>0</v>
      </c>
      <c r="N489">
        <f t="array" aca="1" ref="N489" ca="1">MATCH(TRUE,EXACT(I489,OFFSET(rngParamTypes,0,6,,1)),0)</f>
        <v>65</v>
      </c>
      <c r="O489" t="str">
        <f ca="1">IF((INDEX(rngParamTypes,$N489,7)=I489),"",1)</f>
        <v/>
      </c>
      <c r="P489">
        <f ca="1">INDEX(rngParamTypes,$N489,9)</f>
        <v>1</v>
      </c>
      <c r="Q489">
        <f ca="1">INDEX(rngParamTypes,$N489,10)</f>
        <v>-1</v>
      </c>
      <c r="R489">
        <f ca="1">INDEX(rngParamTypes,$N489,11)</f>
        <v>-2</v>
      </c>
      <c r="S489">
        <f ca="1">INDEX(rngParamTypes,$N489,12)</f>
        <v>0</v>
      </c>
      <c r="T489">
        <f ca="1">INDEX(rngParamTypes,$N489,13)</f>
        <v>0</v>
      </c>
      <c r="U489">
        <f ca="1">INDEX(rngParamTypes,$N489,14)</f>
        <v>0</v>
      </c>
      <c r="V489">
        <f ca="1">INDEX(rngParamTypes,$N489,15)</f>
        <v>0</v>
      </c>
      <c r="W489">
        <f ca="1">INDEX(rngParamTypes,$N489,16)</f>
        <v>0</v>
      </c>
      <c r="X489">
        <f ca="1">INDEX(rngParamTypes,$N489,17)</f>
        <v>0</v>
      </c>
      <c r="Y489">
        <f ca="1">INDEX(rngParamTypes,$N489,18)</f>
        <v>0</v>
      </c>
    </row>
    <row r="490" spans="1:25" x14ac:dyDescent="0.2">
      <c r="A490" s="16">
        <v>489</v>
      </c>
      <c r="B490" s="37">
        <v>1</v>
      </c>
      <c r="C490" s="16" t="s">
        <v>1596</v>
      </c>
      <c r="D490" s="16" t="s">
        <v>1596</v>
      </c>
      <c r="E490" s="16">
        <v>2</v>
      </c>
      <c r="F490" s="16" t="s">
        <v>3675</v>
      </c>
      <c r="G490" s="16" t="s">
        <v>174</v>
      </c>
      <c r="H490" s="16" t="s">
        <v>1595</v>
      </c>
      <c r="I490" s="16" t="s">
        <v>175</v>
      </c>
      <c r="J490" s="16">
        <v>0</v>
      </c>
      <c r="K490" s="16">
        <v>4184</v>
      </c>
      <c r="L490" s="16">
        <v>1E-3</v>
      </c>
      <c r="M490" s="16">
        <v>0</v>
      </c>
      <c r="N490">
        <f t="array" aca="1" ref="N490" ca="1">MATCH(TRUE,EXACT(I490,OFFSET(rngParamTypes,0,6,,1)),0)</f>
        <v>62</v>
      </c>
      <c r="O490" t="str">
        <f ca="1">IF((INDEX(rngParamTypes,$N490,7)=I490),"",1)</f>
        <v/>
      </c>
      <c r="P490">
        <f ca="1">INDEX(rngParamTypes,$N490,9)</f>
        <v>0</v>
      </c>
      <c r="Q490">
        <f ca="1">INDEX(rngParamTypes,$N490,10)</f>
        <v>2</v>
      </c>
      <c r="R490">
        <f ca="1">INDEX(rngParamTypes,$N490,11)</f>
        <v>-2</v>
      </c>
      <c r="S490">
        <f ca="1">INDEX(rngParamTypes,$N490,12)</f>
        <v>0</v>
      </c>
      <c r="T490">
        <f ca="1">INDEX(rngParamTypes,$N490,13)</f>
        <v>0</v>
      </c>
      <c r="U490">
        <f ca="1">INDEX(rngParamTypes,$N490,14)</f>
        <v>0</v>
      </c>
      <c r="V490">
        <f ca="1">INDEX(rngParamTypes,$N490,15)</f>
        <v>0</v>
      </c>
      <c r="W490">
        <f ca="1">INDEX(rngParamTypes,$N490,16)</f>
        <v>0</v>
      </c>
      <c r="X490">
        <f ca="1">INDEX(rngParamTypes,$N490,17)</f>
        <v>0</v>
      </c>
      <c r="Y490">
        <f ca="1">INDEX(rngParamTypes,$N490,18)</f>
        <v>0</v>
      </c>
    </row>
    <row r="491" spans="1:25" x14ac:dyDescent="0.2">
      <c r="A491" s="16">
        <v>490</v>
      </c>
      <c r="B491" s="37">
        <v>1</v>
      </c>
      <c r="C491" s="16" t="s">
        <v>1598</v>
      </c>
      <c r="D491" s="16" t="s">
        <v>1598</v>
      </c>
      <c r="E491" s="16">
        <v>2</v>
      </c>
      <c r="F491" s="16" t="s">
        <v>3676</v>
      </c>
      <c r="G491" s="16" t="s">
        <v>531</v>
      </c>
      <c r="H491" s="16" t="s">
        <v>1597</v>
      </c>
      <c r="I491" s="16" t="s">
        <v>533</v>
      </c>
      <c r="J491" s="16">
        <v>0</v>
      </c>
      <c r="K491" s="16">
        <v>1.1622220000000001</v>
      </c>
      <c r="L491" s="16">
        <v>1</v>
      </c>
      <c r="M491" s="16">
        <v>0</v>
      </c>
      <c r="N491">
        <f t="array" aca="1" ref="N491" ca="1">MATCH(TRUE,EXACT(I491,OFFSET(rngParamTypes,0,6,,1)),0)</f>
        <v>211</v>
      </c>
      <c r="O491" t="str">
        <f ca="1">IF((INDEX(rngParamTypes,$N491,7)=I491),"",1)</f>
        <v/>
      </c>
      <c r="P491">
        <f ca="1">INDEX(rngParamTypes,$N491,9)</f>
        <v>1</v>
      </c>
      <c r="Q491">
        <f ca="1">INDEX(rngParamTypes,$N491,10)</f>
        <v>2</v>
      </c>
      <c r="R491">
        <f ca="1">INDEX(rngParamTypes,$N491,11)</f>
        <v>-3</v>
      </c>
      <c r="S491">
        <f ca="1">INDEX(rngParamTypes,$N491,12)</f>
        <v>0</v>
      </c>
      <c r="T491">
        <f ca="1">INDEX(rngParamTypes,$N491,13)</f>
        <v>0</v>
      </c>
      <c r="U491">
        <f ca="1">INDEX(rngParamTypes,$N491,14)</f>
        <v>0</v>
      </c>
      <c r="V491">
        <f ca="1">INDEX(rngParamTypes,$N491,15)</f>
        <v>0</v>
      </c>
      <c r="W491">
        <f ca="1">INDEX(rngParamTypes,$N491,16)</f>
        <v>0</v>
      </c>
      <c r="X491">
        <f ca="1">INDEX(rngParamTypes,$N491,17)</f>
        <v>0</v>
      </c>
      <c r="Y491">
        <f ca="1">INDEX(rngParamTypes,$N491,18)</f>
        <v>0</v>
      </c>
    </row>
    <row r="492" spans="1:25" x14ac:dyDescent="0.2">
      <c r="A492" s="16">
        <v>491</v>
      </c>
      <c r="B492" s="37">
        <v>1</v>
      </c>
      <c r="C492" s="16" t="s">
        <v>1600</v>
      </c>
      <c r="D492" s="16" t="s">
        <v>1600</v>
      </c>
      <c r="E492" s="16"/>
      <c r="F492" s="16" t="s">
        <v>3677</v>
      </c>
      <c r="G492" s="16" t="s">
        <v>540</v>
      </c>
      <c r="H492" s="16" t="s">
        <v>1599</v>
      </c>
      <c r="I492" s="16" t="s">
        <v>541</v>
      </c>
      <c r="J492" s="16">
        <v>0</v>
      </c>
      <c r="K492" s="16">
        <v>1.1622220000000001</v>
      </c>
      <c r="L492" s="16">
        <v>1</v>
      </c>
      <c r="M492" s="16">
        <v>0</v>
      </c>
      <c r="N492">
        <f t="array" aca="1" ref="N492" ca="1">MATCH(TRUE,EXACT(I492,OFFSET(rngParamTypes,0,6,,1)),0)</f>
        <v>214</v>
      </c>
      <c r="O492" t="str">
        <f ca="1">IF((INDEX(rngParamTypes,$N492,7)=I492),"",1)</f>
        <v/>
      </c>
      <c r="P492">
        <f ca="1">INDEX(rngParamTypes,$N492,9)</f>
        <v>1</v>
      </c>
      <c r="Q492">
        <f ca="1">INDEX(rngParamTypes,$N492,10)</f>
        <v>1</v>
      </c>
      <c r="R492">
        <f ca="1">INDEX(rngParamTypes,$N492,11)</f>
        <v>-3</v>
      </c>
      <c r="S492">
        <f ca="1">INDEX(rngParamTypes,$N492,12)</f>
        <v>0</v>
      </c>
      <c r="T492">
        <f ca="1">INDEX(rngParamTypes,$N492,13)</f>
        <v>-1</v>
      </c>
      <c r="U492">
        <f ca="1">INDEX(rngParamTypes,$N492,14)</f>
        <v>0</v>
      </c>
      <c r="V492">
        <f ca="1">INDEX(rngParamTypes,$N492,15)</f>
        <v>0</v>
      </c>
      <c r="W492">
        <f ca="1">INDEX(rngParamTypes,$N492,16)</f>
        <v>0</v>
      </c>
      <c r="X492">
        <f ca="1">INDEX(rngParamTypes,$N492,17)</f>
        <v>0</v>
      </c>
      <c r="Y492">
        <f ca="1">INDEX(rngParamTypes,$N492,18)</f>
        <v>0</v>
      </c>
    </row>
    <row r="493" spans="1:25" x14ac:dyDescent="0.2">
      <c r="A493" s="16">
        <v>492</v>
      </c>
      <c r="B493" s="37">
        <v>1</v>
      </c>
      <c r="C493" s="16" t="s">
        <v>1602</v>
      </c>
      <c r="D493" s="16" t="s">
        <v>1602</v>
      </c>
      <c r="E493" s="16">
        <v>2</v>
      </c>
      <c r="F493" s="16" t="s">
        <v>3678</v>
      </c>
      <c r="G493" s="16" t="s">
        <v>553</v>
      </c>
      <c r="H493" s="16" t="s">
        <v>1601</v>
      </c>
      <c r="I493" s="16" t="s">
        <v>554</v>
      </c>
      <c r="J493" s="16">
        <v>0</v>
      </c>
      <c r="K493" s="16">
        <v>1.1622220000000001</v>
      </c>
      <c r="L493" s="16">
        <v>1</v>
      </c>
      <c r="M493" s="16">
        <v>0</v>
      </c>
      <c r="N493">
        <f t="array" aca="1" ref="N493" ca="1">MATCH(TRUE,EXACT(I493,OFFSET(rngParamTypes,0,6,,1)),0)</f>
        <v>224</v>
      </c>
      <c r="O493" t="str">
        <f ca="1">IF((INDEX(rngParamTypes,$N493,7)=I493),"",1)</f>
        <v/>
      </c>
      <c r="P493">
        <f ca="1">INDEX(rngParamTypes,$N493,9)</f>
        <v>1</v>
      </c>
      <c r="Q493">
        <f ca="1">INDEX(rngParamTypes,$N493,10)</f>
        <v>0</v>
      </c>
      <c r="R493">
        <f ca="1">INDEX(rngParamTypes,$N493,11)</f>
        <v>-3</v>
      </c>
      <c r="S493">
        <f ca="1">INDEX(rngParamTypes,$N493,12)</f>
        <v>0</v>
      </c>
      <c r="T493">
        <f ca="1">INDEX(rngParamTypes,$N493,13)</f>
        <v>-1</v>
      </c>
      <c r="U493">
        <f ca="1">INDEX(rngParamTypes,$N493,14)</f>
        <v>0</v>
      </c>
      <c r="V493">
        <f ca="1">INDEX(rngParamTypes,$N493,15)</f>
        <v>0</v>
      </c>
      <c r="W493">
        <f ca="1">INDEX(rngParamTypes,$N493,16)</f>
        <v>0</v>
      </c>
      <c r="X493">
        <f ca="1">INDEX(rngParamTypes,$N493,17)</f>
        <v>0</v>
      </c>
      <c r="Y493">
        <f ca="1">INDEX(rngParamTypes,$N493,18)</f>
        <v>0</v>
      </c>
    </row>
    <row r="494" spans="1:25" x14ac:dyDescent="0.2">
      <c r="A494" s="16">
        <v>493</v>
      </c>
      <c r="B494" s="37">
        <v>1</v>
      </c>
      <c r="C494" s="16" t="s">
        <v>1604</v>
      </c>
      <c r="D494" s="16" t="s">
        <v>1604</v>
      </c>
      <c r="E494" s="16">
        <v>2</v>
      </c>
      <c r="F494" s="16" t="s">
        <v>3679</v>
      </c>
      <c r="G494" s="16" t="s">
        <v>174</v>
      </c>
      <c r="H494" s="16" t="s">
        <v>1603</v>
      </c>
      <c r="I494" s="16" t="s">
        <v>175</v>
      </c>
      <c r="J494" s="16">
        <v>0</v>
      </c>
      <c r="K494" s="16">
        <v>4184</v>
      </c>
      <c r="L494" s="16">
        <v>1</v>
      </c>
      <c r="M494" s="16">
        <v>0</v>
      </c>
      <c r="N494">
        <f t="array" aca="1" ref="N494" ca="1">MATCH(TRUE,EXACT(I494,OFFSET(rngParamTypes,0,6,,1)),0)</f>
        <v>62</v>
      </c>
      <c r="O494" t="str">
        <f ca="1">IF((INDEX(rngParamTypes,$N494,7)=I494),"",1)</f>
        <v/>
      </c>
      <c r="P494">
        <f ca="1">INDEX(rngParamTypes,$N494,9)</f>
        <v>0</v>
      </c>
      <c r="Q494">
        <f ca="1">INDEX(rngParamTypes,$N494,10)</f>
        <v>2</v>
      </c>
      <c r="R494">
        <f ca="1">INDEX(rngParamTypes,$N494,11)</f>
        <v>-2</v>
      </c>
      <c r="S494">
        <f ca="1">INDEX(rngParamTypes,$N494,12)</f>
        <v>0</v>
      </c>
      <c r="T494">
        <f ca="1">INDEX(rngParamTypes,$N494,13)</f>
        <v>0</v>
      </c>
      <c r="U494">
        <f ca="1">INDEX(rngParamTypes,$N494,14)</f>
        <v>0</v>
      </c>
      <c r="V494">
        <f ca="1">INDEX(rngParamTypes,$N494,15)</f>
        <v>0</v>
      </c>
      <c r="W494">
        <f ca="1">INDEX(rngParamTypes,$N494,16)</f>
        <v>0</v>
      </c>
      <c r="X494">
        <f ca="1">INDEX(rngParamTypes,$N494,17)</f>
        <v>0</v>
      </c>
      <c r="Y494">
        <f ca="1">INDEX(rngParamTypes,$N494,18)</f>
        <v>0</v>
      </c>
    </row>
    <row r="495" spans="1:25" x14ac:dyDescent="0.2">
      <c r="A495" s="16">
        <v>494</v>
      </c>
      <c r="B495" s="37">
        <v>1</v>
      </c>
      <c r="C495" s="16" t="s">
        <v>1606</v>
      </c>
      <c r="D495" s="16" t="s">
        <v>1606</v>
      </c>
      <c r="E495" s="16">
        <v>2</v>
      </c>
      <c r="F495" s="16" t="s">
        <v>3680</v>
      </c>
      <c r="G495" s="16" t="s">
        <v>3330</v>
      </c>
      <c r="H495" s="16" t="s">
        <v>1605</v>
      </c>
      <c r="I495" s="16" t="s">
        <v>179</v>
      </c>
      <c r="J495" s="16">
        <v>0</v>
      </c>
      <c r="K495" s="16">
        <v>4184</v>
      </c>
      <c r="L495" s="16">
        <v>1</v>
      </c>
      <c r="M495" s="16">
        <v>0</v>
      </c>
      <c r="N495">
        <f t="array" aca="1" ref="N495" ca="1">MATCH(TRUE,EXACT(I495,OFFSET(rngParamTypes,0,6,,1)),0)</f>
        <v>63</v>
      </c>
      <c r="O495" t="str">
        <f ca="1">IF((INDEX(rngParamTypes,$N495,7)=I495),"",1)</f>
        <v/>
      </c>
      <c r="P495">
        <f ca="1">INDEX(rngParamTypes,$N495,9)</f>
        <v>0</v>
      </c>
      <c r="Q495">
        <f ca="1">INDEX(rngParamTypes,$N495,10)</f>
        <v>2</v>
      </c>
      <c r="R495">
        <f ca="1">INDEX(rngParamTypes,$N495,11)</f>
        <v>-2</v>
      </c>
      <c r="S495">
        <f ca="1">INDEX(rngParamTypes,$N495,12)</f>
        <v>0</v>
      </c>
      <c r="T495">
        <f ca="1">INDEX(rngParamTypes,$N495,13)</f>
        <v>-1</v>
      </c>
      <c r="U495">
        <f ca="1">INDEX(rngParamTypes,$N495,14)</f>
        <v>0</v>
      </c>
      <c r="V495">
        <f ca="1">INDEX(rngParamTypes,$N495,15)</f>
        <v>0</v>
      </c>
      <c r="W495">
        <f ca="1">INDEX(rngParamTypes,$N495,16)</f>
        <v>0</v>
      </c>
      <c r="X495">
        <f ca="1">INDEX(rngParamTypes,$N495,17)</f>
        <v>0</v>
      </c>
      <c r="Y495">
        <f ca="1">INDEX(rngParamTypes,$N495,18)</f>
        <v>0</v>
      </c>
    </row>
    <row r="496" spans="1:25" x14ac:dyDescent="0.2">
      <c r="A496" s="16">
        <v>495</v>
      </c>
      <c r="B496" s="37">
        <v>1</v>
      </c>
      <c r="C496" s="16" t="s">
        <v>1608</v>
      </c>
      <c r="D496" s="16" t="s">
        <v>1608</v>
      </c>
      <c r="E496" s="16"/>
      <c r="F496" s="16" t="s">
        <v>3681</v>
      </c>
      <c r="G496" s="16" t="s">
        <v>3314</v>
      </c>
      <c r="H496" s="16" t="s">
        <v>1607</v>
      </c>
      <c r="I496" s="16" t="s">
        <v>190</v>
      </c>
      <c r="J496" s="16">
        <v>0</v>
      </c>
      <c r="K496" s="16">
        <v>4184</v>
      </c>
      <c r="L496" s="16">
        <v>1</v>
      </c>
      <c r="M496" s="16">
        <v>0</v>
      </c>
      <c r="N496">
        <f t="array" aca="1" ref="N496" ca="1">MATCH(TRUE,EXACT(I496,OFFSET(rngParamTypes,0,6,,1)),0)</f>
        <v>65</v>
      </c>
      <c r="O496" t="str">
        <f ca="1">IF((INDEX(rngParamTypes,$N496,7)=I496),"",1)</f>
        <v/>
      </c>
      <c r="P496">
        <f ca="1">INDEX(rngParamTypes,$N496,9)</f>
        <v>1</v>
      </c>
      <c r="Q496">
        <f ca="1">INDEX(rngParamTypes,$N496,10)</f>
        <v>-1</v>
      </c>
      <c r="R496">
        <f ca="1">INDEX(rngParamTypes,$N496,11)</f>
        <v>-2</v>
      </c>
      <c r="S496">
        <f ca="1">INDEX(rngParamTypes,$N496,12)</f>
        <v>0</v>
      </c>
      <c r="T496">
        <f ca="1">INDEX(rngParamTypes,$N496,13)</f>
        <v>0</v>
      </c>
      <c r="U496">
        <f ca="1">INDEX(rngParamTypes,$N496,14)</f>
        <v>0</v>
      </c>
      <c r="V496">
        <f ca="1">INDEX(rngParamTypes,$N496,15)</f>
        <v>0</v>
      </c>
      <c r="W496">
        <f ca="1">INDEX(rngParamTypes,$N496,16)</f>
        <v>0</v>
      </c>
      <c r="X496">
        <f ca="1">INDEX(rngParamTypes,$N496,17)</f>
        <v>0</v>
      </c>
      <c r="Y496">
        <f ca="1">INDEX(rngParamTypes,$N496,18)</f>
        <v>0</v>
      </c>
    </row>
    <row r="497" spans="1:25" x14ac:dyDescent="0.2">
      <c r="A497" s="16">
        <v>496</v>
      </c>
      <c r="B497" s="37">
        <v>1</v>
      </c>
      <c r="C497" s="16" t="s">
        <v>1610</v>
      </c>
      <c r="D497" s="16" t="s">
        <v>1610</v>
      </c>
      <c r="E497" s="16"/>
      <c r="F497" s="16" t="s">
        <v>3682</v>
      </c>
      <c r="G497" s="16" t="s">
        <v>3334</v>
      </c>
      <c r="H497" s="16" t="s">
        <v>1609</v>
      </c>
      <c r="I497" s="16" t="s">
        <v>195</v>
      </c>
      <c r="J497" s="16">
        <v>0</v>
      </c>
      <c r="K497" s="16">
        <v>4184</v>
      </c>
      <c r="L497" s="16">
        <v>1</v>
      </c>
      <c r="M497" s="16">
        <v>0</v>
      </c>
      <c r="N497">
        <f t="array" aca="1" ref="N497" ca="1">MATCH(TRUE,EXACT(I497,OFFSET(rngParamTypes,0,6,,1)),0)</f>
        <v>74</v>
      </c>
      <c r="O497" t="str">
        <f ca="1">IF((INDEX(rngParamTypes,$N497,7)=I497),"",1)</f>
        <v/>
      </c>
      <c r="P497">
        <f ca="1">INDEX(rngParamTypes,$N497,9)</f>
        <v>1</v>
      </c>
      <c r="Q497">
        <f ca="1">INDEX(rngParamTypes,$N497,10)</f>
        <v>2</v>
      </c>
      <c r="R497">
        <f ca="1">INDEX(rngParamTypes,$N497,11)</f>
        <v>-2</v>
      </c>
      <c r="S497">
        <f ca="1">INDEX(rngParamTypes,$N497,12)</f>
        <v>0</v>
      </c>
      <c r="T497">
        <f ca="1">INDEX(rngParamTypes,$N497,13)</f>
        <v>0</v>
      </c>
      <c r="U497">
        <f ca="1">INDEX(rngParamTypes,$N497,14)</f>
        <v>-1</v>
      </c>
      <c r="V497">
        <f ca="1">INDEX(rngParamTypes,$N497,15)</f>
        <v>0</v>
      </c>
      <c r="W497">
        <f ca="1">INDEX(rngParamTypes,$N497,16)</f>
        <v>0</v>
      </c>
      <c r="X497">
        <f ca="1">INDEX(rngParamTypes,$N497,17)</f>
        <v>0</v>
      </c>
      <c r="Y497">
        <f ca="1">INDEX(rngParamTypes,$N497,18)</f>
        <v>0</v>
      </c>
    </row>
    <row r="498" spans="1:25" x14ac:dyDescent="0.2">
      <c r="A498" s="16">
        <v>497</v>
      </c>
      <c r="B498" s="37">
        <v>1</v>
      </c>
      <c r="C498" s="16" t="s">
        <v>1611</v>
      </c>
      <c r="D498" s="16" t="s">
        <v>1611</v>
      </c>
      <c r="E498" s="16"/>
      <c r="F498" s="16" t="s">
        <v>4295</v>
      </c>
      <c r="G498" s="16" t="s">
        <v>3334</v>
      </c>
      <c r="H498" s="16" t="s">
        <v>1609</v>
      </c>
      <c r="I498" s="16" t="s">
        <v>195</v>
      </c>
      <c r="J498" s="16">
        <v>0</v>
      </c>
      <c r="K498" s="16">
        <v>4184000</v>
      </c>
      <c r="L498" s="16">
        <v>1</v>
      </c>
      <c r="M498" s="16">
        <v>0</v>
      </c>
      <c r="N498">
        <f t="array" aca="1" ref="N498" ca="1">MATCH(TRUE,EXACT(I498,OFFSET(rngParamTypes,0,6,,1)),0)</f>
        <v>74</v>
      </c>
      <c r="O498" t="str">
        <f ca="1">IF((INDEX(rngParamTypes,$N498,7)=I498),"",1)</f>
        <v/>
      </c>
      <c r="P498">
        <f ca="1">INDEX(rngParamTypes,$N498,9)</f>
        <v>1</v>
      </c>
      <c r="Q498">
        <f ca="1">INDEX(rngParamTypes,$N498,10)</f>
        <v>2</v>
      </c>
      <c r="R498">
        <f ca="1">INDEX(rngParamTypes,$N498,11)</f>
        <v>-2</v>
      </c>
      <c r="S498">
        <f ca="1">INDEX(rngParamTypes,$N498,12)</f>
        <v>0</v>
      </c>
      <c r="T498">
        <f ca="1">INDEX(rngParamTypes,$N498,13)</f>
        <v>0</v>
      </c>
      <c r="U498">
        <f ca="1">INDEX(rngParamTypes,$N498,14)</f>
        <v>-1</v>
      </c>
      <c r="V498">
        <f ca="1">INDEX(rngParamTypes,$N498,15)</f>
        <v>0</v>
      </c>
      <c r="W498">
        <f ca="1">INDEX(rngParamTypes,$N498,16)</f>
        <v>0</v>
      </c>
      <c r="X498">
        <f ca="1">INDEX(rngParamTypes,$N498,17)</f>
        <v>0</v>
      </c>
      <c r="Y498">
        <f ca="1">INDEX(rngParamTypes,$N498,18)</f>
        <v>0</v>
      </c>
    </row>
    <row r="499" spans="1:25" x14ac:dyDescent="0.2">
      <c r="A499" s="16">
        <v>498</v>
      </c>
      <c r="B499" s="37">
        <v>1</v>
      </c>
      <c r="C499" s="16" t="s">
        <v>1613</v>
      </c>
      <c r="D499" s="16" t="s">
        <v>1613</v>
      </c>
      <c r="E499" s="16">
        <v>2</v>
      </c>
      <c r="F499" s="16" t="s">
        <v>3683</v>
      </c>
      <c r="G499" s="16" t="s">
        <v>108</v>
      </c>
      <c r="H499" s="16" t="s">
        <v>1612</v>
      </c>
      <c r="I499" s="16" t="s">
        <v>109</v>
      </c>
      <c r="J499" s="16">
        <v>0</v>
      </c>
      <c r="K499" s="16">
        <v>1000</v>
      </c>
      <c r="L499" s="16">
        <v>1</v>
      </c>
      <c r="M499" s="16">
        <v>0</v>
      </c>
      <c r="N499">
        <f t="array" aca="1" ref="N499" ca="1">MATCH(TRUE,EXACT(I499,OFFSET(rngParamTypes,0,6,,1)),0)</f>
        <v>37</v>
      </c>
      <c r="O499" t="str">
        <f ca="1">IF((INDEX(rngParamTypes,$N499,7)=I499),"",1)</f>
        <v/>
      </c>
      <c r="P499">
        <f ca="1">INDEX(rngParamTypes,$N499,9)</f>
        <v>0</v>
      </c>
      <c r="Q499">
        <f ca="1">INDEX(rngParamTypes,$N499,10)</f>
        <v>0</v>
      </c>
      <c r="R499">
        <f ca="1">INDEX(rngParamTypes,$N499,11)</f>
        <v>0</v>
      </c>
      <c r="S499">
        <f ca="1">INDEX(rngParamTypes,$N499,12)</f>
        <v>0</v>
      </c>
      <c r="T499">
        <f ca="1">INDEX(rngParamTypes,$N499,13)</f>
        <v>0</v>
      </c>
      <c r="U499">
        <f ca="1">INDEX(rngParamTypes,$N499,14)</f>
        <v>0</v>
      </c>
      <c r="V499">
        <f ca="1">INDEX(rngParamTypes,$N499,15)</f>
        <v>1</v>
      </c>
      <c r="W499">
        <f ca="1">INDEX(rngParamTypes,$N499,16)</f>
        <v>0</v>
      </c>
      <c r="X499">
        <f ca="1">INDEX(rngParamTypes,$N499,17)</f>
        <v>0</v>
      </c>
      <c r="Y499">
        <f ca="1">INDEX(rngParamTypes,$N499,18)</f>
        <v>0</v>
      </c>
    </row>
    <row r="500" spans="1:25" x14ac:dyDescent="0.2">
      <c r="A500" s="16">
        <v>499</v>
      </c>
      <c r="B500" s="37">
        <v>1</v>
      </c>
      <c r="C500" s="16" t="s">
        <v>1615</v>
      </c>
      <c r="D500" s="16" t="s">
        <v>1615</v>
      </c>
      <c r="E500" s="16">
        <v>2</v>
      </c>
      <c r="F500" s="16" t="s">
        <v>3684</v>
      </c>
      <c r="G500" s="16" t="s">
        <v>378</v>
      </c>
      <c r="H500" s="16" t="s">
        <v>1614</v>
      </c>
      <c r="I500" s="16" t="s">
        <v>379</v>
      </c>
      <c r="J500" s="16">
        <v>0</v>
      </c>
      <c r="K500" s="16">
        <v>0.01</v>
      </c>
      <c r="L500" s="16">
        <v>1</v>
      </c>
      <c r="M500" s="16">
        <v>0</v>
      </c>
      <c r="N500">
        <f t="array" aca="1" ref="N500" ca="1">MATCH(TRUE,EXACT(I500,OFFSET(rngParamTypes,0,6,,1)),0)</f>
        <v>154</v>
      </c>
      <c r="O500" t="str">
        <f ca="1">IF((INDEX(rngParamTypes,$N500,7)=I500),"",1)</f>
        <v/>
      </c>
      <c r="P500">
        <f ca="1">INDEX(rngParamTypes,$N500,9)</f>
        <v>1</v>
      </c>
      <c r="Q500">
        <f ca="1">INDEX(rngParamTypes,$N500,10)</f>
        <v>1</v>
      </c>
      <c r="R500">
        <f ca="1">INDEX(rngParamTypes,$N500,11)</f>
        <v>-2</v>
      </c>
      <c r="S500">
        <f ca="1">INDEX(rngParamTypes,$N500,12)</f>
        <v>0</v>
      </c>
      <c r="T500">
        <f ca="1">INDEX(rngParamTypes,$N500,13)</f>
        <v>0</v>
      </c>
      <c r="U500">
        <f ca="1">INDEX(rngParamTypes,$N500,14)</f>
        <v>0</v>
      </c>
      <c r="V500">
        <f ca="1">INDEX(rngParamTypes,$N500,15)</f>
        <v>0</v>
      </c>
      <c r="W500">
        <f ca="1">INDEX(rngParamTypes,$N500,16)</f>
        <v>0</v>
      </c>
      <c r="X500">
        <f ca="1">INDEX(rngParamTypes,$N500,17)</f>
        <v>0</v>
      </c>
      <c r="Y500">
        <f ca="1">INDEX(rngParamTypes,$N500,18)</f>
        <v>0</v>
      </c>
    </row>
    <row r="501" spans="1:25" x14ac:dyDescent="0.2">
      <c r="A501" s="16">
        <v>500</v>
      </c>
      <c r="B501" s="37">
        <v>1</v>
      </c>
      <c r="C501" s="16" t="s">
        <v>1617</v>
      </c>
      <c r="D501" s="16" t="s">
        <v>1617</v>
      </c>
      <c r="E501" s="16"/>
      <c r="F501" s="16" t="s">
        <v>3685</v>
      </c>
      <c r="G501" s="16" t="s">
        <v>35</v>
      </c>
      <c r="H501" s="16" t="s">
        <v>1616</v>
      </c>
      <c r="I501" s="16" t="s">
        <v>38</v>
      </c>
      <c r="J501" s="16">
        <v>0</v>
      </c>
      <c r="K501" s="16">
        <v>1000</v>
      </c>
      <c r="L501" s="16">
        <v>1</v>
      </c>
      <c r="M501" s="16">
        <v>0</v>
      </c>
      <c r="N501">
        <f t="array" aca="1" ref="N501" ca="1">MATCH(TRUE,EXACT(I501,OFFSET(rngParamTypes,0,6,,1)),0)</f>
        <v>12</v>
      </c>
      <c r="O501" t="str">
        <f ca="1">IF((INDEX(rngParamTypes,$N501,7)=I501),"",1)</f>
        <v/>
      </c>
      <c r="P501">
        <f ca="1">INDEX(rngParamTypes,$N501,9)</f>
        <v>0</v>
      </c>
      <c r="Q501">
        <f ca="1">INDEX(rngParamTypes,$N501,10)</f>
        <v>0</v>
      </c>
      <c r="R501">
        <f ca="1">INDEX(rngParamTypes,$N501,11)</f>
        <v>-1</v>
      </c>
      <c r="S501">
        <f ca="1">INDEX(rngParamTypes,$N501,12)</f>
        <v>0</v>
      </c>
      <c r="T501">
        <f ca="1">INDEX(rngParamTypes,$N501,13)</f>
        <v>0</v>
      </c>
      <c r="U501">
        <f ca="1">INDEX(rngParamTypes,$N501,14)</f>
        <v>0</v>
      </c>
      <c r="V501">
        <f ca="1">INDEX(rngParamTypes,$N501,15)</f>
        <v>0</v>
      </c>
      <c r="W501">
        <f ca="1">INDEX(rngParamTypes,$N501,16)</f>
        <v>0</v>
      </c>
      <c r="X501">
        <f ca="1">INDEX(rngParamTypes,$N501,17)</f>
        <v>0</v>
      </c>
      <c r="Y501">
        <f ca="1">INDEX(rngParamTypes,$N501,18)</f>
        <v>0</v>
      </c>
    </row>
    <row r="502" spans="1:25" x14ac:dyDescent="0.2">
      <c r="A502" s="16">
        <v>501</v>
      </c>
      <c r="B502" s="37">
        <v>1</v>
      </c>
      <c r="C502" s="16" t="s">
        <v>1619</v>
      </c>
      <c r="D502" s="16" t="s">
        <v>1619</v>
      </c>
      <c r="E502" s="16">
        <v>2</v>
      </c>
      <c r="F502" s="16" t="s">
        <v>3686</v>
      </c>
      <c r="G502" s="16" t="s">
        <v>3267</v>
      </c>
      <c r="H502" s="16" t="s">
        <v>1618</v>
      </c>
      <c r="I502" s="16" t="s">
        <v>168</v>
      </c>
      <c r="J502" s="16">
        <v>0</v>
      </c>
      <c r="K502" s="16">
        <v>1.6021773299999999E-16</v>
      </c>
      <c r="L502" s="16">
        <v>1</v>
      </c>
      <c r="M502" s="16">
        <v>0</v>
      </c>
      <c r="N502">
        <f t="array" aca="1" ref="N502" ca="1">MATCH(TRUE,EXACT(I502,OFFSET(rngParamTypes,0,6,,1)),0)</f>
        <v>56</v>
      </c>
      <c r="O502" t="str">
        <f ca="1">IF((INDEX(rngParamTypes,$N502,7)=I502),"",1)</f>
        <v/>
      </c>
      <c r="P502">
        <f ca="1">INDEX(rngParamTypes,$N502,9)</f>
        <v>1</v>
      </c>
      <c r="Q502">
        <f ca="1">INDEX(rngParamTypes,$N502,10)</f>
        <v>2</v>
      </c>
      <c r="R502">
        <f ca="1">INDEX(rngParamTypes,$N502,11)</f>
        <v>-2</v>
      </c>
      <c r="S502">
        <f ca="1">INDEX(rngParamTypes,$N502,12)</f>
        <v>0</v>
      </c>
      <c r="T502">
        <f ca="1">INDEX(rngParamTypes,$N502,13)</f>
        <v>0</v>
      </c>
      <c r="U502">
        <f ca="1">INDEX(rngParamTypes,$N502,14)</f>
        <v>0</v>
      </c>
      <c r="V502">
        <f ca="1">INDEX(rngParamTypes,$N502,15)</f>
        <v>0</v>
      </c>
      <c r="W502">
        <f ca="1">INDEX(rngParamTypes,$N502,16)</f>
        <v>0</v>
      </c>
      <c r="X502">
        <f ca="1">INDEX(rngParamTypes,$N502,17)</f>
        <v>0</v>
      </c>
      <c r="Y502">
        <f ca="1">INDEX(rngParamTypes,$N502,18)</f>
        <v>0</v>
      </c>
    </row>
    <row r="503" spans="1:25" x14ac:dyDescent="0.2">
      <c r="A503" s="16">
        <v>502</v>
      </c>
      <c r="B503" s="37">
        <v>1</v>
      </c>
      <c r="C503" s="16" t="s">
        <v>1621</v>
      </c>
      <c r="D503" s="16" t="s">
        <v>1621</v>
      </c>
      <c r="E503" s="16"/>
      <c r="F503" s="16" t="s">
        <v>3687</v>
      </c>
      <c r="G503" s="16" t="s">
        <v>3417</v>
      </c>
      <c r="H503" s="16" t="s">
        <v>1620</v>
      </c>
      <c r="I503" s="16" t="s">
        <v>168</v>
      </c>
      <c r="J503" s="16">
        <v>0</v>
      </c>
      <c r="K503" s="16">
        <v>1355818</v>
      </c>
      <c r="L503" s="16">
        <v>1</v>
      </c>
      <c r="M503" s="16">
        <v>0</v>
      </c>
      <c r="N503">
        <f t="array" aca="1" ref="N503" ca="1">MATCH(TRUE,EXACT(I503,OFFSET(rngParamTypes,0,6,,1)),0)</f>
        <v>56</v>
      </c>
      <c r="O503" t="str">
        <f ca="1">IF((INDEX(rngParamTypes,$N503,7)=I503),"",1)</f>
        <v/>
      </c>
      <c r="P503">
        <f ca="1">INDEX(rngParamTypes,$N503,9)</f>
        <v>1</v>
      </c>
      <c r="Q503">
        <f ca="1">INDEX(rngParamTypes,$N503,10)</f>
        <v>2</v>
      </c>
      <c r="R503">
        <f ca="1">INDEX(rngParamTypes,$N503,11)</f>
        <v>-2</v>
      </c>
      <c r="S503">
        <f ca="1">INDEX(rngParamTypes,$N503,12)</f>
        <v>0</v>
      </c>
      <c r="T503">
        <f ca="1">INDEX(rngParamTypes,$N503,13)</f>
        <v>0</v>
      </c>
      <c r="U503">
        <f ca="1">INDEX(rngParamTypes,$N503,14)</f>
        <v>0</v>
      </c>
      <c r="V503">
        <f ca="1">INDEX(rngParamTypes,$N503,15)</f>
        <v>0</v>
      </c>
      <c r="W503">
        <f ca="1">INDEX(rngParamTypes,$N503,16)</f>
        <v>0</v>
      </c>
      <c r="X503">
        <f ca="1">INDEX(rngParamTypes,$N503,17)</f>
        <v>0</v>
      </c>
      <c r="Y503">
        <f ca="1">INDEX(rngParamTypes,$N503,18)</f>
        <v>0</v>
      </c>
    </row>
    <row r="504" spans="1:25" x14ac:dyDescent="0.2">
      <c r="A504" s="16">
        <v>503</v>
      </c>
      <c r="B504" s="37">
        <v>1</v>
      </c>
      <c r="C504" s="16" t="s">
        <v>1623</v>
      </c>
      <c r="D504" s="16" t="s">
        <v>1623</v>
      </c>
      <c r="E504" s="16">
        <v>2</v>
      </c>
      <c r="F504" s="16" t="s">
        <v>3688</v>
      </c>
      <c r="G504" s="16" t="s">
        <v>296</v>
      </c>
      <c r="H504" s="16" t="s">
        <v>1622</v>
      </c>
      <c r="I504" s="16" t="s">
        <v>297</v>
      </c>
      <c r="J504" s="16">
        <v>0</v>
      </c>
      <c r="K504" s="16">
        <v>304.8</v>
      </c>
      <c r="L504" s="16">
        <v>3600</v>
      </c>
      <c r="M504" s="16">
        <v>0</v>
      </c>
      <c r="N504">
        <f t="array" aca="1" ref="N504" ca="1">MATCH(TRUE,EXACT(I504,OFFSET(rngParamTypes,0,6,,1)),0)</f>
        <v>123</v>
      </c>
      <c r="O504" t="str">
        <f ca="1">IF((INDEX(rngParamTypes,$N504,7)=I504),"",1)</f>
        <v/>
      </c>
      <c r="P504">
        <f ca="1">INDEX(rngParamTypes,$N504,9)</f>
        <v>0</v>
      </c>
      <c r="Q504">
        <f ca="1">INDEX(rngParamTypes,$N504,10)</f>
        <v>1</v>
      </c>
      <c r="R504">
        <f ca="1">INDEX(rngParamTypes,$N504,11)</f>
        <v>-1</v>
      </c>
      <c r="S504">
        <f ca="1">INDEX(rngParamTypes,$N504,12)</f>
        <v>0</v>
      </c>
      <c r="T504">
        <f ca="1">INDEX(rngParamTypes,$N504,13)</f>
        <v>0</v>
      </c>
      <c r="U504">
        <f ca="1">INDEX(rngParamTypes,$N504,14)</f>
        <v>0</v>
      </c>
      <c r="V504">
        <f ca="1">INDEX(rngParamTypes,$N504,15)</f>
        <v>0</v>
      </c>
      <c r="W504">
        <f ca="1">INDEX(rngParamTypes,$N504,16)</f>
        <v>0</v>
      </c>
      <c r="X504">
        <f ca="1">INDEX(rngParamTypes,$N504,17)</f>
        <v>0</v>
      </c>
      <c r="Y504">
        <f ca="1">INDEX(rngParamTypes,$N504,18)</f>
        <v>0</v>
      </c>
    </row>
    <row r="505" spans="1:25" x14ac:dyDescent="0.2">
      <c r="A505" s="16">
        <v>504</v>
      </c>
      <c r="B505" s="37">
        <v>1</v>
      </c>
      <c r="C505" s="16" t="s">
        <v>1625</v>
      </c>
      <c r="D505" s="16" t="s">
        <v>1625</v>
      </c>
      <c r="E505" s="16">
        <v>2</v>
      </c>
      <c r="F505" s="16" t="s">
        <v>3689</v>
      </c>
      <c r="G505" s="16" t="s">
        <v>296</v>
      </c>
      <c r="H505" s="16" t="s">
        <v>1624</v>
      </c>
      <c r="I505" s="16" t="s">
        <v>297</v>
      </c>
      <c r="J505" s="16">
        <v>0</v>
      </c>
      <c r="K505" s="16">
        <v>304.8</v>
      </c>
      <c r="L505" s="16">
        <v>1</v>
      </c>
      <c r="M505" s="16">
        <v>0</v>
      </c>
      <c r="N505">
        <f t="array" aca="1" ref="N505" ca="1">MATCH(TRUE,EXACT(I505,OFFSET(rngParamTypes,0,6,,1)),0)</f>
        <v>123</v>
      </c>
      <c r="O505" t="str">
        <f ca="1">IF((INDEX(rngParamTypes,$N505,7)=I505),"",1)</f>
        <v/>
      </c>
      <c r="P505">
        <f ca="1">INDEX(rngParamTypes,$N505,9)</f>
        <v>0</v>
      </c>
      <c r="Q505">
        <f ca="1">INDEX(rngParamTypes,$N505,10)</f>
        <v>1</v>
      </c>
      <c r="R505">
        <f ca="1">INDEX(rngParamTypes,$N505,11)</f>
        <v>-1</v>
      </c>
      <c r="S505">
        <f ca="1">INDEX(rngParamTypes,$N505,12)</f>
        <v>0</v>
      </c>
      <c r="T505">
        <f ca="1">INDEX(rngParamTypes,$N505,13)</f>
        <v>0</v>
      </c>
      <c r="U505">
        <f ca="1">INDEX(rngParamTypes,$N505,14)</f>
        <v>0</v>
      </c>
      <c r="V505">
        <f ca="1">INDEX(rngParamTypes,$N505,15)</f>
        <v>0</v>
      </c>
      <c r="W505">
        <f ca="1">INDEX(rngParamTypes,$N505,16)</f>
        <v>0</v>
      </c>
      <c r="X505">
        <f ca="1">INDEX(rngParamTypes,$N505,17)</f>
        <v>0</v>
      </c>
      <c r="Y505">
        <f ca="1">INDEX(rngParamTypes,$N505,18)</f>
        <v>0</v>
      </c>
    </row>
    <row r="506" spans="1:25" x14ac:dyDescent="0.2">
      <c r="A506" s="16">
        <v>505</v>
      </c>
      <c r="B506" s="37">
        <v>1</v>
      </c>
      <c r="C506" s="16" t="s">
        <v>1627</v>
      </c>
      <c r="D506" s="16" t="s">
        <v>1627</v>
      </c>
      <c r="E506" s="16"/>
      <c r="F506" s="16" t="s">
        <v>3690</v>
      </c>
      <c r="G506" s="16" t="s">
        <v>239</v>
      </c>
      <c r="H506" s="16" t="s">
        <v>1626</v>
      </c>
      <c r="I506" s="16" t="s">
        <v>240</v>
      </c>
      <c r="J506" s="16">
        <v>0</v>
      </c>
      <c r="K506" s="16">
        <v>10000</v>
      </c>
      <c r="L506" s="16">
        <v>1</v>
      </c>
      <c r="M506" s="16">
        <v>0</v>
      </c>
      <c r="N506">
        <f t="array" aca="1" ref="N506" ca="1">MATCH(TRUE,EXACT(I506,OFFSET(rngParamTypes,0,6,,1)),0)</f>
        <v>93</v>
      </c>
      <c r="O506" t="str">
        <f ca="1">IF((INDEX(rngParamTypes,$N506,7)=I506),"",1)</f>
        <v/>
      </c>
      <c r="P506">
        <f ca="1">INDEX(rngParamTypes,$N506,9)</f>
        <v>1</v>
      </c>
      <c r="Q506">
        <f ca="1">INDEX(rngParamTypes,$N506,10)</f>
        <v>-1</v>
      </c>
      <c r="R506">
        <f ca="1">INDEX(rngParamTypes,$N506,11)</f>
        <v>0</v>
      </c>
      <c r="S506">
        <f ca="1">INDEX(rngParamTypes,$N506,12)</f>
        <v>0</v>
      </c>
      <c r="T506">
        <f ca="1">INDEX(rngParamTypes,$N506,13)</f>
        <v>0</v>
      </c>
      <c r="U506">
        <f ca="1">INDEX(rngParamTypes,$N506,14)</f>
        <v>0</v>
      </c>
      <c r="V506">
        <f ca="1">INDEX(rngParamTypes,$N506,15)</f>
        <v>0</v>
      </c>
      <c r="W506">
        <f ca="1">INDEX(rngParamTypes,$N506,16)</f>
        <v>0</v>
      </c>
      <c r="X506">
        <f ca="1">INDEX(rngParamTypes,$N506,17)</f>
        <v>0</v>
      </c>
      <c r="Y506">
        <f ca="1">INDEX(rngParamTypes,$N506,18)</f>
        <v>0</v>
      </c>
    </row>
    <row r="507" spans="1:25" x14ac:dyDescent="0.2">
      <c r="A507" s="16">
        <v>506</v>
      </c>
      <c r="B507" s="37">
        <v>1</v>
      </c>
      <c r="C507" s="16" t="s">
        <v>1629</v>
      </c>
      <c r="D507" s="16" t="s">
        <v>1629</v>
      </c>
      <c r="E507" s="16">
        <v>2</v>
      </c>
      <c r="F507" s="16" t="s">
        <v>3691</v>
      </c>
      <c r="G507" s="16" t="s">
        <v>257</v>
      </c>
      <c r="H507" s="16" t="s">
        <v>1628</v>
      </c>
      <c r="I507" s="16" t="s">
        <v>258</v>
      </c>
      <c r="J507" s="16">
        <v>0</v>
      </c>
      <c r="K507" s="16">
        <v>1</v>
      </c>
      <c r="L507" s="16">
        <v>86400</v>
      </c>
      <c r="M507" s="16">
        <v>0</v>
      </c>
      <c r="N507">
        <f t="array" aca="1" ref="N507" ca="1">MATCH(TRUE,EXACT(I507,OFFSET(rngParamTypes,0,6,,1)),0)</f>
        <v>103</v>
      </c>
      <c r="O507" t="str">
        <f ca="1">IF((INDEX(rngParamTypes,$N507,7)=I507),"",1)</f>
        <v/>
      </c>
      <c r="P507">
        <f ca="1">INDEX(rngParamTypes,$N507,9)</f>
        <v>1</v>
      </c>
      <c r="Q507">
        <f ca="1">INDEX(rngParamTypes,$N507,10)</f>
        <v>0</v>
      </c>
      <c r="R507">
        <f ca="1">INDEX(rngParamTypes,$N507,11)</f>
        <v>-1</v>
      </c>
      <c r="S507">
        <f ca="1">INDEX(rngParamTypes,$N507,12)</f>
        <v>0</v>
      </c>
      <c r="T507">
        <f ca="1">INDEX(rngParamTypes,$N507,13)</f>
        <v>0</v>
      </c>
      <c r="U507">
        <f ca="1">INDEX(rngParamTypes,$N507,14)</f>
        <v>0</v>
      </c>
      <c r="V507">
        <f ca="1">INDEX(rngParamTypes,$N507,15)</f>
        <v>0</v>
      </c>
      <c r="W507">
        <f ca="1">INDEX(rngParamTypes,$N507,16)</f>
        <v>0</v>
      </c>
      <c r="X507">
        <f ca="1">INDEX(rngParamTypes,$N507,17)</f>
        <v>0</v>
      </c>
      <c r="Y507">
        <f ca="1">INDEX(rngParamTypes,$N507,18)</f>
        <v>0</v>
      </c>
    </row>
    <row r="508" spans="1:25" x14ac:dyDescent="0.2">
      <c r="A508" s="16">
        <v>507</v>
      </c>
      <c r="B508" s="37">
        <v>1</v>
      </c>
      <c r="C508" s="16" t="s">
        <v>1631</v>
      </c>
      <c r="D508" s="16" t="s">
        <v>1631</v>
      </c>
      <c r="E508" s="16">
        <v>2</v>
      </c>
      <c r="F508" s="16" t="s">
        <v>3692</v>
      </c>
      <c r="G508" s="16" t="s">
        <v>3253</v>
      </c>
      <c r="H508" s="16" t="s">
        <v>1630</v>
      </c>
      <c r="I508" s="16" t="s">
        <v>252</v>
      </c>
      <c r="J508" s="16">
        <v>0</v>
      </c>
      <c r="K508" s="16">
        <v>1000</v>
      </c>
      <c r="L508" s="16">
        <v>1</v>
      </c>
      <c r="M508" s="16">
        <v>0</v>
      </c>
      <c r="N508">
        <f t="array" aca="1" ref="N508" ca="1">MATCH(TRUE,EXACT(I508,OFFSET(rngParamTypes,0,6,,1)),0)</f>
        <v>99</v>
      </c>
      <c r="O508" t="str">
        <f ca="1">IF((INDEX(rngParamTypes,$N508,7)=I508),"",1)</f>
        <v/>
      </c>
      <c r="P508">
        <f ca="1">INDEX(rngParamTypes,$N508,9)</f>
        <v>1</v>
      </c>
      <c r="Q508">
        <f ca="1">INDEX(rngParamTypes,$N508,10)</f>
        <v>-3</v>
      </c>
      <c r="R508">
        <f ca="1">INDEX(rngParamTypes,$N508,11)</f>
        <v>0</v>
      </c>
      <c r="S508">
        <f ca="1">INDEX(rngParamTypes,$N508,12)</f>
        <v>0</v>
      </c>
      <c r="T508">
        <f ca="1">INDEX(rngParamTypes,$N508,13)</f>
        <v>0</v>
      </c>
      <c r="U508">
        <f ca="1">INDEX(rngParamTypes,$N508,14)</f>
        <v>0</v>
      </c>
      <c r="V508">
        <f ca="1">INDEX(rngParamTypes,$N508,15)</f>
        <v>0</v>
      </c>
      <c r="W508">
        <f ca="1">INDEX(rngParamTypes,$N508,16)</f>
        <v>0</v>
      </c>
      <c r="X508">
        <f ca="1">INDEX(rngParamTypes,$N508,17)</f>
        <v>0</v>
      </c>
      <c r="Y508">
        <f ca="1">INDEX(rngParamTypes,$N508,18)</f>
        <v>0</v>
      </c>
    </row>
    <row r="509" spans="1:25" x14ac:dyDescent="0.2">
      <c r="A509" s="16">
        <v>508</v>
      </c>
      <c r="B509" s="37">
        <v>1</v>
      </c>
      <c r="C509" s="16" t="s">
        <v>1633</v>
      </c>
      <c r="D509" s="16" t="s">
        <v>1633</v>
      </c>
      <c r="E509" s="16"/>
      <c r="F509" s="16" t="s">
        <v>3693</v>
      </c>
      <c r="G509" s="16" t="s">
        <v>254</v>
      </c>
      <c r="H509" s="16" t="s">
        <v>1632</v>
      </c>
      <c r="I509" s="16" t="s">
        <v>255</v>
      </c>
      <c r="J509" s="16">
        <v>0</v>
      </c>
      <c r="K509" s="16">
        <v>10000</v>
      </c>
      <c r="L509" s="16">
        <v>1</v>
      </c>
      <c r="M509" s="16">
        <v>0</v>
      </c>
      <c r="N509">
        <f t="array" aca="1" ref="N509" ca="1">MATCH(TRUE,EXACT(I509,OFFSET(rngParamTypes,0,6,,1)),0)</f>
        <v>102</v>
      </c>
      <c r="O509" t="str">
        <f ca="1">IF((INDEX(rngParamTypes,$N509,7)=I509),"",1)</f>
        <v/>
      </c>
      <c r="P509">
        <f ca="1">INDEX(rngParamTypes,$N509,9)</f>
        <v>1</v>
      </c>
      <c r="Q509">
        <f ca="1">INDEX(rngParamTypes,$N509,10)</f>
        <v>-4</v>
      </c>
      <c r="R509">
        <f ca="1">INDEX(rngParamTypes,$N509,11)</f>
        <v>0</v>
      </c>
      <c r="S509">
        <f ca="1">INDEX(rngParamTypes,$N509,12)</f>
        <v>0</v>
      </c>
      <c r="T509">
        <f ca="1">INDEX(rngParamTypes,$N509,13)</f>
        <v>0</v>
      </c>
      <c r="U509">
        <f ca="1">INDEX(rngParamTypes,$N509,14)</f>
        <v>0</v>
      </c>
      <c r="V509">
        <f ca="1">INDEX(rngParamTypes,$N509,15)</f>
        <v>0</v>
      </c>
      <c r="W509">
        <f ca="1">INDEX(rngParamTypes,$N509,16)</f>
        <v>0</v>
      </c>
      <c r="X509">
        <f ca="1">INDEX(rngParamTypes,$N509,17)</f>
        <v>0</v>
      </c>
      <c r="Y509">
        <f ca="1">INDEX(rngParamTypes,$N509,18)</f>
        <v>0</v>
      </c>
    </row>
    <row r="510" spans="1:25" x14ac:dyDescent="0.2">
      <c r="A510" s="16">
        <v>509</v>
      </c>
      <c r="B510" s="37">
        <v>1</v>
      </c>
      <c r="C510" s="16" t="s">
        <v>1635</v>
      </c>
      <c r="D510" s="16" t="s">
        <v>1635</v>
      </c>
      <c r="E510" s="16">
        <v>2</v>
      </c>
      <c r="F510" s="16" t="s">
        <v>3694</v>
      </c>
      <c r="G510" s="16" t="s">
        <v>257</v>
      </c>
      <c r="H510" s="16" t="s">
        <v>1634</v>
      </c>
      <c r="I510" s="16" t="s">
        <v>258</v>
      </c>
      <c r="J510" s="16">
        <v>0</v>
      </c>
      <c r="K510" s="16">
        <v>1</v>
      </c>
      <c r="L510" s="16">
        <v>3600</v>
      </c>
      <c r="M510" s="16">
        <v>0</v>
      </c>
      <c r="N510">
        <f t="array" aca="1" ref="N510" ca="1">MATCH(TRUE,EXACT(I510,OFFSET(rngParamTypes,0,6,,1)),0)</f>
        <v>103</v>
      </c>
      <c r="O510" t="str">
        <f ca="1">IF((INDEX(rngParamTypes,$N510,7)=I510),"",1)</f>
        <v/>
      </c>
      <c r="P510">
        <f ca="1">INDEX(rngParamTypes,$N510,9)</f>
        <v>1</v>
      </c>
      <c r="Q510">
        <f ca="1">INDEX(rngParamTypes,$N510,10)</f>
        <v>0</v>
      </c>
      <c r="R510">
        <f ca="1">INDEX(rngParamTypes,$N510,11)</f>
        <v>-1</v>
      </c>
      <c r="S510">
        <f ca="1">INDEX(rngParamTypes,$N510,12)</f>
        <v>0</v>
      </c>
      <c r="T510">
        <f ca="1">INDEX(rngParamTypes,$N510,13)</f>
        <v>0</v>
      </c>
      <c r="U510">
        <f ca="1">INDEX(rngParamTypes,$N510,14)</f>
        <v>0</v>
      </c>
      <c r="V510">
        <f ca="1">INDEX(rngParamTypes,$N510,15)</f>
        <v>0</v>
      </c>
      <c r="W510">
        <f ca="1">INDEX(rngParamTypes,$N510,16)</f>
        <v>0</v>
      </c>
      <c r="X510">
        <f ca="1">INDEX(rngParamTypes,$N510,17)</f>
        <v>0</v>
      </c>
      <c r="Y510">
        <f ca="1">INDEX(rngParamTypes,$N510,18)</f>
        <v>0</v>
      </c>
    </row>
    <row r="511" spans="1:25" x14ac:dyDescent="0.2">
      <c r="A511" s="16">
        <v>510</v>
      </c>
      <c r="B511" s="37">
        <v>1</v>
      </c>
      <c r="C511" s="16" t="s">
        <v>1637</v>
      </c>
      <c r="D511" s="16" t="s">
        <v>1637</v>
      </c>
      <c r="E511" s="16"/>
      <c r="F511" s="16" t="s">
        <v>3695</v>
      </c>
      <c r="G511" s="16" t="s">
        <v>127</v>
      </c>
      <c r="H511" s="16" t="s">
        <v>1636</v>
      </c>
      <c r="I511" s="16" t="s">
        <v>131</v>
      </c>
      <c r="J511" s="16">
        <v>0</v>
      </c>
      <c r="K511" s="16">
        <v>1</v>
      </c>
      <c r="L511" s="16">
        <v>1</v>
      </c>
      <c r="M511" s="16">
        <v>0</v>
      </c>
      <c r="N511">
        <f t="array" aca="1" ref="N511" ca="1">MATCH(TRUE,EXACT(I511,OFFSET(rngParamTypes,0,6,,1)),0)</f>
        <v>42</v>
      </c>
      <c r="O511" t="str">
        <f ca="1">IF((INDEX(rngParamTypes,$N511,7)=I511),"",1)</f>
        <v/>
      </c>
      <c r="P511">
        <f ca="1">INDEX(rngParamTypes,$N511,9)</f>
        <v>0</v>
      </c>
      <c r="Q511">
        <f ca="1">INDEX(rngParamTypes,$N511,10)</f>
        <v>0</v>
      </c>
      <c r="R511">
        <f ca="1">INDEX(rngParamTypes,$N511,11)</f>
        <v>0</v>
      </c>
      <c r="S511">
        <f ca="1">INDEX(rngParamTypes,$N511,12)</f>
        <v>0</v>
      </c>
      <c r="T511">
        <f ca="1">INDEX(rngParamTypes,$N511,13)</f>
        <v>0</v>
      </c>
      <c r="U511">
        <f ca="1">INDEX(rngParamTypes,$N511,14)</f>
        <v>0</v>
      </c>
      <c r="V511">
        <f ca="1">INDEX(rngParamTypes,$N511,15)</f>
        <v>0</v>
      </c>
      <c r="W511">
        <f ca="1">INDEX(rngParamTypes,$N511,16)</f>
        <v>0</v>
      </c>
      <c r="X511">
        <f ca="1">INDEX(rngParamTypes,$N511,17)</f>
        <v>0</v>
      </c>
      <c r="Y511">
        <f ca="1">INDEX(rngParamTypes,$N511,18)</f>
        <v>0</v>
      </c>
    </row>
    <row r="512" spans="1:25" x14ac:dyDescent="0.2">
      <c r="A512" s="16">
        <v>511</v>
      </c>
      <c r="B512" s="37">
        <v>1</v>
      </c>
      <c r="C512" s="16" t="s">
        <v>1639</v>
      </c>
      <c r="D512" s="16" t="s">
        <v>1639</v>
      </c>
      <c r="E512" s="16"/>
      <c r="F512" s="16" t="s">
        <v>3696</v>
      </c>
      <c r="G512" s="16" t="s">
        <v>234</v>
      </c>
      <c r="H512" s="16" t="s">
        <v>1638</v>
      </c>
      <c r="I512" s="16" t="s">
        <v>235</v>
      </c>
      <c r="J512" s="16">
        <v>0</v>
      </c>
      <c r="K512" s="16">
        <v>1</v>
      </c>
      <c r="L512" s="16">
        <v>3600000</v>
      </c>
      <c r="M512" s="16">
        <v>0</v>
      </c>
      <c r="N512">
        <f t="array" aca="1" ref="N512" ca="1">MATCH(TRUE,EXACT(I512,OFFSET(rngParamTypes,0,6,,1)),0)</f>
        <v>92</v>
      </c>
      <c r="O512" t="str">
        <f ca="1">IF((INDEX(rngParamTypes,$N512,7)=I512),"",1)</f>
        <v/>
      </c>
      <c r="P512">
        <f ca="1">INDEX(rngParamTypes,$N512,9)</f>
        <v>0</v>
      </c>
      <c r="Q512">
        <f ca="1">INDEX(rngParamTypes,$N512,10)</f>
        <v>-2</v>
      </c>
      <c r="R512">
        <f ca="1">INDEX(rngParamTypes,$N512,11)</f>
        <v>2</v>
      </c>
      <c r="S512">
        <f ca="1">INDEX(rngParamTypes,$N512,12)</f>
        <v>0</v>
      </c>
      <c r="T512">
        <f ca="1">INDEX(rngParamTypes,$N512,13)</f>
        <v>0</v>
      </c>
      <c r="U512">
        <f ca="1">INDEX(rngParamTypes,$N512,14)</f>
        <v>0</v>
      </c>
      <c r="V512">
        <f ca="1">INDEX(rngParamTypes,$N512,15)</f>
        <v>0</v>
      </c>
      <c r="W512">
        <f ca="1">INDEX(rngParamTypes,$N512,16)</f>
        <v>0</v>
      </c>
      <c r="X512">
        <f ca="1">INDEX(rngParamTypes,$N512,17)</f>
        <v>0</v>
      </c>
      <c r="Y512">
        <f ca="1">INDEX(rngParamTypes,$N512,18)</f>
        <v>0</v>
      </c>
    </row>
    <row r="513" spans="1:25" x14ac:dyDescent="0.2">
      <c r="A513" s="16">
        <v>512</v>
      </c>
      <c r="B513" s="37">
        <v>1</v>
      </c>
      <c r="C513" s="16" t="s">
        <v>1641</v>
      </c>
      <c r="D513" s="16" t="s">
        <v>1641</v>
      </c>
      <c r="E513" s="16">
        <v>2</v>
      </c>
      <c r="F513" s="16" t="s">
        <v>3697</v>
      </c>
      <c r="G513" s="16" t="s">
        <v>3253</v>
      </c>
      <c r="H513" s="16" t="s">
        <v>1640</v>
      </c>
      <c r="I513" s="16" t="s">
        <v>252</v>
      </c>
      <c r="J513" s="16">
        <v>0</v>
      </c>
      <c r="K513" s="16">
        <v>1000</v>
      </c>
      <c r="L513" s="16">
        <v>1</v>
      </c>
      <c r="M513" s="16">
        <v>0</v>
      </c>
      <c r="N513">
        <f t="array" aca="1" ref="N513" ca="1">MATCH(TRUE,EXACT(I513,OFFSET(rngParamTypes,0,6,,1)),0)</f>
        <v>99</v>
      </c>
      <c r="O513" t="str">
        <f ca="1">IF((INDEX(rngParamTypes,$N513,7)=I513),"",1)</f>
        <v/>
      </c>
      <c r="P513">
        <f ca="1">INDEX(rngParamTypes,$N513,9)</f>
        <v>1</v>
      </c>
      <c r="Q513">
        <f ca="1">INDEX(rngParamTypes,$N513,10)</f>
        <v>-3</v>
      </c>
      <c r="R513">
        <f ca="1">INDEX(rngParamTypes,$N513,11)</f>
        <v>0</v>
      </c>
      <c r="S513">
        <f ca="1">INDEX(rngParamTypes,$N513,12)</f>
        <v>0</v>
      </c>
      <c r="T513">
        <f ca="1">INDEX(rngParamTypes,$N513,13)</f>
        <v>0</v>
      </c>
      <c r="U513">
        <f ca="1">INDEX(rngParamTypes,$N513,14)</f>
        <v>0</v>
      </c>
      <c r="V513">
        <f ca="1">INDEX(rngParamTypes,$N513,15)</f>
        <v>0</v>
      </c>
      <c r="W513">
        <f ca="1">INDEX(rngParamTypes,$N513,16)</f>
        <v>0</v>
      </c>
      <c r="X513">
        <f ca="1">INDEX(rngParamTypes,$N513,17)</f>
        <v>0</v>
      </c>
      <c r="Y513">
        <f ca="1">INDEX(rngParamTypes,$N513,18)</f>
        <v>0</v>
      </c>
    </row>
    <row r="514" spans="1:25" x14ac:dyDescent="0.2">
      <c r="A514" s="16">
        <v>513</v>
      </c>
      <c r="B514" s="37">
        <v>1</v>
      </c>
      <c r="C514" s="16" t="s">
        <v>1643</v>
      </c>
      <c r="D514" s="16" t="s">
        <v>1643</v>
      </c>
      <c r="E514" s="16"/>
      <c r="F514" s="16" t="s">
        <v>3698</v>
      </c>
      <c r="G514" s="16" t="s">
        <v>420</v>
      </c>
      <c r="H514" s="16" t="s">
        <v>1642</v>
      </c>
      <c r="I514" s="16" t="s">
        <v>421</v>
      </c>
      <c r="J514" s="16">
        <v>0</v>
      </c>
      <c r="K514" s="16">
        <v>1</v>
      </c>
      <c r="L514" s="16">
        <v>1</v>
      </c>
      <c r="M514" s="16">
        <v>0</v>
      </c>
      <c r="N514">
        <f t="array" aca="1" ref="N514" ca="1">MATCH(TRUE,EXACT(I514,OFFSET(rngParamTypes,0,6,,1)),0)</f>
        <v>169</v>
      </c>
      <c r="O514" t="str">
        <f ca="1">IF((INDEX(rngParamTypes,$N514,7)=I514),"",1)</f>
        <v/>
      </c>
      <c r="P514">
        <f ca="1">INDEX(rngParamTypes,$N514,9)</f>
        <v>1</v>
      </c>
      <c r="Q514">
        <f ca="1">INDEX(rngParamTypes,$N514,10)</f>
        <v>-1</v>
      </c>
      <c r="R514">
        <f ca="1">INDEX(rngParamTypes,$N514,11)</f>
        <v>-1</v>
      </c>
      <c r="S514">
        <f ca="1">INDEX(rngParamTypes,$N514,12)</f>
        <v>0</v>
      </c>
      <c r="T514">
        <f ca="1">INDEX(rngParamTypes,$N514,13)</f>
        <v>0</v>
      </c>
      <c r="U514">
        <f ca="1">INDEX(rngParamTypes,$N514,14)</f>
        <v>0</v>
      </c>
      <c r="V514">
        <f ca="1">INDEX(rngParamTypes,$N514,15)</f>
        <v>0</v>
      </c>
      <c r="W514">
        <f ca="1">INDEX(rngParamTypes,$N514,16)</f>
        <v>0</v>
      </c>
      <c r="X514">
        <f ca="1">INDEX(rngParamTypes,$N514,17)</f>
        <v>0</v>
      </c>
      <c r="Y514">
        <f ca="1">INDEX(rngParamTypes,$N514,18)</f>
        <v>0</v>
      </c>
    </row>
    <row r="515" spans="1:25" x14ac:dyDescent="0.2">
      <c r="A515" s="16">
        <v>514</v>
      </c>
      <c r="B515" s="37">
        <v>1</v>
      </c>
      <c r="C515" s="16" t="s">
        <v>1645</v>
      </c>
      <c r="D515" s="16" t="s">
        <v>1645</v>
      </c>
      <c r="E515" s="16">
        <v>2</v>
      </c>
      <c r="F515" s="16" t="s">
        <v>3699</v>
      </c>
      <c r="G515" s="16" t="s">
        <v>257</v>
      </c>
      <c r="H515" s="16" t="s">
        <v>1644</v>
      </c>
      <c r="I515" s="16" t="s">
        <v>258</v>
      </c>
      <c r="J515" s="16">
        <v>0</v>
      </c>
      <c r="K515" s="16">
        <v>1</v>
      </c>
      <c r="L515" s="16">
        <v>60</v>
      </c>
      <c r="M515" s="16">
        <v>0</v>
      </c>
      <c r="N515">
        <f t="array" aca="1" ref="N515" ca="1">MATCH(TRUE,EXACT(I515,OFFSET(rngParamTypes,0,6,,1)),0)</f>
        <v>103</v>
      </c>
      <c r="O515" t="str">
        <f ca="1">IF((INDEX(rngParamTypes,$N515,7)=I515),"",1)</f>
        <v/>
      </c>
      <c r="P515">
        <f ca="1">INDEX(rngParamTypes,$N515,9)</f>
        <v>1</v>
      </c>
      <c r="Q515">
        <f ca="1">INDEX(rngParamTypes,$N515,10)</f>
        <v>0</v>
      </c>
      <c r="R515">
        <f ca="1">INDEX(rngParamTypes,$N515,11)</f>
        <v>-1</v>
      </c>
      <c r="S515">
        <f ca="1">INDEX(rngParamTypes,$N515,12)</f>
        <v>0</v>
      </c>
      <c r="T515">
        <f ca="1">INDEX(rngParamTypes,$N515,13)</f>
        <v>0</v>
      </c>
      <c r="U515">
        <f ca="1">INDEX(rngParamTypes,$N515,14)</f>
        <v>0</v>
      </c>
      <c r="V515">
        <f ca="1">INDEX(rngParamTypes,$N515,15)</f>
        <v>0</v>
      </c>
      <c r="W515">
        <f ca="1">INDEX(rngParamTypes,$N515,16)</f>
        <v>0</v>
      </c>
      <c r="X515">
        <f ca="1">INDEX(rngParamTypes,$N515,17)</f>
        <v>0</v>
      </c>
      <c r="Y515">
        <f ca="1">INDEX(rngParamTypes,$N515,18)</f>
        <v>0</v>
      </c>
    </row>
    <row r="516" spans="1:25" x14ac:dyDescent="0.2">
      <c r="A516" s="16">
        <v>515</v>
      </c>
      <c r="B516" s="37">
        <v>1</v>
      </c>
      <c r="C516" s="16" t="s">
        <v>1647</v>
      </c>
      <c r="D516" s="16" t="s">
        <v>1647</v>
      </c>
      <c r="E516" s="16"/>
      <c r="F516" s="16" t="s">
        <v>3700</v>
      </c>
      <c r="G516" s="16" t="s">
        <v>234</v>
      </c>
      <c r="H516" s="16" t="s">
        <v>1646</v>
      </c>
      <c r="I516" s="16" t="s">
        <v>235</v>
      </c>
      <c r="J516" s="16">
        <v>0</v>
      </c>
      <c r="K516" s="16">
        <v>9.9999999999999995E-7</v>
      </c>
      <c r="L516" s="16">
        <v>1</v>
      </c>
      <c r="M516" s="16">
        <v>0</v>
      </c>
      <c r="N516">
        <f t="array" aca="1" ref="N516" ca="1">MATCH(TRUE,EXACT(I516,OFFSET(rngParamTypes,0,6,,1)),0)</f>
        <v>92</v>
      </c>
      <c r="O516" t="str">
        <f ca="1">IF((INDEX(rngParamTypes,$N516,7)=I516),"",1)</f>
        <v/>
      </c>
      <c r="P516">
        <f ca="1">INDEX(rngParamTypes,$N516,9)</f>
        <v>0</v>
      </c>
      <c r="Q516">
        <f ca="1">INDEX(rngParamTypes,$N516,10)</f>
        <v>-2</v>
      </c>
      <c r="R516">
        <f ca="1">INDEX(rngParamTypes,$N516,11)</f>
        <v>2</v>
      </c>
      <c r="S516">
        <f ca="1">INDEX(rngParamTypes,$N516,12)</f>
        <v>0</v>
      </c>
      <c r="T516">
        <f ca="1">INDEX(rngParamTypes,$N516,13)</f>
        <v>0</v>
      </c>
      <c r="U516">
        <f ca="1">INDEX(rngParamTypes,$N516,14)</f>
        <v>0</v>
      </c>
      <c r="V516">
        <f ca="1">INDEX(rngParamTypes,$N516,15)</f>
        <v>0</v>
      </c>
      <c r="W516">
        <f ca="1">INDEX(rngParamTypes,$N516,16)</f>
        <v>0</v>
      </c>
      <c r="X516">
        <f ca="1">INDEX(rngParamTypes,$N516,17)</f>
        <v>0</v>
      </c>
      <c r="Y516">
        <f ca="1">INDEX(rngParamTypes,$N516,18)</f>
        <v>0</v>
      </c>
    </row>
    <row r="517" spans="1:25" x14ac:dyDescent="0.2">
      <c r="A517" s="16">
        <v>516</v>
      </c>
      <c r="B517" s="37">
        <v>1</v>
      </c>
      <c r="C517" s="16" t="s">
        <v>1649</v>
      </c>
      <c r="D517" s="16" t="s">
        <v>1649</v>
      </c>
      <c r="E517" s="16"/>
      <c r="F517" s="16" t="s">
        <v>4385</v>
      </c>
      <c r="G517" s="16" t="s">
        <v>127</v>
      </c>
      <c r="H517" s="16" t="s">
        <v>1648</v>
      </c>
      <c r="I517" s="16" t="s">
        <v>131</v>
      </c>
      <c r="J517" s="16">
        <v>0</v>
      </c>
      <c r="K517" s="16">
        <v>1</v>
      </c>
      <c r="L517" s="16">
        <v>42.637689999999999</v>
      </c>
      <c r="M517" s="16">
        <v>0</v>
      </c>
      <c r="N517">
        <f t="array" aca="1" ref="N517" ca="1">MATCH(TRUE,EXACT(I517,OFFSET(rngParamTypes,0,6,,1)),0)</f>
        <v>42</v>
      </c>
      <c r="O517" t="str">
        <f ca="1">IF((INDEX(rngParamTypes,$N517,7)=I517),"",1)</f>
        <v/>
      </c>
      <c r="P517">
        <f ca="1">INDEX(rngParamTypes,$N517,9)</f>
        <v>0</v>
      </c>
      <c r="Q517">
        <f ca="1">INDEX(rngParamTypes,$N517,10)</f>
        <v>0</v>
      </c>
      <c r="R517">
        <f ca="1">INDEX(rngParamTypes,$N517,11)</f>
        <v>0</v>
      </c>
      <c r="S517">
        <f ca="1">INDEX(rngParamTypes,$N517,12)</f>
        <v>0</v>
      </c>
      <c r="T517">
        <f ca="1">INDEX(rngParamTypes,$N517,13)</f>
        <v>0</v>
      </c>
      <c r="U517">
        <f ca="1">INDEX(rngParamTypes,$N517,14)</f>
        <v>0</v>
      </c>
      <c r="V517">
        <f ca="1">INDEX(rngParamTypes,$N517,15)</f>
        <v>0</v>
      </c>
      <c r="W517">
        <f ca="1">INDEX(rngParamTypes,$N517,16)</f>
        <v>0</v>
      </c>
      <c r="X517">
        <f ca="1">INDEX(rngParamTypes,$N517,17)</f>
        <v>0</v>
      </c>
      <c r="Y517">
        <f ca="1">INDEX(rngParamTypes,$N517,18)</f>
        <v>0</v>
      </c>
    </row>
    <row r="518" spans="1:25" x14ac:dyDescent="0.2">
      <c r="A518" s="16">
        <v>517</v>
      </c>
      <c r="B518" s="37">
        <v>1</v>
      </c>
      <c r="C518" s="16" t="s">
        <v>1651</v>
      </c>
      <c r="D518" s="16" t="s">
        <v>1651</v>
      </c>
      <c r="E518" s="16">
        <v>2</v>
      </c>
      <c r="F518" s="16" t="s">
        <v>3701</v>
      </c>
      <c r="G518" s="16" t="s">
        <v>378</v>
      </c>
      <c r="H518" s="16" t="s">
        <v>1650</v>
      </c>
      <c r="I518" s="16" t="s">
        <v>379</v>
      </c>
      <c r="J518" s="16">
        <v>0</v>
      </c>
      <c r="K518" s="16">
        <v>9.8066499999999994</v>
      </c>
      <c r="L518" s="16">
        <v>1</v>
      </c>
      <c r="M518" s="16">
        <v>0</v>
      </c>
      <c r="N518">
        <f t="array" aca="1" ref="N518" ca="1">MATCH(TRUE,EXACT(I518,OFFSET(rngParamTypes,0,6,,1)),0)</f>
        <v>154</v>
      </c>
      <c r="O518" t="str">
        <f ca="1">IF((INDEX(rngParamTypes,$N518,7)=I518),"",1)</f>
        <v/>
      </c>
      <c r="P518">
        <f ca="1">INDEX(rngParamTypes,$N518,9)</f>
        <v>1</v>
      </c>
      <c r="Q518">
        <f ca="1">INDEX(rngParamTypes,$N518,10)</f>
        <v>1</v>
      </c>
      <c r="R518">
        <f ca="1">INDEX(rngParamTypes,$N518,11)</f>
        <v>-2</v>
      </c>
      <c r="S518">
        <f ca="1">INDEX(rngParamTypes,$N518,12)</f>
        <v>0</v>
      </c>
      <c r="T518">
        <f ca="1">INDEX(rngParamTypes,$N518,13)</f>
        <v>0</v>
      </c>
      <c r="U518">
        <f ca="1">INDEX(rngParamTypes,$N518,14)</f>
        <v>0</v>
      </c>
      <c r="V518">
        <f ca="1">INDEX(rngParamTypes,$N518,15)</f>
        <v>0</v>
      </c>
      <c r="W518">
        <f ca="1">INDEX(rngParamTypes,$N518,16)</f>
        <v>0</v>
      </c>
      <c r="X518">
        <f ca="1">INDEX(rngParamTypes,$N518,17)</f>
        <v>0</v>
      </c>
      <c r="Y518">
        <f ca="1">INDEX(rngParamTypes,$N518,18)</f>
        <v>0</v>
      </c>
    </row>
    <row r="519" spans="1:25" x14ac:dyDescent="0.2">
      <c r="A519" s="16">
        <v>518</v>
      </c>
      <c r="B519" s="37">
        <v>1</v>
      </c>
      <c r="C519" s="16" t="s">
        <v>1653</v>
      </c>
      <c r="D519" s="16" t="s">
        <v>1653</v>
      </c>
      <c r="E519" s="16"/>
      <c r="F519" s="16" t="s">
        <v>3702</v>
      </c>
      <c r="G519" s="16" t="s">
        <v>3417</v>
      </c>
      <c r="H519" s="16" t="s">
        <v>1652</v>
      </c>
      <c r="I519" s="16" t="s">
        <v>168</v>
      </c>
      <c r="J519" s="16">
        <v>0</v>
      </c>
      <c r="K519" s="16">
        <v>9.8066499999999994</v>
      </c>
      <c r="L519" s="16">
        <v>1</v>
      </c>
      <c r="M519" s="16">
        <v>0</v>
      </c>
      <c r="N519">
        <f t="array" aca="1" ref="N519" ca="1">MATCH(TRUE,EXACT(I519,OFFSET(rngParamTypes,0,6,,1)),0)</f>
        <v>56</v>
      </c>
      <c r="O519" t="str">
        <f ca="1">IF((INDEX(rngParamTypes,$N519,7)=I519),"",1)</f>
        <v/>
      </c>
      <c r="P519">
        <f ca="1">INDEX(rngParamTypes,$N519,9)</f>
        <v>1</v>
      </c>
      <c r="Q519">
        <f ca="1">INDEX(rngParamTypes,$N519,10)</f>
        <v>2</v>
      </c>
      <c r="R519">
        <f ca="1">INDEX(rngParamTypes,$N519,11)</f>
        <v>-2</v>
      </c>
      <c r="S519">
        <f ca="1">INDEX(rngParamTypes,$N519,12)</f>
        <v>0</v>
      </c>
      <c r="T519">
        <f ca="1">INDEX(rngParamTypes,$N519,13)</f>
        <v>0</v>
      </c>
      <c r="U519">
        <f ca="1">INDEX(rngParamTypes,$N519,14)</f>
        <v>0</v>
      </c>
      <c r="V519">
        <f ca="1">INDEX(rngParamTypes,$N519,15)</f>
        <v>0</v>
      </c>
      <c r="W519">
        <f ca="1">INDEX(rngParamTypes,$N519,16)</f>
        <v>0</v>
      </c>
      <c r="X519">
        <f ca="1">INDEX(rngParamTypes,$N519,17)</f>
        <v>0</v>
      </c>
      <c r="Y519">
        <f ca="1">INDEX(rngParamTypes,$N519,18)</f>
        <v>0</v>
      </c>
    </row>
    <row r="520" spans="1:25" x14ac:dyDescent="0.2">
      <c r="A520" s="16">
        <v>519</v>
      </c>
      <c r="B520" s="37">
        <v>1</v>
      </c>
      <c r="C520" s="16" t="s">
        <v>1655</v>
      </c>
      <c r="D520" s="16" t="s">
        <v>1655</v>
      </c>
      <c r="E520" s="16"/>
      <c r="F520" s="16" t="s">
        <v>3703</v>
      </c>
      <c r="G520" s="16" t="s">
        <v>386</v>
      </c>
      <c r="H520" s="16" t="s">
        <v>1654</v>
      </c>
      <c r="I520" s="16" t="s">
        <v>387</v>
      </c>
      <c r="J520" s="16">
        <v>0</v>
      </c>
      <c r="K520" s="16">
        <v>98066.5</v>
      </c>
      <c r="L520" s="16">
        <v>1</v>
      </c>
      <c r="M520" s="16">
        <v>0</v>
      </c>
      <c r="N520">
        <f t="array" aca="1" ref="N520" ca="1">MATCH(TRUE,EXACT(I520,OFFSET(rngParamTypes,0,6,,1)),0)</f>
        <v>156</v>
      </c>
      <c r="O520" t="str">
        <f ca="1">IF((INDEX(rngParamTypes,$N520,7)=I520),"",1)</f>
        <v/>
      </c>
      <c r="P520">
        <f ca="1">INDEX(rngParamTypes,$N520,9)</f>
        <v>1</v>
      </c>
      <c r="Q520">
        <f ca="1">INDEX(rngParamTypes,$N520,10)</f>
        <v>0</v>
      </c>
      <c r="R520">
        <f ca="1">INDEX(rngParamTypes,$N520,11)</f>
        <v>-2</v>
      </c>
      <c r="S520">
        <f ca="1">INDEX(rngParamTypes,$N520,12)</f>
        <v>0</v>
      </c>
      <c r="T520">
        <f ca="1">INDEX(rngParamTypes,$N520,13)</f>
        <v>0</v>
      </c>
      <c r="U520">
        <f ca="1">INDEX(rngParamTypes,$N520,14)</f>
        <v>0</v>
      </c>
      <c r="V520">
        <f ca="1">INDEX(rngParamTypes,$N520,15)</f>
        <v>0</v>
      </c>
      <c r="W520">
        <f ca="1">INDEX(rngParamTypes,$N520,16)</f>
        <v>0</v>
      </c>
      <c r="X520">
        <f ca="1">INDEX(rngParamTypes,$N520,17)</f>
        <v>0</v>
      </c>
      <c r="Y520">
        <f ca="1">INDEX(rngParamTypes,$N520,18)</f>
        <v>0</v>
      </c>
    </row>
    <row r="521" spans="1:25" x14ac:dyDescent="0.2">
      <c r="A521" s="16">
        <v>520</v>
      </c>
      <c r="B521" s="37">
        <v>1</v>
      </c>
      <c r="C521" s="16" t="s">
        <v>1658</v>
      </c>
      <c r="D521" s="16" t="s">
        <v>1658</v>
      </c>
      <c r="E521" s="16"/>
      <c r="F521" s="16" t="s">
        <v>3704</v>
      </c>
      <c r="G521" s="16" t="s">
        <v>1657</v>
      </c>
      <c r="H521" s="16" t="s">
        <v>1656</v>
      </c>
      <c r="I521" s="16" t="s">
        <v>379</v>
      </c>
      <c r="J521" s="16">
        <v>0</v>
      </c>
      <c r="K521" s="16">
        <v>9.8066499999999994</v>
      </c>
      <c r="L521" s="16">
        <v>1</v>
      </c>
      <c r="M521" s="16">
        <v>0</v>
      </c>
      <c r="N521">
        <f t="array" aca="1" ref="N521" ca="1">MATCH(TRUE,EXACT(I521,OFFSET(rngParamTypes,0,6,,1)),0)</f>
        <v>154</v>
      </c>
      <c r="O521" t="str">
        <f ca="1">IF((INDEX(rngParamTypes,$N521,7)=I521),"",1)</f>
        <v/>
      </c>
      <c r="P521">
        <f ca="1">INDEX(rngParamTypes,$N521,9)</f>
        <v>1</v>
      </c>
      <c r="Q521">
        <f ca="1">INDEX(rngParamTypes,$N521,10)</f>
        <v>1</v>
      </c>
      <c r="R521">
        <f ca="1">INDEX(rngParamTypes,$N521,11)</f>
        <v>-2</v>
      </c>
      <c r="S521">
        <f ca="1">INDEX(rngParamTypes,$N521,12)</f>
        <v>0</v>
      </c>
      <c r="T521">
        <f ca="1">INDEX(rngParamTypes,$N521,13)</f>
        <v>0</v>
      </c>
      <c r="U521">
        <f ca="1">INDEX(rngParamTypes,$N521,14)</f>
        <v>0</v>
      </c>
      <c r="V521">
        <f ca="1">INDEX(rngParamTypes,$N521,15)</f>
        <v>0</v>
      </c>
      <c r="W521">
        <f ca="1">INDEX(rngParamTypes,$N521,16)</f>
        <v>0</v>
      </c>
      <c r="X521">
        <f ca="1">INDEX(rngParamTypes,$N521,17)</f>
        <v>0</v>
      </c>
      <c r="Y521">
        <f ca="1">INDEX(rngParamTypes,$N521,18)</f>
        <v>0</v>
      </c>
    </row>
    <row r="522" spans="1:25" x14ac:dyDescent="0.2">
      <c r="A522" s="16">
        <v>521</v>
      </c>
      <c r="B522" s="37">
        <v>1</v>
      </c>
      <c r="C522" s="16" t="s">
        <v>1660</v>
      </c>
      <c r="D522" s="16" t="s">
        <v>1660</v>
      </c>
      <c r="E522" s="16"/>
      <c r="F522" s="16" t="s">
        <v>3705</v>
      </c>
      <c r="G522" s="16" t="s">
        <v>382</v>
      </c>
      <c r="H522" s="16" t="s">
        <v>1659</v>
      </c>
      <c r="I522" s="16" t="s">
        <v>383</v>
      </c>
      <c r="J522" s="16">
        <v>0</v>
      </c>
      <c r="K522" s="16">
        <v>9.8066499999999994</v>
      </c>
      <c r="L522" s="16">
        <v>1</v>
      </c>
      <c r="M522" s="16">
        <v>0</v>
      </c>
      <c r="N522">
        <f t="array" aca="1" ref="N522" ca="1">MATCH(TRUE,EXACT(I522,OFFSET(rngParamTypes,0,6,,1)),0)</f>
        <v>155</v>
      </c>
      <c r="O522" t="str">
        <f ca="1">IF((INDEX(rngParamTypes,$N522,7)=I522),"",1)</f>
        <v/>
      </c>
      <c r="P522">
        <f ca="1">INDEX(rngParamTypes,$N522,9)</f>
        <v>1</v>
      </c>
      <c r="Q522">
        <f ca="1">INDEX(rngParamTypes,$N522,10)</f>
        <v>3</v>
      </c>
      <c r="R522">
        <f ca="1">INDEX(rngParamTypes,$N522,11)</f>
        <v>-2</v>
      </c>
      <c r="S522">
        <f ca="1">INDEX(rngParamTypes,$N522,12)</f>
        <v>0</v>
      </c>
      <c r="T522">
        <f ca="1">INDEX(rngParamTypes,$N522,13)</f>
        <v>0</v>
      </c>
      <c r="U522">
        <f ca="1">INDEX(rngParamTypes,$N522,14)</f>
        <v>0</v>
      </c>
      <c r="V522">
        <f ca="1">INDEX(rngParamTypes,$N522,15)</f>
        <v>0</v>
      </c>
      <c r="W522">
        <f ca="1">INDEX(rngParamTypes,$N522,16)</f>
        <v>0</v>
      </c>
      <c r="X522">
        <f ca="1">INDEX(rngParamTypes,$N522,17)</f>
        <v>0</v>
      </c>
      <c r="Y522">
        <f ca="1">INDEX(rngParamTypes,$N522,18)</f>
        <v>0</v>
      </c>
    </row>
    <row r="523" spans="1:25" x14ac:dyDescent="0.2">
      <c r="A523" s="16">
        <v>522</v>
      </c>
      <c r="B523" s="37">
        <v>1</v>
      </c>
      <c r="C523" s="16" t="s">
        <v>1662</v>
      </c>
      <c r="D523" s="16" t="s">
        <v>1662</v>
      </c>
      <c r="E523" s="16">
        <v>1</v>
      </c>
      <c r="F523" s="16" t="s">
        <v>3706</v>
      </c>
      <c r="G523" s="16" t="s">
        <v>419</v>
      </c>
      <c r="H523" s="16" t="s">
        <v>1661</v>
      </c>
      <c r="I523" s="16" t="s">
        <v>421</v>
      </c>
      <c r="J523" s="16">
        <v>0</v>
      </c>
      <c r="K523" s="16">
        <v>9.8066499999999994</v>
      </c>
      <c r="L523" s="16">
        <v>1</v>
      </c>
      <c r="M523" s="16">
        <v>0</v>
      </c>
      <c r="N523">
        <f t="array" aca="1" ref="N523" ca="1">MATCH(TRUE,EXACT(I523,OFFSET(rngParamTypes,0,6,,1)),0)</f>
        <v>169</v>
      </c>
      <c r="O523" t="str">
        <f ca="1">IF((INDEX(rngParamTypes,$N523,7)=I523),"",1)</f>
        <v/>
      </c>
      <c r="P523">
        <f ca="1">INDEX(rngParamTypes,$N523,9)</f>
        <v>1</v>
      </c>
      <c r="Q523">
        <f ca="1">INDEX(rngParamTypes,$N523,10)</f>
        <v>-1</v>
      </c>
      <c r="R523">
        <f ca="1">INDEX(rngParamTypes,$N523,11)</f>
        <v>-1</v>
      </c>
      <c r="S523">
        <f ca="1">INDEX(rngParamTypes,$N523,12)</f>
        <v>0</v>
      </c>
      <c r="T523">
        <f ca="1">INDEX(rngParamTypes,$N523,13)</f>
        <v>0</v>
      </c>
      <c r="U523">
        <f ca="1">INDEX(rngParamTypes,$N523,14)</f>
        <v>0</v>
      </c>
      <c r="V523">
        <f ca="1">INDEX(rngParamTypes,$N523,15)</f>
        <v>0</v>
      </c>
      <c r="W523">
        <f ca="1">INDEX(rngParamTypes,$N523,16)</f>
        <v>0</v>
      </c>
      <c r="X523">
        <f ca="1">INDEX(rngParamTypes,$N523,17)</f>
        <v>0</v>
      </c>
      <c r="Y523">
        <f ca="1">INDEX(rngParamTypes,$N523,18)</f>
        <v>0</v>
      </c>
    </row>
    <row r="524" spans="1:25" x14ac:dyDescent="0.2">
      <c r="A524" s="16">
        <v>523</v>
      </c>
      <c r="B524" s="37">
        <v>1</v>
      </c>
      <c r="C524" s="16" t="s">
        <v>1664</v>
      </c>
      <c r="D524" s="16" t="s">
        <v>1664</v>
      </c>
      <c r="E524" s="16"/>
      <c r="F524" s="16" t="s">
        <v>3707</v>
      </c>
      <c r="G524" s="16" t="s">
        <v>385</v>
      </c>
      <c r="H524" s="16" t="s">
        <v>1663</v>
      </c>
      <c r="I524" s="16" t="s">
        <v>387</v>
      </c>
      <c r="J524" s="16">
        <v>0</v>
      </c>
      <c r="K524" s="16">
        <v>9.8066499999999994</v>
      </c>
      <c r="L524" s="16">
        <v>0.01</v>
      </c>
      <c r="M524" s="16">
        <v>0</v>
      </c>
      <c r="N524">
        <f t="array" aca="1" ref="N524" ca="1">MATCH(TRUE,EXACT(I524,OFFSET(rngParamTypes,0,6,,1)),0)</f>
        <v>156</v>
      </c>
      <c r="O524" t="str">
        <f ca="1">IF((INDEX(rngParamTypes,$N524,7)=I524),"",1)</f>
        <v/>
      </c>
      <c r="P524">
        <f ca="1">INDEX(rngParamTypes,$N524,9)</f>
        <v>1</v>
      </c>
      <c r="Q524">
        <f ca="1">INDEX(rngParamTypes,$N524,10)</f>
        <v>0</v>
      </c>
      <c r="R524">
        <f ca="1">INDEX(rngParamTypes,$N524,11)</f>
        <v>-2</v>
      </c>
      <c r="S524">
        <f ca="1">INDEX(rngParamTypes,$N524,12)</f>
        <v>0</v>
      </c>
      <c r="T524">
        <f ca="1">INDEX(rngParamTypes,$N524,13)</f>
        <v>0</v>
      </c>
      <c r="U524">
        <f ca="1">INDEX(rngParamTypes,$N524,14)</f>
        <v>0</v>
      </c>
      <c r="V524">
        <f ca="1">INDEX(rngParamTypes,$N524,15)</f>
        <v>0</v>
      </c>
      <c r="W524">
        <f ca="1">INDEX(rngParamTypes,$N524,16)</f>
        <v>0</v>
      </c>
      <c r="X524">
        <f ca="1">INDEX(rngParamTypes,$N524,17)</f>
        <v>0</v>
      </c>
      <c r="Y524">
        <f ca="1">INDEX(rngParamTypes,$N524,18)</f>
        <v>0</v>
      </c>
    </row>
    <row r="525" spans="1:25" x14ac:dyDescent="0.2">
      <c r="A525" s="16">
        <v>524</v>
      </c>
      <c r="B525" s="37">
        <v>1</v>
      </c>
      <c r="C525" s="16" t="s">
        <v>1666</v>
      </c>
      <c r="D525" s="16" t="s">
        <v>1666</v>
      </c>
      <c r="E525" s="16">
        <v>2</v>
      </c>
      <c r="F525" s="16" t="s">
        <v>3708</v>
      </c>
      <c r="G525" s="16" t="s">
        <v>3270</v>
      </c>
      <c r="H525" s="16" t="s">
        <v>1665</v>
      </c>
      <c r="I525" s="16" t="s">
        <v>416</v>
      </c>
      <c r="J525" s="16">
        <v>0</v>
      </c>
      <c r="K525" s="16">
        <v>9.8066499999999994</v>
      </c>
      <c r="L525" s="16">
        <v>1E-4</v>
      </c>
      <c r="M525" s="16">
        <v>0</v>
      </c>
      <c r="N525">
        <f t="array" aca="1" ref="N525" ca="1">MATCH(TRUE,EXACT(I525,OFFSET(rngParamTypes,0,6,,1)),0)</f>
        <v>167</v>
      </c>
      <c r="O525" t="str">
        <f ca="1">IF((INDEX(rngParamTypes,$N525,7)=I525),"",1)</f>
        <v/>
      </c>
      <c r="P525">
        <f ca="1">INDEX(rngParamTypes,$N525,9)</f>
        <v>1</v>
      </c>
      <c r="Q525">
        <f ca="1">INDEX(rngParamTypes,$N525,10)</f>
        <v>-1</v>
      </c>
      <c r="R525">
        <f ca="1">INDEX(rngParamTypes,$N525,11)</f>
        <v>-2</v>
      </c>
      <c r="S525">
        <f ca="1">INDEX(rngParamTypes,$N525,12)</f>
        <v>0</v>
      </c>
      <c r="T525">
        <f ca="1">INDEX(rngParamTypes,$N525,13)</f>
        <v>0</v>
      </c>
      <c r="U525">
        <f ca="1">INDEX(rngParamTypes,$N525,14)</f>
        <v>0</v>
      </c>
      <c r="V525">
        <f ca="1">INDEX(rngParamTypes,$N525,15)</f>
        <v>0</v>
      </c>
      <c r="W525">
        <f ca="1">INDEX(rngParamTypes,$N525,16)</f>
        <v>0</v>
      </c>
      <c r="X525">
        <f ca="1">INDEX(rngParamTypes,$N525,17)</f>
        <v>0</v>
      </c>
      <c r="Y525">
        <f ca="1">INDEX(rngParamTypes,$N525,18)</f>
        <v>0</v>
      </c>
    </row>
    <row r="526" spans="1:25" x14ac:dyDescent="0.2">
      <c r="A526" s="16">
        <v>525</v>
      </c>
      <c r="B526" s="37">
        <v>1</v>
      </c>
      <c r="C526" s="16" t="s">
        <v>1668</v>
      </c>
      <c r="D526" s="16" t="s">
        <v>1668</v>
      </c>
      <c r="E526" s="16"/>
      <c r="F526" s="16" t="s">
        <v>3709</v>
      </c>
      <c r="G526" s="16" t="s">
        <v>584</v>
      </c>
      <c r="H526" s="16" t="s">
        <v>1667</v>
      </c>
      <c r="I526" s="16" t="s">
        <v>131</v>
      </c>
      <c r="J526" s="16">
        <v>0</v>
      </c>
      <c r="K526" s="16">
        <v>1</v>
      </c>
      <c r="L526" s="16">
        <v>1</v>
      </c>
      <c r="M526" s="16">
        <v>0</v>
      </c>
      <c r="N526">
        <f t="array" aca="1" ref="N526" ca="1">MATCH(TRUE,EXACT(I526,OFFSET(rngParamTypes,0,6,,1)),0)</f>
        <v>42</v>
      </c>
      <c r="O526" t="str">
        <f ca="1">IF((INDEX(rngParamTypes,$N526,7)=I526),"",1)</f>
        <v/>
      </c>
      <c r="P526">
        <f ca="1">INDEX(rngParamTypes,$N526,9)</f>
        <v>0</v>
      </c>
      <c r="Q526">
        <f ca="1">INDEX(rngParamTypes,$N526,10)</f>
        <v>0</v>
      </c>
      <c r="R526">
        <f ca="1">INDEX(rngParamTypes,$N526,11)</f>
        <v>0</v>
      </c>
      <c r="S526">
        <f ca="1">INDEX(rngParamTypes,$N526,12)</f>
        <v>0</v>
      </c>
      <c r="T526">
        <f ca="1">INDEX(rngParamTypes,$N526,13)</f>
        <v>0</v>
      </c>
      <c r="U526">
        <f ca="1">INDEX(rngParamTypes,$N526,14)</f>
        <v>0</v>
      </c>
      <c r="V526">
        <f ca="1">INDEX(rngParamTypes,$N526,15)</f>
        <v>0</v>
      </c>
      <c r="W526">
        <f ca="1">INDEX(rngParamTypes,$N526,16)</f>
        <v>0</v>
      </c>
      <c r="X526">
        <f ca="1">INDEX(rngParamTypes,$N526,17)</f>
        <v>0</v>
      </c>
      <c r="Y526">
        <f ca="1">INDEX(rngParamTypes,$N526,18)</f>
        <v>0</v>
      </c>
    </row>
    <row r="527" spans="1:25" x14ac:dyDescent="0.2">
      <c r="A527" s="16">
        <v>526</v>
      </c>
      <c r="B527" s="37">
        <v>1</v>
      </c>
      <c r="C527" s="16" t="s">
        <v>1670</v>
      </c>
      <c r="D527" s="16" t="s">
        <v>1670</v>
      </c>
      <c r="E527" s="16">
        <v>2</v>
      </c>
      <c r="F527" s="16" t="s">
        <v>3710</v>
      </c>
      <c r="G527" s="16" t="s">
        <v>3270</v>
      </c>
      <c r="H527" s="16" t="s">
        <v>1669</v>
      </c>
      <c r="I527" s="16" t="s">
        <v>416</v>
      </c>
      <c r="J527" s="16">
        <v>0</v>
      </c>
      <c r="K527" s="16">
        <v>9.8066499999999994</v>
      </c>
      <c r="L527" s="16">
        <v>9.9999999999999995E-7</v>
      </c>
      <c r="M527" s="16">
        <v>0</v>
      </c>
      <c r="N527">
        <f t="array" aca="1" ref="N527" ca="1">MATCH(TRUE,EXACT(I527,OFFSET(rngParamTypes,0,6,,1)),0)</f>
        <v>167</v>
      </c>
      <c r="O527" t="str">
        <f ca="1">IF((INDEX(rngParamTypes,$N527,7)=I527),"",1)</f>
        <v/>
      </c>
      <c r="P527">
        <f ca="1">INDEX(rngParamTypes,$N527,9)</f>
        <v>1</v>
      </c>
      <c r="Q527">
        <f ca="1">INDEX(rngParamTypes,$N527,10)</f>
        <v>-1</v>
      </c>
      <c r="R527">
        <f ca="1">INDEX(rngParamTypes,$N527,11)</f>
        <v>-2</v>
      </c>
      <c r="S527">
        <f ca="1">INDEX(rngParamTypes,$N527,12)</f>
        <v>0</v>
      </c>
      <c r="T527">
        <f ca="1">INDEX(rngParamTypes,$N527,13)</f>
        <v>0</v>
      </c>
      <c r="U527">
        <f ca="1">INDEX(rngParamTypes,$N527,14)</f>
        <v>0</v>
      </c>
      <c r="V527">
        <f ca="1">INDEX(rngParamTypes,$N527,15)</f>
        <v>0</v>
      </c>
      <c r="W527">
        <f ca="1">INDEX(rngParamTypes,$N527,16)</f>
        <v>0</v>
      </c>
      <c r="X527">
        <f ca="1">INDEX(rngParamTypes,$N527,17)</f>
        <v>0</v>
      </c>
      <c r="Y527">
        <f ca="1">INDEX(rngParamTypes,$N527,18)</f>
        <v>0</v>
      </c>
    </row>
    <row r="528" spans="1:25" x14ac:dyDescent="0.2">
      <c r="A528" s="16">
        <v>527</v>
      </c>
      <c r="B528" s="37">
        <v>1</v>
      </c>
      <c r="C528" s="16" t="s">
        <v>1672</v>
      </c>
      <c r="D528" s="16" t="s">
        <v>1672</v>
      </c>
      <c r="E528" s="16"/>
      <c r="F528" s="16" t="s">
        <v>3711</v>
      </c>
      <c r="G528" s="16" t="s">
        <v>37</v>
      </c>
      <c r="H528" s="16" t="s">
        <v>1671</v>
      </c>
      <c r="I528" s="16" t="s">
        <v>160</v>
      </c>
      <c r="J528" s="16">
        <v>0</v>
      </c>
      <c r="K528" s="16">
        <v>1000</v>
      </c>
      <c r="L528" s="16">
        <v>1</v>
      </c>
      <c r="M528" s="16">
        <v>0</v>
      </c>
      <c r="N528">
        <f t="array" aca="1" ref="N528" ca="1">MATCH(TRUE,EXACT(I528,OFFSET(rngParamTypes,0,6,,1)),0)</f>
        <v>55</v>
      </c>
      <c r="O528" t="str">
        <f ca="1">IF((INDEX(rngParamTypes,$N528,7)=I528),"",1)</f>
        <v/>
      </c>
      <c r="P528">
        <f ca="1">INDEX(rngParamTypes,$N528,9)</f>
        <v>0</v>
      </c>
      <c r="Q528">
        <f ca="1">INDEX(rngParamTypes,$N528,10)</f>
        <v>0</v>
      </c>
      <c r="R528">
        <f ca="1">INDEX(rngParamTypes,$N528,11)</f>
        <v>-1</v>
      </c>
      <c r="S528">
        <f ca="1">INDEX(rngParamTypes,$N528,12)</f>
        <v>0</v>
      </c>
      <c r="T528">
        <f ca="1">INDEX(rngParamTypes,$N528,13)</f>
        <v>0</v>
      </c>
      <c r="U528">
        <f ca="1">INDEX(rngParamTypes,$N528,14)</f>
        <v>0</v>
      </c>
      <c r="V528">
        <f ca="1">INDEX(rngParamTypes,$N528,15)</f>
        <v>0</v>
      </c>
      <c r="W528">
        <f ca="1">INDEX(rngParamTypes,$N528,16)</f>
        <v>0</v>
      </c>
      <c r="X528">
        <f ca="1">INDEX(rngParamTypes,$N528,17)</f>
        <v>0</v>
      </c>
      <c r="Y528">
        <f ca="1">INDEX(rngParamTypes,$N528,18)</f>
        <v>0</v>
      </c>
    </row>
    <row r="529" spans="1:25" x14ac:dyDescent="0.2">
      <c r="A529" s="16">
        <v>528</v>
      </c>
      <c r="B529" s="37">
        <v>1</v>
      </c>
      <c r="C529" s="16" t="s">
        <v>1674</v>
      </c>
      <c r="D529" s="16" t="s">
        <v>1674</v>
      </c>
      <c r="E529" s="16">
        <v>2</v>
      </c>
      <c r="F529" s="16" t="s">
        <v>3712</v>
      </c>
      <c r="G529" s="16" t="s">
        <v>3267</v>
      </c>
      <c r="H529" s="16" t="s">
        <v>1673</v>
      </c>
      <c r="I529" s="16" t="s">
        <v>168</v>
      </c>
      <c r="J529" s="16">
        <v>0</v>
      </c>
      <c r="K529" s="16">
        <v>1000</v>
      </c>
      <c r="L529" s="16">
        <v>1</v>
      </c>
      <c r="M529" s="16">
        <v>0</v>
      </c>
      <c r="N529">
        <f t="array" aca="1" ref="N529" ca="1">MATCH(TRUE,EXACT(I529,OFFSET(rngParamTypes,0,6,,1)),0)</f>
        <v>56</v>
      </c>
      <c r="O529" t="str">
        <f ca="1">IF((INDEX(rngParamTypes,$N529,7)=I529),"",1)</f>
        <v/>
      </c>
      <c r="P529">
        <f ca="1">INDEX(rngParamTypes,$N529,9)</f>
        <v>1</v>
      </c>
      <c r="Q529">
        <f ca="1">INDEX(rngParamTypes,$N529,10)</f>
        <v>2</v>
      </c>
      <c r="R529">
        <f ca="1">INDEX(rngParamTypes,$N529,11)</f>
        <v>-2</v>
      </c>
      <c r="S529">
        <f ca="1">INDEX(rngParamTypes,$N529,12)</f>
        <v>0</v>
      </c>
      <c r="T529">
        <f ca="1">INDEX(rngParamTypes,$N529,13)</f>
        <v>0</v>
      </c>
      <c r="U529">
        <f ca="1">INDEX(rngParamTypes,$N529,14)</f>
        <v>0</v>
      </c>
      <c r="V529">
        <f ca="1">INDEX(rngParamTypes,$N529,15)</f>
        <v>0</v>
      </c>
      <c r="W529">
        <f ca="1">INDEX(rngParamTypes,$N529,16)</f>
        <v>0</v>
      </c>
      <c r="X529">
        <f ca="1">INDEX(rngParamTypes,$N529,17)</f>
        <v>0</v>
      </c>
      <c r="Y529">
        <f ca="1">INDEX(rngParamTypes,$N529,18)</f>
        <v>0</v>
      </c>
    </row>
    <row r="530" spans="1:25" x14ac:dyDescent="0.2">
      <c r="A530" s="16">
        <v>529</v>
      </c>
      <c r="B530" s="37">
        <v>1</v>
      </c>
      <c r="C530" s="16" t="s">
        <v>1676</v>
      </c>
      <c r="D530" s="16" t="s">
        <v>1676</v>
      </c>
      <c r="E530" s="16"/>
      <c r="F530" s="16" t="s">
        <v>3713</v>
      </c>
      <c r="G530" s="16" t="s">
        <v>539</v>
      </c>
      <c r="H530" s="16" t="s">
        <v>1675</v>
      </c>
      <c r="I530" s="16" t="s">
        <v>541</v>
      </c>
      <c r="J530" s="16">
        <v>0</v>
      </c>
      <c r="K530" s="16">
        <v>1</v>
      </c>
      <c r="L530" s="16">
        <v>3.6</v>
      </c>
      <c r="M530" s="16">
        <v>0</v>
      </c>
      <c r="N530">
        <f t="array" aca="1" ref="N530" ca="1">MATCH(TRUE,EXACT(I530,OFFSET(rngParamTypes,0,6,,1)),0)</f>
        <v>214</v>
      </c>
      <c r="O530" t="str">
        <f ca="1">IF((INDEX(rngParamTypes,$N530,7)=I530),"",1)</f>
        <v/>
      </c>
      <c r="P530">
        <f ca="1">INDEX(rngParamTypes,$N530,9)</f>
        <v>1</v>
      </c>
      <c r="Q530">
        <f ca="1">INDEX(rngParamTypes,$N530,10)</f>
        <v>1</v>
      </c>
      <c r="R530">
        <f ca="1">INDEX(rngParamTypes,$N530,11)</f>
        <v>-3</v>
      </c>
      <c r="S530">
        <f ca="1">INDEX(rngParamTypes,$N530,12)</f>
        <v>0</v>
      </c>
      <c r="T530">
        <f ca="1">INDEX(rngParamTypes,$N530,13)</f>
        <v>-1</v>
      </c>
      <c r="U530">
        <f ca="1">INDEX(rngParamTypes,$N530,14)</f>
        <v>0</v>
      </c>
      <c r="V530">
        <f ca="1">INDEX(rngParamTypes,$N530,15)</f>
        <v>0</v>
      </c>
      <c r="W530">
        <f ca="1">INDEX(rngParamTypes,$N530,16)</f>
        <v>0</v>
      </c>
      <c r="X530">
        <f ca="1">INDEX(rngParamTypes,$N530,17)</f>
        <v>0</v>
      </c>
      <c r="Y530">
        <f ca="1">INDEX(rngParamTypes,$N530,18)</f>
        <v>0</v>
      </c>
    </row>
    <row r="531" spans="1:25" x14ac:dyDescent="0.2">
      <c r="A531" s="16">
        <v>530</v>
      </c>
      <c r="B531" s="37">
        <v>1</v>
      </c>
      <c r="C531" s="16" t="s">
        <v>1678</v>
      </c>
      <c r="D531" s="16" t="s">
        <v>1678</v>
      </c>
      <c r="E531" s="16"/>
      <c r="F531" s="16" t="s">
        <v>3714</v>
      </c>
      <c r="G531" s="16" t="s">
        <v>3314</v>
      </c>
      <c r="H531" s="16" t="s">
        <v>1677</v>
      </c>
      <c r="I531" s="16" t="s">
        <v>190</v>
      </c>
      <c r="J531" s="16">
        <v>0</v>
      </c>
      <c r="K531" s="16">
        <v>1000000</v>
      </c>
      <c r="L531" s="16">
        <v>1</v>
      </c>
      <c r="M531" s="16">
        <v>0</v>
      </c>
      <c r="N531">
        <f t="array" aca="1" ref="N531" ca="1">MATCH(TRUE,EXACT(I531,OFFSET(rngParamTypes,0,6,,1)),0)</f>
        <v>65</v>
      </c>
      <c r="O531" t="str">
        <f ca="1">IF((INDEX(rngParamTypes,$N531,7)=I531),"",1)</f>
        <v/>
      </c>
      <c r="P531">
        <f ca="1">INDEX(rngParamTypes,$N531,9)</f>
        <v>1</v>
      </c>
      <c r="Q531">
        <f ca="1">INDEX(rngParamTypes,$N531,10)</f>
        <v>-1</v>
      </c>
      <c r="R531">
        <f ca="1">INDEX(rngParamTypes,$N531,11)</f>
        <v>-2</v>
      </c>
      <c r="S531">
        <f ca="1">INDEX(rngParamTypes,$N531,12)</f>
        <v>0</v>
      </c>
      <c r="T531">
        <f ca="1">INDEX(rngParamTypes,$N531,13)</f>
        <v>0</v>
      </c>
      <c r="U531">
        <f ca="1">INDEX(rngParamTypes,$N531,14)</f>
        <v>0</v>
      </c>
      <c r="V531">
        <f ca="1">INDEX(rngParamTypes,$N531,15)</f>
        <v>0</v>
      </c>
      <c r="W531">
        <f ca="1">INDEX(rngParamTypes,$N531,16)</f>
        <v>0</v>
      </c>
      <c r="X531">
        <f ca="1">INDEX(rngParamTypes,$N531,17)</f>
        <v>0</v>
      </c>
      <c r="Y531">
        <f ca="1">INDEX(rngParamTypes,$N531,18)</f>
        <v>0</v>
      </c>
    </row>
    <row r="532" spans="1:25" x14ac:dyDescent="0.2">
      <c r="A532" s="16">
        <v>531</v>
      </c>
      <c r="B532" s="37">
        <v>1</v>
      </c>
      <c r="C532" s="16" t="s">
        <v>1680</v>
      </c>
      <c r="D532" s="16" t="s">
        <v>1680</v>
      </c>
      <c r="E532" s="16">
        <v>2</v>
      </c>
      <c r="F532" s="16" t="s">
        <v>3715</v>
      </c>
      <c r="G532" s="16" t="s">
        <v>553</v>
      </c>
      <c r="H532" s="16" t="s">
        <v>1679</v>
      </c>
      <c r="I532" s="16" t="s">
        <v>554</v>
      </c>
      <c r="J532" s="16">
        <v>0</v>
      </c>
      <c r="K532" s="16">
        <v>1000</v>
      </c>
      <c r="L532" s="16">
        <v>3600</v>
      </c>
      <c r="M532" s="16">
        <v>0</v>
      </c>
      <c r="N532">
        <f t="array" aca="1" ref="N532" ca="1">MATCH(TRUE,EXACT(I532,OFFSET(rngParamTypes,0,6,,1)),0)</f>
        <v>224</v>
      </c>
      <c r="O532" t="str">
        <f ca="1">IF((INDEX(rngParamTypes,$N532,7)=I532),"",1)</f>
        <v/>
      </c>
      <c r="P532">
        <f ca="1">INDEX(rngParamTypes,$N532,9)</f>
        <v>1</v>
      </c>
      <c r="Q532">
        <f ca="1">INDEX(rngParamTypes,$N532,10)</f>
        <v>0</v>
      </c>
      <c r="R532">
        <f ca="1">INDEX(rngParamTypes,$N532,11)</f>
        <v>-3</v>
      </c>
      <c r="S532">
        <f ca="1">INDEX(rngParamTypes,$N532,12)</f>
        <v>0</v>
      </c>
      <c r="T532">
        <f ca="1">INDEX(rngParamTypes,$N532,13)</f>
        <v>-1</v>
      </c>
      <c r="U532">
        <f ca="1">INDEX(rngParamTypes,$N532,14)</f>
        <v>0</v>
      </c>
      <c r="V532">
        <f ca="1">INDEX(rngParamTypes,$N532,15)</f>
        <v>0</v>
      </c>
      <c r="W532">
        <f ca="1">INDEX(rngParamTypes,$N532,16)</f>
        <v>0</v>
      </c>
      <c r="X532">
        <f ca="1">INDEX(rngParamTypes,$N532,17)</f>
        <v>0</v>
      </c>
      <c r="Y532">
        <f ca="1">INDEX(rngParamTypes,$N532,18)</f>
        <v>0</v>
      </c>
    </row>
    <row r="533" spans="1:25" x14ac:dyDescent="0.2">
      <c r="A533" s="16">
        <v>532</v>
      </c>
      <c r="B533" s="37">
        <v>1</v>
      </c>
      <c r="C533" s="16" t="s">
        <v>1682</v>
      </c>
      <c r="D533" s="16" t="s">
        <v>1682</v>
      </c>
      <c r="E533" s="16">
        <v>2</v>
      </c>
      <c r="F533" s="16" t="s">
        <v>3716</v>
      </c>
      <c r="G533" s="16" t="s">
        <v>174</v>
      </c>
      <c r="H533" s="16" t="s">
        <v>1681</v>
      </c>
      <c r="I533" s="16" t="s">
        <v>175</v>
      </c>
      <c r="J533" s="16">
        <v>0</v>
      </c>
      <c r="K533" s="16">
        <v>1000</v>
      </c>
      <c r="L533" s="16">
        <v>1</v>
      </c>
      <c r="M533" s="16">
        <v>0</v>
      </c>
      <c r="N533">
        <f t="array" aca="1" ref="N533" ca="1">MATCH(TRUE,EXACT(I533,OFFSET(rngParamTypes,0,6,,1)),0)</f>
        <v>62</v>
      </c>
      <c r="O533" t="str">
        <f ca="1">IF((INDEX(rngParamTypes,$N533,7)=I533),"",1)</f>
        <v/>
      </c>
      <c r="P533">
        <f ca="1">INDEX(rngParamTypes,$N533,9)</f>
        <v>0</v>
      </c>
      <c r="Q533">
        <f ca="1">INDEX(rngParamTypes,$N533,10)</f>
        <v>2</v>
      </c>
      <c r="R533">
        <f ca="1">INDEX(rngParamTypes,$N533,11)</f>
        <v>-2</v>
      </c>
      <c r="S533">
        <f ca="1">INDEX(rngParamTypes,$N533,12)</f>
        <v>0</v>
      </c>
      <c r="T533">
        <f ca="1">INDEX(rngParamTypes,$N533,13)</f>
        <v>0</v>
      </c>
      <c r="U533">
        <f ca="1">INDEX(rngParamTypes,$N533,14)</f>
        <v>0</v>
      </c>
      <c r="V533">
        <f ca="1">INDEX(rngParamTypes,$N533,15)</f>
        <v>0</v>
      </c>
      <c r="W533">
        <f ca="1">INDEX(rngParamTypes,$N533,16)</f>
        <v>0</v>
      </c>
      <c r="X533">
        <f ca="1">INDEX(rngParamTypes,$N533,17)</f>
        <v>0</v>
      </c>
      <c r="Y533">
        <f ca="1">INDEX(rngParamTypes,$N533,18)</f>
        <v>0</v>
      </c>
    </row>
    <row r="534" spans="1:25" x14ac:dyDescent="0.2">
      <c r="A534" s="16">
        <v>533</v>
      </c>
      <c r="B534" s="37">
        <v>1</v>
      </c>
      <c r="C534" s="16" t="s">
        <v>1684</v>
      </c>
      <c r="D534" s="16" t="s">
        <v>1684</v>
      </c>
      <c r="E534" s="16">
        <v>2</v>
      </c>
      <c r="F534" s="16" t="s">
        <v>3717</v>
      </c>
      <c r="G534" s="16" t="s">
        <v>3330</v>
      </c>
      <c r="H534" s="16" t="s">
        <v>1683</v>
      </c>
      <c r="I534" s="16" t="s">
        <v>179</v>
      </c>
      <c r="J534" s="16">
        <v>0</v>
      </c>
      <c r="K534" s="16">
        <v>1000</v>
      </c>
      <c r="L534" s="16">
        <v>1</v>
      </c>
      <c r="M534" s="16">
        <v>0</v>
      </c>
      <c r="N534">
        <f t="array" aca="1" ref="N534" ca="1">MATCH(TRUE,EXACT(I534,OFFSET(rngParamTypes,0,6,,1)),0)</f>
        <v>63</v>
      </c>
      <c r="O534" t="str">
        <f ca="1">IF((INDEX(rngParamTypes,$N534,7)=I534),"",1)</f>
        <v/>
      </c>
      <c r="P534">
        <f ca="1">INDEX(rngParamTypes,$N534,9)</f>
        <v>0</v>
      </c>
      <c r="Q534">
        <f ca="1">INDEX(rngParamTypes,$N534,10)</f>
        <v>2</v>
      </c>
      <c r="R534">
        <f ca="1">INDEX(rngParamTypes,$N534,11)</f>
        <v>-2</v>
      </c>
      <c r="S534">
        <f ca="1">INDEX(rngParamTypes,$N534,12)</f>
        <v>0</v>
      </c>
      <c r="T534">
        <f ca="1">INDEX(rngParamTypes,$N534,13)</f>
        <v>-1</v>
      </c>
      <c r="U534">
        <f ca="1">INDEX(rngParamTypes,$N534,14)</f>
        <v>0</v>
      </c>
      <c r="V534">
        <f ca="1">INDEX(rngParamTypes,$N534,15)</f>
        <v>0</v>
      </c>
      <c r="W534">
        <f ca="1">INDEX(rngParamTypes,$N534,16)</f>
        <v>0</v>
      </c>
      <c r="X534">
        <f ca="1">INDEX(rngParamTypes,$N534,17)</f>
        <v>0</v>
      </c>
      <c r="Y534">
        <f ca="1">INDEX(rngParamTypes,$N534,18)</f>
        <v>0</v>
      </c>
    </row>
    <row r="535" spans="1:25" x14ac:dyDescent="0.2">
      <c r="A535" s="16">
        <v>534</v>
      </c>
      <c r="B535" s="37">
        <v>1</v>
      </c>
      <c r="C535" s="16" t="s">
        <v>1686</v>
      </c>
      <c r="D535" s="16" t="s">
        <v>1686</v>
      </c>
      <c r="E535" s="16"/>
      <c r="F535" s="16" t="s">
        <v>3718</v>
      </c>
      <c r="G535" s="16" t="s">
        <v>3314</v>
      </c>
      <c r="H535" s="16" t="s">
        <v>1685</v>
      </c>
      <c r="I535" s="16" t="s">
        <v>190</v>
      </c>
      <c r="J535" s="16">
        <v>0</v>
      </c>
      <c r="K535" s="16">
        <v>1000</v>
      </c>
      <c r="L535" s="16">
        <v>1</v>
      </c>
      <c r="M535" s="16">
        <v>0</v>
      </c>
      <c r="N535">
        <f t="array" aca="1" ref="N535" ca="1">MATCH(TRUE,EXACT(I535,OFFSET(rngParamTypes,0,6,,1)),0)</f>
        <v>65</v>
      </c>
      <c r="O535" t="str">
        <f ca="1">IF((INDEX(rngParamTypes,$N535,7)=I535),"",1)</f>
        <v/>
      </c>
      <c r="P535">
        <f ca="1">INDEX(rngParamTypes,$N535,9)</f>
        <v>1</v>
      </c>
      <c r="Q535">
        <f ca="1">INDEX(rngParamTypes,$N535,10)</f>
        <v>-1</v>
      </c>
      <c r="R535">
        <f ca="1">INDEX(rngParamTypes,$N535,11)</f>
        <v>-2</v>
      </c>
      <c r="S535">
        <f ca="1">INDEX(rngParamTypes,$N535,12)</f>
        <v>0</v>
      </c>
      <c r="T535">
        <f ca="1">INDEX(rngParamTypes,$N535,13)</f>
        <v>0</v>
      </c>
      <c r="U535">
        <f ca="1">INDEX(rngParamTypes,$N535,14)</f>
        <v>0</v>
      </c>
      <c r="V535">
        <f ca="1">INDEX(rngParamTypes,$N535,15)</f>
        <v>0</v>
      </c>
      <c r="W535">
        <f ca="1">INDEX(rngParamTypes,$N535,16)</f>
        <v>0</v>
      </c>
      <c r="X535">
        <f ca="1">INDEX(rngParamTypes,$N535,17)</f>
        <v>0</v>
      </c>
      <c r="Y535">
        <f ca="1">INDEX(rngParamTypes,$N535,18)</f>
        <v>0</v>
      </c>
    </row>
    <row r="536" spans="1:25" x14ac:dyDescent="0.2">
      <c r="A536" s="16">
        <v>535</v>
      </c>
      <c r="B536" s="37">
        <v>1</v>
      </c>
      <c r="C536" s="16" t="s">
        <v>1688</v>
      </c>
      <c r="D536" s="16" t="s">
        <v>1688</v>
      </c>
      <c r="E536" s="16"/>
      <c r="F536" s="16" t="s">
        <v>3719</v>
      </c>
      <c r="G536" s="16" t="s">
        <v>3334</v>
      </c>
      <c r="H536" s="16" t="s">
        <v>1687</v>
      </c>
      <c r="I536" s="16" t="s">
        <v>195</v>
      </c>
      <c r="J536" s="16">
        <v>0</v>
      </c>
      <c r="K536" s="16">
        <v>1</v>
      </c>
      <c r="L536" s="16">
        <v>1</v>
      </c>
      <c r="M536" s="16">
        <v>0</v>
      </c>
      <c r="N536">
        <f t="array" aca="1" ref="N536" ca="1">MATCH(TRUE,EXACT(I536,OFFSET(rngParamTypes,0,6,,1)),0)</f>
        <v>74</v>
      </c>
      <c r="O536" t="str">
        <f ca="1">IF((INDEX(rngParamTypes,$N536,7)=I536),"",1)</f>
        <v/>
      </c>
      <c r="P536">
        <f ca="1">INDEX(rngParamTypes,$N536,9)</f>
        <v>1</v>
      </c>
      <c r="Q536">
        <f ca="1">INDEX(rngParamTypes,$N536,10)</f>
        <v>2</v>
      </c>
      <c r="R536">
        <f ca="1">INDEX(rngParamTypes,$N536,11)</f>
        <v>-2</v>
      </c>
      <c r="S536">
        <f ca="1">INDEX(rngParamTypes,$N536,12)</f>
        <v>0</v>
      </c>
      <c r="T536">
        <f ca="1">INDEX(rngParamTypes,$N536,13)</f>
        <v>0</v>
      </c>
      <c r="U536">
        <f ca="1">INDEX(rngParamTypes,$N536,14)</f>
        <v>-1</v>
      </c>
      <c r="V536">
        <f ca="1">INDEX(rngParamTypes,$N536,15)</f>
        <v>0</v>
      </c>
      <c r="W536">
        <f ca="1">INDEX(rngParamTypes,$N536,16)</f>
        <v>0</v>
      </c>
      <c r="X536">
        <f ca="1">INDEX(rngParamTypes,$N536,17)</f>
        <v>0</v>
      </c>
      <c r="Y536">
        <f ca="1">INDEX(rngParamTypes,$N536,18)</f>
        <v>0</v>
      </c>
    </row>
    <row r="537" spans="1:25" x14ac:dyDescent="0.2">
      <c r="A537" s="16">
        <v>536</v>
      </c>
      <c r="B537" s="37">
        <v>1</v>
      </c>
      <c r="C537" s="16" t="s">
        <v>1690</v>
      </c>
      <c r="D537" s="16" t="s">
        <v>1690</v>
      </c>
      <c r="E537" s="16"/>
      <c r="F537" s="16" t="s">
        <v>4296</v>
      </c>
      <c r="G537" s="16" t="s">
        <v>3334</v>
      </c>
      <c r="H537" s="16" t="s">
        <v>1687</v>
      </c>
      <c r="I537" s="16" t="s">
        <v>195</v>
      </c>
      <c r="J537" s="16">
        <v>0</v>
      </c>
      <c r="K537" s="16">
        <v>1000</v>
      </c>
      <c r="L537" s="16">
        <v>1</v>
      </c>
      <c r="M537" s="16">
        <v>0</v>
      </c>
      <c r="N537">
        <f t="array" aca="1" ref="N537" ca="1">MATCH(TRUE,EXACT(I537,OFFSET(rngParamTypes,0,6,,1)),0)</f>
        <v>74</v>
      </c>
      <c r="O537" t="str">
        <f ca="1">IF((INDEX(rngParamTypes,$N537,7)=I537),"",1)</f>
        <v/>
      </c>
      <c r="P537">
        <f ca="1">INDEX(rngParamTypes,$N537,9)</f>
        <v>1</v>
      </c>
      <c r="Q537">
        <f ca="1">INDEX(rngParamTypes,$N537,10)</f>
        <v>2</v>
      </c>
      <c r="R537">
        <f ca="1">INDEX(rngParamTypes,$N537,11)</f>
        <v>-2</v>
      </c>
      <c r="S537">
        <f ca="1">INDEX(rngParamTypes,$N537,12)</f>
        <v>0</v>
      </c>
      <c r="T537">
        <f ca="1">INDEX(rngParamTypes,$N537,13)</f>
        <v>0</v>
      </c>
      <c r="U537">
        <f ca="1">INDEX(rngParamTypes,$N537,14)</f>
        <v>-1</v>
      </c>
      <c r="V537">
        <f ca="1">INDEX(rngParamTypes,$N537,15)</f>
        <v>0</v>
      </c>
      <c r="W537">
        <f ca="1">INDEX(rngParamTypes,$N537,16)</f>
        <v>0</v>
      </c>
      <c r="X537">
        <f ca="1">INDEX(rngParamTypes,$N537,17)</f>
        <v>0</v>
      </c>
      <c r="Y537">
        <f ca="1">INDEX(rngParamTypes,$N537,18)</f>
        <v>0</v>
      </c>
    </row>
    <row r="538" spans="1:25" x14ac:dyDescent="0.2">
      <c r="A538" s="16">
        <v>537</v>
      </c>
      <c r="B538" s="37">
        <v>1</v>
      </c>
      <c r="C538" s="16" t="s">
        <v>1692</v>
      </c>
      <c r="D538" s="16" t="s">
        <v>1692</v>
      </c>
      <c r="E538" s="16">
        <v>2</v>
      </c>
      <c r="F538" s="16" t="s">
        <v>3720</v>
      </c>
      <c r="G538" s="16" t="s">
        <v>3336</v>
      </c>
      <c r="H538" s="16" t="s">
        <v>1691</v>
      </c>
      <c r="I538" s="16" t="s">
        <v>200</v>
      </c>
      <c r="J538" s="16">
        <v>0</v>
      </c>
      <c r="K538" s="16">
        <v>1</v>
      </c>
      <c r="L538" s="16">
        <v>1</v>
      </c>
      <c r="M538" s="16">
        <v>0</v>
      </c>
      <c r="N538">
        <f t="array" aca="1" ref="N538" ca="1">MATCH(TRUE,EXACT(I538,OFFSET(rngParamTypes,0,6,,1)),0)</f>
        <v>77</v>
      </c>
      <c r="O538" t="str">
        <f ca="1">IF((INDEX(rngParamTypes,$N538,7)=I538),"",1)</f>
        <v/>
      </c>
      <c r="P538">
        <f ca="1">INDEX(rngParamTypes,$N538,9)</f>
        <v>1</v>
      </c>
      <c r="Q538">
        <f ca="1">INDEX(rngParamTypes,$N538,10)</f>
        <v>2</v>
      </c>
      <c r="R538">
        <f ca="1">INDEX(rngParamTypes,$N538,11)</f>
        <v>-2</v>
      </c>
      <c r="S538">
        <f ca="1">INDEX(rngParamTypes,$N538,12)</f>
        <v>0</v>
      </c>
      <c r="T538">
        <f ca="1">INDEX(rngParamTypes,$N538,13)</f>
        <v>-1</v>
      </c>
      <c r="U538">
        <f ca="1">INDEX(rngParamTypes,$N538,14)</f>
        <v>-1</v>
      </c>
      <c r="V538">
        <f ca="1">INDEX(rngParamTypes,$N538,15)</f>
        <v>0</v>
      </c>
      <c r="W538">
        <f ca="1">INDEX(rngParamTypes,$N538,16)</f>
        <v>0</v>
      </c>
      <c r="X538">
        <f ca="1">INDEX(rngParamTypes,$N538,17)</f>
        <v>0</v>
      </c>
      <c r="Y538">
        <f ca="1">INDEX(rngParamTypes,$N538,18)</f>
        <v>0</v>
      </c>
    </row>
    <row r="539" spans="1:25" x14ac:dyDescent="0.2">
      <c r="A539" s="16">
        <v>538</v>
      </c>
      <c r="B539" s="37">
        <v>1</v>
      </c>
      <c r="C539" s="16" t="s">
        <v>1693</v>
      </c>
      <c r="D539" s="16" t="s">
        <v>1693</v>
      </c>
      <c r="E539" s="16">
        <v>2</v>
      </c>
      <c r="F539" s="16" t="s">
        <v>4297</v>
      </c>
      <c r="G539" s="16" t="s">
        <v>3336</v>
      </c>
      <c r="H539" s="16" t="s">
        <v>1691</v>
      </c>
      <c r="I539" s="16" t="s">
        <v>200</v>
      </c>
      <c r="J539" s="16">
        <v>0</v>
      </c>
      <c r="K539" s="16">
        <v>1000</v>
      </c>
      <c r="L539" s="16">
        <v>1</v>
      </c>
      <c r="M539" s="16">
        <v>0</v>
      </c>
      <c r="N539">
        <f t="array" aca="1" ref="N539" ca="1">MATCH(TRUE,EXACT(I539,OFFSET(rngParamTypes,0,6,,1)),0)</f>
        <v>77</v>
      </c>
      <c r="O539" t="str">
        <f ca="1">IF((INDEX(rngParamTypes,$N539,7)=I539),"",1)</f>
        <v/>
      </c>
      <c r="P539">
        <f ca="1">INDEX(rngParamTypes,$N539,9)</f>
        <v>1</v>
      </c>
      <c r="Q539">
        <f ca="1">INDEX(rngParamTypes,$N539,10)</f>
        <v>2</v>
      </c>
      <c r="R539">
        <f ca="1">INDEX(rngParamTypes,$N539,11)</f>
        <v>-2</v>
      </c>
      <c r="S539">
        <f ca="1">INDEX(rngParamTypes,$N539,12)</f>
        <v>0</v>
      </c>
      <c r="T539">
        <f ca="1">INDEX(rngParamTypes,$N539,13)</f>
        <v>-1</v>
      </c>
      <c r="U539">
        <f ca="1">INDEX(rngParamTypes,$N539,14)</f>
        <v>-1</v>
      </c>
      <c r="V539">
        <f ca="1">INDEX(rngParamTypes,$N539,15)</f>
        <v>0</v>
      </c>
      <c r="W539">
        <f ca="1">INDEX(rngParamTypes,$N539,16)</f>
        <v>0</v>
      </c>
      <c r="X539">
        <f ca="1">INDEX(rngParamTypes,$N539,17)</f>
        <v>0</v>
      </c>
      <c r="Y539">
        <f ca="1">INDEX(rngParamTypes,$N539,18)</f>
        <v>0</v>
      </c>
    </row>
    <row r="540" spans="1:25" x14ac:dyDescent="0.2">
      <c r="A540" s="16">
        <v>539</v>
      </c>
      <c r="B540" s="37">
        <v>1</v>
      </c>
      <c r="C540" s="16" t="s">
        <v>1696</v>
      </c>
      <c r="D540" s="16" t="s">
        <v>1696</v>
      </c>
      <c r="E540" s="16">
        <v>2</v>
      </c>
      <c r="F540" s="16" t="s">
        <v>3721</v>
      </c>
      <c r="G540" s="16" t="s">
        <v>378</v>
      </c>
      <c r="H540" s="16" t="s">
        <v>1695</v>
      </c>
      <c r="I540" s="16" t="s">
        <v>379</v>
      </c>
      <c r="J540" s="16">
        <v>0</v>
      </c>
      <c r="K540" s="16">
        <v>4448.2219999999998</v>
      </c>
      <c r="L540" s="16">
        <v>1</v>
      </c>
      <c r="M540" s="16">
        <v>0</v>
      </c>
      <c r="N540">
        <f t="array" aca="1" ref="N540" ca="1">MATCH(TRUE,EXACT(I540,OFFSET(rngParamTypes,0,6,,1)),0)</f>
        <v>154</v>
      </c>
      <c r="O540" t="str">
        <f ca="1">IF((INDEX(rngParamTypes,$N540,7)=I540),"",1)</f>
        <v/>
      </c>
      <c r="P540">
        <f ca="1">INDEX(rngParamTypes,$N540,9)</f>
        <v>1</v>
      </c>
      <c r="Q540">
        <f ca="1">INDEX(rngParamTypes,$N540,10)</f>
        <v>1</v>
      </c>
      <c r="R540">
        <f ca="1">INDEX(rngParamTypes,$N540,11)</f>
        <v>-2</v>
      </c>
      <c r="S540">
        <f ca="1">INDEX(rngParamTypes,$N540,12)</f>
        <v>0</v>
      </c>
      <c r="T540">
        <f ca="1">INDEX(rngParamTypes,$N540,13)</f>
        <v>0</v>
      </c>
      <c r="U540">
        <f ca="1">INDEX(rngParamTypes,$N540,14)</f>
        <v>0</v>
      </c>
      <c r="V540">
        <f ca="1">INDEX(rngParamTypes,$N540,15)</f>
        <v>0</v>
      </c>
      <c r="W540">
        <f ca="1">INDEX(rngParamTypes,$N540,16)</f>
        <v>0</v>
      </c>
      <c r="X540">
        <f ca="1">INDEX(rngParamTypes,$N540,17)</f>
        <v>0</v>
      </c>
      <c r="Y540">
        <f ca="1">INDEX(rngParamTypes,$N540,18)</f>
        <v>0</v>
      </c>
    </row>
    <row r="541" spans="1:25" x14ac:dyDescent="0.2">
      <c r="A541" s="16">
        <v>540</v>
      </c>
      <c r="B541" s="37">
        <v>1</v>
      </c>
      <c r="C541" s="16" t="s">
        <v>1698</v>
      </c>
      <c r="D541" s="16" t="s">
        <v>1698</v>
      </c>
      <c r="E541" s="16">
        <v>2</v>
      </c>
      <c r="F541" s="16" t="s">
        <v>3722</v>
      </c>
      <c r="G541" s="16" t="s">
        <v>220</v>
      </c>
      <c r="H541" s="16" t="s">
        <v>1697</v>
      </c>
      <c r="I541" s="16" t="s">
        <v>221</v>
      </c>
      <c r="J541" s="16">
        <v>0</v>
      </c>
      <c r="K541" s="16">
        <v>453.5924</v>
      </c>
      <c r="L541" s="16">
        <v>1</v>
      </c>
      <c r="M541" s="16">
        <v>0</v>
      </c>
      <c r="N541">
        <f t="array" aca="1" ref="N541" ca="1">MATCH(TRUE,EXACT(I541,OFFSET(rngParamTypes,0,6,,1)),0)</f>
        <v>87</v>
      </c>
      <c r="O541" t="str">
        <f ca="1">IF((INDEX(rngParamTypes,$N541,7)=I541),"",1)</f>
        <v/>
      </c>
      <c r="P541">
        <f ca="1">INDEX(rngParamTypes,$N541,9)</f>
        <v>1</v>
      </c>
      <c r="Q541">
        <f ca="1">INDEX(rngParamTypes,$N541,10)</f>
        <v>0</v>
      </c>
      <c r="R541">
        <f ca="1">INDEX(rngParamTypes,$N541,11)</f>
        <v>0</v>
      </c>
      <c r="S541">
        <f ca="1">INDEX(rngParamTypes,$N541,12)</f>
        <v>0</v>
      </c>
      <c r="T541">
        <f ca="1">INDEX(rngParamTypes,$N541,13)</f>
        <v>0</v>
      </c>
      <c r="U541">
        <f ca="1">INDEX(rngParamTypes,$N541,14)</f>
        <v>0</v>
      </c>
      <c r="V541">
        <f ca="1">INDEX(rngParamTypes,$N541,15)</f>
        <v>0</v>
      </c>
      <c r="W541">
        <f ca="1">INDEX(rngParamTypes,$N541,16)</f>
        <v>0</v>
      </c>
      <c r="X541">
        <f ca="1">INDEX(rngParamTypes,$N541,17)</f>
        <v>0</v>
      </c>
      <c r="Y541">
        <f ca="1">INDEX(rngParamTypes,$N541,18)</f>
        <v>0</v>
      </c>
    </row>
    <row r="542" spans="1:25" x14ac:dyDescent="0.2">
      <c r="A542" s="16">
        <v>541</v>
      </c>
      <c r="B542" s="37">
        <v>1</v>
      </c>
      <c r="C542" s="16" t="s">
        <v>1700</v>
      </c>
      <c r="D542" s="16" t="s">
        <v>1700</v>
      </c>
      <c r="E542" s="16"/>
      <c r="F542" s="16" t="s">
        <v>3723</v>
      </c>
      <c r="G542" s="16" t="s">
        <v>3724</v>
      </c>
      <c r="H542" s="16" t="s">
        <v>1699</v>
      </c>
      <c r="I542" s="16" t="s">
        <v>240</v>
      </c>
      <c r="J542" s="16">
        <v>0</v>
      </c>
      <c r="K542" s="16">
        <v>453.5924</v>
      </c>
      <c r="L542" s="16">
        <v>2.5399999999999999E-2</v>
      </c>
      <c r="M542" s="16">
        <v>0</v>
      </c>
      <c r="N542">
        <f t="array" aca="1" ref="N542" ca="1">MATCH(TRUE,EXACT(I542,OFFSET(rngParamTypes,0,6,,1)),0)</f>
        <v>93</v>
      </c>
      <c r="O542" t="str">
        <f ca="1">IF((INDEX(rngParamTypes,$N542,7)=I542),"",1)</f>
        <v/>
      </c>
      <c r="P542">
        <f ca="1">INDEX(rngParamTypes,$N542,9)</f>
        <v>1</v>
      </c>
      <c r="Q542">
        <f ca="1">INDEX(rngParamTypes,$N542,10)</f>
        <v>-1</v>
      </c>
      <c r="R542">
        <f ca="1">INDEX(rngParamTypes,$N542,11)</f>
        <v>0</v>
      </c>
      <c r="S542">
        <f ca="1">INDEX(rngParamTypes,$N542,12)</f>
        <v>0</v>
      </c>
      <c r="T542">
        <f ca="1">INDEX(rngParamTypes,$N542,13)</f>
        <v>0</v>
      </c>
      <c r="U542">
        <f ca="1">INDEX(rngParamTypes,$N542,14)</f>
        <v>0</v>
      </c>
      <c r="V542">
        <f ca="1">INDEX(rngParamTypes,$N542,15)</f>
        <v>0</v>
      </c>
      <c r="W542">
        <f ca="1">INDEX(rngParamTypes,$N542,16)</f>
        <v>0</v>
      </c>
      <c r="X542">
        <f ca="1">INDEX(rngParamTypes,$N542,17)</f>
        <v>0</v>
      </c>
      <c r="Y542">
        <f ca="1">INDEX(rngParamTypes,$N542,18)</f>
        <v>0</v>
      </c>
    </row>
    <row r="543" spans="1:25" x14ac:dyDescent="0.2">
      <c r="A543" s="16">
        <v>542</v>
      </c>
      <c r="B543" s="37">
        <v>1</v>
      </c>
      <c r="C543" s="16" t="s">
        <v>1702</v>
      </c>
      <c r="D543" s="16" t="s">
        <v>1702</v>
      </c>
      <c r="E543" s="16"/>
      <c r="F543" s="16" t="s">
        <v>3725</v>
      </c>
      <c r="G543" s="16" t="s">
        <v>270</v>
      </c>
      <c r="H543" s="16" t="s">
        <v>1701</v>
      </c>
      <c r="I543" s="16" t="s">
        <v>271</v>
      </c>
      <c r="J543" s="16">
        <v>0</v>
      </c>
      <c r="K543" s="16">
        <v>1000</v>
      </c>
      <c r="L543" s="16">
        <v>1</v>
      </c>
      <c r="M543" s="16">
        <v>0</v>
      </c>
      <c r="N543">
        <f t="array" aca="1" ref="N543" ca="1">MATCH(TRUE,EXACT(I543,OFFSET(rngParamTypes,0,6,,1)),0)</f>
        <v>107</v>
      </c>
      <c r="O543" t="str">
        <f ca="1">IF((INDEX(rngParamTypes,$N543,7)=I543),"",1)</f>
        <v/>
      </c>
      <c r="P543">
        <f ca="1">INDEX(rngParamTypes,$N543,9)</f>
        <v>0</v>
      </c>
      <c r="Q543">
        <f ca="1">INDEX(rngParamTypes,$N543,10)</f>
        <v>-2</v>
      </c>
      <c r="R543">
        <f ca="1">INDEX(rngParamTypes,$N543,11)</f>
        <v>0</v>
      </c>
      <c r="S543">
        <f ca="1">INDEX(rngParamTypes,$N543,12)</f>
        <v>0</v>
      </c>
      <c r="T543">
        <f ca="1">INDEX(rngParamTypes,$N543,13)</f>
        <v>0</v>
      </c>
      <c r="U543">
        <f ca="1">INDEX(rngParamTypes,$N543,14)</f>
        <v>0</v>
      </c>
      <c r="V543">
        <f ca="1">INDEX(rngParamTypes,$N543,15)</f>
        <v>1</v>
      </c>
      <c r="W543">
        <f ca="1">INDEX(rngParamTypes,$N543,16)</f>
        <v>0</v>
      </c>
      <c r="X543">
        <f ca="1">INDEX(rngParamTypes,$N543,17)</f>
        <v>1</v>
      </c>
      <c r="Y543">
        <f ca="1">INDEX(rngParamTypes,$N543,18)</f>
        <v>0</v>
      </c>
    </row>
    <row r="544" spans="1:25" x14ac:dyDescent="0.2">
      <c r="A544" s="16">
        <v>543</v>
      </c>
      <c r="B544" s="37">
        <v>1</v>
      </c>
      <c r="C544" s="16" t="s">
        <v>1704</v>
      </c>
      <c r="D544" s="16" t="s">
        <v>1704</v>
      </c>
      <c r="E544" s="16">
        <v>2</v>
      </c>
      <c r="F544" s="16" t="s">
        <v>3726</v>
      </c>
      <c r="G544" s="16" t="s">
        <v>3380</v>
      </c>
      <c r="H544" s="16" t="s">
        <v>1703</v>
      </c>
      <c r="I544" s="16" t="s">
        <v>290</v>
      </c>
      <c r="J544" s="16">
        <v>0</v>
      </c>
      <c r="K544" s="16">
        <v>1000</v>
      </c>
      <c r="L544" s="16">
        <v>1</v>
      </c>
      <c r="M544" s="16">
        <v>0</v>
      </c>
      <c r="N544">
        <f t="array" aca="1" ref="N544" ca="1">MATCH(TRUE,EXACT(I544,OFFSET(rngParamTypes,0,6,,1)),0)</f>
        <v>109</v>
      </c>
      <c r="O544" t="str">
        <f ca="1">IF((INDEX(rngParamTypes,$N544,7)=I544),"",1)</f>
        <v/>
      </c>
      <c r="P544">
        <f ca="1">INDEX(rngParamTypes,$N544,9)</f>
        <v>0</v>
      </c>
      <c r="Q544">
        <f ca="1">INDEX(rngParamTypes,$N544,10)</f>
        <v>1</v>
      </c>
      <c r="R544">
        <f ca="1">INDEX(rngParamTypes,$N544,11)</f>
        <v>0</v>
      </c>
      <c r="S544">
        <f ca="1">INDEX(rngParamTypes,$N544,12)</f>
        <v>0</v>
      </c>
      <c r="T544">
        <f ca="1">INDEX(rngParamTypes,$N544,13)</f>
        <v>0</v>
      </c>
      <c r="U544">
        <f ca="1">INDEX(rngParamTypes,$N544,14)</f>
        <v>0</v>
      </c>
      <c r="V544">
        <f ca="1">INDEX(rngParamTypes,$N544,15)</f>
        <v>0</v>
      </c>
      <c r="W544">
        <f ca="1">INDEX(rngParamTypes,$N544,16)</f>
        <v>0</v>
      </c>
      <c r="X544">
        <f ca="1">INDEX(rngParamTypes,$N544,17)</f>
        <v>0</v>
      </c>
      <c r="Y544">
        <f ca="1">INDEX(rngParamTypes,$N544,18)</f>
        <v>0</v>
      </c>
    </row>
    <row r="545" spans="1:25" x14ac:dyDescent="0.2">
      <c r="A545" s="16">
        <v>544</v>
      </c>
      <c r="B545" s="37">
        <v>1</v>
      </c>
      <c r="C545" s="16" t="s">
        <v>1706</v>
      </c>
      <c r="D545" s="16" t="s">
        <v>1706</v>
      </c>
      <c r="E545" s="16"/>
      <c r="F545" s="16" t="s">
        <v>3727</v>
      </c>
      <c r="G545" s="16" t="s">
        <v>3509</v>
      </c>
      <c r="H545" s="16" t="s">
        <v>1705</v>
      </c>
      <c r="I545" s="16" t="s">
        <v>131</v>
      </c>
      <c r="J545" s="16">
        <v>0</v>
      </c>
      <c r="K545" s="16">
        <v>100000</v>
      </c>
      <c r="L545" s="16">
        <v>1</v>
      </c>
      <c r="M545" s="16">
        <v>0</v>
      </c>
      <c r="N545">
        <f t="array" aca="1" ref="N545" ca="1">MATCH(TRUE,EXACT(I545,OFFSET(rngParamTypes,0,6,,1)),0)</f>
        <v>42</v>
      </c>
      <c r="O545" t="str">
        <f ca="1">IF((INDEX(rngParamTypes,$N545,7)=I545),"",1)</f>
        <v/>
      </c>
      <c r="P545">
        <f ca="1">INDEX(rngParamTypes,$N545,9)</f>
        <v>0</v>
      </c>
      <c r="Q545">
        <f ca="1">INDEX(rngParamTypes,$N545,10)</f>
        <v>0</v>
      </c>
      <c r="R545">
        <f ca="1">INDEX(rngParamTypes,$N545,11)</f>
        <v>0</v>
      </c>
      <c r="S545">
        <f ca="1">INDEX(rngParamTypes,$N545,12)</f>
        <v>0</v>
      </c>
      <c r="T545">
        <f ca="1">INDEX(rngParamTypes,$N545,13)</f>
        <v>0</v>
      </c>
      <c r="U545">
        <f ca="1">INDEX(rngParamTypes,$N545,14)</f>
        <v>0</v>
      </c>
      <c r="V545">
        <f ca="1">INDEX(rngParamTypes,$N545,15)</f>
        <v>0</v>
      </c>
      <c r="W545">
        <f ca="1">INDEX(rngParamTypes,$N545,16)</f>
        <v>0</v>
      </c>
      <c r="X545">
        <f ca="1">INDEX(rngParamTypes,$N545,17)</f>
        <v>0</v>
      </c>
      <c r="Y545">
        <f ca="1">INDEX(rngParamTypes,$N545,18)</f>
        <v>0</v>
      </c>
    </row>
    <row r="546" spans="1:25" x14ac:dyDescent="0.2">
      <c r="A546" s="16">
        <v>545</v>
      </c>
      <c r="B546" s="37">
        <v>1</v>
      </c>
      <c r="C546" s="16" t="s">
        <v>1708</v>
      </c>
      <c r="D546" s="16" t="s">
        <v>1708</v>
      </c>
      <c r="E546" s="16"/>
      <c r="F546" s="16" t="s">
        <v>3728</v>
      </c>
      <c r="G546" s="16" t="s">
        <v>1208</v>
      </c>
      <c r="H546" s="16" t="s">
        <v>1707</v>
      </c>
      <c r="I546" s="16" t="s">
        <v>23</v>
      </c>
      <c r="J546" s="16">
        <v>0</v>
      </c>
      <c r="K546" s="16">
        <v>1000000</v>
      </c>
      <c r="L546" s="16">
        <v>1</v>
      </c>
      <c r="M546" s="16">
        <v>0</v>
      </c>
      <c r="N546">
        <f t="array" aca="1" ref="N546" ca="1">MATCH(TRUE,EXACT(I546,OFFSET(rngParamTypes,0,6,,1)),0)</f>
        <v>7</v>
      </c>
      <c r="O546" t="str">
        <f ca="1">IF((INDEX(rngParamTypes,$N546,7)=I546),"",1)</f>
        <v/>
      </c>
      <c r="P546">
        <f ca="1">INDEX(rngParamTypes,$N546,9)</f>
        <v>0</v>
      </c>
      <c r="Q546">
        <f ca="1">INDEX(rngParamTypes,$N546,10)</f>
        <v>-2</v>
      </c>
      <c r="R546">
        <f ca="1">INDEX(rngParamTypes,$N546,11)</f>
        <v>0</v>
      </c>
      <c r="S546">
        <f ca="1">INDEX(rngParamTypes,$N546,12)</f>
        <v>0</v>
      </c>
      <c r="T546">
        <f ca="1">INDEX(rngParamTypes,$N546,13)</f>
        <v>0</v>
      </c>
      <c r="U546">
        <f ca="1">INDEX(rngParamTypes,$N546,14)</f>
        <v>0</v>
      </c>
      <c r="V546">
        <f ca="1">INDEX(rngParamTypes,$N546,15)</f>
        <v>0</v>
      </c>
      <c r="W546">
        <f ca="1">INDEX(rngParamTypes,$N546,16)</f>
        <v>0</v>
      </c>
      <c r="X546">
        <f ca="1">INDEX(rngParamTypes,$N546,17)</f>
        <v>0</v>
      </c>
      <c r="Y546">
        <f ca="1">INDEX(rngParamTypes,$N546,18)</f>
        <v>0</v>
      </c>
    </row>
    <row r="547" spans="1:25" x14ac:dyDescent="0.2">
      <c r="A547" s="16">
        <v>546</v>
      </c>
      <c r="B547" s="37">
        <v>1</v>
      </c>
      <c r="C547" s="16" t="s">
        <v>1710</v>
      </c>
      <c r="D547" s="16" t="s">
        <v>1710</v>
      </c>
      <c r="E547" s="16">
        <v>2</v>
      </c>
      <c r="F547" s="16" t="s">
        <v>3729</v>
      </c>
      <c r="G547" s="16" t="s">
        <v>296</v>
      </c>
      <c r="H547" s="16" t="s">
        <v>1709</v>
      </c>
      <c r="I547" s="16" t="s">
        <v>297</v>
      </c>
      <c r="J547" s="16">
        <v>0</v>
      </c>
      <c r="K547" s="16">
        <v>1</v>
      </c>
      <c r="L547" s="16">
        <v>3.6</v>
      </c>
      <c r="M547" s="16">
        <v>0</v>
      </c>
      <c r="N547">
        <f t="array" aca="1" ref="N547" ca="1">MATCH(TRUE,EXACT(I547,OFFSET(rngParamTypes,0,6,,1)),0)</f>
        <v>123</v>
      </c>
      <c r="O547" t="str">
        <f ca="1">IF((INDEX(rngParamTypes,$N547,7)=I547),"",1)</f>
        <v/>
      </c>
      <c r="P547">
        <f ca="1">INDEX(rngParamTypes,$N547,9)</f>
        <v>0</v>
      </c>
      <c r="Q547">
        <f ca="1">INDEX(rngParamTypes,$N547,10)</f>
        <v>1</v>
      </c>
      <c r="R547">
        <f ca="1">INDEX(rngParamTypes,$N547,11)</f>
        <v>-1</v>
      </c>
      <c r="S547">
        <f ca="1">INDEX(rngParamTypes,$N547,12)</f>
        <v>0</v>
      </c>
      <c r="T547">
        <f ca="1">INDEX(rngParamTypes,$N547,13)</f>
        <v>0</v>
      </c>
      <c r="U547">
        <f ca="1">INDEX(rngParamTypes,$N547,14)</f>
        <v>0</v>
      </c>
      <c r="V547">
        <f ca="1">INDEX(rngParamTypes,$N547,15)</f>
        <v>0</v>
      </c>
      <c r="W547">
        <f ca="1">INDEX(rngParamTypes,$N547,16)</f>
        <v>0</v>
      </c>
      <c r="X547">
        <f ca="1">INDEX(rngParamTypes,$N547,17)</f>
        <v>0</v>
      </c>
      <c r="Y547">
        <f ca="1">INDEX(rngParamTypes,$N547,18)</f>
        <v>0</v>
      </c>
    </row>
    <row r="548" spans="1:25" x14ac:dyDescent="0.2">
      <c r="A548" s="16">
        <v>547</v>
      </c>
      <c r="B548" s="37">
        <v>1</v>
      </c>
      <c r="C548" s="16" t="s">
        <v>1712</v>
      </c>
      <c r="D548" s="16" t="s">
        <v>1712</v>
      </c>
      <c r="E548" s="16"/>
      <c r="F548" s="16" t="s">
        <v>3730</v>
      </c>
      <c r="G548" s="16" t="s">
        <v>1208</v>
      </c>
      <c r="H548" s="16" t="s">
        <v>1711</v>
      </c>
      <c r="I548" s="16" t="s">
        <v>23</v>
      </c>
      <c r="J548" s="16">
        <v>0</v>
      </c>
      <c r="K548" s="16">
        <v>1000000</v>
      </c>
      <c r="L548" s="16">
        <v>1</v>
      </c>
      <c r="M548" s="16">
        <v>0</v>
      </c>
      <c r="N548">
        <f t="array" aca="1" ref="N548" ca="1">MATCH(TRUE,EXACT(I548,OFFSET(rngParamTypes,0,6,,1)),0)</f>
        <v>7</v>
      </c>
      <c r="O548" t="str">
        <f ca="1">IF((INDEX(rngParamTypes,$N548,7)=I548),"",1)</f>
        <v/>
      </c>
      <c r="P548">
        <f ca="1">INDEX(rngParamTypes,$N548,9)</f>
        <v>0</v>
      </c>
      <c r="Q548">
        <f ca="1">INDEX(rngParamTypes,$N548,10)</f>
        <v>-2</v>
      </c>
      <c r="R548">
        <f ca="1">INDEX(rngParamTypes,$N548,11)</f>
        <v>0</v>
      </c>
      <c r="S548">
        <f ca="1">INDEX(rngParamTypes,$N548,12)</f>
        <v>0</v>
      </c>
      <c r="T548">
        <f ca="1">INDEX(rngParamTypes,$N548,13)</f>
        <v>0</v>
      </c>
      <c r="U548">
        <f ca="1">INDEX(rngParamTypes,$N548,14)</f>
        <v>0</v>
      </c>
      <c r="V548">
        <f ca="1">INDEX(rngParamTypes,$N548,15)</f>
        <v>0</v>
      </c>
      <c r="W548">
        <f ca="1">INDEX(rngParamTypes,$N548,16)</f>
        <v>0</v>
      </c>
      <c r="X548">
        <f ca="1">INDEX(rngParamTypes,$N548,17)</f>
        <v>0</v>
      </c>
      <c r="Y548">
        <f ca="1">INDEX(rngParamTypes,$N548,18)</f>
        <v>0</v>
      </c>
    </row>
    <row r="549" spans="1:25" x14ac:dyDescent="0.2">
      <c r="A549" s="16">
        <v>548</v>
      </c>
      <c r="B549" s="37">
        <v>1</v>
      </c>
      <c r="C549" s="16" t="s">
        <v>1714</v>
      </c>
      <c r="D549" s="16" t="s">
        <v>1714</v>
      </c>
      <c r="E549" s="16">
        <v>2</v>
      </c>
      <c r="F549" s="16" t="s">
        <v>3731</v>
      </c>
      <c r="G549" s="16" t="s">
        <v>296</v>
      </c>
      <c r="H549" s="16" t="s">
        <v>1713</v>
      </c>
      <c r="I549" s="16" t="s">
        <v>297</v>
      </c>
      <c r="J549" s="16">
        <v>0</v>
      </c>
      <c r="K549" s="16">
        <v>1000</v>
      </c>
      <c r="L549" s="16">
        <v>1</v>
      </c>
      <c r="M549" s="16">
        <v>0</v>
      </c>
      <c r="N549">
        <f t="array" aca="1" ref="N549" ca="1">MATCH(TRUE,EXACT(I549,OFFSET(rngParamTypes,0,6,,1)),0)</f>
        <v>123</v>
      </c>
      <c r="O549" t="str">
        <f ca="1">IF((INDEX(rngParamTypes,$N549,7)=I549),"",1)</f>
        <v/>
      </c>
      <c r="P549">
        <f ca="1">INDEX(rngParamTypes,$N549,9)</f>
        <v>0</v>
      </c>
      <c r="Q549">
        <f ca="1">INDEX(rngParamTypes,$N549,10)</f>
        <v>1</v>
      </c>
      <c r="R549">
        <f ca="1">INDEX(rngParamTypes,$N549,11)</f>
        <v>-1</v>
      </c>
      <c r="S549">
        <f ca="1">INDEX(rngParamTypes,$N549,12)</f>
        <v>0</v>
      </c>
      <c r="T549">
        <f ca="1">INDEX(rngParamTypes,$N549,13)</f>
        <v>0</v>
      </c>
      <c r="U549">
        <f ca="1">INDEX(rngParamTypes,$N549,14)</f>
        <v>0</v>
      </c>
      <c r="V549">
        <f ca="1">INDEX(rngParamTypes,$N549,15)</f>
        <v>0</v>
      </c>
      <c r="W549">
        <f ca="1">INDEX(rngParamTypes,$N549,16)</f>
        <v>0</v>
      </c>
      <c r="X549">
        <f ca="1">INDEX(rngParamTypes,$N549,17)</f>
        <v>0</v>
      </c>
      <c r="Y549">
        <f ca="1">INDEX(rngParamTypes,$N549,18)</f>
        <v>0</v>
      </c>
    </row>
    <row r="550" spans="1:25" x14ac:dyDescent="0.2">
      <c r="A550" s="16">
        <v>549</v>
      </c>
      <c r="B550" s="37">
        <v>1</v>
      </c>
      <c r="C550" s="16" t="s">
        <v>1716</v>
      </c>
      <c r="D550" s="16" t="s">
        <v>1716</v>
      </c>
      <c r="E550" s="16">
        <v>2</v>
      </c>
      <c r="F550" s="16" t="s">
        <v>3732</v>
      </c>
      <c r="G550" s="16" t="s">
        <v>302</v>
      </c>
      <c r="H550" s="16" t="s">
        <v>1715</v>
      </c>
      <c r="I550" s="16" t="s">
        <v>303</v>
      </c>
      <c r="J550" s="16">
        <v>0</v>
      </c>
      <c r="K550" s="16">
        <v>1000000</v>
      </c>
      <c r="L550" s="16">
        <v>1</v>
      </c>
      <c r="M550" s="16">
        <v>0</v>
      </c>
      <c r="N550">
        <f t="array" aca="1" ref="N550" ca="1">MATCH(TRUE,EXACT(I550,OFFSET(rngParamTypes,0,6,,1)),0)</f>
        <v>125</v>
      </c>
      <c r="O550" t="str">
        <f ca="1">IF((INDEX(rngParamTypes,$N550,7)=I550),"",1)</f>
        <v/>
      </c>
      <c r="P550">
        <f ca="1">INDEX(rngParamTypes,$N550,9)</f>
        <v>0</v>
      </c>
      <c r="Q550">
        <f ca="1">INDEX(rngParamTypes,$N550,10)</f>
        <v>2</v>
      </c>
      <c r="R550">
        <f ca="1">INDEX(rngParamTypes,$N550,11)</f>
        <v>0</v>
      </c>
      <c r="S550">
        <f ca="1">INDEX(rngParamTypes,$N550,12)</f>
        <v>0</v>
      </c>
      <c r="T550">
        <f ca="1">INDEX(rngParamTypes,$N550,13)</f>
        <v>0</v>
      </c>
      <c r="U550">
        <f ca="1">INDEX(rngParamTypes,$N550,14)</f>
        <v>0</v>
      </c>
      <c r="V550">
        <f ca="1">INDEX(rngParamTypes,$N550,15)</f>
        <v>0</v>
      </c>
      <c r="W550">
        <f ca="1">INDEX(rngParamTypes,$N550,16)</f>
        <v>0</v>
      </c>
      <c r="X550">
        <f ca="1">INDEX(rngParamTypes,$N550,17)</f>
        <v>0</v>
      </c>
      <c r="Y550">
        <f ca="1">INDEX(rngParamTypes,$N550,18)</f>
        <v>0</v>
      </c>
    </row>
    <row r="551" spans="1:25" x14ac:dyDescent="0.2">
      <c r="A551" s="16">
        <v>550</v>
      </c>
      <c r="B551" s="37">
        <v>1</v>
      </c>
      <c r="C551" s="16" t="s">
        <v>1718</v>
      </c>
      <c r="D551" s="16" t="s">
        <v>1718</v>
      </c>
      <c r="E551" s="16">
        <v>2</v>
      </c>
      <c r="F551" s="16" t="s">
        <v>3733</v>
      </c>
      <c r="G551" s="16" t="s">
        <v>321</v>
      </c>
      <c r="H551" s="16" t="s">
        <v>1717</v>
      </c>
      <c r="I551" s="16" t="s">
        <v>322</v>
      </c>
      <c r="J551" s="16">
        <v>0</v>
      </c>
      <c r="K551" s="16">
        <v>1000000000</v>
      </c>
      <c r="L551" s="16">
        <v>1</v>
      </c>
      <c r="M551" s="16">
        <v>0</v>
      </c>
      <c r="N551">
        <f t="array" aca="1" ref="N551" ca="1">MATCH(TRUE,EXACT(I551,OFFSET(rngParamTypes,0,6,,1)),0)</f>
        <v>134</v>
      </c>
      <c r="O551" t="str">
        <f ca="1">IF((INDEX(rngParamTypes,$N551,7)=I551),"",1)</f>
        <v/>
      </c>
      <c r="P551">
        <f ca="1">INDEX(rngParamTypes,$N551,9)</f>
        <v>0</v>
      </c>
      <c r="Q551">
        <f ca="1">INDEX(rngParamTypes,$N551,10)</f>
        <v>3</v>
      </c>
      <c r="R551">
        <f ca="1">INDEX(rngParamTypes,$N551,11)</f>
        <v>0</v>
      </c>
      <c r="S551">
        <f ca="1">INDEX(rngParamTypes,$N551,12)</f>
        <v>0</v>
      </c>
      <c r="T551">
        <f ca="1">INDEX(rngParamTypes,$N551,13)</f>
        <v>0</v>
      </c>
      <c r="U551">
        <f ca="1">INDEX(rngParamTypes,$N551,14)</f>
        <v>0</v>
      </c>
      <c r="V551">
        <f ca="1">INDEX(rngParamTypes,$N551,15)</f>
        <v>0</v>
      </c>
      <c r="W551">
        <f ca="1">INDEX(rngParamTypes,$N551,16)</f>
        <v>0</v>
      </c>
      <c r="X551">
        <f ca="1">INDEX(rngParamTypes,$N551,17)</f>
        <v>0</v>
      </c>
      <c r="Y551">
        <f ca="1">INDEX(rngParamTypes,$N551,18)</f>
        <v>0</v>
      </c>
    </row>
    <row r="552" spans="1:25" x14ac:dyDescent="0.2">
      <c r="A552" s="16">
        <v>551</v>
      </c>
      <c r="B552" s="37">
        <v>1</v>
      </c>
      <c r="C552" s="16" t="s">
        <v>1720</v>
      </c>
      <c r="D552" s="16" t="s">
        <v>1720</v>
      </c>
      <c r="E552" s="16">
        <v>2</v>
      </c>
      <c r="F552" s="16" t="s">
        <v>3734</v>
      </c>
      <c r="G552" s="16" t="s">
        <v>361</v>
      </c>
      <c r="H552" s="16" t="s">
        <v>1719</v>
      </c>
      <c r="I552" s="16" t="s">
        <v>362</v>
      </c>
      <c r="J552" s="16">
        <v>0</v>
      </c>
      <c r="K552" s="16">
        <v>1000</v>
      </c>
      <c r="L552" s="16">
        <v>1</v>
      </c>
      <c r="M552" s="16">
        <v>0</v>
      </c>
      <c r="N552">
        <f t="array" aca="1" ref="N552" ca="1">MATCH(TRUE,EXACT(I552,OFFSET(rngParamTypes,0,6,,1)),0)</f>
        <v>148</v>
      </c>
      <c r="O552" t="str">
        <f ca="1">IF((INDEX(rngParamTypes,$N552,7)=I552),"",1)</f>
        <v/>
      </c>
      <c r="P552">
        <f ca="1">INDEX(rngParamTypes,$N552,9)</f>
        <v>0</v>
      </c>
      <c r="Q552">
        <f ca="1">INDEX(rngParamTypes,$N552,10)</f>
        <v>0</v>
      </c>
      <c r="R552">
        <f ca="1">INDEX(rngParamTypes,$N552,11)</f>
        <v>0</v>
      </c>
      <c r="S552">
        <f ca="1">INDEX(rngParamTypes,$N552,12)</f>
        <v>0</v>
      </c>
      <c r="T552">
        <f ca="1">INDEX(rngParamTypes,$N552,13)</f>
        <v>0</v>
      </c>
      <c r="U552">
        <f ca="1">INDEX(rngParamTypes,$N552,14)</f>
        <v>1</v>
      </c>
      <c r="V552">
        <f ca="1">INDEX(rngParamTypes,$N552,15)</f>
        <v>0</v>
      </c>
      <c r="W552">
        <f ca="1">INDEX(rngParamTypes,$N552,16)</f>
        <v>0</v>
      </c>
      <c r="X552">
        <f ca="1">INDEX(rngParamTypes,$N552,17)</f>
        <v>0</v>
      </c>
      <c r="Y552">
        <f ca="1">INDEX(rngParamTypes,$N552,18)</f>
        <v>0</v>
      </c>
    </row>
    <row r="553" spans="1:25" x14ac:dyDescent="0.2">
      <c r="A553" s="16">
        <v>552</v>
      </c>
      <c r="B553" s="37">
        <v>1</v>
      </c>
      <c r="C553" s="16" t="s">
        <v>1722</v>
      </c>
      <c r="D553" s="16" t="s">
        <v>1722</v>
      </c>
      <c r="E553" s="16">
        <v>2</v>
      </c>
      <c r="F553" s="16" t="s">
        <v>3735</v>
      </c>
      <c r="G553" s="16" t="s">
        <v>378</v>
      </c>
      <c r="H553" s="16" t="s">
        <v>1721</v>
      </c>
      <c r="I553" s="16" t="s">
        <v>379</v>
      </c>
      <c r="J553" s="16">
        <v>0</v>
      </c>
      <c r="K553" s="16">
        <v>1000</v>
      </c>
      <c r="L553" s="16">
        <v>1</v>
      </c>
      <c r="M553" s="16">
        <v>0</v>
      </c>
      <c r="N553">
        <f t="array" aca="1" ref="N553" ca="1">MATCH(TRUE,EXACT(I553,OFFSET(rngParamTypes,0,6,,1)),0)</f>
        <v>154</v>
      </c>
      <c r="O553" t="str">
        <f ca="1">IF((INDEX(rngParamTypes,$N553,7)=I553),"",1)</f>
        <v/>
      </c>
      <c r="P553">
        <f ca="1">INDEX(rngParamTypes,$N553,9)</f>
        <v>1</v>
      </c>
      <c r="Q553">
        <f ca="1">INDEX(rngParamTypes,$N553,10)</f>
        <v>1</v>
      </c>
      <c r="R553">
        <f ca="1">INDEX(rngParamTypes,$N553,11)</f>
        <v>-2</v>
      </c>
      <c r="S553">
        <f ca="1">INDEX(rngParamTypes,$N553,12)</f>
        <v>0</v>
      </c>
      <c r="T553">
        <f ca="1">INDEX(rngParamTypes,$N553,13)</f>
        <v>0</v>
      </c>
      <c r="U553">
        <f ca="1">INDEX(rngParamTypes,$N553,14)</f>
        <v>0</v>
      </c>
      <c r="V553">
        <f ca="1">INDEX(rngParamTypes,$N553,15)</f>
        <v>0</v>
      </c>
      <c r="W553">
        <f ca="1">INDEX(rngParamTypes,$N553,16)</f>
        <v>0</v>
      </c>
      <c r="X553">
        <f ca="1">INDEX(rngParamTypes,$N553,17)</f>
        <v>0</v>
      </c>
      <c r="Y553">
        <f ca="1">INDEX(rngParamTypes,$N553,18)</f>
        <v>0</v>
      </c>
    </row>
    <row r="554" spans="1:25" x14ac:dyDescent="0.2">
      <c r="A554" s="16">
        <v>553</v>
      </c>
      <c r="B554" s="37">
        <v>1</v>
      </c>
      <c r="C554" s="16" t="s">
        <v>1724</v>
      </c>
      <c r="D554" s="16" t="s">
        <v>1724</v>
      </c>
      <c r="E554" s="16"/>
      <c r="F554" s="16" t="s">
        <v>3736</v>
      </c>
      <c r="G554" s="16" t="s">
        <v>3417</v>
      </c>
      <c r="H554" s="16" t="s">
        <v>1723</v>
      </c>
      <c r="I554" s="16" t="s">
        <v>168</v>
      </c>
      <c r="J554" s="16">
        <v>0</v>
      </c>
      <c r="K554" s="16">
        <v>1000</v>
      </c>
      <c r="L554" s="16">
        <v>1</v>
      </c>
      <c r="M554" s="16">
        <v>0</v>
      </c>
      <c r="N554">
        <f t="array" aca="1" ref="N554" ca="1">MATCH(TRUE,EXACT(I554,OFFSET(rngParamTypes,0,6,,1)),0)</f>
        <v>56</v>
      </c>
      <c r="O554" t="str">
        <f ca="1">IF((INDEX(rngParamTypes,$N554,7)=I554),"",1)</f>
        <v/>
      </c>
      <c r="P554">
        <f ca="1">INDEX(rngParamTypes,$N554,9)</f>
        <v>1</v>
      </c>
      <c r="Q554">
        <f ca="1">INDEX(rngParamTypes,$N554,10)</f>
        <v>2</v>
      </c>
      <c r="R554">
        <f ca="1">INDEX(rngParamTypes,$N554,11)</f>
        <v>-2</v>
      </c>
      <c r="S554">
        <f ca="1">INDEX(rngParamTypes,$N554,12)</f>
        <v>0</v>
      </c>
      <c r="T554">
        <f ca="1">INDEX(rngParamTypes,$N554,13)</f>
        <v>0</v>
      </c>
      <c r="U554">
        <f ca="1">INDEX(rngParamTypes,$N554,14)</f>
        <v>0</v>
      </c>
      <c r="V554">
        <f ca="1">INDEX(rngParamTypes,$N554,15)</f>
        <v>0</v>
      </c>
      <c r="W554">
        <f ca="1">INDEX(rngParamTypes,$N554,16)</f>
        <v>0</v>
      </c>
      <c r="X554">
        <f ca="1">INDEX(rngParamTypes,$N554,17)</f>
        <v>0</v>
      </c>
      <c r="Y554">
        <f ca="1">INDEX(rngParamTypes,$N554,18)</f>
        <v>0</v>
      </c>
    </row>
    <row r="555" spans="1:25" x14ac:dyDescent="0.2">
      <c r="A555" s="16">
        <v>554</v>
      </c>
      <c r="B555" s="37">
        <v>1</v>
      </c>
      <c r="C555" s="16" t="s">
        <v>1726</v>
      </c>
      <c r="D555" s="16" t="s">
        <v>1726</v>
      </c>
      <c r="E555" s="16"/>
      <c r="F555" s="16" t="s">
        <v>3737</v>
      </c>
      <c r="G555" s="16" t="s">
        <v>382</v>
      </c>
      <c r="H555" s="16" t="s">
        <v>1725</v>
      </c>
      <c r="I555" s="16" t="s">
        <v>383</v>
      </c>
      <c r="J555" s="16">
        <v>0</v>
      </c>
      <c r="K555" s="16">
        <v>1000</v>
      </c>
      <c r="L555" s="16">
        <v>1</v>
      </c>
      <c r="M555" s="16">
        <v>0</v>
      </c>
      <c r="N555">
        <f t="array" aca="1" ref="N555" ca="1">MATCH(TRUE,EXACT(I555,OFFSET(rngParamTypes,0,6,,1)),0)</f>
        <v>155</v>
      </c>
      <c r="O555" t="str">
        <f ca="1">IF((INDEX(rngParamTypes,$N555,7)=I555),"",1)</f>
        <v/>
      </c>
      <c r="P555">
        <f ca="1">INDEX(rngParamTypes,$N555,9)</f>
        <v>1</v>
      </c>
      <c r="Q555">
        <f ca="1">INDEX(rngParamTypes,$N555,10)</f>
        <v>3</v>
      </c>
      <c r="R555">
        <f ca="1">INDEX(rngParamTypes,$N555,11)</f>
        <v>-2</v>
      </c>
      <c r="S555">
        <f ca="1">INDEX(rngParamTypes,$N555,12)</f>
        <v>0</v>
      </c>
      <c r="T555">
        <f ca="1">INDEX(rngParamTypes,$N555,13)</f>
        <v>0</v>
      </c>
      <c r="U555">
        <f ca="1">INDEX(rngParamTypes,$N555,14)</f>
        <v>0</v>
      </c>
      <c r="V555">
        <f ca="1">INDEX(rngParamTypes,$N555,15)</f>
        <v>0</v>
      </c>
      <c r="W555">
        <f ca="1">INDEX(rngParamTypes,$N555,16)</f>
        <v>0</v>
      </c>
      <c r="X555">
        <f ca="1">INDEX(rngParamTypes,$N555,17)</f>
        <v>0</v>
      </c>
      <c r="Y555">
        <f ca="1">INDEX(rngParamTypes,$N555,18)</f>
        <v>0</v>
      </c>
    </row>
    <row r="556" spans="1:25" x14ac:dyDescent="0.2">
      <c r="A556" s="16">
        <v>555</v>
      </c>
      <c r="B556" s="37">
        <v>1</v>
      </c>
      <c r="C556" s="16" t="s">
        <v>1728</v>
      </c>
      <c r="D556" s="16" t="s">
        <v>1728</v>
      </c>
      <c r="E556" s="16"/>
      <c r="F556" s="16" t="s">
        <v>3738</v>
      </c>
      <c r="G556" s="16" t="s">
        <v>385</v>
      </c>
      <c r="H556" s="16" t="s">
        <v>1727</v>
      </c>
      <c r="I556" s="16" t="s">
        <v>387</v>
      </c>
      <c r="J556" s="16">
        <v>0</v>
      </c>
      <c r="K556" s="16">
        <v>1000</v>
      </c>
      <c r="L556" s="16">
        <v>1</v>
      </c>
      <c r="M556" s="16">
        <v>0</v>
      </c>
      <c r="N556">
        <f t="array" aca="1" ref="N556" ca="1">MATCH(TRUE,EXACT(I556,OFFSET(rngParamTypes,0,6,,1)),0)</f>
        <v>156</v>
      </c>
      <c r="O556" t="str">
        <f ca="1">IF((INDEX(rngParamTypes,$N556,7)=I556),"",1)</f>
        <v/>
      </c>
      <c r="P556">
        <f ca="1">INDEX(rngParamTypes,$N556,9)</f>
        <v>1</v>
      </c>
      <c r="Q556">
        <f ca="1">INDEX(rngParamTypes,$N556,10)</f>
        <v>0</v>
      </c>
      <c r="R556">
        <f ca="1">INDEX(rngParamTypes,$N556,11)</f>
        <v>-2</v>
      </c>
      <c r="S556">
        <f ca="1">INDEX(rngParamTypes,$N556,12)</f>
        <v>0</v>
      </c>
      <c r="T556">
        <f ca="1">INDEX(rngParamTypes,$N556,13)</f>
        <v>0</v>
      </c>
      <c r="U556">
        <f ca="1">INDEX(rngParamTypes,$N556,14)</f>
        <v>0</v>
      </c>
      <c r="V556">
        <f ca="1">INDEX(rngParamTypes,$N556,15)</f>
        <v>0</v>
      </c>
      <c r="W556">
        <f ca="1">INDEX(rngParamTypes,$N556,16)</f>
        <v>0</v>
      </c>
      <c r="X556">
        <f ca="1">INDEX(rngParamTypes,$N556,17)</f>
        <v>0</v>
      </c>
      <c r="Y556">
        <f ca="1">INDEX(rngParamTypes,$N556,18)</f>
        <v>0</v>
      </c>
    </row>
    <row r="557" spans="1:25" x14ac:dyDescent="0.2">
      <c r="A557" s="16">
        <v>556</v>
      </c>
      <c r="B557" s="37">
        <v>1</v>
      </c>
      <c r="C557" s="16" t="s">
        <v>1730</v>
      </c>
      <c r="D557" s="16" t="s">
        <v>1730</v>
      </c>
      <c r="E557" s="16">
        <v>2</v>
      </c>
      <c r="F557" s="16" t="s">
        <v>3739</v>
      </c>
      <c r="G557" s="16" t="s">
        <v>3270</v>
      </c>
      <c r="H557" s="16" t="s">
        <v>1729</v>
      </c>
      <c r="I557" s="16" t="s">
        <v>416</v>
      </c>
      <c r="J557" s="16">
        <v>0</v>
      </c>
      <c r="K557" s="16">
        <v>1000</v>
      </c>
      <c r="L557" s="16">
        <v>1</v>
      </c>
      <c r="M557" s="16">
        <v>0</v>
      </c>
      <c r="N557">
        <f t="array" aca="1" ref="N557" ca="1">MATCH(TRUE,EXACT(I557,OFFSET(rngParamTypes,0,6,,1)),0)</f>
        <v>167</v>
      </c>
      <c r="O557" t="str">
        <f ca="1">IF((INDEX(rngParamTypes,$N557,7)=I557),"",1)</f>
        <v/>
      </c>
      <c r="P557">
        <f ca="1">INDEX(rngParamTypes,$N557,9)</f>
        <v>1</v>
      </c>
      <c r="Q557">
        <f ca="1">INDEX(rngParamTypes,$N557,10)</f>
        <v>-1</v>
      </c>
      <c r="R557">
        <f ca="1">INDEX(rngParamTypes,$N557,11)</f>
        <v>-2</v>
      </c>
      <c r="S557">
        <f ca="1">INDEX(rngParamTypes,$N557,12)</f>
        <v>0</v>
      </c>
      <c r="T557">
        <f ca="1">INDEX(rngParamTypes,$N557,13)</f>
        <v>0</v>
      </c>
      <c r="U557">
        <f ca="1">INDEX(rngParamTypes,$N557,14)</f>
        <v>0</v>
      </c>
      <c r="V557">
        <f ca="1">INDEX(rngParamTypes,$N557,15)</f>
        <v>0</v>
      </c>
      <c r="W557">
        <f ca="1">INDEX(rngParamTypes,$N557,16)</f>
        <v>0</v>
      </c>
      <c r="X557">
        <f ca="1">INDEX(rngParamTypes,$N557,17)</f>
        <v>0</v>
      </c>
      <c r="Y557">
        <f ca="1">INDEX(rngParamTypes,$N557,18)</f>
        <v>0</v>
      </c>
    </row>
    <row r="558" spans="1:25" x14ac:dyDescent="0.2">
      <c r="A558" s="16">
        <v>557</v>
      </c>
      <c r="B558" s="37">
        <v>1</v>
      </c>
      <c r="C558" s="16" t="s">
        <v>1732</v>
      </c>
      <c r="D558" s="16" t="s">
        <v>1732</v>
      </c>
      <c r="E558" s="16">
        <v>2</v>
      </c>
      <c r="F558" s="16" t="s">
        <v>3740</v>
      </c>
      <c r="G558" s="16" t="s">
        <v>296</v>
      </c>
      <c r="H558" s="16" t="s">
        <v>1731</v>
      </c>
      <c r="I558" s="16" t="s">
        <v>297</v>
      </c>
      <c r="J558" s="16">
        <v>0</v>
      </c>
      <c r="K558" s="16">
        <v>1852</v>
      </c>
      <c r="L558" s="16">
        <v>3600</v>
      </c>
      <c r="M558" s="16">
        <v>0</v>
      </c>
      <c r="N558">
        <f t="array" aca="1" ref="N558" ca="1">MATCH(TRUE,EXACT(I558,OFFSET(rngParamTypes,0,6,,1)),0)</f>
        <v>123</v>
      </c>
      <c r="O558" t="str">
        <f ca="1">IF((INDEX(rngParamTypes,$N558,7)=I558),"",1)</f>
        <v/>
      </c>
      <c r="P558">
        <f ca="1">INDEX(rngParamTypes,$N558,9)</f>
        <v>0</v>
      </c>
      <c r="Q558">
        <f ca="1">INDEX(rngParamTypes,$N558,10)</f>
        <v>1</v>
      </c>
      <c r="R558">
        <f ca="1">INDEX(rngParamTypes,$N558,11)</f>
        <v>-1</v>
      </c>
      <c r="S558">
        <f ca="1">INDEX(rngParamTypes,$N558,12)</f>
        <v>0</v>
      </c>
      <c r="T558">
        <f ca="1">INDEX(rngParamTypes,$N558,13)</f>
        <v>0</v>
      </c>
      <c r="U558">
        <f ca="1">INDEX(rngParamTypes,$N558,14)</f>
        <v>0</v>
      </c>
      <c r="V558">
        <f ca="1">INDEX(rngParamTypes,$N558,15)</f>
        <v>0</v>
      </c>
      <c r="W558">
        <f ca="1">INDEX(rngParamTypes,$N558,16)</f>
        <v>0</v>
      </c>
      <c r="X558">
        <f ca="1">INDEX(rngParamTypes,$N558,17)</f>
        <v>0</v>
      </c>
      <c r="Y558">
        <f ca="1">INDEX(rngParamTypes,$N558,18)</f>
        <v>0</v>
      </c>
    </row>
    <row r="559" spans="1:25" x14ac:dyDescent="0.2">
      <c r="A559" s="16">
        <v>558</v>
      </c>
      <c r="B559" s="37">
        <v>1</v>
      </c>
      <c r="C559" s="16" t="s">
        <v>1734</v>
      </c>
      <c r="D559" s="16" t="s">
        <v>1734</v>
      </c>
      <c r="E559" s="16"/>
      <c r="F559" s="16" t="s">
        <v>3741</v>
      </c>
      <c r="G559" s="16" t="s">
        <v>3610</v>
      </c>
      <c r="H559" s="16" t="s">
        <v>1733</v>
      </c>
      <c r="I559" s="16" t="s">
        <v>403</v>
      </c>
      <c r="J559" s="16">
        <v>0</v>
      </c>
      <c r="K559" s="16">
        <v>1000</v>
      </c>
      <c r="L559" s="16">
        <v>1</v>
      </c>
      <c r="M559" s="16">
        <v>0</v>
      </c>
      <c r="N559">
        <f t="array" aca="1" ref="N559" ca="1">MATCH(TRUE,EXACT(I559,OFFSET(rngParamTypes,0,6,,1)),0)</f>
        <v>163</v>
      </c>
      <c r="O559" t="str">
        <f ca="1">IF((INDEX(rngParamTypes,$N559,7)=I559),"",1)</f>
        <v/>
      </c>
      <c r="P559">
        <f ca="1">INDEX(rngParamTypes,$N559,9)</f>
        <v>1</v>
      </c>
      <c r="Q559">
        <f ca="1">INDEX(rngParamTypes,$N559,10)</f>
        <v>2</v>
      </c>
      <c r="R559">
        <f ca="1">INDEX(rngParamTypes,$N559,11)</f>
        <v>-3</v>
      </c>
      <c r="S559">
        <f ca="1">INDEX(rngParamTypes,$N559,12)</f>
        <v>-2</v>
      </c>
      <c r="T559">
        <f ca="1">INDEX(rngParamTypes,$N559,13)</f>
        <v>0</v>
      </c>
      <c r="U559">
        <f ca="1">INDEX(rngParamTypes,$N559,14)</f>
        <v>0</v>
      </c>
      <c r="V559">
        <f ca="1">INDEX(rngParamTypes,$N559,15)</f>
        <v>0</v>
      </c>
      <c r="W559">
        <f ca="1">INDEX(rngParamTypes,$N559,16)</f>
        <v>0</v>
      </c>
      <c r="X559">
        <f ca="1">INDEX(rngParamTypes,$N559,17)</f>
        <v>0</v>
      </c>
      <c r="Y559">
        <f ca="1">INDEX(rngParamTypes,$N559,18)</f>
        <v>0</v>
      </c>
    </row>
    <row r="560" spans="1:25" x14ac:dyDescent="0.2">
      <c r="A560" s="16">
        <v>559</v>
      </c>
      <c r="B560" s="37">
        <v>1</v>
      </c>
      <c r="C560" s="16" t="s">
        <v>1736</v>
      </c>
      <c r="D560" s="16" t="s">
        <v>1736</v>
      </c>
      <c r="E560" s="16"/>
      <c r="F560" s="16" t="s">
        <v>3742</v>
      </c>
      <c r="G560" s="16" t="s">
        <v>408</v>
      </c>
      <c r="H560" s="16" t="s">
        <v>1735</v>
      </c>
      <c r="I560" s="16" t="s">
        <v>409</v>
      </c>
      <c r="J560" s="16">
        <v>0</v>
      </c>
      <c r="K560" s="16">
        <v>1000</v>
      </c>
      <c r="L560" s="16">
        <v>1</v>
      </c>
      <c r="M560" s="16">
        <v>0</v>
      </c>
      <c r="N560">
        <f t="array" aca="1" ref="N560" ca="1">MATCH(TRUE,EXACT(I560,OFFSET(rngParamTypes,0,6,,1)),0)</f>
        <v>165</v>
      </c>
      <c r="O560" t="str">
        <f ca="1">IF((INDEX(rngParamTypes,$N560,7)=I560),"",1)</f>
        <v/>
      </c>
      <c r="P560">
        <f ca="1">INDEX(rngParamTypes,$N560,9)</f>
        <v>1</v>
      </c>
      <c r="Q560">
        <f ca="1">INDEX(rngParamTypes,$N560,10)</f>
        <v>3</v>
      </c>
      <c r="R560">
        <f ca="1">INDEX(rngParamTypes,$N560,11)</f>
        <v>-3</v>
      </c>
      <c r="S560">
        <f ca="1">INDEX(rngParamTypes,$N560,12)</f>
        <v>-2</v>
      </c>
      <c r="T560">
        <f ca="1">INDEX(rngParamTypes,$N560,13)</f>
        <v>0</v>
      </c>
      <c r="U560">
        <f ca="1">INDEX(rngParamTypes,$N560,14)</f>
        <v>0</v>
      </c>
      <c r="V560">
        <f ca="1">INDEX(rngParamTypes,$N560,15)</f>
        <v>0</v>
      </c>
      <c r="W560">
        <f ca="1">INDEX(rngParamTypes,$N560,16)</f>
        <v>0</v>
      </c>
      <c r="X560">
        <f ca="1">INDEX(rngParamTypes,$N560,17)</f>
        <v>0</v>
      </c>
      <c r="Y560">
        <f ca="1">INDEX(rngParamTypes,$N560,18)</f>
        <v>0</v>
      </c>
    </row>
    <row r="561" spans="1:25" x14ac:dyDescent="0.2">
      <c r="A561" s="16">
        <v>560</v>
      </c>
      <c r="B561" s="37">
        <v>1</v>
      </c>
      <c r="C561" s="16" t="s">
        <v>1738</v>
      </c>
      <c r="D561" s="16" t="s">
        <v>1738</v>
      </c>
      <c r="E561" s="16">
        <v>2</v>
      </c>
      <c r="F561" s="16" t="s">
        <v>3743</v>
      </c>
      <c r="G561" s="16" t="s">
        <v>3270</v>
      </c>
      <c r="H561" s="16" t="s">
        <v>1737</v>
      </c>
      <c r="I561" s="16" t="s">
        <v>416</v>
      </c>
      <c r="J561" s="16">
        <v>0</v>
      </c>
      <c r="K561" s="16">
        <v>1000</v>
      </c>
      <c r="L561" s="16">
        <v>1</v>
      </c>
      <c r="M561" s="16">
        <v>0</v>
      </c>
      <c r="N561">
        <f t="array" aca="1" ref="N561" ca="1">MATCH(TRUE,EXACT(I561,OFFSET(rngParamTypes,0,6,,1)),0)</f>
        <v>167</v>
      </c>
      <c r="O561" t="str">
        <f ca="1">IF((INDEX(rngParamTypes,$N561,7)=I561),"",1)</f>
        <v/>
      </c>
      <c r="P561">
        <f ca="1">INDEX(rngParamTypes,$N561,9)</f>
        <v>1</v>
      </c>
      <c r="Q561">
        <f ca="1">INDEX(rngParamTypes,$N561,10)</f>
        <v>-1</v>
      </c>
      <c r="R561">
        <f ca="1">INDEX(rngParamTypes,$N561,11)</f>
        <v>-2</v>
      </c>
      <c r="S561">
        <f ca="1">INDEX(rngParamTypes,$N561,12)</f>
        <v>0</v>
      </c>
      <c r="T561">
        <f ca="1">INDEX(rngParamTypes,$N561,13)</f>
        <v>0</v>
      </c>
      <c r="U561">
        <f ca="1">INDEX(rngParamTypes,$N561,14)</f>
        <v>0</v>
      </c>
      <c r="V561">
        <f ca="1">INDEX(rngParamTypes,$N561,15)</f>
        <v>0</v>
      </c>
      <c r="W561">
        <f ca="1">INDEX(rngParamTypes,$N561,16)</f>
        <v>0</v>
      </c>
      <c r="X561">
        <f ca="1">INDEX(rngParamTypes,$N561,17)</f>
        <v>0</v>
      </c>
      <c r="Y561">
        <f ca="1">INDEX(rngParamTypes,$N561,18)</f>
        <v>0</v>
      </c>
    </row>
    <row r="562" spans="1:25" x14ac:dyDescent="0.2">
      <c r="A562" s="16">
        <v>561</v>
      </c>
      <c r="B562" s="37">
        <v>1</v>
      </c>
      <c r="C562" s="16" t="s">
        <v>1740</v>
      </c>
      <c r="D562" s="16" t="s">
        <v>1740</v>
      </c>
      <c r="E562" s="16"/>
      <c r="F562" s="16" t="s">
        <v>3744</v>
      </c>
      <c r="G562" s="16" t="s">
        <v>246</v>
      </c>
      <c r="H562" s="16" t="s">
        <v>1739</v>
      </c>
      <c r="I562" s="16" t="s">
        <v>247</v>
      </c>
      <c r="J562" s="16">
        <v>0</v>
      </c>
      <c r="K562" s="16">
        <v>1000</v>
      </c>
      <c r="L562" s="16">
        <v>1</v>
      </c>
      <c r="M562" s="16">
        <v>0</v>
      </c>
      <c r="N562">
        <f t="array" aca="1" ref="N562" ca="1">MATCH(TRUE,EXACT(I562,OFFSET(rngParamTypes,0,6,,1)),0)</f>
        <v>98</v>
      </c>
      <c r="O562" t="str">
        <f ca="1">IF((INDEX(rngParamTypes,$N562,7)=I562),"",1)</f>
        <v/>
      </c>
      <c r="P562">
        <f ca="1">INDEX(rngParamTypes,$N562,9)</f>
        <v>1</v>
      </c>
      <c r="Q562">
        <f ca="1">INDEX(rngParamTypes,$N562,10)</f>
        <v>-2</v>
      </c>
      <c r="R562">
        <f ca="1">INDEX(rngParamTypes,$N562,11)</f>
        <v>-1</v>
      </c>
      <c r="S562">
        <f ca="1">INDEX(rngParamTypes,$N562,12)</f>
        <v>0</v>
      </c>
      <c r="T562">
        <f ca="1">INDEX(rngParamTypes,$N562,13)</f>
        <v>0</v>
      </c>
      <c r="U562">
        <f ca="1">INDEX(rngParamTypes,$N562,14)</f>
        <v>0</v>
      </c>
      <c r="V562">
        <f ca="1">INDEX(rngParamTypes,$N562,15)</f>
        <v>0</v>
      </c>
      <c r="W562">
        <f ca="1">INDEX(rngParamTypes,$N562,16)</f>
        <v>0</v>
      </c>
      <c r="X562">
        <f ca="1">INDEX(rngParamTypes,$N562,17)</f>
        <v>0</v>
      </c>
      <c r="Y562">
        <f ca="1">INDEX(rngParamTypes,$N562,18)</f>
        <v>0</v>
      </c>
    </row>
    <row r="563" spans="1:25" x14ac:dyDescent="0.2">
      <c r="A563" s="16">
        <v>562</v>
      </c>
      <c r="B563" s="37">
        <v>1</v>
      </c>
      <c r="C563" s="16" t="s">
        <v>1742</v>
      </c>
      <c r="D563" s="16" t="s">
        <v>1742</v>
      </c>
      <c r="E563" s="16"/>
      <c r="F563" s="16" t="s">
        <v>4298</v>
      </c>
      <c r="G563" s="16" t="s">
        <v>3273</v>
      </c>
      <c r="H563" s="16" t="s">
        <v>1741</v>
      </c>
      <c r="I563" s="16" t="s">
        <v>391</v>
      </c>
      <c r="J563" s="16">
        <v>0</v>
      </c>
      <c r="K563" s="16">
        <v>10</v>
      </c>
      <c r="L563" s="16">
        <v>1</v>
      </c>
      <c r="M563" s="16">
        <v>0</v>
      </c>
      <c r="N563">
        <f t="array" aca="1" ref="N563" ca="1">MATCH(TRUE,EXACT(I563,OFFSET(rngParamTypes,0,6,,1)),0)</f>
        <v>158</v>
      </c>
      <c r="O563" t="str">
        <f ca="1">IF((INDEX(rngParamTypes,$N563,7)=I563),"",1)</f>
        <v/>
      </c>
      <c r="P563">
        <f ca="1">INDEX(rngParamTypes,$N563,9)</f>
        <v>1</v>
      </c>
      <c r="Q563">
        <f ca="1">INDEX(rngParamTypes,$N563,10)</f>
        <v>-2</v>
      </c>
      <c r="R563">
        <f ca="1">INDEX(rngParamTypes,$N563,11)</f>
        <v>-2</v>
      </c>
      <c r="S563">
        <f ca="1">INDEX(rngParamTypes,$N563,12)</f>
        <v>0</v>
      </c>
      <c r="T563">
        <f ca="1">INDEX(rngParamTypes,$N563,13)</f>
        <v>0</v>
      </c>
      <c r="U563">
        <f ca="1">INDEX(rngParamTypes,$N563,14)</f>
        <v>0</v>
      </c>
      <c r="V563">
        <f ca="1">INDEX(rngParamTypes,$N563,15)</f>
        <v>0</v>
      </c>
      <c r="W563">
        <f ca="1">INDEX(rngParamTypes,$N563,16)</f>
        <v>0</v>
      </c>
      <c r="X563">
        <f ca="1">INDEX(rngParamTypes,$N563,17)</f>
        <v>0</v>
      </c>
      <c r="Y563">
        <f ca="1">INDEX(rngParamTypes,$N563,18)</f>
        <v>0</v>
      </c>
    </row>
    <row r="564" spans="1:25" x14ac:dyDescent="0.2">
      <c r="A564" s="16">
        <v>563</v>
      </c>
      <c r="B564" s="37">
        <v>1</v>
      </c>
      <c r="C564" s="16" t="s">
        <v>1745</v>
      </c>
      <c r="D564" s="16" t="s">
        <v>1745</v>
      </c>
      <c r="E564" s="16"/>
      <c r="F564" s="16" t="s">
        <v>3745</v>
      </c>
      <c r="G564" s="16" t="s">
        <v>435</v>
      </c>
      <c r="H564" s="16" t="s">
        <v>1744</v>
      </c>
      <c r="I564" s="16" t="s">
        <v>436</v>
      </c>
      <c r="J564" s="16">
        <v>0</v>
      </c>
      <c r="K564" s="16">
        <v>1000</v>
      </c>
      <c r="L564" s="16">
        <v>3600</v>
      </c>
      <c r="M564" s="16">
        <v>0</v>
      </c>
      <c r="N564">
        <f t="array" aca="1" ref="N564" ca="1">MATCH(TRUE,EXACT(I564,OFFSET(rngParamTypes,0,6,,1)),0)</f>
        <v>175</v>
      </c>
      <c r="O564" t="str">
        <f ca="1">IF((INDEX(rngParamTypes,$N564,7)=I564),"",1)</f>
        <v/>
      </c>
      <c r="P564">
        <f ca="1">INDEX(rngParamTypes,$N564,9)</f>
        <v>1</v>
      </c>
      <c r="Q564">
        <f ca="1">INDEX(rngParamTypes,$N564,10)</f>
        <v>-1</v>
      </c>
      <c r="R564">
        <f ca="1">INDEX(rngParamTypes,$N564,11)</f>
        <v>-3</v>
      </c>
      <c r="S564">
        <f ca="1">INDEX(rngParamTypes,$N564,12)</f>
        <v>0</v>
      </c>
      <c r="T564">
        <f ca="1">INDEX(rngParamTypes,$N564,13)</f>
        <v>0</v>
      </c>
      <c r="U564">
        <f ca="1">INDEX(rngParamTypes,$N564,14)</f>
        <v>0</v>
      </c>
      <c r="V564">
        <f ca="1">INDEX(rngParamTypes,$N564,15)</f>
        <v>0</v>
      </c>
      <c r="W564">
        <f ca="1">INDEX(rngParamTypes,$N564,16)</f>
        <v>0</v>
      </c>
      <c r="X564">
        <f ca="1">INDEX(rngParamTypes,$N564,17)</f>
        <v>0</v>
      </c>
      <c r="Y564">
        <f ca="1">INDEX(rngParamTypes,$N564,18)</f>
        <v>0</v>
      </c>
    </row>
    <row r="565" spans="1:25" x14ac:dyDescent="0.2">
      <c r="A565" s="16">
        <v>564</v>
      </c>
      <c r="B565" s="37">
        <v>1</v>
      </c>
      <c r="C565" s="16" t="s">
        <v>1747</v>
      </c>
      <c r="D565" s="16" t="s">
        <v>1747</v>
      </c>
      <c r="E565" s="16"/>
      <c r="F565" s="16" t="s">
        <v>3746</v>
      </c>
      <c r="G565" s="16" t="s">
        <v>3273</v>
      </c>
      <c r="H565" s="16" t="s">
        <v>1746</v>
      </c>
      <c r="I565" s="16" t="s">
        <v>391</v>
      </c>
      <c r="J565" s="16">
        <v>0</v>
      </c>
      <c r="K565" s="16">
        <v>1000</v>
      </c>
      <c r="L565" s="16">
        <v>1</v>
      </c>
      <c r="M565" s="16">
        <v>0</v>
      </c>
      <c r="N565">
        <f t="array" aca="1" ref="N565" ca="1">MATCH(TRUE,EXACT(I565,OFFSET(rngParamTypes,0,6,,1)),0)</f>
        <v>158</v>
      </c>
      <c r="O565" t="str">
        <f ca="1">IF((INDEX(rngParamTypes,$N565,7)=I565),"",1)</f>
        <v/>
      </c>
      <c r="P565">
        <f ca="1">INDEX(rngParamTypes,$N565,9)</f>
        <v>1</v>
      </c>
      <c r="Q565">
        <f ca="1">INDEX(rngParamTypes,$N565,10)</f>
        <v>-2</v>
      </c>
      <c r="R565">
        <f ca="1">INDEX(rngParamTypes,$N565,11)</f>
        <v>-2</v>
      </c>
      <c r="S565">
        <f ca="1">INDEX(rngParamTypes,$N565,12)</f>
        <v>0</v>
      </c>
      <c r="T565">
        <f ca="1">INDEX(rngParamTypes,$N565,13)</f>
        <v>0</v>
      </c>
      <c r="U565">
        <f ca="1">INDEX(rngParamTypes,$N565,14)</f>
        <v>0</v>
      </c>
      <c r="V565">
        <f ca="1">INDEX(rngParamTypes,$N565,15)</f>
        <v>0</v>
      </c>
      <c r="W565">
        <f ca="1">INDEX(rngParamTypes,$N565,16)</f>
        <v>0</v>
      </c>
      <c r="X565">
        <f ca="1">INDEX(rngParamTypes,$N565,17)</f>
        <v>0</v>
      </c>
      <c r="Y565">
        <f ca="1">INDEX(rngParamTypes,$N565,18)</f>
        <v>0</v>
      </c>
    </row>
    <row r="566" spans="1:25" x14ac:dyDescent="0.2">
      <c r="A566" s="16">
        <v>565</v>
      </c>
      <c r="B566" s="37">
        <v>1</v>
      </c>
      <c r="C566" s="16" t="s">
        <v>1749</v>
      </c>
      <c r="D566" s="16" t="s">
        <v>1749</v>
      </c>
      <c r="E566" s="16"/>
      <c r="F566" s="16" t="s">
        <v>3747</v>
      </c>
      <c r="G566" s="16" t="s">
        <v>435</v>
      </c>
      <c r="H566" s="16" t="s">
        <v>1748</v>
      </c>
      <c r="I566" s="16" t="s">
        <v>436</v>
      </c>
      <c r="J566" s="16">
        <v>0</v>
      </c>
      <c r="K566" s="16">
        <v>1000</v>
      </c>
      <c r="L566" s="16">
        <v>60</v>
      </c>
      <c r="M566" s="16">
        <v>0</v>
      </c>
      <c r="N566">
        <f t="array" aca="1" ref="N566" ca="1">MATCH(TRUE,EXACT(I566,OFFSET(rngParamTypes,0,6,,1)),0)</f>
        <v>175</v>
      </c>
      <c r="O566" t="str">
        <f ca="1">IF((INDEX(rngParamTypes,$N566,7)=I566),"",1)</f>
        <v/>
      </c>
      <c r="P566">
        <f ca="1">INDEX(rngParamTypes,$N566,9)</f>
        <v>1</v>
      </c>
      <c r="Q566">
        <f ca="1">INDEX(rngParamTypes,$N566,10)</f>
        <v>-1</v>
      </c>
      <c r="R566">
        <f ca="1">INDEX(rngParamTypes,$N566,11)</f>
        <v>-3</v>
      </c>
      <c r="S566">
        <f ca="1">INDEX(rngParamTypes,$N566,12)</f>
        <v>0</v>
      </c>
      <c r="T566">
        <f ca="1">INDEX(rngParamTypes,$N566,13)</f>
        <v>0</v>
      </c>
      <c r="U566">
        <f ca="1">INDEX(rngParamTypes,$N566,14)</f>
        <v>0</v>
      </c>
      <c r="V566">
        <f ca="1">INDEX(rngParamTypes,$N566,15)</f>
        <v>0</v>
      </c>
      <c r="W566">
        <f ca="1">INDEX(rngParamTypes,$N566,16)</f>
        <v>0</v>
      </c>
      <c r="X566">
        <f ca="1">INDEX(rngParamTypes,$N566,17)</f>
        <v>0</v>
      </c>
      <c r="Y566">
        <f ca="1">INDEX(rngParamTypes,$N566,18)</f>
        <v>0</v>
      </c>
    </row>
    <row r="567" spans="1:25" x14ac:dyDescent="0.2">
      <c r="A567" s="16">
        <v>566</v>
      </c>
      <c r="B567" s="37">
        <v>1</v>
      </c>
      <c r="C567" s="16" t="s">
        <v>1751</v>
      </c>
      <c r="D567" s="16" t="s">
        <v>1751</v>
      </c>
      <c r="E567" s="16"/>
      <c r="F567" s="16" t="s">
        <v>3748</v>
      </c>
      <c r="G567" s="16" t="s">
        <v>438</v>
      </c>
      <c r="H567" s="16" t="s">
        <v>1750</v>
      </c>
      <c r="I567" s="16" t="s">
        <v>439</v>
      </c>
      <c r="J567" s="16">
        <v>0</v>
      </c>
      <c r="K567" s="16">
        <v>1000000</v>
      </c>
      <c r="L567" s="16">
        <v>1</v>
      </c>
      <c r="M567" s="16">
        <v>0</v>
      </c>
      <c r="N567">
        <f t="array" aca="1" ref="N567" ca="1">MATCH(TRUE,EXACT(I567,OFFSET(rngParamTypes,0,6,,1)),0)</f>
        <v>176</v>
      </c>
      <c r="O567" t="str">
        <f ca="1">IF((INDEX(rngParamTypes,$N567,7)=I567),"",1)</f>
        <v/>
      </c>
      <c r="P567">
        <f ca="1">INDEX(rngParamTypes,$N567,9)</f>
        <v>2</v>
      </c>
      <c r="Q567">
        <f ca="1">INDEX(rngParamTypes,$N567,10)</f>
        <v>-2</v>
      </c>
      <c r="R567">
        <f ca="1">INDEX(rngParamTypes,$N567,11)</f>
        <v>-4</v>
      </c>
      <c r="S567">
        <f ca="1">INDEX(rngParamTypes,$N567,12)</f>
        <v>0</v>
      </c>
      <c r="T567">
        <f ca="1">INDEX(rngParamTypes,$N567,13)</f>
        <v>0</v>
      </c>
      <c r="U567">
        <f ca="1">INDEX(rngParamTypes,$N567,14)</f>
        <v>0</v>
      </c>
      <c r="V567">
        <f ca="1">INDEX(rngParamTypes,$N567,15)</f>
        <v>0</v>
      </c>
      <c r="W567">
        <f ca="1">INDEX(rngParamTypes,$N567,16)</f>
        <v>0</v>
      </c>
      <c r="X567">
        <f ca="1">INDEX(rngParamTypes,$N567,17)</f>
        <v>0</v>
      </c>
      <c r="Y567">
        <f ca="1">INDEX(rngParamTypes,$N567,18)</f>
        <v>0</v>
      </c>
    </row>
    <row r="568" spans="1:25" x14ac:dyDescent="0.2">
      <c r="A568" s="16">
        <v>567</v>
      </c>
      <c r="B568" s="37">
        <v>1</v>
      </c>
      <c r="C568" s="16" t="s">
        <v>1753</v>
      </c>
      <c r="D568" s="16" t="s">
        <v>1753</v>
      </c>
      <c r="E568" s="16"/>
      <c r="F568" s="16" t="s">
        <v>3749</v>
      </c>
      <c r="G568" s="16" t="s">
        <v>736</v>
      </c>
      <c r="H568" s="16" t="s">
        <v>1752</v>
      </c>
      <c r="I568" s="16" t="s">
        <v>436</v>
      </c>
      <c r="J568" s="16">
        <v>0</v>
      </c>
      <c r="K568" s="16">
        <v>1000000000</v>
      </c>
      <c r="L568" s="16">
        <v>1</v>
      </c>
      <c r="M568" s="16">
        <v>0</v>
      </c>
      <c r="N568">
        <f t="array" aca="1" ref="N568" ca="1">MATCH(TRUE,EXACT(I568,OFFSET(rngParamTypes,0,6,,1)),0)</f>
        <v>175</v>
      </c>
      <c r="O568" t="str">
        <f ca="1">IF((INDEX(rngParamTypes,$N568,7)=I568),"",1)</f>
        <v/>
      </c>
      <c r="P568">
        <f ca="1">INDEX(rngParamTypes,$N568,9)</f>
        <v>1</v>
      </c>
      <c r="Q568">
        <f ca="1">INDEX(rngParamTypes,$N568,10)</f>
        <v>-1</v>
      </c>
      <c r="R568">
        <f ca="1">INDEX(rngParamTypes,$N568,11)</f>
        <v>-3</v>
      </c>
      <c r="S568">
        <f ca="1">INDEX(rngParamTypes,$N568,12)</f>
        <v>0</v>
      </c>
      <c r="T568">
        <f ca="1">INDEX(rngParamTypes,$N568,13)</f>
        <v>0</v>
      </c>
      <c r="U568">
        <f ca="1">INDEX(rngParamTypes,$N568,14)</f>
        <v>0</v>
      </c>
      <c r="V568">
        <f ca="1">INDEX(rngParamTypes,$N568,15)</f>
        <v>0</v>
      </c>
      <c r="W568">
        <f ca="1">INDEX(rngParamTypes,$N568,16)</f>
        <v>0</v>
      </c>
      <c r="X568">
        <f ca="1">INDEX(rngParamTypes,$N568,17)</f>
        <v>0</v>
      </c>
      <c r="Y568">
        <f ca="1">INDEX(rngParamTypes,$N568,18)</f>
        <v>0</v>
      </c>
    </row>
    <row r="569" spans="1:25" x14ac:dyDescent="0.2">
      <c r="A569" s="16">
        <v>568</v>
      </c>
      <c r="B569" s="37">
        <v>1</v>
      </c>
      <c r="C569" s="16" t="s">
        <v>1755</v>
      </c>
      <c r="D569" s="16" t="s">
        <v>1755</v>
      </c>
      <c r="E569" s="16"/>
      <c r="F569" s="16" t="s">
        <v>3750</v>
      </c>
      <c r="G569" s="16" t="s">
        <v>736</v>
      </c>
      <c r="H569" s="16" t="s">
        <v>1754</v>
      </c>
      <c r="I569" s="16" t="s">
        <v>436</v>
      </c>
      <c r="J569" s="16">
        <v>0</v>
      </c>
      <c r="K569" s="16">
        <v>1000000</v>
      </c>
      <c r="L569" s="16">
        <v>1</v>
      </c>
      <c r="M569" s="16">
        <v>0</v>
      </c>
      <c r="N569">
        <f t="array" aca="1" ref="N569" ca="1">MATCH(TRUE,EXACT(I569,OFFSET(rngParamTypes,0,6,,1)),0)</f>
        <v>175</v>
      </c>
      <c r="O569" t="str">
        <f ca="1">IF((INDEX(rngParamTypes,$N569,7)=I569),"",1)</f>
        <v/>
      </c>
      <c r="P569">
        <f ca="1">INDEX(rngParamTypes,$N569,9)</f>
        <v>1</v>
      </c>
      <c r="Q569">
        <f ca="1">INDEX(rngParamTypes,$N569,10)</f>
        <v>-1</v>
      </c>
      <c r="R569">
        <f ca="1">INDEX(rngParamTypes,$N569,11)</f>
        <v>-3</v>
      </c>
      <c r="S569">
        <f ca="1">INDEX(rngParamTypes,$N569,12)</f>
        <v>0</v>
      </c>
      <c r="T569">
        <f ca="1">INDEX(rngParamTypes,$N569,13)</f>
        <v>0</v>
      </c>
      <c r="U569">
        <f ca="1">INDEX(rngParamTypes,$N569,14)</f>
        <v>0</v>
      </c>
      <c r="V569">
        <f ca="1">INDEX(rngParamTypes,$N569,15)</f>
        <v>0</v>
      </c>
      <c r="W569">
        <f ca="1">INDEX(rngParamTypes,$N569,16)</f>
        <v>0</v>
      </c>
      <c r="X569">
        <f ca="1">INDEX(rngParamTypes,$N569,17)</f>
        <v>0</v>
      </c>
      <c r="Y569">
        <f ca="1">INDEX(rngParamTypes,$N569,18)</f>
        <v>0</v>
      </c>
    </row>
    <row r="570" spans="1:25" x14ac:dyDescent="0.2">
      <c r="A570" s="16">
        <v>569</v>
      </c>
      <c r="B570" s="37">
        <v>1</v>
      </c>
      <c r="C570" s="16" t="s">
        <v>1757</v>
      </c>
      <c r="D570" s="16" t="s">
        <v>1757</v>
      </c>
      <c r="E570" s="16">
        <v>2</v>
      </c>
      <c r="F570" s="16" t="s">
        <v>3751</v>
      </c>
      <c r="G570" s="16" t="s">
        <v>3270</v>
      </c>
      <c r="H570" s="16" t="s">
        <v>1756</v>
      </c>
      <c r="I570" s="16" t="s">
        <v>416</v>
      </c>
      <c r="J570" s="16">
        <v>0</v>
      </c>
      <c r="K570" s="16">
        <v>6894757</v>
      </c>
      <c r="L570" s="16">
        <v>1</v>
      </c>
      <c r="M570" s="16">
        <v>0</v>
      </c>
      <c r="N570">
        <f t="array" aca="1" ref="N570" ca="1">MATCH(TRUE,EXACT(I570,OFFSET(rngParamTypes,0,6,,1)),0)</f>
        <v>167</v>
      </c>
      <c r="O570" t="str">
        <f ca="1">IF((INDEX(rngParamTypes,$N570,7)=I570),"",1)</f>
        <v/>
      </c>
      <c r="P570">
        <f ca="1">INDEX(rngParamTypes,$N570,9)</f>
        <v>1</v>
      </c>
      <c r="Q570">
        <f ca="1">INDEX(rngParamTypes,$N570,10)</f>
        <v>-1</v>
      </c>
      <c r="R570">
        <f ca="1">INDEX(rngParamTypes,$N570,11)</f>
        <v>-2</v>
      </c>
      <c r="S570">
        <f ca="1">INDEX(rngParamTypes,$N570,12)</f>
        <v>0</v>
      </c>
      <c r="T570">
        <f ca="1">INDEX(rngParamTypes,$N570,13)</f>
        <v>0</v>
      </c>
      <c r="U570">
        <f ca="1">INDEX(rngParamTypes,$N570,14)</f>
        <v>0</v>
      </c>
      <c r="V570">
        <f ca="1">INDEX(rngParamTypes,$N570,15)</f>
        <v>0</v>
      </c>
      <c r="W570">
        <f ca="1">INDEX(rngParamTypes,$N570,16)</f>
        <v>0</v>
      </c>
      <c r="X570">
        <f ca="1">INDEX(rngParamTypes,$N570,17)</f>
        <v>0</v>
      </c>
      <c r="Y570">
        <f ca="1">INDEX(rngParamTypes,$N570,18)</f>
        <v>0</v>
      </c>
    </row>
    <row r="571" spans="1:25" x14ac:dyDescent="0.2">
      <c r="A571" s="16">
        <v>570</v>
      </c>
      <c r="B571" s="37">
        <v>1</v>
      </c>
      <c r="C571" s="16" t="s">
        <v>1759</v>
      </c>
      <c r="D571" s="16" t="s">
        <v>1759</v>
      </c>
      <c r="E571" s="16"/>
      <c r="F571" s="16" t="s">
        <v>3752</v>
      </c>
      <c r="G571" s="16" t="s">
        <v>438</v>
      </c>
      <c r="H571" s="16" t="s">
        <v>1758</v>
      </c>
      <c r="I571" s="16" t="s">
        <v>439</v>
      </c>
      <c r="J571" s="16">
        <v>0</v>
      </c>
      <c r="K571" s="16">
        <v>47537674000000</v>
      </c>
      <c r="L571" s="16">
        <v>1</v>
      </c>
      <c r="M571" s="16">
        <v>0</v>
      </c>
      <c r="N571">
        <f t="array" aca="1" ref="N571" ca="1">MATCH(TRUE,EXACT(I571,OFFSET(rngParamTypes,0,6,,1)),0)</f>
        <v>176</v>
      </c>
      <c r="O571" t="str">
        <f ca="1">IF((INDEX(rngParamTypes,$N571,7)=I571),"",1)</f>
        <v/>
      </c>
      <c r="P571">
        <f ca="1">INDEX(rngParamTypes,$N571,9)</f>
        <v>2</v>
      </c>
      <c r="Q571">
        <f ca="1">INDEX(rngParamTypes,$N571,10)</f>
        <v>-2</v>
      </c>
      <c r="R571">
        <f ca="1">INDEX(rngParamTypes,$N571,11)</f>
        <v>-4</v>
      </c>
      <c r="S571">
        <f ca="1">INDEX(rngParamTypes,$N571,12)</f>
        <v>0</v>
      </c>
      <c r="T571">
        <f ca="1">INDEX(rngParamTypes,$N571,13)</f>
        <v>0</v>
      </c>
      <c r="U571">
        <f ca="1">INDEX(rngParamTypes,$N571,14)</f>
        <v>0</v>
      </c>
      <c r="V571">
        <f ca="1">INDEX(rngParamTypes,$N571,15)</f>
        <v>0</v>
      </c>
      <c r="W571">
        <f ca="1">INDEX(rngParamTypes,$N571,16)</f>
        <v>0</v>
      </c>
      <c r="X571">
        <f ca="1">INDEX(rngParamTypes,$N571,17)</f>
        <v>0</v>
      </c>
      <c r="Y571">
        <f ca="1">INDEX(rngParamTypes,$N571,18)</f>
        <v>0</v>
      </c>
    </row>
    <row r="572" spans="1:25" x14ac:dyDescent="0.2">
      <c r="A572" s="16">
        <v>571</v>
      </c>
      <c r="B572" s="37">
        <v>1</v>
      </c>
      <c r="C572" s="16" t="s">
        <v>1761</v>
      </c>
      <c r="D572" s="16" t="s">
        <v>1761</v>
      </c>
      <c r="E572" s="16">
        <v>2</v>
      </c>
      <c r="F572" s="16" t="s">
        <v>3753</v>
      </c>
      <c r="G572" s="16" t="s">
        <v>443</v>
      </c>
      <c r="H572" s="16" t="s">
        <v>1760</v>
      </c>
      <c r="I572" s="16" t="s">
        <v>444</v>
      </c>
      <c r="J572" s="16">
        <v>0</v>
      </c>
      <c r="K572" s="16">
        <v>1000</v>
      </c>
      <c r="L572" s="16">
        <v>1</v>
      </c>
      <c r="M572" s="16">
        <v>0</v>
      </c>
      <c r="N572">
        <f t="array" aca="1" ref="N572" ca="1">MATCH(TRUE,EXACT(I572,OFFSET(rngParamTypes,0,6,,1)),0)</f>
        <v>178</v>
      </c>
      <c r="O572" t="str">
        <f ca="1">IF((INDEX(rngParamTypes,$N572,7)=I572),"",1)</f>
        <v/>
      </c>
      <c r="P572">
        <f ca="1">INDEX(rngParamTypes,$N572,9)</f>
        <v>0</v>
      </c>
      <c r="Q572">
        <f ca="1">INDEX(rngParamTypes,$N572,10)</f>
        <v>0</v>
      </c>
      <c r="R572">
        <f ca="1">INDEX(rngParamTypes,$N572,11)</f>
        <v>0</v>
      </c>
      <c r="S572">
        <f ca="1">INDEX(rngParamTypes,$N572,12)</f>
        <v>0</v>
      </c>
      <c r="T572">
        <f ca="1">INDEX(rngParamTypes,$N572,13)</f>
        <v>0</v>
      </c>
      <c r="U572">
        <f ca="1">INDEX(rngParamTypes,$N572,14)</f>
        <v>0</v>
      </c>
      <c r="V572">
        <f ca="1">INDEX(rngParamTypes,$N572,15)</f>
        <v>0</v>
      </c>
      <c r="W572">
        <f ca="1">INDEX(rngParamTypes,$N572,16)</f>
        <v>1</v>
      </c>
      <c r="X572">
        <f ca="1">INDEX(rngParamTypes,$N572,17)</f>
        <v>0</v>
      </c>
      <c r="Y572">
        <f ca="1">INDEX(rngParamTypes,$N572,18)</f>
        <v>0</v>
      </c>
    </row>
    <row r="573" spans="1:25" x14ac:dyDescent="0.2">
      <c r="A573" s="16">
        <v>572</v>
      </c>
      <c r="B573" s="37">
        <v>1</v>
      </c>
      <c r="C573" s="16" t="s">
        <v>1763</v>
      </c>
      <c r="D573" s="16" t="s">
        <v>1763</v>
      </c>
      <c r="E573" s="16"/>
      <c r="F573" s="16" t="s">
        <v>3754</v>
      </c>
      <c r="G573" s="16" t="s">
        <v>3621</v>
      </c>
      <c r="H573" s="16" t="s">
        <v>1762</v>
      </c>
      <c r="I573" s="16" t="s">
        <v>466</v>
      </c>
      <c r="J573" s="16">
        <v>0</v>
      </c>
      <c r="K573" s="16">
        <v>1000</v>
      </c>
      <c r="L573" s="16">
        <v>1</v>
      </c>
      <c r="M573" s="16">
        <v>0</v>
      </c>
      <c r="N573">
        <f t="array" aca="1" ref="N573" ca="1">MATCH(TRUE,EXACT(I573,OFFSET(rngParamTypes,0,6,,1)),0)</f>
        <v>187</v>
      </c>
      <c r="O573" t="str">
        <f ca="1">IF((INDEX(rngParamTypes,$N573,7)=I573),"",1)</f>
        <v/>
      </c>
      <c r="P573">
        <f ca="1">INDEX(rngParamTypes,$N573,9)</f>
        <v>-1</v>
      </c>
      <c r="Q573">
        <f ca="1">INDEX(rngParamTypes,$N573,10)</f>
        <v>-2</v>
      </c>
      <c r="R573">
        <f ca="1">INDEX(rngParamTypes,$N573,11)</f>
        <v>3</v>
      </c>
      <c r="S573">
        <f ca="1">INDEX(rngParamTypes,$N573,12)</f>
        <v>2</v>
      </c>
      <c r="T573">
        <f ca="1">INDEX(rngParamTypes,$N573,13)</f>
        <v>0</v>
      </c>
      <c r="U573">
        <f ca="1">INDEX(rngParamTypes,$N573,14)</f>
        <v>0</v>
      </c>
      <c r="V573">
        <f ca="1">INDEX(rngParamTypes,$N573,15)</f>
        <v>0</v>
      </c>
      <c r="W573">
        <f ca="1">INDEX(rngParamTypes,$N573,16)</f>
        <v>0</v>
      </c>
      <c r="X573">
        <f ca="1">INDEX(rngParamTypes,$N573,17)</f>
        <v>0</v>
      </c>
      <c r="Y573">
        <f ca="1">INDEX(rngParamTypes,$N573,18)</f>
        <v>0</v>
      </c>
    </row>
    <row r="574" spans="1:25" x14ac:dyDescent="0.2">
      <c r="A574" s="16">
        <v>573</v>
      </c>
      <c r="B574" s="37">
        <v>1</v>
      </c>
      <c r="C574" s="16" t="s">
        <v>1765</v>
      </c>
      <c r="D574" s="16" t="s">
        <v>1765</v>
      </c>
      <c r="E574" s="16"/>
      <c r="F574" s="16" t="s">
        <v>3755</v>
      </c>
      <c r="G574" s="16" t="s">
        <v>484</v>
      </c>
      <c r="H574" s="16" t="s">
        <v>1764</v>
      </c>
      <c r="I574" s="16" t="s">
        <v>494</v>
      </c>
      <c r="J574" s="16">
        <v>0</v>
      </c>
      <c r="K574" s="16">
        <v>1000</v>
      </c>
      <c r="L574" s="16">
        <v>1</v>
      </c>
      <c r="M574" s="16">
        <v>0</v>
      </c>
      <c r="N574">
        <f t="array" aca="1" ref="N574" ca="1">MATCH(TRUE,EXACT(I574,OFFSET(rngParamTypes,0,6,,1)),0)</f>
        <v>199</v>
      </c>
      <c r="O574" t="str">
        <f ca="1">IF((INDEX(rngParamTypes,$N574,7)=I574),"",1)</f>
        <v/>
      </c>
      <c r="P574">
        <f ca="1">INDEX(rngParamTypes,$N574,9)</f>
        <v>0</v>
      </c>
      <c r="Q574">
        <f ca="1">INDEX(rngParamTypes,$N574,10)</f>
        <v>3</v>
      </c>
      <c r="R574">
        <f ca="1">INDEX(rngParamTypes,$N574,11)</f>
        <v>0</v>
      </c>
      <c r="S574">
        <f ca="1">INDEX(rngParamTypes,$N574,12)</f>
        <v>0</v>
      </c>
      <c r="T574">
        <f ca="1">INDEX(rngParamTypes,$N574,13)</f>
        <v>0</v>
      </c>
      <c r="U574">
        <f ca="1">INDEX(rngParamTypes,$N574,14)</f>
        <v>0</v>
      </c>
      <c r="V574">
        <f ca="1">INDEX(rngParamTypes,$N574,15)</f>
        <v>0</v>
      </c>
      <c r="W574">
        <f ca="1">INDEX(rngParamTypes,$N574,16)</f>
        <v>0</v>
      </c>
      <c r="X574">
        <f ca="1">INDEX(rngParamTypes,$N574,17)</f>
        <v>0</v>
      </c>
      <c r="Y574">
        <f ca="1">INDEX(rngParamTypes,$N574,18)</f>
        <v>0</v>
      </c>
    </row>
    <row r="575" spans="1:25" x14ac:dyDescent="0.2">
      <c r="A575" s="16">
        <v>574</v>
      </c>
      <c r="B575" s="37">
        <v>1</v>
      </c>
      <c r="C575" s="16" t="s">
        <v>1767</v>
      </c>
      <c r="D575" s="16" t="s">
        <v>1767</v>
      </c>
      <c r="E575" s="16"/>
      <c r="F575" s="16" t="s">
        <v>3756</v>
      </c>
      <c r="G575" s="16" t="s">
        <v>501</v>
      </c>
      <c r="H575" s="16" t="s">
        <v>1766</v>
      </c>
      <c r="I575" s="16" t="s">
        <v>502</v>
      </c>
      <c r="J575" s="16">
        <v>0</v>
      </c>
      <c r="K575" s="16">
        <v>1000</v>
      </c>
      <c r="L575" s="16">
        <v>86400</v>
      </c>
      <c r="M575" s="16">
        <v>0</v>
      </c>
      <c r="N575">
        <f t="array" aca="1" ref="N575" ca="1">MATCH(TRUE,EXACT(I575,OFFSET(rngParamTypes,0,6,,1)),0)</f>
        <v>202</v>
      </c>
      <c r="O575" t="str">
        <f ca="1">IF((INDEX(rngParamTypes,$N575,7)=I575),"",1)</f>
        <v/>
      </c>
      <c r="P575">
        <f ca="1">INDEX(rngParamTypes,$N575,9)</f>
        <v>0</v>
      </c>
      <c r="Q575">
        <f ca="1">INDEX(rngParamTypes,$N575,10)</f>
        <v>3</v>
      </c>
      <c r="R575">
        <f ca="1">INDEX(rngParamTypes,$N575,11)</f>
        <v>-1</v>
      </c>
      <c r="S575">
        <f ca="1">INDEX(rngParamTypes,$N575,12)</f>
        <v>0</v>
      </c>
      <c r="T575">
        <f ca="1">INDEX(rngParamTypes,$N575,13)</f>
        <v>0</v>
      </c>
      <c r="U575">
        <f ca="1">INDEX(rngParamTypes,$N575,14)</f>
        <v>0</v>
      </c>
      <c r="V575">
        <f ca="1">INDEX(rngParamTypes,$N575,15)</f>
        <v>0</v>
      </c>
      <c r="W575">
        <f ca="1">INDEX(rngParamTypes,$N575,16)</f>
        <v>0</v>
      </c>
      <c r="X575">
        <f ca="1">INDEX(rngParamTypes,$N575,17)</f>
        <v>0</v>
      </c>
      <c r="Y575">
        <f ca="1">INDEX(rngParamTypes,$N575,18)</f>
        <v>0</v>
      </c>
    </row>
    <row r="576" spans="1:25" x14ac:dyDescent="0.2">
      <c r="A576" s="16">
        <v>575</v>
      </c>
      <c r="B576" s="37">
        <v>1</v>
      </c>
      <c r="C576" s="16" t="s">
        <v>1769</v>
      </c>
      <c r="D576" s="16" t="s">
        <v>1769</v>
      </c>
      <c r="E576" s="16"/>
      <c r="F576" s="16" t="s">
        <v>3757</v>
      </c>
      <c r="G576" s="16" t="s">
        <v>659</v>
      </c>
      <c r="H576" s="16" t="s">
        <v>1768</v>
      </c>
      <c r="I576" s="16" t="s">
        <v>131</v>
      </c>
      <c r="J576" s="16">
        <v>0</v>
      </c>
      <c r="K576" s="16">
        <v>1000</v>
      </c>
      <c r="L576" s="16">
        <v>1</v>
      </c>
      <c r="M576" s="16">
        <v>0</v>
      </c>
      <c r="N576">
        <f t="array" aca="1" ref="N576" ca="1">MATCH(TRUE,EXACT(I576,OFFSET(rngParamTypes,0,6,,1)),0)</f>
        <v>42</v>
      </c>
      <c r="O576" t="str">
        <f ca="1">IF((INDEX(rngParamTypes,$N576,7)=I576),"",1)</f>
        <v/>
      </c>
      <c r="P576">
        <f ca="1">INDEX(rngParamTypes,$N576,9)</f>
        <v>0</v>
      </c>
      <c r="Q576">
        <f ca="1">INDEX(rngParamTypes,$N576,10)</f>
        <v>0</v>
      </c>
      <c r="R576">
        <f ca="1">INDEX(rngParamTypes,$N576,11)</f>
        <v>0</v>
      </c>
      <c r="S576">
        <f ca="1">INDEX(rngParamTypes,$N576,12)</f>
        <v>0</v>
      </c>
      <c r="T576">
        <f ca="1">INDEX(rngParamTypes,$N576,13)</f>
        <v>0</v>
      </c>
      <c r="U576">
        <f ca="1">INDEX(rngParamTypes,$N576,14)</f>
        <v>0</v>
      </c>
      <c r="V576">
        <f ca="1">INDEX(rngParamTypes,$N576,15)</f>
        <v>0</v>
      </c>
      <c r="W576">
        <f ca="1">INDEX(rngParamTypes,$N576,16)</f>
        <v>0</v>
      </c>
      <c r="X576">
        <f ca="1">INDEX(rngParamTypes,$N576,17)</f>
        <v>0</v>
      </c>
      <c r="Y576">
        <f ca="1">INDEX(rngParamTypes,$N576,18)</f>
        <v>0</v>
      </c>
    </row>
    <row r="577" spans="1:25" x14ac:dyDescent="0.2">
      <c r="A577" s="16">
        <v>576</v>
      </c>
      <c r="B577" s="37">
        <v>1</v>
      </c>
      <c r="C577" s="16" t="s">
        <v>1771</v>
      </c>
      <c r="D577" s="16" t="s">
        <v>1771</v>
      </c>
      <c r="E577" s="16"/>
      <c r="F577" s="16" t="s">
        <v>3758</v>
      </c>
      <c r="G577" s="16" t="s">
        <v>521</v>
      </c>
      <c r="H577" s="16" t="s">
        <v>1770</v>
      </c>
      <c r="I577" s="16" t="s">
        <v>522</v>
      </c>
      <c r="J577" s="16">
        <v>0</v>
      </c>
      <c r="K577" s="16">
        <v>1000</v>
      </c>
      <c r="L577" s="16">
        <v>1</v>
      </c>
      <c r="M577" s="16">
        <v>0</v>
      </c>
      <c r="N577">
        <f t="array" aca="1" ref="N577" ca="1">MATCH(TRUE,EXACT(I577,OFFSET(rngParamTypes,0,6,,1)),0)</f>
        <v>208</v>
      </c>
      <c r="O577" t="str">
        <f ca="1">IF((INDEX(rngParamTypes,$N577,7)=I577),"",1)</f>
        <v/>
      </c>
      <c r="P577">
        <f ca="1">INDEX(rngParamTypes,$N577,9)</f>
        <v>1</v>
      </c>
      <c r="Q577">
        <f ca="1">INDEX(rngParamTypes,$N577,10)</f>
        <v>2</v>
      </c>
      <c r="R577">
        <f ca="1">INDEX(rngParamTypes,$N577,11)</f>
        <v>-3</v>
      </c>
      <c r="S577">
        <f ca="1">INDEX(rngParamTypes,$N577,12)</f>
        <v>-1</v>
      </c>
      <c r="T577">
        <f ca="1">INDEX(rngParamTypes,$N577,13)</f>
        <v>0</v>
      </c>
      <c r="U577">
        <f ca="1">INDEX(rngParamTypes,$N577,14)</f>
        <v>0</v>
      </c>
      <c r="V577">
        <f ca="1">INDEX(rngParamTypes,$N577,15)</f>
        <v>0</v>
      </c>
      <c r="W577">
        <f ca="1">INDEX(rngParamTypes,$N577,16)</f>
        <v>0</v>
      </c>
      <c r="X577">
        <f ca="1">INDEX(rngParamTypes,$N577,17)</f>
        <v>0</v>
      </c>
      <c r="Y577">
        <f ca="1">INDEX(rngParamTypes,$N577,18)</f>
        <v>0</v>
      </c>
    </row>
    <row r="578" spans="1:25" x14ac:dyDescent="0.2">
      <c r="A578" s="16">
        <v>577</v>
      </c>
      <c r="B578" s="37">
        <v>1</v>
      </c>
      <c r="C578" s="16" t="s">
        <v>1773</v>
      </c>
      <c r="D578" s="16" t="s">
        <v>1773</v>
      </c>
      <c r="E578" s="16">
        <v>2</v>
      </c>
      <c r="F578" s="16" t="s">
        <v>3759</v>
      </c>
      <c r="G578" s="16" t="s">
        <v>3624</v>
      </c>
      <c r="H578" s="16" t="s">
        <v>1772</v>
      </c>
      <c r="I578" s="16" t="s">
        <v>533</v>
      </c>
      <c r="J578" s="16">
        <v>0</v>
      </c>
      <c r="K578" s="16">
        <v>1000</v>
      </c>
      <c r="L578" s="16">
        <v>1</v>
      </c>
      <c r="M578" s="16">
        <v>0</v>
      </c>
      <c r="N578">
        <f t="array" aca="1" ref="N578" ca="1">MATCH(TRUE,EXACT(I578,OFFSET(rngParamTypes,0,6,,1)),0)</f>
        <v>211</v>
      </c>
      <c r="O578" t="str">
        <f ca="1">IF((INDEX(rngParamTypes,$N578,7)=I578),"",1)</f>
        <v/>
      </c>
      <c r="P578">
        <f ca="1">INDEX(rngParamTypes,$N578,9)</f>
        <v>1</v>
      </c>
      <c r="Q578">
        <f ca="1">INDEX(rngParamTypes,$N578,10)</f>
        <v>2</v>
      </c>
      <c r="R578">
        <f ca="1">INDEX(rngParamTypes,$N578,11)</f>
        <v>-3</v>
      </c>
      <c r="S578">
        <f ca="1">INDEX(rngParamTypes,$N578,12)</f>
        <v>0</v>
      </c>
      <c r="T578">
        <f ca="1">INDEX(rngParamTypes,$N578,13)</f>
        <v>0</v>
      </c>
      <c r="U578">
        <f ca="1">INDEX(rngParamTypes,$N578,14)</f>
        <v>0</v>
      </c>
      <c r="V578">
        <f ca="1">INDEX(rngParamTypes,$N578,15)</f>
        <v>0</v>
      </c>
      <c r="W578">
        <f ca="1">INDEX(rngParamTypes,$N578,16)</f>
        <v>0</v>
      </c>
      <c r="X578">
        <f ca="1">INDEX(rngParamTypes,$N578,17)</f>
        <v>0</v>
      </c>
      <c r="Y578">
        <f ca="1">INDEX(rngParamTypes,$N578,18)</f>
        <v>0</v>
      </c>
    </row>
    <row r="579" spans="1:25" x14ac:dyDescent="0.2">
      <c r="A579" s="16">
        <v>578</v>
      </c>
      <c r="B579" s="37">
        <v>1</v>
      </c>
      <c r="C579" s="16" t="s">
        <v>1775</v>
      </c>
      <c r="D579" s="16" t="s">
        <v>1775</v>
      </c>
      <c r="E579" s="16">
        <v>2</v>
      </c>
      <c r="F579" s="16" t="s">
        <v>3760</v>
      </c>
      <c r="G579" s="16" t="s">
        <v>3267</v>
      </c>
      <c r="H579" s="16" t="s">
        <v>1774</v>
      </c>
      <c r="I579" s="16" t="s">
        <v>168</v>
      </c>
      <c r="J579" s="16">
        <v>0</v>
      </c>
      <c r="K579" s="16">
        <v>3600000</v>
      </c>
      <c r="L579" s="16">
        <v>1</v>
      </c>
      <c r="M579" s="16">
        <v>0</v>
      </c>
      <c r="N579">
        <f t="array" aca="1" ref="N579" ca="1">MATCH(TRUE,EXACT(I579,OFFSET(rngParamTypes,0,6,,1)),0)</f>
        <v>56</v>
      </c>
      <c r="O579" t="str">
        <f ca="1">IF((INDEX(rngParamTypes,$N579,7)=I579),"",1)</f>
        <v/>
      </c>
      <c r="P579">
        <f ca="1">INDEX(rngParamTypes,$N579,9)</f>
        <v>1</v>
      </c>
      <c r="Q579">
        <f ca="1">INDEX(rngParamTypes,$N579,10)</f>
        <v>2</v>
      </c>
      <c r="R579">
        <f ca="1">INDEX(rngParamTypes,$N579,11)</f>
        <v>-2</v>
      </c>
      <c r="S579">
        <f ca="1">INDEX(rngParamTypes,$N579,12)</f>
        <v>0</v>
      </c>
      <c r="T579">
        <f ca="1">INDEX(rngParamTypes,$N579,13)</f>
        <v>0</v>
      </c>
      <c r="U579">
        <f ca="1">INDEX(rngParamTypes,$N579,14)</f>
        <v>0</v>
      </c>
      <c r="V579">
        <f ca="1">INDEX(rngParamTypes,$N579,15)</f>
        <v>0</v>
      </c>
      <c r="W579">
        <f ca="1">INDEX(rngParamTypes,$N579,16)</f>
        <v>0</v>
      </c>
      <c r="X579">
        <f ca="1">INDEX(rngParamTypes,$N579,17)</f>
        <v>0</v>
      </c>
      <c r="Y579">
        <f ca="1">INDEX(rngParamTypes,$N579,18)</f>
        <v>0</v>
      </c>
    </row>
    <row r="580" spans="1:25" x14ac:dyDescent="0.2">
      <c r="A580" s="16">
        <v>579</v>
      </c>
      <c r="B580" s="37">
        <v>1</v>
      </c>
      <c r="C580" s="16" t="s">
        <v>1777</v>
      </c>
      <c r="D580" s="16" t="s">
        <v>1777</v>
      </c>
      <c r="E580" s="16"/>
      <c r="F580" s="16" t="s">
        <v>3761</v>
      </c>
      <c r="G580" s="16" t="s">
        <v>3314</v>
      </c>
      <c r="H580" s="16" t="s">
        <v>1776</v>
      </c>
      <c r="I580" s="16" t="s">
        <v>190</v>
      </c>
      <c r="J580" s="16">
        <v>0</v>
      </c>
      <c r="K580" s="16">
        <v>3600000</v>
      </c>
      <c r="L580" s="16">
        <v>1E-3</v>
      </c>
      <c r="M580" s="16">
        <v>0</v>
      </c>
      <c r="N580">
        <f t="array" aca="1" ref="N580" ca="1">MATCH(TRUE,EXACT(I580,OFFSET(rngParamTypes,0,6,,1)),0)</f>
        <v>65</v>
      </c>
      <c r="O580" t="str">
        <f ca="1">IF((INDEX(rngParamTypes,$N580,7)=I580),"",1)</f>
        <v/>
      </c>
      <c r="P580">
        <f ca="1">INDEX(rngParamTypes,$N580,9)</f>
        <v>1</v>
      </c>
      <c r="Q580">
        <f ca="1">INDEX(rngParamTypes,$N580,10)</f>
        <v>-1</v>
      </c>
      <c r="R580">
        <f ca="1">INDEX(rngParamTypes,$N580,11)</f>
        <v>-2</v>
      </c>
      <c r="S580">
        <f ca="1">INDEX(rngParamTypes,$N580,12)</f>
        <v>0</v>
      </c>
      <c r="T580">
        <f ca="1">INDEX(rngParamTypes,$N580,13)</f>
        <v>0</v>
      </c>
      <c r="U580">
        <f ca="1">INDEX(rngParamTypes,$N580,14)</f>
        <v>0</v>
      </c>
      <c r="V580">
        <f ca="1">INDEX(rngParamTypes,$N580,15)</f>
        <v>0</v>
      </c>
      <c r="W580">
        <f ca="1">INDEX(rngParamTypes,$N580,16)</f>
        <v>0</v>
      </c>
      <c r="X580">
        <f ca="1">INDEX(rngParamTypes,$N580,17)</f>
        <v>0</v>
      </c>
      <c r="Y580">
        <f ca="1">INDEX(rngParamTypes,$N580,18)</f>
        <v>0</v>
      </c>
    </row>
    <row r="581" spans="1:25" x14ac:dyDescent="0.2">
      <c r="A581" s="16">
        <v>580</v>
      </c>
      <c r="B581" s="37">
        <v>1</v>
      </c>
      <c r="C581" s="16" t="s">
        <v>1779</v>
      </c>
      <c r="D581" s="16" t="s">
        <v>1779</v>
      </c>
      <c r="E581" s="16">
        <v>2</v>
      </c>
      <c r="F581" s="16" t="s">
        <v>3762</v>
      </c>
      <c r="G581" s="16" t="s">
        <v>174</v>
      </c>
      <c r="H581" s="16" t="s">
        <v>1778</v>
      </c>
      <c r="I581" s="16" t="s">
        <v>175</v>
      </c>
      <c r="J581" s="16">
        <v>0</v>
      </c>
      <c r="K581" s="16">
        <v>3600000</v>
      </c>
      <c r="L581" s="16">
        <v>1</v>
      </c>
      <c r="M581" s="16">
        <v>0</v>
      </c>
      <c r="N581">
        <f t="array" aca="1" ref="N581" ca="1">MATCH(TRUE,EXACT(I581,OFFSET(rngParamTypes,0,6,,1)),0)</f>
        <v>62</v>
      </c>
      <c r="O581" t="str">
        <f ca="1">IF((INDEX(rngParamTypes,$N581,7)=I581),"",1)</f>
        <v/>
      </c>
      <c r="P581">
        <f ca="1">INDEX(rngParamTypes,$N581,9)</f>
        <v>0</v>
      </c>
      <c r="Q581">
        <f ca="1">INDEX(rngParamTypes,$N581,10)</f>
        <v>2</v>
      </c>
      <c r="R581">
        <f ca="1">INDEX(rngParamTypes,$N581,11)</f>
        <v>-2</v>
      </c>
      <c r="S581">
        <f ca="1">INDEX(rngParamTypes,$N581,12)</f>
        <v>0</v>
      </c>
      <c r="T581">
        <f ca="1">INDEX(rngParamTypes,$N581,13)</f>
        <v>0</v>
      </c>
      <c r="U581">
        <f ca="1">INDEX(rngParamTypes,$N581,14)</f>
        <v>0</v>
      </c>
      <c r="V581">
        <f ca="1">INDEX(rngParamTypes,$N581,15)</f>
        <v>0</v>
      </c>
      <c r="W581">
        <f ca="1">INDEX(rngParamTypes,$N581,16)</f>
        <v>0</v>
      </c>
      <c r="X581">
        <f ca="1">INDEX(rngParamTypes,$N581,17)</f>
        <v>0</v>
      </c>
      <c r="Y581">
        <f ca="1">INDEX(rngParamTypes,$N581,18)</f>
        <v>0</v>
      </c>
    </row>
    <row r="582" spans="1:25" x14ac:dyDescent="0.2">
      <c r="A582" s="16">
        <v>581</v>
      </c>
      <c r="B582" s="37">
        <v>1</v>
      </c>
      <c r="C582" s="16" t="s">
        <v>1781</v>
      </c>
      <c r="D582" s="16" t="s">
        <v>1781</v>
      </c>
      <c r="E582" s="16">
        <v>2</v>
      </c>
      <c r="F582" s="16" t="s">
        <v>3763</v>
      </c>
      <c r="G582" s="16" t="s">
        <v>3330</v>
      </c>
      <c r="H582" s="16" t="s">
        <v>1780</v>
      </c>
      <c r="I582" s="16" t="s">
        <v>179</v>
      </c>
      <c r="J582" s="16">
        <v>0</v>
      </c>
      <c r="K582" s="16">
        <v>3600000</v>
      </c>
      <c r="L582" s="16">
        <v>1</v>
      </c>
      <c r="M582" s="16">
        <v>0</v>
      </c>
      <c r="N582">
        <f t="array" aca="1" ref="N582" ca="1">MATCH(TRUE,EXACT(I582,OFFSET(rngParamTypes,0,6,,1)),0)</f>
        <v>63</v>
      </c>
      <c r="O582" t="str">
        <f ca="1">IF((INDEX(rngParamTypes,$N582,7)=I582),"",1)</f>
        <v/>
      </c>
      <c r="P582">
        <f ca="1">INDEX(rngParamTypes,$N582,9)</f>
        <v>0</v>
      </c>
      <c r="Q582">
        <f ca="1">INDEX(rngParamTypes,$N582,10)</f>
        <v>2</v>
      </c>
      <c r="R582">
        <f ca="1">INDEX(rngParamTypes,$N582,11)</f>
        <v>-2</v>
      </c>
      <c r="S582">
        <f ca="1">INDEX(rngParamTypes,$N582,12)</f>
        <v>0</v>
      </c>
      <c r="T582">
        <f ca="1">INDEX(rngParamTypes,$N582,13)</f>
        <v>-1</v>
      </c>
      <c r="U582">
        <f ca="1">INDEX(rngParamTypes,$N582,14)</f>
        <v>0</v>
      </c>
      <c r="V582">
        <f ca="1">INDEX(rngParamTypes,$N582,15)</f>
        <v>0</v>
      </c>
      <c r="W582">
        <f ca="1">INDEX(rngParamTypes,$N582,16)</f>
        <v>0</v>
      </c>
      <c r="X582">
        <f ca="1">INDEX(rngParamTypes,$N582,17)</f>
        <v>0</v>
      </c>
      <c r="Y582">
        <f ca="1">INDEX(rngParamTypes,$N582,18)</f>
        <v>0</v>
      </c>
    </row>
    <row r="583" spans="1:25" x14ac:dyDescent="0.2">
      <c r="A583" s="16">
        <v>582</v>
      </c>
      <c r="B583" s="37">
        <v>1</v>
      </c>
      <c r="C583" s="16" t="s">
        <v>1783</v>
      </c>
      <c r="D583" s="16" t="s">
        <v>1783</v>
      </c>
      <c r="E583" s="16"/>
      <c r="F583" s="16" t="s">
        <v>3764</v>
      </c>
      <c r="G583" s="16" t="s">
        <v>3314</v>
      </c>
      <c r="H583" s="16" t="s">
        <v>1782</v>
      </c>
      <c r="I583" s="16" t="s">
        <v>190</v>
      </c>
      <c r="J583" s="16">
        <v>0</v>
      </c>
      <c r="K583" s="16">
        <v>3600000</v>
      </c>
      <c r="L583" s="16">
        <v>1</v>
      </c>
      <c r="M583" s="16">
        <v>0</v>
      </c>
      <c r="N583">
        <f t="array" aca="1" ref="N583" ca="1">MATCH(TRUE,EXACT(I583,OFFSET(rngParamTypes,0,6,,1)),0)</f>
        <v>65</v>
      </c>
      <c r="O583" t="str">
        <f ca="1">IF((INDEX(rngParamTypes,$N583,7)=I583),"",1)</f>
        <v/>
      </c>
      <c r="P583">
        <f ca="1">INDEX(rngParamTypes,$N583,9)</f>
        <v>1</v>
      </c>
      <c r="Q583">
        <f ca="1">INDEX(rngParamTypes,$N583,10)</f>
        <v>-1</v>
      </c>
      <c r="R583">
        <f ca="1">INDEX(rngParamTypes,$N583,11)</f>
        <v>-2</v>
      </c>
      <c r="S583">
        <f ca="1">INDEX(rngParamTypes,$N583,12)</f>
        <v>0</v>
      </c>
      <c r="T583">
        <f ca="1">INDEX(rngParamTypes,$N583,13)</f>
        <v>0</v>
      </c>
      <c r="U583">
        <f ca="1">INDEX(rngParamTypes,$N583,14)</f>
        <v>0</v>
      </c>
      <c r="V583">
        <f ca="1">INDEX(rngParamTypes,$N583,15)</f>
        <v>0</v>
      </c>
      <c r="W583">
        <f ca="1">INDEX(rngParamTypes,$N583,16)</f>
        <v>0</v>
      </c>
      <c r="X583">
        <f ca="1">INDEX(rngParamTypes,$N583,17)</f>
        <v>0</v>
      </c>
      <c r="Y583">
        <f ca="1">INDEX(rngParamTypes,$N583,18)</f>
        <v>0</v>
      </c>
    </row>
    <row r="584" spans="1:25" x14ac:dyDescent="0.2">
      <c r="A584" s="16">
        <v>583</v>
      </c>
      <c r="B584" s="37">
        <v>1</v>
      </c>
      <c r="C584" s="16" t="s">
        <v>1785</v>
      </c>
      <c r="D584" s="16" t="s">
        <v>1785</v>
      </c>
      <c r="E584" s="16">
        <v>2</v>
      </c>
      <c r="F584" s="16" t="s">
        <v>3765</v>
      </c>
      <c r="G584" s="16" t="s">
        <v>3322</v>
      </c>
      <c r="H584" s="16" t="s">
        <v>1784</v>
      </c>
      <c r="I584" s="16" t="s">
        <v>551</v>
      </c>
      <c r="J584" s="16">
        <v>0</v>
      </c>
      <c r="K584" s="16">
        <v>10000000</v>
      </c>
      <c r="L584" s="16">
        <v>1</v>
      </c>
      <c r="M584" s="16">
        <v>0</v>
      </c>
      <c r="N584">
        <f t="array" aca="1" ref="N584" ca="1">MATCH(TRUE,EXACT(I584,OFFSET(rngParamTypes,0,6,,1)),0)</f>
        <v>216</v>
      </c>
      <c r="O584" t="str">
        <f ca="1">IF((INDEX(rngParamTypes,$N584,7)=I584),"",1)</f>
        <v/>
      </c>
      <c r="P584">
        <f ca="1">INDEX(rngParamTypes,$N584,9)</f>
        <v>1</v>
      </c>
      <c r="Q584">
        <f ca="1">INDEX(rngParamTypes,$N584,10)</f>
        <v>0</v>
      </c>
      <c r="R584">
        <f ca="1">INDEX(rngParamTypes,$N584,11)</f>
        <v>-3</v>
      </c>
      <c r="S584">
        <f ca="1">INDEX(rngParamTypes,$N584,12)</f>
        <v>0</v>
      </c>
      <c r="T584">
        <f ca="1">INDEX(rngParamTypes,$N584,13)</f>
        <v>0</v>
      </c>
      <c r="U584">
        <f ca="1">INDEX(rngParamTypes,$N584,14)</f>
        <v>0</v>
      </c>
      <c r="V584">
        <f ca="1">INDEX(rngParamTypes,$N584,15)</f>
        <v>0</v>
      </c>
      <c r="W584">
        <f ca="1">INDEX(rngParamTypes,$N584,16)</f>
        <v>0</v>
      </c>
      <c r="X584">
        <f ca="1">INDEX(rngParamTypes,$N584,17)</f>
        <v>0</v>
      </c>
      <c r="Y584">
        <f ca="1">INDEX(rngParamTypes,$N584,18)</f>
        <v>0</v>
      </c>
    </row>
    <row r="585" spans="1:25" x14ac:dyDescent="0.2">
      <c r="A585" s="16">
        <v>584</v>
      </c>
      <c r="B585" s="37">
        <v>1</v>
      </c>
      <c r="C585" s="16" t="s">
        <v>1787</v>
      </c>
      <c r="D585" s="16" t="s">
        <v>1787</v>
      </c>
      <c r="E585" s="16">
        <v>2</v>
      </c>
      <c r="F585" s="16" t="s">
        <v>3766</v>
      </c>
      <c r="G585" s="16" t="s">
        <v>3322</v>
      </c>
      <c r="H585" s="16" t="s">
        <v>1786</v>
      </c>
      <c r="I585" s="16" t="s">
        <v>551</v>
      </c>
      <c r="J585" s="16">
        <v>0</v>
      </c>
      <c r="K585" s="16">
        <v>1000</v>
      </c>
      <c r="L585" s="16">
        <v>1</v>
      </c>
      <c r="M585" s="16">
        <v>0</v>
      </c>
      <c r="N585">
        <f t="array" aca="1" ref="N585" ca="1">MATCH(TRUE,EXACT(I585,OFFSET(rngParamTypes,0,6,,1)),0)</f>
        <v>216</v>
      </c>
      <c r="O585" t="str">
        <f ca="1">IF((INDEX(rngParamTypes,$N585,7)=I585),"",1)</f>
        <v/>
      </c>
      <c r="P585">
        <f ca="1">INDEX(rngParamTypes,$N585,9)</f>
        <v>1</v>
      </c>
      <c r="Q585">
        <f ca="1">INDEX(rngParamTypes,$N585,10)</f>
        <v>0</v>
      </c>
      <c r="R585">
        <f ca="1">INDEX(rngParamTypes,$N585,11)</f>
        <v>-3</v>
      </c>
      <c r="S585">
        <f ca="1">INDEX(rngParamTypes,$N585,12)</f>
        <v>0</v>
      </c>
      <c r="T585">
        <f ca="1">INDEX(rngParamTypes,$N585,13)</f>
        <v>0</v>
      </c>
      <c r="U585">
        <f ca="1">INDEX(rngParamTypes,$N585,14)</f>
        <v>0</v>
      </c>
      <c r="V585">
        <f ca="1">INDEX(rngParamTypes,$N585,15)</f>
        <v>0</v>
      </c>
      <c r="W585">
        <f ca="1">INDEX(rngParamTypes,$N585,16)</f>
        <v>0</v>
      </c>
      <c r="X585">
        <f ca="1">INDEX(rngParamTypes,$N585,17)</f>
        <v>0</v>
      </c>
      <c r="Y585">
        <f ca="1">INDEX(rngParamTypes,$N585,18)</f>
        <v>0</v>
      </c>
    </row>
    <row r="586" spans="1:25" x14ac:dyDescent="0.2">
      <c r="A586" s="16">
        <v>585</v>
      </c>
      <c r="B586" s="37">
        <v>1</v>
      </c>
      <c r="C586" s="16" t="s">
        <v>1789</v>
      </c>
      <c r="D586" s="16" t="s">
        <v>1789</v>
      </c>
      <c r="E586" s="16">
        <v>2</v>
      </c>
      <c r="F586" s="16" t="s">
        <v>3767</v>
      </c>
      <c r="G586" s="16" t="s">
        <v>553</v>
      </c>
      <c r="H586" s="16" t="s">
        <v>1788</v>
      </c>
      <c r="I586" s="16" t="s">
        <v>554</v>
      </c>
      <c r="J586" s="16">
        <v>0</v>
      </c>
      <c r="K586" s="16">
        <v>1000</v>
      </c>
      <c r="L586" s="16">
        <v>1</v>
      </c>
      <c r="M586" s="16">
        <v>0</v>
      </c>
      <c r="N586">
        <f t="array" aca="1" ref="N586" ca="1">MATCH(TRUE,EXACT(I586,OFFSET(rngParamTypes,0,6,,1)),0)</f>
        <v>224</v>
      </c>
      <c r="O586" t="str">
        <f ca="1">IF((INDEX(rngParamTypes,$N586,7)=I586),"",1)</f>
        <v/>
      </c>
      <c r="P586">
        <f ca="1">INDEX(rngParamTypes,$N586,9)</f>
        <v>1</v>
      </c>
      <c r="Q586">
        <f ca="1">INDEX(rngParamTypes,$N586,10)</f>
        <v>0</v>
      </c>
      <c r="R586">
        <f ca="1">INDEX(rngParamTypes,$N586,11)</f>
        <v>-3</v>
      </c>
      <c r="S586">
        <f ca="1">INDEX(rngParamTypes,$N586,12)</f>
        <v>0</v>
      </c>
      <c r="T586">
        <f ca="1">INDEX(rngParamTypes,$N586,13)</f>
        <v>-1</v>
      </c>
      <c r="U586">
        <f ca="1">INDEX(rngParamTypes,$N586,14)</f>
        <v>0</v>
      </c>
      <c r="V586">
        <f ca="1">INDEX(rngParamTypes,$N586,15)</f>
        <v>0</v>
      </c>
      <c r="W586">
        <f ca="1">INDEX(rngParamTypes,$N586,16)</f>
        <v>0</v>
      </c>
      <c r="X586">
        <f ca="1">INDEX(rngParamTypes,$N586,17)</f>
        <v>0</v>
      </c>
      <c r="Y586">
        <f ca="1">INDEX(rngParamTypes,$N586,18)</f>
        <v>0</v>
      </c>
    </row>
    <row r="587" spans="1:25" x14ac:dyDescent="0.2">
      <c r="A587" s="16">
        <v>586</v>
      </c>
      <c r="B587" s="37">
        <v>1</v>
      </c>
      <c r="C587" s="16" t="s">
        <v>1791</v>
      </c>
      <c r="D587" s="16" t="s">
        <v>1791</v>
      </c>
      <c r="E587" s="16"/>
      <c r="F587" s="16" t="s">
        <v>3768</v>
      </c>
      <c r="G587" s="16" t="s">
        <v>559</v>
      </c>
      <c r="H587" s="16" t="s">
        <v>1790</v>
      </c>
      <c r="I587" s="16" t="s">
        <v>560</v>
      </c>
      <c r="J587" s="16">
        <v>0</v>
      </c>
      <c r="K587" s="16">
        <v>1000</v>
      </c>
      <c r="L587" s="16">
        <v>1</v>
      </c>
      <c r="M587" s="16">
        <v>0</v>
      </c>
      <c r="N587">
        <f t="array" aca="1" ref="N587" ca="1">MATCH(TRUE,EXACT(I587,OFFSET(rngParamTypes,0,6,,1)),0)</f>
        <v>226</v>
      </c>
      <c r="O587" t="str">
        <f ca="1">IF((INDEX(rngParamTypes,$N587,7)=I587),"",1)</f>
        <v/>
      </c>
      <c r="P587">
        <f ca="1">INDEX(rngParamTypes,$N587,9)</f>
        <v>1</v>
      </c>
      <c r="Q587">
        <f ca="1">INDEX(rngParamTypes,$N587,10)</f>
        <v>-1</v>
      </c>
      <c r="R587">
        <f ca="1">INDEX(rngParamTypes,$N587,11)</f>
        <v>-3</v>
      </c>
      <c r="S587">
        <f ca="1">INDEX(rngParamTypes,$N587,12)</f>
        <v>0</v>
      </c>
      <c r="T587">
        <f ca="1">INDEX(rngParamTypes,$N587,13)</f>
        <v>0</v>
      </c>
      <c r="U587">
        <f ca="1">INDEX(rngParamTypes,$N587,14)</f>
        <v>0</v>
      </c>
      <c r="V587">
        <f ca="1">INDEX(rngParamTypes,$N587,15)</f>
        <v>0</v>
      </c>
      <c r="W587">
        <f ca="1">INDEX(rngParamTypes,$N587,16)</f>
        <v>0</v>
      </c>
      <c r="X587">
        <f ca="1">INDEX(rngParamTypes,$N587,17)</f>
        <v>0</v>
      </c>
      <c r="Y587">
        <f ca="1">INDEX(rngParamTypes,$N587,18)</f>
        <v>0</v>
      </c>
    </row>
    <row r="588" spans="1:25" x14ac:dyDescent="0.2">
      <c r="A588" s="16">
        <v>587</v>
      </c>
      <c r="B588" s="37">
        <v>1</v>
      </c>
      <c r="C588" s="16" t="s">
        <v>1793</v>
      </c>
      <c r="D588" s="16" t="s">
        <v>1793</v>
      </c>
      <c r="E588" s="16"/>
      <c r="F588" s="16" t="s">
        <v>3769</v>
      </c>
      <c r="G588" s="16" t="s">
        <v>562</v>
      </c>
      <c r="H588" s="16" t="s">
        <v>1792</v>
      </c>
      <c r="I588" s="16" t="s">
        <v>563</v>
      </c>
      <c r="J588" s="16">
        <v>0</v>
      </c>
      <c r="K588" s="16">
        <v>1000</v>
      </c>
      <c r="L588" s="16">
        <v>1</v>
      </c>
      <c r="M588" s="16">
        <v>0</v>
      </c>
      <c r="N588">
        <f t="array" aca="1" ref="N588" ca="1">MATCH(TRUE,EXACT(I588,OFFSET(rngParamTypes,0,6,,1)),0)</f>
        <v>227</v>
      </c>
      <c r="O588" t="str">
        <f ca="1">IF((INDEX(rngParamTypes,$N588,7)=I588),"",1)</f>
        <v/>
      </c>
      <c r="P588">
        <f ca="1">INDEX(rngParamTypes,$N588,9)</f>
        <v>1</v>
      </c>
      <c r="Q588">
        <f ca="1">INDEX(rngParamTypes,$N588,10)</f>
        <v>-1</v>
      </c>
      <c r="R588">
        <f ca="1">INDEX(rngParamTypes,$N588,11)</f>
        <v>-3</v>
      </c>
      <c r="S588">
        <f ca="1">INDEX(rngParamTypes,$N588,12)</f>
        <v>0</v>
      </c>
      <c r="T588">
        <f ca="1">INDEX(rngParamTypes,$N588,13)</f>
        <v>-1</v>
      </c>
      <c r="U588">
        <f ca="1">INDEX(rngParamTypes,$N588,14)</f>
        <v>0</v>
      </c>
      <c r="V588">
        <f ca="1">INDEX(rngParamTypes,$N588,15)</f>
        <v>0</v>
      </c>
      <c r="W588">
        <f ca="1">INDEX(rngParamTypes,$N588,16)</f>
        <v>0</v>
      </c>
      <c r="X588">
        <f ca="1">INDEX(rngParamTypes,$N588,17)</f>
        <v>0</v>
      </c>
      <c r="Y588">
        <f ca="1">INDEX(rngParamTypes,$N588,18)</f>
        <v>0</v>
      </c>
    </row>
    <row r="589" spans="1:25" x14ac:dyDescent="0.2">
      <c r="A589" s="16">
        <v>588</v>
      </c>
      <c r="B589" s="37">
        <v>1</v>
      </c>
      <c r="C589" s="16" t="s">
        <v>1104</v>
      </c>
      <c r="D589" s="16" t="s">
        <v>1104</v>
      </c>
      <c r="E589" s="16">
        <v>2</v>
      </c>
      <c r="F589" s="16" t="s">
        <v>3770</v>
      </c>
      <c r="G589" s="16" t="s">
        <v>321</v>
      </c>
      <c r="H589" s="16" t="s">
        <v>1794</v>
      </c>
      <c r="I589" s="16" t="s">
        <v>322</v>
      </c>
      <c r="J589" s="16">
        <v>0</v>
      </c>
      <c r="K589" s="16">
        <v>1E-3</v>
      </c>
      <c r="L589" s="16">
        <v>1</v>
      </c>
      <c r="M589" s="16">
        <v>0</v>
      </c>
      <c r="N589">
        <f t="array" aca="1" ref="N589" ca="1">MATCH(TRUE,EXACT(I589,OFFSET(rngParamTypes,0,6,,1)),0)</f>
        <v>134</v>
      </c>
      <c r="O589" t="str">
        <f ca="1">IF((INDEX(rngParamTypes,$N589,7)=I589),"",1)</f>
        <v/>
      </c>
      <c r="P589">
        <f ca="1">INDEX(rngParamTypes,$N589,9)</f>
        <v>0</v>
      </c>
      <c r="Q589">
        <f ca="1">INDEX(rngParamTypes,$N589,10)</f>
        <v>3</v>
      </c>
      <c r="R589">
        <f ca="1">INDEX(rngParamTypes,$N589,11)</f>
        <v>0</v>
      </c>
      <c r="S589">
        <f ca="1">INDEX(rngParamTypes,$N589,12)</f>
        <v>0</v>
      </c>
      <c r="T589">
        <f ca="1">INDEX(rngParamTypes,$N589,13)</f>
        <v>0</v>
      </c>
      <c r="U589">
        <f ca="1">INDEX(rngParamTypes,$N589,14)</f>
        <v>0</v>
      </c>
      <c r="V589">
        <f ca="1">INDEX(rngParamTypes,$N589,15)</f>
        <v>0</v>
      </c>
      <c r="W589">
        <f ca="1">INDEX(rngParamTypes,$N589,16)</f>
        <v>0</v>
      </c>
      <c r="X589">
        <f ca="1">INDEX(rngParamTypes,$N589,17)</f>
        <v>0</v>
      </c>
      <c r="Y589">
        <f ca="1">INDEX(rngParamTypes,$N589,18)</f>
        <v>0</v>
      </c>
    </row>
    <row r="590" spans="1:25" x14ac:dyDescent="0.2">
      <c r="A590" s="16">
        <v>589</v>
      </c>
      <c r="B590" s="37">
        <v>1</v>
      </c>
      <c r="C590" s="16" t="s">
        <v>1796</v>
      </c>
      <c r="D590" s="16" t="s">
        <v>1796</v>
      </c>
      <c r="E590" s="16">
        <v>2</v>
      </c>
      <c r="F590" s="16" t="s">
        <v>4299</v>
      </c>
      <c r="G590" s="16" t="s">
        <v>3307</v>
      </c>
      <c r="H590" s="16" t="s">
        <v>1795</v>
      </c>
      <c r="I590" s="16" t="s">
        <v>329</v>
      </c>
      <c r="J590" s="16">
        <v>0</v>
      </c>
      <c r="K590" s="16">
        <v>1.0000000000000001E-5</v>
      </c>
      <c r="L590" s="16">
        <v>1</v>
      </c>
      <c r="M590" s="16">
        <v>0</v>
      </c>
      <c r="N590">
        <f t="array" aca="1" ref="N590" ca="1">MATCH(TRUE,EXACT(I590,OFFSET(rngParamTypes,0,6,,1)),0)</f>
        <v>136</v>
      </c>
      <c r="O590" t="str">
        <f ca="1">IF((INDEX(rngParamTypes,$N590,7)=I590),"",1)</f>
        <v/>
      </c>
      <c r="P590">
        <f ca="1">INDEX(rngParamTypes,$N590,9)</f>
        <v>-1</v>
      </c>
      <c r="Q590">
        <f ca="1">INDEX(rngParamTypes,$N590,10)</f>
        <v>3</v>
      </c>
      <c r="R590">
        <f ca="1">INDEX(rngParamTypes,$N590,11)</f>
        <v>0</v>
      </c>
      <c r="S590">
        <f ca="1">INDEX(rngParamTypes,$N590,12)</f>
        <v>0</v>
      </c>
      <c r="T590">
        <f ca="1">INDEX(rngParamTypes,$N590,13)</f>
        <v>0</v>
      </c>
      <c r="U590">
        <f ca="1">INDEX(rngParamTypes,$N590,14)</f>
        <v>0</v>
      </c>
      <c r="V590">
        <f ca="1">INDEX(rngParamTypes,$N590,15)</f>
        <v>0</v>
      </c>
      <c r="W590">
        <f ca="1">INDEX(rngParamTypes,$N590,16)</f>
        <v>0</v>
      </c>
      <c r="X590">
        <f ca="1">INDEX(rngParamTypes,$N590,17)</f>
        <v>0</v>
      </c>
      <c r="Y590">
        <f ca="1">INDEX(rngParamTypes,$N590,18)</f>
        <v>0</v>
      </c>
    </row>
    <row r="591" spans="1:25" x14ac:dyDescent="0.2">
      <c r="A591" s="16">
        <v>590</v>
      </c>
      <c r="B591" s="37">
        <v>1</v>
      </c>
      <c r="C591" s="16" t="s">
        <v>1798</v>
      </c>
      <c r="D591" s="16" t="s">
        <v>1798</v>
      </c>
      <c r="E591" s="16"/>
      <c r="F591" s="16" t="s">
        <v>4300</v>
      </c>
      <c r="G591" s="16" t="s">
        <v>767</v>
      </c>
      <c r="H591" s="16" t="s">
        <v>1797</v>
      </c>
      <c r="I591" s="16" t="s">
        <v>303</v>
      </c>
      <c r="J591" s="16">
        <v>0</v>
      </c>
      <c r="K591" s="16">
        <v>1.0000000000000001E-9</v>
      </c>
      <c r="L591" s="16">
        <v>1</v>
      </c>
      <c r="M591" s="16">
        <v>0</v>
      </c>
      <c r="N591">
        <f t="array" aca="1" ref="N591" ca="1">MATCH(TRUE,EXACT(I591,OFFSET(rngParamTypes,0,6,,1)),0)</f>
        <v>125</v>
      </c>
      <c r="O591" t="str">
        <f ca="1">IF((INDEX(rngParamTypes,$N591,7)=I591),"",1)</f>
        <v/>
      </c>
      <c r="P591">
        <f ca="1">INDEX(rngParamTypes,$N591,9)</f>
        <v>0</v>
      </c>
      <c r="Q591">
        <f ca="1">INDEX(rngParamTypes,$N591,10)</f>
        <v>2</v>
      </c>
      <c r="R591">
        <f ca="1">INDEX(rngParamTypes,$N591,11)</f>
        <v>0</v>
      </c>
      <c r="S591">
        <f ca="1">INDEX(rngParamTypes,$N591,12)</f>
        <v>0</v>
      </c>
      <c r="T591">
        <f ca="1">INDEX(rngParamTypes,$N591,13)</f>
        <v>0</v>
      </c>
      <c r="U591">
        <f ca="1">INDEX(rngParamTypes,$N591,14)</f>
        <v>0</v>
      </c>
      <c r="V591">
        <f ca="1">INDEX(rngParamTypes,$N591,15)</f>
        <v>0</v>
      </c>
      <c r="W591">
        <f ca="1">INDEX(rngParamTypes,$N591,16)</f>
        <v>0</v>
      </c>
      <c r="X591">
        <f ca="1">INDEX(rngParamTypes,$N591,17)</f>
        <v>0</v>
      </c>
      <c r="Y591">
        <f ca="1">INDEX(rngParamTypes,$N591,18)</f>
        <v>0</v>
      </c>
    </row>
    <row r="592" spans="1:25" x14ac:dyDescent="0.2">
      <c r="A592" s="16">
        <v>591</v>
      </c>
      <c r="B592" s="37">
        <v>1</v>
      </c>
      <c r="C592" s="16" t="s">
        <v>1800</v>
      </c>
      <c r="D592" s="16" t="s">
        <v>1800</v>
      </c>
      <c r="E592" s="16"/>
      <c r="F592" s="16" t="s">
        <v>4301</v>
      </c>
      <c r="G592" s="16" t="s">
        <v>659</v>
      </c>
      <c r="H592" s="16" t="s">
        <v>1799</v>
      </c>
      <c r="I592" s="16" t="s">
        <v>131</v>
      </c>
      <c r="J592" s="16">
        <v>0</v>
      </c>
      <c r="K592" s="16">
        <v>1E-3</v>
      </c>
      <c r="L592" s="16">
        <v>1.5898730000000001</v>
      </c>
      <c r="M592" s="16">
        <v>0</v>
      </c>
      <c r="N592">
        <f t="array" aca="1" ref="N592" ca="1">MATCH(TRUE,EXACT(I592,OFFSET(rngParamTypes,0,6,,1)),0)</f>
        <v>42</v>
      </c>
      <c r="O592" t="str">
        <f ca="1">IF((INDEX(rngParamTypes,$N592,7)=I592),"",1)</f>
        <v/>
      </c>
      <c r="P592">
        <f ca="1">INDEX(rngParamTypes,$N592,9)</f>
        <v>0</v>
      </c>
      <c r="Q592">
        <f ca="1">INDEX(rngParamTypes,$N592,10)</f>
        <v>0</v>
      </c>
      <c r="R592">
        <f ca="1">INDEX(rngParamTypes,$N592,11)</f>
        <v>0</v>
      </c>
      <c r="S592">
        <f ca="1">INDEX(rngParamTypes,$N592,12)</f>
        <v>0</v>
      </c>
      <c r="T592">
        <f ca="1">INDEX(rngParamTypes,$N592,13)</f>
        <v>0</v>
      </c>
      <c r="U592">
        <f ca="1">INDEX(rngParamTypes,$N592,14)</f>
        <v>0</v>
      </c>
      <c r="V592">
        <f ca="1">INDEX(rngParamTypes,$N592,15)</f>
        <v>0</v>
      </c>
      <c r="W592">
        <f ca="1">INDEX(rngParamTypes,$N592,16)</f>
        <v>0</v>
      </c>
      <c r="X592">
        <f ca="1">INDEX(rngParamTypes,$N592,17)</f>
        <v>0</v>
      </c>
      <c r="Y592">
        <f ca="1">INDEX(rngParamTypes,$N592,18)</f>
        <v>0</v>
      </c>
    </row>
    <row r="593" spans="1:25" x14ac:dyDescent="0.2">
      <c r="A593" s="16">
        <v>592</v>
      </c>
      <c r="B593" s="37">
        <v>1</v>
      </c>
      <c r="C593" s="16" t="s">
        <v>1802</v>
      </c>
      <c r="D593" s="16" t="s">
        <v>1802</v>
      </c>
      <c r="E593" s="16"/>
      <c r="F593" s="16" t="s">
        <v>3771</v>
      </c>
      <c r="G593" s="16" t="s">
        <v>334</v>
      </c>
      <c r="H593" s="16" t="s">
        <v>1801</v>
      </c>
      <c r="I593" s="16" t="s">
        <v>335</v>
      </c>
      <c r="J593" s="16">
        <v>0</v>
      </c>
      <c r="K593" s="16">
        <v>1E-3</v>
      </c>
      <c r="L593" s="16">
        <v>6000000</v>
      </c>
      <c r="M593" s="16">
        <v>0</v>
      </c>
      <c r="N593">
        <f t="array" aca="1" ref="N593" ca="1">MATCH(TRUE,EXACT(I593,OFFSET(rngParamTypes,0,6,,1)),0)</f>
        <v>139</v>
      </c>
      <c r="O593" t="str">
        <f ca="1">IF((INDEX(rngParamTypes,$N593,7)=I593),"",1)</f>
        <v/>
      </c>
      <c r="P593">
        <f ca="1">INDEX(rngParamTypes,$N593,9)</f>
        <v>-1</v>
      </c>
      <c r="Q593">
        <f ca="1">INDEX(rngParamTypes,$N593,10)</f>
        <v>4</v>
      </c>
      <c r="R593">
        <f ca="1">INDEX(rngParamTypes,$N593,11)</f>
        <v>1</v>
      </c>
      <c r="S593">
        <f ca="1">INDEX(rngParamTypes,$N593,12)</f>
        <v>0</v>
      </c>
      <c r="T593">
        <f ca="1">INDEX(rngParamTypes,$N593,13)</f>
        <v>0</v>
      </c>
      <c r="U593">
        <f ca="1">INDEX(rngParamTypes,$N593,14)</f>
        <v>0</v>
      </c>
      <c r="V593">
        <f ca="1">INDEX(rngParamTypes,$N593,15)</f>
        <v>0</v>
      </c>
      <c r="W593">
        <f ca="1">INDEX(rngParamTypes,$N593,16)</f>
        <v>0</v>
      </c>
      <c r="X593">
        <f ca="1">INDEX(rngParamTypes,$N593,17)</f>
        <v>0</v>
      </c>
      <c r="Y593">
        <f ca="1">INDEX(rngParamTypes,$N593,18)</f>
        <v>0</v>
      </c>
    </row>
    <row r="594" spans="1:25" x14ac:dyDescent="0.2">
      <c r="A594" s="16">
        <v>593</v>
      </c>
      <c r="B594" s="37">
        <v>1</v>
      </c>
      <c r="C594" s="16" t="s">
        <v>1805</v>
      </c>
      <c r="D594" s="16" t="s">
        <v>1805</v>
      </c>
      <c r="E594" s="16">
        <v>2</v>
      </c>
      <c r="F594" s="16" t="s">
        <v>3772</v>
      </c>
      <c r="G594" s="16" t="s">
        <v>343</v>
      </c>
      <c r="H594" s="16" t="s">
        <v>1804</v>
      </c>
      <c r="I594" s="16" t="s">
        <v>344</v>
      </c>
      <c r="J594" s="16">
        <v>0</v>
      </c>
      <c r="K594" s="16">
        <v>1E-3</v>
      </c>
      <c r="L594" s="16">
        <v>3600</v>
      </c>
      <c r="M594" s="16">
        <v>0</v>
      </c>
      <c r="N594">
        <f t="array" aca="1" ref="N594" ca="1">MATCH(TRUE,EXACT(I594,OFFSET(rngParamTypes,0,6,,1)),0)</f>
        <v>141</v>
      </c>
      <c r="O594" t="str">
        <f ca="1">IF((INDEX(rngParamTypes,$N594,7)=I594),"",1)</f>
        <v/>
      </c>
      <c r="P594">
        <f ca="1">INDEX(rngParamTypes,$N594,9)</f>
        <v>0</v>
      </c>
      <c r="Q594">
        <f ca="1">INDEX(rngParamTypes,$N594,10)</f>
        <v>3</v>
      </c>
      <c r="R594">
        <f ca="1">INDEX(rngParamTypes,$N594,11)</f>
        <v>-1</v>
      </c>
      <c r="S594">
        <f ca="1">INDEX(rngParamTypes,$N594,12)</f>
        <v>0</v>
      </c>
      <c r="T594">
        <f ca="1">INDEX(rngParamTypes,$N594,13)</f>
        <v>0</v>
      </c>
      <c r="U594">
        <f ca="1">INDEX(rngParamTypes,$N594,14)</f>
        <v>0</v>
      </c>
      <c r="V594">
        <f ca="1">INDEX(rngParamTypes,$N594,15)</f>
        <v>0</v>
      </c>
      <c r="W594">
        <f ca="1">INDEX(rngParamTypes,$N594,16)</f>
        <v>0</v>
      </c>
      <c r="X594">
        <f ca="1">INDEX(rngParamTypes,$N594,17)</f>
        <v>0</v>
      </c>
      <c r="Y594">
        <f ca="1">INDEX(rngParamTypes,$N594,18)</f>
        <v>0</v>
      </c>
    </row>
    <row r="595" spans="1:25" x14ac:dyDescent="0.2">
      <c r="A595" s="16">
        <v>594</v>
      </c>
      <c r="B595" s="37">
        <v>1</v>
      </c>
      <c r="C595" s="16" t="s">
        <v>1807</v>
      </c>
      <c r="D595" s="16" t="s">
        <v>1807</v>
      </c>
      <c r="E595" s="16">
        <v>2</v>
      </c>
      <c r="F595" s="16" t="s">
        <v>3773</v>
      </c>
      <c r="G595" s="16" t="s">
        <v>3307</v>
      </c>
      <c r="H595" s="16" t="s">
        <v>1806</v>
      </c>
      <c r="I595" s="16" t="s">
        <v>329</v>
      </c>
      <c r="J595" s="16">
        <v>0</v>
      </c>
      <c r="K595" s="16">
        <v>1E-3</v>
      </c>
      <c r="L595" s="16">
        <v>1</v>
      </c>
      <c r="M595" s="16">
        <v>0</v>
      </c>
      <c r="N595">
        <f t="array" aca="1" ref="N595" ca="1">MATCH(TRUE,EXACT(I595,OFFSET(rngParamTypes,0,6,,1)),0)</f>
        <v>136</v>
      </c>
      <c r="O595" t="str">
        <f ca="1">IF((INDEX(rngParamTypes,$N595,7)=I595),"",1)</f>
        <v/>
      </c>
      <c r="P595">
        <f ca="1">INDEX(rngParamTypes,$N595,9)</f>
        <v>-1</v>
      </c>
      <c r="Q595">
        <f ca="1">INDEX(rngParamTypes,$N595,10)</f>
        <v>3</v>
      </c>
      <c r="R595">
        <f ca="1">INDEX(rngParamTypes,$N595,11)</f>
        <v>0</v>
      </c>
      <c r="S595">
        <f ca="1">INDEX(rngParamTypes,$N595,12)</f>
        <v>0</v>
      </c>
      <c r="T595">
        <f ca="1">INDEX(rngParamTypes,$N595,13)</f>
        <v>0</v>
      </c>
      <c r="U595">
        <f ca="1">INDEX(rngParamTypes,$N595,14)</f>
        <v>0</v>
      </c>
      <c r="V595">
        <f ca="1">INDEX(rngParamTypes,$N595,15)</f>
        <v>0</v>
      </c>
      <c r="W595">
        <f ca="1">INDEX(rngParamTypes,$N595,16)</f>
        <v>0</v>
      </c>
      <c r="X595">
        <f ca="1">INDEX(rngParamTypes,$N595,17)</f>
        <v>0</v>
      </c>
      <c r="Y595">
        <f ca="1">INDEX(rngParamTypes,$N595,18)</f>
        <v>0</v>
      </c>
    </row>
    <row r="596" spans="1:25" x14ac:dyDescent="0.2">
      <c r="A596" s="16">
        <v>595</v>
      </c>
      <c r="B596" s="37">
        <v>1</v>
      </c>
      <c r="C596" s="16" t="s">
        <v>1808</v>
      </c>
      <c r="D596" s="16" t="s">
        <v>1808</v>
      </c>
      <c r="E596" s="16"/>
      <c r="F596" s="16" t="s">
        <v>4302</v>
      </c>
      <c r="G596" s="16" t="s">
        <v>767</v>
      </c>
      <c r="H596" s="16" t="s">
        <v>1797</v>
      </c>
      <c r="I596" s="16" t="s">
        <v>303</v>
      </c>
      <c r="J596" s="16">
        <v>0</v>
      </c>
      <c r="K596" s="16">
        <v>1.0000000000000001E-9</v>
      </c>
      <c r="L596" s="16">
        <v>1</v>
      </c>
      <c r="M596" s="16">
        <v>0</v>
      </c>
      <c r="N596">
        <f t="array" aca="1" ref="N596" ca="1">MATCH(TRUE,EXACT(I596,OFFSET(rngParamTypes,0,6,,1)),0)</f>
        <v>125</v>
      </c>
      <c r="O596" t="str">
        <f ca="1">IF((INDEX(rngParamTypes,$N596,7)=I596),"",1)</f>
        <v/>
      </c>
      <c r="P596">
        <f ca="1">INDEX(rngParamTypes,$N596,9)</f>
        <v>0</v>
      </c>
      <c r="Q596">
        <f ca="1">INDEX(rngParamTypes,$N596,10)</f>
        <v>2</v>
      </c>
      <c r="R596">
        <f ca="1">INDEX(rngParamTypes,$N596,11)</f>
        <v>0</v>
      </c>
      <c r="S596">
        <f ca="1">INDEX(rngParamTypes,$N596,12)</f>
        <v>0</v>
      </c>
      <c r="T596">
        <f ca="1">INDEX(rngParamTypes,$N596,13)</f>
        <v>0</v>
      </c>
      <c r="U596">
        <f ca="1">INDEX(rngParamTypes,$N596,14)</f>
        <v>0</v>
      </c>
      <c r="V596">
        <f ca="1">INDEX(rngParamTypes,$N596,15)</f>
        <v>0</v>
      </c>
      <c r="W596">
        <f ca="1">INDEX(rngParamTypes,$N596,16)</f>
        <v>0</v>
      </c>
      <c r="X596">
        <f ca="1">INDEX(rngParamTypes,$N596,17)</f>
        <v>0</v>
      </c>
      <c r="Y596">
        <f ca="1">INDEX(rngParamTypes,$N596,18)</f>
        <v>0</v>
      </c>
    </row>
    <row r="597" spans="1:25" x14ac:dyDescent="0.2">
      <c r="A597" s="16">
        <v>596</v>
      </c>
      <c r="B597" s="37">
        <v>1</v>
      </c>
      <c r="C597" s="16" t="s">
        <v>1810</v>
      </c>
      <c r="D597" s="16" t="s">
        <v>1810</v>
      </c>
      <c r="E597" s="16"/>
      <c r="F597" s="16" t="s">
        <v>3774</v>
      </c>
      <c r="G597" s="16" t="s">
        <v>767</v>
      </c>
      <c r="H597" s="16" t="s">
        <v>1809</v>
      </c>
      <c r="I597" s="16" t="s">
        <v>303</v>
      </c>
      <c r="J597" s="16">
        <v>0</v>
      </c>
      <c r="K597" s="16">
        <v>1E-3</v>
      </c>
      <c r="L597" s="16">
        <v>1</v>
      </c>
      <c r="M597" s="16">
        <v>0</v>
      </c>
      <c r="N597">
        <f t="array" aca="1" ref="N597" ca="1">MATCH(TRUE,EXACT(I597,OFFSET(rngParamTypes,0,6,,1)),0)</f>
        <v>125</v>
      </c>
      <c r="O597" t="str">
        <f ca="1">IF((INDEX(rngParamTypes,$N597,7)=I597),"",1)</f>
        <v/>
      </c>
      <c r="P597">
        <f ca="1">INDEX(rngParamTypes,$N597,9)</f>
        <v>0</v>
      </c>
      <c r="Q597">
        <f ca="1">INDEX(rngParamTypes,$N597,10)</f>
        <v>2</v>
      </c>
      <c r="R597">
        <f ca="1">INDEX(rngParamTypes,$N597,11)</f>
        <v>0</v>
      </c>
      <c r="S597">
        <f ca="1">INDEX(rngParamTypes,$N597,12)</f>
        <v>0</v>
      </c>
      <c r="T597">
        <f ca="1">INDEX(rngParamTypes,$N597,13)</f>
        <v>0</v>
      </c>
      <c r="U597">
        <f ca="1">INDEX(rngParamTypes,$N597,14)</f>
        <v>0</v>
      </c>
      <c r="V597">
        <f ca="1">INDEX(rngParamTypes,$N597,15)</f>
        <v>0</v>
      </c>
      <c r="W597">
        <f ca="1">INDEX(rngParamTypes,$N597,16)</f>
        <v>0</v>
      </c>
      <c r="X597">
        <f ca="1">INDEX(rngParamTypes,$N597,17)</f>
        <v>0</v>
      </c>
      <c r="Y597">
        <f ca="1">INDEX(rngParamTypes,$N597,18)</f>
        <v>0</v>
      </c>
    </row>
    <row r="598" spans="1:25" x14ac:dyDescent="0.2">
      <c r="A598" s="16">
        <v>597</v>
      </c>
      <c r="B598" s="37">
        <v>1</v>
      </c>
      <c r="C598" s="16" t="s">
        <v>1812</v>
      </c>
      <c r="D598" s="16" t="s">
        <v>1812</v>
      </c>
      <c r="E598" s="16"/>
      <c r="F598" s="16" t="s">
        <v>3775</v>
      </c>
      <c r="G598" s="16" t="s">
        <v>659</v>
      </c>
      <c r="H598" s="16" t="s">
        <v>1811</v>
      </c>
      <c r="I598" s="16" t="s">
        <v>131</v>
      </c>
      <c r="J598" s="16">
        <v>0</v>
      </c>
      <c r="K598" s="16">
        <v>1E-3</v>
      </c>
      <c r="L598" s="16">
        <v>1</v>
      </c>
      <c r="M598" s="16">
        <v>0</v>
      </c>
      <c r="N598">
        <f t="array" aca="1" ref="N598" ca="1">MATCH(TRUE,EXACT(I598,OFFSET(rngParamTypes,0,6,,1)),0)</f>
        <v>42</v>
      </c>
      <c r="O598" t="str">
        <f ca="1">IF((INDEX(rngParamTypes,$N598,7)=I598),"",1)</f>
        <v/>
      </c>
      <c r="P598">
        <f ca="1">INDEX(rngParamTypes,$N598,9)</f>
        <v>0</v>
      </c>
      <c r="Q598">
        <f ca="1">INDEX(rngParamTypes,$N598,10)</f>
        <v>0</v>
      </c>
      <c r="R598">
        <f ca="1">INDEX(rngParamTypes,$N598,11)</f>
        <v>0</v>
      </c>
      <c r="S598">
        <f ca="1">INDEX(rngParamTypes,$N598,12)</f>
        <v>0</v>
      </c>
      <c r="T598">
        <f ca="1">INDEX(rngParamTypes,$N598,13)</f>
        <v>0</v>
      </c>
      <c r="U598">
        <f ca="1">INDEX(rngParamTypes,$N598,14)</f>
        <v>0</v>
      </c>
      <c r="V598">
        <f ca="1">INDEX(rngParamTypes,$N598,15)</f>
        <v>0</v>
      </c>
      <c r="W598">
        <f ca="1">INDEX(rngParamTypes,$N598,16)</f>
        <v>0</v>
      </c>
      <c r="X598">
        <f ca="1">INDEX(rngParamTypes,$N598,17)</f>
        <v>0</v>
      </c>
      <c r="Y598">
        <f ca="1">INDEX(rngParamTypes,$N598,18)</f>
        <v>0</v>
      </c>
    </row>
    <row r="599" spans="1:25" x14ac:dyDescent="0.2">
      <c r="A599" s="16">
        <v>598</v>
      </c>
      <c r="B599" s="37">
        <v>1</v>
      </c>
      <c r="C599" s="16" t="s">
        <v>1814</v>
      </c>
      <c r="D599" s="16" t="s">
        <v>1814</v>
      </c>
      <c r="E599" s="16">
        <v>2</v>
      </c>
      <c r="F599" s="16" t="s">
        <v>3776</v>
      </c>
      <c r="G599" s="16" t="s">
        <v>343</v>
      </c>
      <c r="H599" s="16" t="s">
        <v>1813</v>
      </c>
      <c r="I599" s="16" t="s">
        <v>344</v>
      </c>
      <c r="J599" s="16">
        <v>0</v>
      </c>
      <c r="K599" s="16">
        <v>1E-3</v>
      </c>
      <c r="L599" s="16">
        <v>60</v>
      </c>
      <c r="M599" s="16">
        <v>0</v>
      </c>
      <c r="N599">
        <f t="array" aca="1" ref="N599" ca="1">MATCH(TRUE,EXACT(I599,OFFSET(rngParamTypes,0,6,,1)),0)</f>
        <v>141</v>
      </c>
      <c r="O599" t="str">
        <f ca="1">IF((INDEX(rngParamTypes,$N599,7)=I599),"",1)</f>
        <v/>
      </c>
      <c r="P599">
        <f ca="1">INDEX(rngParamTypes,$N599,9)</f>
        <v>0</v>
      </c>
      <c r="Q599">
        <f ca="1">INDEX(rngParamTypes,$N599,10)</f>
        <v>3</v>
      </c>
      <c r="R599">
        <f ca="1">INDEX(rngParamTypes,$N599,11)</f>
        <v>-1</v>
      </c>
      <c r="S599">
        <f ca="1">INDEX(rngParamTypes,$N599,12)</f>
        <v>0</v>
      </c>
      <c r="T599">
        <f ca="1">INDEX(rngParamTypes,$N599,13)</f>
        <v>0</v>
      </c>
      <c r="U599">
        <f ca="1">INDEX(rngParamTypes,$N599,14)</f>
        <v>0</v>
      </c>
      <c r="V599">
        <f ca="1">INDEX(rngParamTypes,$N599,15)</f>
        <v>0</v>
      </c>
      <c r="W599">
        <f ca="1">INDEX(rngParamTypes,$N599,16)</f>
        <v>0</v>
      </c>
      <c r="X599">
        <f ca="1">INDEX(rngParamTypes,$N599,17)</f>
        <v>0</v>
      </c>
      <c r="Y599">
        <f ca="1">INDEX(rngParamTypes,$N599,18)</f>
        <v>0</v>
      </c>
    </row>
    <row r="600" spans="1:25" x14ac:dyDescent="0.2">
      <c r="A600" s="16">
        <v>599</v>
      </c>
      <c r="B600" s="37">
        <v>1</v>
      </c>
      <c r="C600" s="16" t="s">
        <v>1816</v>
      </c>
      <c r="D600" s="16" t="s">
        <v>1816</v>
      </c>
      <c r="E600" s="16"/>
      <c r="F600" s="16" t="s">
        <v>3777</v>
      </c>
      <c r="G600" s="16" t="s">
        <v>331</v>
      </c>
      <c r="H600" s="16" t="s">
        <v>1815</v>
      </c>
      <c r="I600" s="16" t="s">
        <v>332</v>
      </c>
      <c r="J600" s="16">
        <v>0</v>
      </c>
      <c r="K600" s="16">
        <v>1E-3</v>
      </c>
      <c r="L600" s="16">
        <v>1</v>
      </c>
      <c r="M600" s="16">
        <v>0</v>
      </c>
      <c r="N600">
        <f t="array" aca="1" ref="N600" ca="1">MATCH(TRUE,EXACT(I600,OFFSET(rngParamTypes,0,6,,1)),0)</f>
        <v>138</v>
      </c>
      <c r="O600" t="str">
        <f ca="1">IF((INDEX(rngParamTypes,$N600,7)=I600),"",1)</f>
        <v/>
      </c>
      <c r="P600">
        <f ca="1">INDEX(rngParamTypes,$N600,9)</f>
        <v>0</v>
      </c>
      <c r="Q600">
        <f ca="1">INDEX(rngParamTypes,$N600,10)</f>
        <v>3</v>
      </c>
      <c r="R600">
        <f ca="1">INDEX(rngParamTypes,$N600,11)</f>
        <v>0</v>
      </c>
      <c r="S600">
        <f ca="1">INDEX(rngParamTypes,$N600,12)</f>
        <v>0</v>
      </c>
      <c r="T600">
        <f ca="1">INDEX(rngParamTypes,$N600,13)</f>
        <v>0</v>
      </c>
      <c r="U600">
        <f ca="1">INDEX(rngParamTypes,$N600,14)</f>
        <v>-1</v>
      </c>
      <c r="V600">
        <f ca="1">INDEX(rngParamTypes,$N600,15)</f>
        <v>0</v>
      </c>
      <c r="W600">
        <f ca="1">INDEX(rngParamTypes,$N600,16)</f>
        <v>0</v>
      </c>
      <c r="X600">
        <f ca="1">INDEX(rngParamTypes,$N600,17)</f>
        <v>0</v>
      </c>
      <c r="Y600">
        <f ca="1">INDEX(rngParamTypes,$N600,18)</f>
        <v>0</v>
      </c>
    </row>
    <row r="601" spans="1:25" x14ac:dyDescent="0.2">
      <c r="A601" s="16">
        <v>600</v>
      </c>
      <c r="B601" s="37">
        <v>1</v>
      </c>
      <c r="C601" s="16" t="s">
        <v>1817</v>
      </c>
      <c r="D601" s="16" t="s">
        <v>1817</v>
      </c>
      <c r="E601" s="16"/>
      <c r="F601" s="16" t="s">
        <v>4303</v>
      </c>
      <c r="G601" s="16" t="s">
        <v>331</v>
      </c>
      <c r="H601" s="16" t="s">
        <v>1815</v>
      </c>
      <c r="I601" s="16" t="s">
        <v>332</v>
      </c>
      <c r="J601" s="16">
        <v>0</v>
      </c>
      <c r="K601" s="16">
        <v>1</v>
      </c>
      <c r="L601" s="16">
        <v>1</v>
      </c>
      <c r="M601" s="16">
        <v>0</v>
      </c>
      <c r="N601">
        <f t="array" aca="1" ref="N601" ca="1">MATCH(TRUE,EXACT(I601,OFFSET(rngParamTypes,0,6,,1)),0)</f>
        <v>138</v>
      </c>
      <c r="O601" t="str">
        <f ca="1">IF((INDEX(rngParamTypes,$N601,7)=I601),"",1)</f>
        <v/>
      </c>
      <c r="P601">
        <f ca="1">INDEX(rngParamTypes,$N601,9)</f>
        <v>0</v>
      </c>
      <c r="Q601">
        <f ca="1">INDEX(rngParamTypes,$N601,10)</f>
        <v>3</v>
      </c>
      <c r="R601">
        <f ca="1">INDEX(rngParamTypes,$N601,11)</f>
        <v>0</v>
      </c>
      <c r="S601">
        <f ca="1">INDEX(rngParamTypes,$N601,12)</f>
        <v>0</v>
      </c>
      <c r="T601">
        <f ca="1">INDEX(rngParamTypes,$N601,13)</f>
        <v>0</v>
      </c>
      <c r="U601">
        <f ca="1">INDEX(rngParamTypes,$N601,14)</f>
        <v>-1</v>
      </c>
      <c r="V601">
        <f ca="1">INDEX(rngParamTypes,$N601,15)</f>
        <v>0</v>
      </c>
      <c r="W601">
        <f ca="1">INDEX(rngParamTypes,$N601,16)</f>
        <v>0</v>
      </c>
      <c r="X601">
        <f ca="1">INDEX(rngParamTypes,$N601,17)</f>
        <v>0</v>
      </c>
      <c r="Y601">
        <f ca="1">INDEX(rngParamTypes,$N601,18)</f>
        <v>0</v>
      </c>
    </row>
    <row r="602" spans="1:25" x14ac:dyDescent="0.2">
      <c r="A602" s="16">
        <v>601</v>
      </c>
      <c r="B602" s="37">
        <v>1</v>
      </c>
      <c r="C602" s="16" t="s">
        <v>1819</v>
      </c>
      <c r="D602" s="16" t="s">
        <v>1819</v>
      </c>
      <c r="E602" s="16"/>
      <c r="F602" s="16" t="s">
        <v>3778</v>
      </c>
      <c r="G602" s="16" t="s">
        <v>331</v>
      </c>
      <c r="H602" s="16" t="s">
        <v>1818</v>
      </c>
      <c r="I602" s="16" t="s">
        <v>332</v>
      </c>
      <c r="J602" s="16">
        <v>0</v>
      </c>
      <c r="K602" s="16">
        <v>9.9999999999999995E-7</v>
      </c>
      <c r="L602" s="16">
        <v>1</v>
      </c>
      <c r="M602" s="16">
        <v>0</v>
      </c>
      <c r="N602">
        <f t="array" aca="1" ref="N602" ca="1">MATCH(TRUE,EXACT(I602,OFFSET(rngParamTypes,0,6,,1)),0)</f>
        <v>138</v>
      </c>
      <c r="O602" t="str">
        <f ca="1">IF((INDEX(rngParamTypes,$N602,7)=I602),"",1)</f>
        <v/>
      </c>
      <c r="P602">
        <f ca="1">INDEX(rngParamTypes,$N602,9)</f>
        <v>0</v>
      </c>
      <c r="Q602">
        <f ca="1">INDEX(rngParamTypes,$N602,10)</f>
        <v>3</v>
      </c>
      <c r="R602">
        <f ca="1">INDEX(rngParamTypes,$N602,11)</f>
        <v>0</v>
      </c>
      <c r="S602">
        <f ca="1">INDEX(rngParamTypes,$N602,12)</f>
        <v>0</v>
      </c>
      <c r="T602">
        <f ca="1">INDEX(rngParamTypes,$N602,13)</f>
        <v>0</v>
      </c>
      <c r="U602">
        <f ca="1">INDEX(rngParamTypes,$N602,14)</f>
        <v>-1</v>
      </c>
      <c r="V602">
        <f ca="1">INDEX(rngParamTypes,$N602,15)</f>
        <v>0</v>
      </c>
      <c r="W602">
        <f ca="1">INDEX(rngParamTypes,$N602,16)</f>
        <v>0</v>
      </c>
      <c r="X602">
        <f ca="1">INDEX(rngParamTypes,$N602,17)</f>
        <v>0</v>
      </c>
      <c r="Y602">
        <f ca="1">INDEX(rngParamTypes,$N602,18)</f>
        <v>0</v>
      </c>
    </row>
    <row r="603" spans="1:25" x14ac:dyDescent="0.2">
      <c r="A603" s="16">
        <v>602</v>
      </c>
      <c r="B603" s="37">
        <v>1</v>
      </c>
      <c r="C603" s="16" t="s">
        <v>1820</v>
      </c>
      <c r="D603" s="16" t="s">
        <v>1820</v>
      </c>
      <c r="E603" s="16"/>
      <c r="F603" s="16" t="s">
        <v>4304</v>
      </c>
      <c r="G603" s="16" t="s">
        <v>331</v>
      </c>
      <c r="H603" s="16" t="s">
        <v>1818</v>
      </c>
      <c r="I603" s="16" t="s">
        <v>332</v>
      </c>
      <c r="J603" s="16">
        <v>0</v>
      </c>
      <c r="K603" s="16">
        <v>1E-3</v>
      </c>
      <c r="L603" s="16">
        <v>1</v>
      </c>
      <c r="M603" s="16">
        <v>0</v>
      </c>
      <c r="N603">
        <f t="array" aca="1" ref="N603" ca="1">MATCH(TRUE,EXACT(I603,OFFSET(rngParamTypes,0,6,,1)),0)</f>
        <v>138</v>
      </c>
      <c r="O603" t="str">
        <f ca="1">IF((INDEX(rngParamTypes,$N603,7)=I603),"",1)</f>
        <v/>
      </c>
      <c r="P603">
        <f ca="1">INDEX(rngParamTypes,$N603,9)</f>
        <v>0</v>
      </c>
      <c r="Q603">
        <f ca="1">INDEX(rngParamTypes,$N603,10)</f>
        <v>3</v>
      </c>
      <c r="R603">
        <f ca="1">INDEX(rngParamTypes,$N603,11)</f>
        <v>0</v>
      </c>
      <c r="S603">
        <f ca="1">INDEX(rngParamTypes,$N603,12)</f>
        <v>0</v>
      </c>
      <c r="T603">
        <f ca="1">INDEX(rngParamTypes,$N603,13)</f>
        <v>0</v>
      </c>
      <c r="U603">
        <f ca="1">INDEX(rngParamTypes,$N603,14)</f>
        <v>-1</v>
      </c>
      <c r="V603">
        <f ca="1">INDEX(rngParamTypes,$N603,15)</f>
        <v>0</v>
      </c>
      <c r="W603">
        <f ca="1">INDEX(rngParamTypes,$N603,16)</f>
        <v>0</v>
      </c>
      <c r="X603">
        <f ca="1">INDEX(rngParamTypes,$N603,17)</f>
        <v>0</v>
      </c>
      <c r="Y603">
        <f ca="1">INDEX(rngParamTypes,$N603,18)</f>
        <v>0</v>
      </c>
    </row>
    <row r="604" spans="1:25" x14ac:dyDescent="0.2">
      <c r="A604" s="16">
        <v>603</v>
      </c>
      <c r="B604" s="37">
        <v>1</v>
      </c>
      <c r="C604" s="16" t="s">
        <v>1822</v>
      </c>
      <c r="D604" s="16" t="s">
        <v>1822</v>
      </c>
      <c r="E604" s="16">
        <v>2</v>
      </c>
      <c r="F604" s="16" t="s">
        <v>3779</v>
      </c>
      <c r="G604" s="16" t="s">
        <v>343</v>
      </c>
      <c r="H604" s="16" t="s">
        <v>1821</v>
      </c>
      <c r="I604" s="16" t="s">
        <v>344</v>
      </c>
      <c r="J604" s="16">
        <v>0</v>
      </c>
      <c r="K604" s="16">
        <v>1E-3</v>
      </c>
      <c r="L604" s="16">
        <v>1</v>
      </c>
      <c r="M604" s="16">
        <v>0</v>
      </c>
      <c r="N604">
        <f t="array" aca="1" ref="N604" ca="1">MATCH(TRUE,EXACT(I604,OFFSET(rngParamTypes,0,6,,1)),0)</f>
        <v>141</v>
      </c>
      <c r="O604" t="str">
        <f ca="1">IF((INDEX(rngParamTypes,$N604,7)=I604),"",1)</f>
        <v/>
      </c>
      <c r="P604">
        <f ca="1">INDEX(rngParamTypes,$N604,9)</f>
        <v>0</v>
      </c>
      <c r="Q604">
        <f ca="1">INDEX(rngParamTypes,$N604,10)</f>
        <v>3</v>
      </c>
      <c r="R604">
        <f ca="1">INDEX(rngParamTypes,$N604,11)</f>
        <v>-1</v>
      </c>
      <c r="S604">
        <f ca="1">INDEX(rngParamTypes,$N604,12)</f>
        <v>0</v>
      </c>
      <c r="T604">
        <f ca="1">INDEX(rngParamTypes,$N604,13)</f>
        <v>0</v>
      </c>
      <c r="U604">
        <f ca="1">INDEX(rngParamTypes,$N604,14)</f>
        <v>0</v>
      </c>
      <c r="V604">
        <f ca="1">INDEX(rngParamTypes,$N604,15)</f>
        <v>0</v>
      </c>
      <c r="W604">
        <f ca="1">INDEX(rngParamTypes,$N604,16)</f>
        <v>0</v>
      </c>
      <c r="X604">
        <f ca="1">INDEX(rngParamTypes,$N604,17)</f>
        <v>0</v>
      </c>
      <c r="Y604">
        <f ca="1">INDEX(rngParamTypes,$N604,18)</f>
        <v>0</v>
      </c>
    </row>
    <row r="605" spans="1:25" x14ac:dyDescent="0.2">
      <c r="A605" s="16">
        <v>604</v>
      </c>
      <c r="B605" s="37">
        <v>1</v>
      </c>
      <c r="C605" s="16" t="s">
        <v>1824</v>
      </c>
      <c r="D605" s="16" t="s">
        <v>1824</v>
      </c>
      <c r="E605" s="16"/>
      <c r="F605" s="16" t="s">
        <v>3780</v>
      </c>
      <c r="G605" s="16" t="s">
        <v>346</v>
      </c>
      <c r="H605" s="16" t="s">
        <v>1823</v>
      </c>
      <c r="I605" s="16" t="s">
        <v>347</v>
      </c>
      <c r="J605" s="16">
        <v>0</v>
      </c>
      <c r="K605" s="16">
        <v>1E-3</v>
      </c>
      <c r="L605" s="16">
        <v>1</v>
      </c>
      <c r="M605" s="16">
        <v>0</v>
      </c>
      <c r="N605">
        <f t="array" aca="1" ref="N605" ca="1">MATCH(TRUE,EXACT(I605,OFFSET(rngParamTypes,0,6,,1)),0)</f>
        <v>142</v>
      </c>
      <c r="O605" t="str">
        <f ca="1">IF((INDEX(rngParamTypes,$N605,7)=I605),"",1)</f>
        <v/>
      </c>
      <c r="P605">
        <f ca="1">INDEX(rngParamTypes,$N605,9)</f>
        <v>0</v>
      </c>
      <c r="Q605">
        <f ca="1">INDEX(rngParamTypes,$N605,10)</f>
        <v>3</v>
      </c>
      <c r="R605">
        <f ca="1">INDEX(rngParamTypes,$N605,11)</f>
        <v>-2</v>
      </c>
      <c r="S605">
        <f ca="1">INDEX(rngParamTypes,$N605,12)</f>
        <v>0</v>
      </c>
      <c r="T605">
        <f ca="1">INDEX(rngParamTypes,$N605,13)</f>
        <v>0</v>
      </c>
      <c r="U605">
        <f ca="1">INDEX(rngParamTypes,$N605,14)</f>
        <v>0</v>
      </c>
      <c r="V605">
        <f ca="1">INDEX(rngParamTypes,$N605,15)</f>
        <v>0</v>
      </c>
      <c r="W605">
        <f ca="1">INDEX(rngParamTypes,$N605,16)</f>
        <v>0</v>
      </c>
      <c r="X605">
        <f ca="1">INDEX(rngParamTypes,$N605,17)</f>
        <v>0</v>
      </c>
      <c r="Y605">
        <f ca="1">INDEX(rngParamTypes,$N605,18)</f>
        <v>0</v>
      </c>
    </row>
    <row r="606" spans="1:25" x14ac:dyDescent="0.2">
      <c r="A606" s="16">
        <v>605</v>
      </c>
      <c r="B606" s="37">
        <v>1</v>
      </c>
      <c r="C606" s="16" t="s">
        <v>1826</v>
      </c>
      <c r="D606" s="16" t="s">
        <v>1826</v>
      </c>
      <c r="E606" s="16">
        <v>2</v>
      </c>
      <c r="F606" s="16" t="s">
        <v>3781</v>
      </c>
      <c r="G606" s="16" t="s">
        <v>3307</v>
      </c>
      <c r="H606" s="16" t="s">
        <v>1825</v>
      </c>
      <c r="I606" s="16" t="s">
        <v>329</v>
      </c>
      <c r="J606" s="16">
        <v>0</v>
      </c>
      <c r="K606" s="16">
        <v>9.9999999999999995E-7</v>
      </c>
      <c r="L606" s="16">
        <v>1</v>
      </c>
      <c r="M606" s="16">
        <v>0</v>
      </c>
      <c r="N606">
        <f t="array" aca="1" ref="N606" ca="1">MATCH(TRUE,EXACT(I606,OFFSET(rngParamTypes,0,6,,1)),0)</f>
        <v>136</v>
      </c>
      <c r="O606" t="str">
        <f ca="1">IF((INDEX(rngParamTypes,$N606,7)=I606),"",1)</f>
        <v/>
      </c>
      <c r="P606">
        <f ca="1">INDEX(rngParamTypes,$N606,9)</f>
        <v>-1</v>
      </c>
      <c r="Q606">
        <f ca="1">INDEX(rngParamTypes,$N606,10)</f>
        <v>3</v>
      </c>
      <c r="R606">
        <f ca="1">INDEX(rngParamTypes,$N606,11)</f>
        <v>0</v>
      </c>
      <c r="S606">
        <f ca="1">INDEX(rngParamTypes,$N606,12)</f>
        <v>0</v>
      </c>
      <c r="T606">
        <f ca="1">INDEX(rngParamTypes,$N606,13)</f>
        <v>0</v>
      </c>
      <c r="U606">
        <f ca="1">INDEX(rngParamTypes,$N606,14)</f>
        <v>0</v>
      </c>
      <c r="V606">
        <f ca="1">INDEX(rngParamTypes,$N606,15)</f>
        <v>0</v>
      </c>
      <c r="W606">
        <f ca="1">INDEX(rngParamTypes,$N606,16)</f>
        <v>0</v>
      </c>
      <c r="X606">
        <f ca="1">INDEX(rngParamTypes,$N606,17)</f>
        <v>0</v>
      </c>
      <c r="Y606">
        <f ca="1">INDEX(rngParamTypes,$N606,18)</f>
        <v>0</v>
      </c>
    </row>
    <row r="607" spans="1:25" x14ac:dyDescent="0.2">
      <c r="A607" s="16">
        <v>606</v>
      </c>
      <c r="B607" s="37">
        <v>1</v>
      </c>
      <c r="C607" s="16" t="s">
        <v>1828</v>
      </c>
      <c r="D607" s="16" t="s">
        <v>1828</v>
      </c>
      <c r="E607" s="16">
        <v>2</v>
      </c>
      <c r="F607" s="16" t="s">
        <v>3782</v>
      </c>
      <c r="G607" s="16" t="s">
        <v>3307</v>
      </c>
      <c r="H607" s="16" t="s">
        <v>1827</v>
      </c>
      <c r="I607" s="16" t="s">
        <v>329</v>
      </c>
      <c r="J607" s="16">
        <v>0</v>
      </c>
      <c r="K607" s="16">
        <v>1E-3</v>
      </c>
      <c r="L607" s="16">
        <v>1016.047</v>
      </c>
      <c r="M607" s="16">
        <v>0</v>
      </c>
      <c r="N607">
        <f t="array" aca="1" ref="N607" ca="1">MATCH(TRUE,EXACT(I607,OFFSET(rngParamTypes,0,6,,1)),0)</f>
        <v>136</v>
      </c>
      <c r="O607" t="str">
        <f ca="1">IF((INDEX(rngParamTypes,$N607,7)=I607),"",1)</f>
        <v/>
      </c>
      <c r="P607">
        <f ca="1">INDEX(rngParamTypes,$N607,9)</f>
        <v>-1</v>
      </c>
      <c r="Q607">
        <f ca="1">INDEX(rngParamTypes,$N607,10)</f>
        <v>3</v>
      </c>
      <c r="R607">
        <f ca="1">INDEX(rngParamTypes,$N607,11)</f>
        <v>0</v>
      </c>
      <c r="S607">
        <f ca="1">INDEX(rngParamTypes,$N607,12)</f>
        <v>0</v>
      </c>
      <c r="T607">
        <f ca="1">INDEX(rngParamTypes,$N607,13)</f>
        <v>0</v>
      </c>
      <c r="U607">
        <f ca="1">INDEX(rngParamTypes,$N607,14)</f>
        <v>0</v>
      </c>
      <c r="V607">
        <f ca="1">INDEX(rngParamTypes,$N607,15)</f>
        <v>0</v>
      </c>
      <c r="W607">
        <f ca="1">INDEX(rngParamTypes,$N607,16)</f>
        <v>0</v>
      </c>
      <c r="X607">
        <f ca="1">INDEX(rngParamTypes,$N607,17)</f>
        <v>0</v>
      </c>
      <c r="Y607">
        <f ca="1">INDEX(rngParamTypes,$N607,18)</f>
        <v>0</v>
      </c>
    </row>
    <row r="608" spans="1:25" x14ac:dyDescent="0.2">
      <c r="A608" s="16">
        <v>607</v>
      </c>
      <c r="B608" s="37">
        <v>1</v>
      </c>
      <c r="C608" s="16" t="s">
        <v>1830</v>
      </c>
      <c r="D608" s="16" t="s">
        <v>1830</v>
      </c>
      <c r="E608" s="16">
        <v>2</v>
      </c>
      <c r="F608" s="16" t="s">
        <v>3783</v>
      </c>
      <c r="G608" s="16" t="s">
        <v>378</v>
      </c>
      <c r="H608" s="16" t="s">
        <v>1829</v>
      </c>
      <c r="I608" s="16" t="s">
        <v>379</v>
      </c>
      <c r="J608" s="16">
        <v>0</v>
      </c>
      <c r="K608" s="16">
        <v>4.4482220000000003</v>
      </c>
      <c r="L608" s="16">
        <v>1</v>
      </c>
      <c r="M608" s="16">
        <v>0</v>
      </c>
      <c r="N608">
        <f t="array" aca="1" ref="N608" ca="1">MATCH(TRUE,EXACT(I608,OFFSET(rngParamTypes,0,6,,1)),0)</f>
        <v>154</v>
      </c>
      <c r="O608" t="str">
        <f ca="1">IF((INDEX(rngParamTypes,$N608,7)=I608),"",1)</f>
        <v/>
      </c>
      <c r="P608">
        <f ca="1">INDEX(rngParamTypes,$N608,9)</f>
        <v>1</v>
      </c>
      <c r="Q608">
        <f ca="1">INDEX(rngParamTypes,$N608,10)</f>
        <v>1</v>
      </c>
      <c r="R608">
        <f ca="1">INDEX(rngParamTypes,$N608,11)</f>
        <v>-2</v>
      </c>
      <c r="S608">
        <f ca="1">INDEX(rngParamTypes,$N608,12)</f>
        <v>0</v>
      </c>
      <c r="T608">
        <f ca="1">INDEX(rngParamTypes,$N608,13)</f>
        <v>0</v>
      </c>
      <c r="U608">
        <f ca="1">INDEX(rngParamTypes,$N608,14)</f>
        <v>0</v>
      </c>
      <c r="V608">
        <f ca="1">INDEX(rngParamTypes,$N608,15)</f>
        <v>0</v>
      </c>
      <c r="W608">
        <f ca="1">INDEX(rngParamTypes,$N608,16)</f>
        <v>0</v>
      </c>
      <c r="X608">
        <f ca="1">INDEX(rngParamTypes,$N608,17)</f>
        <v>0</v>
      </c>
      <c r="Y608">
        <f ca="1">INDEX(rngParamTypes,$N608,18)</f>
        <v>0</v>
      </c>
    </row>
    <row r="609" spans="1:25" x14ac:dyDescent="0.2">
      <c r="A609" s="16">
        <v>608</v>
      </c>
      <c r="B609" s="37">
        <v>1</v>
      </c>
      <c r="C609" s="16" t="s">
        <v>1831</v>
      </c>
      <c r="D609" s="16" t="s">
        <v>1831</v>
      </c>
      <c r="E609" s="16"/>
      <c r="F609" s="16" t="s">
        <v>3784</v>
      </c>
      <c r="G609" s="16" t="s">
        <v>3417</v>
      </c>
      <c r="H609" s="16" t="s">
        <v>1189</v>
      </c>
      <c r="I609" s="16" t="s">
        <v>168</v>
      </c>
      <c r="J609" s="16">
        <v>0</v>
      </c>
      <c r="K609" s="16">
        <v>1.355818</v>
      </c>
      <c r="L609" s="16">
        <v>1</v>
      </c>
      <c r="M609" s="16">
        <v>0</v>
      </c>
      <c r="N609">
        <f t="array" aca="1" ref="N609" ca="1">MATCH(TRUE,EXACT(I609,OFFSET(rngParamTypes,0,6,,1)),0)</f>
        <v>56</v>
      </c>
      <c r="O609" t="str">
        <f ca="1">IF((INDEX(rngParamTypes,$N609,7)=I609),"",1)</f>
        <v/>
      </c>
      <c r="P609">
        <f ca="1">INDEX(rngParamTypes,$N609,9)</f>
        <v>1</v>
      </c>
      <c r="Q609">
        <f ca="1">INDEX(rngParamTypes,$N609,10)</f>
        <v>2</v>
      </c>
      <c r="R609">
        <f ca="1">INDEX(rngParamTypes,$N609,11)</f>
        <v>-2</v>
      </c>
      <c r="S609">
        <f ca="1">INDEX(rngParamTypes,$N609,12)</f>
        <v>0</v>
      </c>
      <c r="T609">
        <f ca="1">INDEX(rngParamTypes,$N609,13)</f>
        <v>0</v>
      </c>
      <c r="U609">
        <f ca="1">INDEX(rngParamTypes,$N609,14)</f>
        <v>0</v>
      </c>
      <c r="V609">
        <f ca="1">INDEX(rngParamTypes,$N609,15)</f>
        <v>0</v>
      </c>
      <c r="W609">
        <f ca="1">INDEX(rngParamTypes,$N609,16)</f>
        <v>0</v>
      </c>
      <c r="X609">
        <f ca="1">INDEX(rngParamTypes,$N609,17)</f>
        <v>0</v>
      </c>
      <c r="Y609">
        <f ca="1">INDEX(rngParamTypes,$N609,18)</f>
        <v>0</v>
      </c>
    </row>
    <row r="610" spans="1:25" x14ac:dyDescent="0.2">
      <c r="A610" s="16">
        <v>609</v>
      </c>
      <c r="B610" s="37">
        <v>1</v>
      </c>
      <c r="C610" s="16" t="s">
        <v>1832</v>
      </c>
      <c r="D610" s="16" t="s">
        <v>1832</v>
      </c>
      <c r="E610" s="16"/>
      <c r="F610" s="16" t="s">
        <v>3785</v>
      </c>
      <c r="G610" s="16" t="s">
        <v>3314</v>
      </c>
      <c r="H610" s="16" t="s">
        <v>1191</v>
      </c>
      <c r="I610" s="16" t="s">
        <v>190</v>
      </c>
      <c r="J610" s="16">
        <v>0</v>
      </c>
      <c r="K610" s="16">
        <v>1.355818</v>
      </c>
      <c r="L610" s="16">
        <v>0.1589873</v>
      </c>
      <c r="M610" s="16">
        <v>0</v>
      </c>
      <c r="N610">
        <f t="array" aca="1" ref="N610" ca="1">MATCH(TRUE,EXACT(I610,OFFSET(rngParamTypes,0,6,,1)),0)</f>
        <v>65</v>
      </c>
      <c r="O610" t="str">
        <f ca="1">IF((INDEX(rngParamTypes,$N610,7)=I610),"",1)</f>
        <v/>
      </c>
      <c r="P610">
        <f ca="1">INDEX(rngParamTypes,$N610,9)</f>
        <v>1</v>
      </c>
      <c r="Q610">
        <f ca="1">INDEX(rngParamTypes,$N610,10)</f>
        <v>-1</v>
      </c>
      <c r="R610">
        <f ca="1">INDEX(rngParamTypes,$N610,11)</f>
        <v>-2</v>
      </c>
      <c r="S610">
        <f ca="1">INDEX(rngParamTypes,$N610,12)</f>
        <v>0</v>
      </c>
      <c r="T610">
        <f ca="1">INDEX(rngParamTypes,$N610,13)</f>
        <v>0</v>
      </c>
      <c r="U610">
        <f ca="1">INDEX(rngParamTypes,$N610,14)</f>
        <v>0</v>
      </c>
      <c r="V610">
        <f ca="1">INDEX(rngParamTypes,$N610,15)</f>
        <v>0</v>
      </c>
      <c r="W610">
        <f ca="1">INDEX(rngParamTypes,$N610,16)</f>
        <v>0</v>
      </c>
      <c r="X610">
        <f ca="1">INDEX(rngParamTypes,$N610,17)</f>
        <v>0</v>
      </c>
      <c r="Y610">
        <f ca="1">INDEX(rngParamTypes,$N610,18)</f>
        <v>0</v>
      </c>
    </row>
    <row r="611" spans="1:25" x14ac:dyDescent="0.2">
      <c r="A611" s="16">
        <v>610</v>
      </c>
      <c r="B611" s="37">
        <v>1</v>
      </c>
      <c r="C611" s="16" t="s">
        <v>1834</v>
      </c>
      <c r="D611" s="16" t="s">
        <v>1834</v>
      </c>
      <c r="E611" s="16"/>
      <c r="F611" s="16" t="s">
        <v>3786</v>
      </c>
      <c r="G611" s="16" t="s">
        <v>1657</v>
      </c>
      <c r="H611" s="16" t="s">
        <v>1833</v>
      </c>
      <c r="I611" s="16" t="s">
        <v>379</v>
      </c>
      <c r="J611" s="16">
        <v>0</v>
      </c>
      <c r="K611" s="16">
        <v>1.355818</v>
      </c>
      <c r="L611" s="16">
        <v>2.5399999999999999E-2</v>
      </c>
      <c r="M611" s="16">
        <v>0</v>
      </c>
      <c r="N611">
        <f t="array" aca="1" ref="N611" ca="1">MATCH(TRUE,EXACT(I611,OFFSET(rngParamTypes,0,6,,1)),0)</f>
        <v>154</v>
      </c>
      <c r="O611" t="str">
        <f ca="1">IF((INDEX(rngParamTypes,$N611,7)=I611),"",1)</f>
        <v/>
      </c>
      <c r="P611">
        <f ca="1">INDEX(rngParamTypes,$N611,9)</f>
        <v>1</v>
      </c>
      <c r="Q611">
        <f ca="1">INDEX(rngParamTypes,$N611,10)</f>
        <v>1</v>
      </c>
      <c r="R611">
        <f ca="1">INDEX(rngParamTypes,$N611,11)</f>
        <v>-2</v>
      </c>
      <c r="S611">
        <f ca="1">INDEX(rngParamTypes,$N611,12)</f>
        <v>0</v>
      </c>
      <c r="T611">
        <f ca="1">INDEX(rngParamTypes,$N611,13)</f>
        <v>0</v>
      </c>
      <c r="U611">
        <f ca="1">INDEX(rngParamTypes,$N611,14)</f>
        <v>0</v>
      </c>
      <c r="V611">
        <f ca="1">INDEX(rngParamTypes,$N611,15)</f>
        <v>0</v>
      </c>
      <c r="W611">
        <f ca="1">INDEX(rngParamTypes,$N611,16)</f>
        <v>0</v>
      </c>
      <c r="X611">
        <f ca="1">INDEX(rngParamTypes,$N611,17)</f>
        <v>0</v>
      </c>
      <c r="Y611">
        <f ca="1">INDEX(rngParamTypes,$N611,18)</f>
        <v>0</v>
      </c>
    </row>
    <row r="612" spans="1:25" x14ac:dyDescent="0.2">
      <c r="A612" s="16">
        <v>611</v>
      </c>
      <c r="B612" s="37">
        <v>1</v>
      </c>
      <c r="C612" s="16" t="s">
        <v>1836</v>
      </c>
      <c r="D612" s="16" t="s">
        <v>1836</v>
      </c>
      <c r="E612" s="16"/>
      <c r="F612" s="16" t="s">
        <v>3787</v>
      </c>
      <c r="G612" s="16" t="s">
        <v>386</v>
      </c>
      <c r="H612" s="16" t="s">
        <v>1835</v>
      </c>
      <c r="I612" s="16" t="s">
        <v>387</v>
      </c>
      <c r="J612" s="16">
        <v>0</v>
      </c>
      <c r="K612" s="16">
        <v>2101.5219999999999</v>
      </c>
      <c r="L612" s="16">
        <v>1</v>
      </c>
      <c r="M612" s="16">
        <v>0</v>
      </c>
      <c r="N612">
        <f t="array" aca="1" ref="N612" ca="1">MATCH(TRUE,EXACT(I612,OFFSET(rngParamTypes,0,6,,1)),0)</f>
        <v>156</v>
      </c>
      <c r="O612" t="str">
        <f ca="1">IF((INDEX(rngParamTypes,$N612,7)=I612),"",1)</f>
        <v/>
      </c>
      <c r="P612">
        <f ca="1">INDEX(rngParamTypes,$N612,9)</f>
        <v>1</v>
      </c>
      <c r="Q612">
        <f ca="1">INDEX(rngParamTypes,$N612,10)</f>
        <v>0</v>
      </c>
      <c r="R612">
        <f ca="1">INDEX(rngParamTypes,$N612,11)</f>
        <v>-2</v>
      </c>
      <c r="S612">
        <f ca="1">INDEX(rngParamTypes,$N612,12)</f>
        <v>0</v>
      </c>
      <c r="T612">
        <f ca="1">INDEX(rngParamTypes,$N612,13)</f>
        <v>0</v>
      </c>
      <c r="U612">
        <f ca="1">INDEX(rngParamTypes,$N612,14)</f>
        <v>0</v>
      </c>
      <c r="V612">
        <f ca="1">INDEX(rngParamTypes,$N612,15)</f>
        <v>0</v>
      </c>
      <c r="W612">
        <f ca="1">INDEX(rngParamTypes,$N612,16)</f>
        <v>0</v>
      </c>
      <c r="X612">
        <f ca="1">INDEX(rngParamTypes,$N612,17)</f>
        <v>0</v>
      </c>
      <c r="Y612">
        <f ca="1">INDEX(rngParamTypes,$N612,18)</f>
        <v>0</v>
      </c>
    </row>
    <row r="613" spans="1:25" x14ac:dyDescent="0.2">
      <c r="A613" s="16">
        <v>612</v>
      </c>
      <c r="B613" s="37">
        <v>1</v>
      </c>
      <c r="C613" s="16" t="s">
        <v>1837</v>
      </c>
      <c r="D613" s="16" t="s">
        <v>1837</v>
      </c>
      <c r="E613" s="16">
        <v>2</v>
      </c>
      <c r="F613" s="16" t="s">
        <v>3788</v>
      </c>
      <c r="G613" s="16" t="s">
        <v>174</v>
      </c>
      <c r="H613" s="16" t="s">
        <v>1195</v>
      </c>
      <c r="I613" s="16" t="s">
        <v>175</v>
      </c>
      <c r="J613" s="16">
        <v>0</v>
      </c>
      <c r="K613" s="16">
        <v>1.355818</v>
      </c>
      <c r="L613" s="16">
        <v>0.45359240000000001</v>
      </c>
      <c r="M613" s="16">
        <v>0</v>
      </c>
      <c r="N613">
        <f t="array" aca="1" ref="N613" ca="1">MATCH(TRUE,EXACT(I613,OFFSET(rngParamTypes,0,6,,1)),0)</f>
        <v>62</v>
      </c>
      <c r="O613" t="str">
        <f ca="1">IF((INDEX(rngParamTypes,$N613,7)=I613),"",1)</f>
        <v/>
      </c>
      <c r="P613">
        <f ca="1">INDEX(rngParamTypes,$N613,9)</f>
        <v>0</v>
      </c>
      <c r="Q613">
        <f ca="1">INDEX(rngParamTypes,$N613,10)</f>
        <v>2</v>
      </c>
      <c r="R613">
        <f ca="1">INDEX(rngParamTypes,$N613,11)</f>
        <v>-2</v>
      </c>
      <c r="S613">
        <f ca="1">INDEX(rngParamTypes,$N613,12)</f>
        <v>0</v>
      </c>
      <c r="T613">
        <f ca="1">INDEX(rngParamTypes,$N613,13)</f>
        <v>0</v>
      </c>
      <c r="U613">
        <f ca="1">INDEX(rngParamTypes,$N613,14)</f>
        <v>0</v>
      </c>
      <c r="V613">
        <f ca="1">INDEX(rngParamTypes,$N613,15)</f>
        <v>0</v>
      </c>
      <c r="W613">
        <f ca="1">INDEX(rngParamTypes,$N613,16)</f>
        <v>0</v>
      </c>
      <c r="X613">
        <f ca="1">INDEX(rngParamTypes,$N613,17)</f>
        <v>0</v>
      </c>
      <c r="Y613">
        <f ca="1">INDEX(rngParamTypes,$N613,18)</f>
        <v>0</v>
      </c>
    </row>
    <row r="614" spans="1:25" x14ac:dyDescent="0.2">
      <c r="A614" s="16">
        <v>613</v>
      </c>
      <c r="B614" s="37">
        <v>1</v>
      </c>
      <c r="C614" s="16" t="s">
        <v>1839</v>
      </c>
      <c r="D614" s="16" t="s">
        <v>1839</v>
      </c>
      <c r="E614" s="16"/>
      <c r="F614" s="16" t="s">
        <v>3789</v>
      </c>
      <c r="G614" s="16" t="s">
        <v>3417</v>
      </c>
      <c r="H614" s="16" t="s">
        <v>1838</v>
      </c>
      <c r="I614" s="16" t="s">
        <v>168</v>
      </c>
      <c r="J614" s="16">
        <v>0</v>
      </c>
      <c r="K614" s="16">
        <v>0.1129848</v>
      </c>
      <c r="L614" s="16">
        <v>1</v>
      </c>
      <c r="M614" s="16">
        <v>0</v>
      </c>
      <c r="N614">
        <f t="array" aca="1" ref="N614" ca="1">MATCH(TRUE,EXACT(I614,OFFSET(rngParamTypes,0,6,,1)),0)</f>
        <v>56</v>
      </c>
      <c r="O614" t="str">
        <f ca="1">IF((INDEX(rngParamTypes,$N614,7)=I614),"",1)</f>
        <v/>
      </c>
      <c r="P614">
        <f ca="1">INDEX(rngParamTypes,$N614,9)</f>
        <v>1</v>
      </c>
      <c r="Q614">
        <f ca="1">INDEX(rngParamTypes,$N614,10)</f>
        <v>2</v>
      </c>
      <c r="R614">
        <f ca="1">INDEX(rngParamTypes,$N614,11)</f>
        <v>-2</v>
      </c>
      <c r="S614">
        <f ca="1">INDEX(rngParamTypes,$N614,12)</f>
        <v>0</v>
      </c>
      <c r="T614">
        <f ca="1">INDEX(rngParamTypes,$N614,13)</f>
        <v>0</v>
      </c>
      <c r="U614">
        <f ca="1">INDEX(rngParamTypes,$N614,14)</f>
        <v>0</v>
      </c>
      <c r="V614">
        <f ca="1">INDEX(rngParamTypes,$N614,15)</f>
        <v>0</v>
      </c>
      <c r="W614">
        <f ca="1">INDEX(rngParamTypes,$N614,16)</f>
        <v>0</v>
      </c>
      <c r="X614">
        <f ca="1">INDEX(rngParamTypes,$N614,17)</f>
        <v>0</v>
      </c>
      <c r="Y614">
        <f ca="1">INDEX(rngParamTypes,$N614,18)</f>
        <v>0</v>
      </c>
    </row>
    <row r="615" spans="1:25" x14ac:dyDescent="0.2">
      <c r="A615" s="16">
        <v>614</v>
      </c>
      <c r="B615" s="37">
        <v>1</v>
      </c>
      <c r="C615" s="16" t="s">
        <v>1841</v>
      </c>
      <c r="D615" s="16" t="s">
        <v>1841</v>
      </c>
      <c r="E615" s="16"/>
      <c r="F615" s="16" t="s">
        <v>3790</v>
      </c>
      <c r="G615" s="16" t="s">
        <v>1657</v>
      </c>
      <c r="H615" s="16" t="s">
        <v>1840</v>
      </c>
      <c r="I615" s="16" t="s">
        <v>379</v>
      </c>
      <c r="J615" s="16">
        <v>0</v>
      </c>
      <c r="K615" s="16">
        <v>4.4482220000000003</v>
      </c>
      <c r="L615" s="16">
        <v>1</v>
      </c>
      <c r="M615" s="16">
        <v>0</v>
      </c>
      <c r="N615">
        <f t="array" aca="1" ref="N615" ca="1">MATCH(TRUE,EXACT(I615,OFFSET(rngParamTypes,0,6,,1)),0)</f>
        <v>154</v>
      </c>
      <c r="O615" t="str">
        <f ca="1">IF((INDEX(rngParamTypes,$N615,7)=I615),"",1)</f>
        <v/>
      </c>
      <c r="P615">
        <f ca="1">INDEX(rngParamTypes,$N615,9)</f>
        <v>1</v>
      </c>
      <c r="Q615">
        <f ca="1">INDEX(rngParamTypes,$N615,10)</f>
        <v>1</v>
      </c>
      <c r="R615">
        <f ca="1">INDEX(rngParamTypes,$N615,11)</f>
        <v>-2</v>
      </c>
      <c r="S615">
        <f ca="1">INDEX(rngParamTypes,$N615,12)</f>
        <v>0</v>
      </c>
      <c r="T615">
        <f ca="1">INDEX(rngParamTypes,$N615,13)</f>
        <v>0</v>
      </c>
      <c r="U615">
        <f ca="1">INDEX(rngParamTypes,$N615,14)</f>
        <v>0</v>
      </c>
      <c r="V615">
        <f ca="1">INDEX(rngParamTypes,$N615,15)</f>
        <v>0</v>
      </c>
      <c r="W615">
        <f ca="1">INDEX(rngParamTypes,$N615,16)</f>
        <v>0</v>
      </c>
      <c r="X615">
        <f ca="1">INDEX(rngParamTypes,$N615,17)</f>
        <v>0</v>
      </c>
      <c r="Y615">
        <f ca="1">INDEX(rngParamTypes,$N615,18)</f>
        <v>0</v>
      </c>
    </row>
    <row r="616" spans="1:25" x14ac:dyDescent="0.2">
      <c r="A616" s="16">
        <v>615</v>
      </c>
      <c r="B616" s="37">
        <v>1</v>
      </c>
      <c r="C616" s="16" t="s">
        <v>1843</v>
      </c>
      <c r="D616" s="16" t="s">
        <v>1843</v>
      </c>
      <c r="E616" s="16"/>
      <c r="F616" s="16" t="s">
        <v>3791</v>
      </c>
      <c r="G616" s="16" t="s">
        <v>382</v>
      </c>
      <c r="H616" s="16" t="s">
        <v>1842</v>
      </c>
      <c r="I616" s="16" t="s">
        <v>383</v>
      </c>
      <c r="J616" s="16">
        <v>0</v>
      </c>
      <c r="K616" s="16">
        <v>2.869815E-3</v>
      </c>
      <c r="L616" s="16">
        <v>1</v>
      </c>
      <c r="M616" s="16">
        <v>0</v>
      </c>
      <c r="N616">
        <f t="array" aca="1" ref="N616" ca="1">MATCH(TRUE,EXACT(I616,OFFSET(rngParamTypes,0,6,,1)),0)</f>
        <v>155</v>
      </c>
      <c r="O616" t="str">
        <f ca="1">IF((INDEX(rngParamTypes,$N616,7)=I616),"",1)</f>
        <v/>
      </c>
      <c r="P616">
        <f ca="1">INDEX(rngParamTypes,$N616,9)</f>
        <v>1</v>
      </c>
      <c r="Q616">
        <f ca="1">INDEX(rngParamTypes,$N616,10)</f>
        <v>3</v>
      </c>
      <c r="R616">
        <f ca="1">INDEX(rngParamTypes,$N616,11)</f>
        <v>-2</v>
      </c>
      <c r="S616">
        <f ca="1">INDEX(rngParamTypes,$N616,12)</f>
        <v>0</v>
      </c>
      <c r="T616">
        <f ca="1">INDEX(rngParamTypes,$N616,13)</f>
        <v>0</v>
      </c>
      <c r="U616">
        <f ca="1">INDEX(rngParamTypes,$N616,14)</f>
        <v>0</v>
      </c>
      <c r="V616">
        <f ca="1">INDEX(rngParamTypes,$N616,15)</f>
        <v>0</v>
      </c>
      <c r="W616">
        <f ca="1">INDEX(rngParamTypes,$N616,16)</f>
        <v>0</v>
      </c>
      <c r="X616">
        <f ca="1">INDEX(rngParamTypes,$N616,17)</f>
        <v>0</v>
      </c>
      <c r="Y616">
        <f ca="1">INDEX(rngParamTypes,$N616,18)</f>
        <v>0</v>
      </c>
    </row>
    <row r="617" spans="1:25" x14ac:dyDescent="0.2">
      <c r="A617" s="16">
        <v>616</v>
      </c>
      <c r="B617" s="37">
        <v>1</v>
      </c>
      <c r="C617" s="16" t="s">
        <v>1845</v>
      </c>
      <c r="D617" s="16" t="s">
        <v>1845</v>
      </c>
      <c r="E617" s="16">
        <v>1</v>
      </c>
      <c r="F617" s="16" t="s">
        <v>3792</v>
      </c>
      <c r="G617" s="16" t="s">
        <v>419</v>
      </c>
      <c r="H617" s="16" t="s">
        <v>1844</v>
      </c>
      <c r="I617" s="16" t="s">
        <v>421</v>
      </c>
      <c r="J617" s="16">
        <v>0</v>
      </c>
      <c r="K617" s="16">
        <v>47.88026</v>
      </c>
      <c r="L617" s="16">
        <v>1</v>
      </c>
      <c r="M617" s="16">
        <v>0</v>
      </c>
      <c r="N617">
        <f t="array" aca="1" ref="N617" ca="1">MATCH(TRUE,EXACT(I617,OFFSET(rngParamTypes,0,6,,1)),0)</f>
        <v>169</v>
      </c>
      <c r="O617" t="str">
        <f ca="1">IF((INDEX(rngParamTypes,$N617,7)=I617),"",1)</f>
        <v/>
      </c>
      <c r="P617">
        <f ca="1">INDEX(rngParamTypes,$N617,9)</f>
        <v>1</v>
      </c>
      <c r="Q617">
        <f ca="1">INDEX(rngParamTypes,$N617,10)</f>
        <v>-1</v>
      </c>
      <c r="R617">
        <f ca="1">INDEX(rngParamTypes,$N617,11)</f>
        <v>-1</v>
      </c>
      <c r="S617">
        <f ca="1">INDEX(rngParamTypes,$N617,12)</f>
        <v>0</v>
      </c>
      <c r="T617">
        <f ca="1">INDEX(rngParamTypes,$N617,13)</f>
        <v>0</v>
      </c>
      <c r="U617">
        <f ca="1">INDEX(rngParamTypes,$N617,14)</f>
        <v>0</v>
      </c>
      <c r="V617">
        <f ca="1">INDEX(rngParamTypes,$N617,15)</f>
        <v>0</v>
      </c>
      <c r="W617">
        <f ca="1">INDEX(rngParamTypes,$N617,16)</f>
        <v>0</v>
      </c>
      <c r="X617">
        <f ca="1">INDEX(rngParamTypes,$N617,17)</f>
        <v>0</v>
      </c>
      <c r="Y617">
        <f ca="1">INDEX(rngParamTypes,$N617,18)</f>
        <v>0</v>
      </c>
    </row>
    <row r="618" spans="1:25" x14ac:dyDescent="0.2">
      <c r="A618" s="16">
        <v>617</v>
      </c>
      <c r="B618" s="37">
        <v>1</v>
      </c>
      <c r="C618" s="16" t="s">
        <v>1847</v>
      </c>
      <c r="D618" s="16" t="s">
        <v>1847</v>
      </c>
      <c r="E618" s="16">
        <v>1</v>
      </c>
      <c r="F618" s="16" t="s">
        <v>3793</v>
      </c>
      <c r="G618" s="16" t="s">
        <v>419</v>
      </c>
      <c r="H618" s="16" t="s">
        <v>1846</v>
      </c>
      <c r="I618" s="16" t="s">
        <v>421</v>
      </c>
      <c r="J618" s="16">
        <v>0</v>
      </c>
      <c r="K618" s="16">
        <v>6894.7569999999996</v>
      </c>
      <c r="L618" s="16">
        <v>1</v>
      </c>
      <c r="M618" s="16">
        <v>0</v>
      </c>
      <c r="N618">
        <f t="array" aca="1" ref="N618" ca="1">MATCH(TRUE,EXACT(I618,OFFSET(rngParamTypes,0,6,,1)),0)</f>
        <v>169</v>
      </c>
      <c r="O618" t="str">
        <f ca="1">IF((INDEX(rngParamTypes,$N618,7)=I618),"",1)</f>
        <v/>
      </c>
      <c r="P618">
        <f ca="1">INDEX(rngParamTypes,$N618,9)</f>
        <v>1</v>
      </c>
      <c r="Q618">
        <f ca="1">INDEX(rngParamTypes,$N618,10)</f>
        <v>-1</v>
      </c>
      <c r="R618">
        <f ca="1">INDEX(rngParamTypes,$N618,11)</f>
        <v>-1</v>
      </c>
      <c r="S618">
        <f ca="1">INDEX(rngParamTypes,$N618,12)</f>
        <v>0</v>
      </c>
      <c r="T618">
        <f ca="1">INDEX(rngParamTypes,$N618,13)</f>
        <v>0</v>
      </c>
      <c r="U618">
        <f ca="1">INDEX(rngParamTypes,$N618,14)</f>
        <v>0</v>
      </c>
      <c r="V618">
        <f ca="1">INDEX(rngParamTypes,$N618,15)</f>
        <v>0</v>
      </c>
      <c r="W618">
        <f ca="1">INDEX(rngParamTypes,$N618,16)</f>
        <v>0</v>
      </c>
      <c r="X618">
        <f ca="1">INDEX(rngParamTypes,$N618,17)</f>
        <v>0</v>
      </c>
      <c r="Y618">
        <f ca="1">INDEX(rngParamTypes,$N618,18)</f>
        <v>0</v>
      </c>
    </row>
    <row r="619" spans="1:25" x14ac:dyDescent="0.2">
      <c r="A619" s="16">
        <v>618</v>
      </c>
      <c r="B619" s="37">
        <v>1</v>
      </c>
      <c r="C619" s="16" t="s">
        <v>1849</v>
      </c>
      <c r="D619" s="16" t="s">
        <v>1849</v>
      </c>
      <c r="E619" s="16"/>
      <c r="F619" s="16" t="s">
        <v>4305</v>
      </c>
      <c r="G619" s="16" t="s">
        <v>385</v>
      </c>
      <c r="H619" s="16" t="s">
        <v>1848</v>
      </c>
      <c r="I619" s="16" t="s">
        <v>387</v>
      </c>
      <c r="J619" s="16">
        <v>0</v>
      </c>
      <c r="K619" s="16">
        <v>4.4482220000000003</v>
      </c>
      <c r="L619" s="16">
        <v>30.48</v>
      </c>
      <c r="M619" s="16">
        <v>0</v>
      </c>
      <c r="N619">
        <f t="array" aca="1" ref="N619" ca="1">MATCH(TRUE,EXACT(I619,OFFSET(rngParamTypes,0,6,,1)),0)</f>
        <v>156</v>
      </c>
      <c r="O619" t="str">
        <f ca="1">IF((INDEX(rngParamTypes,$N619,7)=I619),"",1)</f>
        <v/>
      </c>
      <c r="P619">
        <f ca="1">INDEX(rngParamTypes,$N619,9)</f>
        <v>1</v>
      </c>
      <c r="Q619">
        <f ca="1">INDEX(rngParamTypes,$N619,10)</f>
        <v>0</v>
      </c>
      <c r="R619">
        <f ca="1">INDEX(rngParamTypes,$N619,11)</f>
        <v>-2</v>
      </c>
      <c r="S619">
        <f ca="1">INDEX(rngParamTypes,$N619,12)</f>
        <v>0</v>
      </c>
      <c r="T619">
        <f ca="1">INDEX(rngParamTypes,$N619,13)</f>
        <v>0</v>
      </c>
      <c r="U619">
        <f ca="1">INDEX(rngParamTypes,$N619,14)</f>
        <v>0</v>
      </c>
      <c r="V619">
        <f ca="1">INDEX(rngParamTypes,$N619,15)</f>
        <v>0</v>
      </c>
      <c r="W619">
        <f ca="1">INDEX(rngParamTypes,$N619,16)</f>
        <v>0</v>
      </c>
      <c r="X619">
        <f ca="1">INDEX(rngParamTypes,$N619,17)</f>
        <v>0</v>
      </c>
      <c r="Y619">
        <f ca="1">INDEX(rngParamTypes,$N619,18)</f>
        <v>0</v>
      </c>
    </row>
    <row r="620" spans="1:25" x14ac:dyDescent="0.2">
      <c r="A620" s="16">
        <v>619</v>
      </c>
      <c r="B620" s="37">
        <v>1</v>
      </c>
      <c r="C620" s="16" t="s">
        <v>1851</v>
      </c>
      <c r="D620" s="16" t="s">
        <v>1851</v>
      </c>
      <c r="E620" s="16">
        <v>2</v>
      </c>
      <c r="F620" s="16" t="s">
        <v>4306</v>
      </c>
      <c r="G620" s="16" t="s">
        <v>3270</v>
      </c>
      <c r="H620" s="16" t="s">
        <v>1850</v>
      </c>
      <c r="I620" s="16" t="s">
        <v>416</v>
      </c>
      <c r="J620" s="16">
        <v>0</v>
      </c>
      <c r="K620" s="16">
        <v>0.47880260000000002</v>
      </c>
      <c r="L620" s="16">
        <v>1</v>
      </c>
      <c r="M620" s="16">
        <v>0</v>
      </c>
      <c r="N620">
        <f t="array" aca="1" ref="N620" ca="1">MATCH(TRUE,EXACT(I620,OFFSET(rngParamTypes,0,6,,1)),0)</f>
        <v>167</v>
      </c>
      <c r="O620" t="str">
        <f ca="1">IF((INDEX(rngParamTypes,$N620,7)=I620),"",1)</f>
        <v/>
      </c>
      <c r="P620">
        <f ca="1">INDEX(rngParamTypes,$N620,9)</f>
        <v>1</v>
      </c>
      <c r="Q620">
        <f ca="1">INDEX(rngParamTypes,$N620,10)</f>
        <v>-1</v>
      </c>
      <c r="R620">
        <f ca="1">INDEX(rngParamTypes,$N620,11)</f>
        <v>-2</v>
      </c>
      <c r="S620">
        <f ca="1">INDEX(rngParamTypes,$N620,12)</f>
        <v>0</v>
      </c>
      <c r="T620">
        <f ca="1">INDEX(rngParamTypes,$N620,13)</f>
        <v>0</v>
      </c>
      <c r="U620">
        <f ca="1">INDEX(rngParamTypes,$N620,14)</f>
        <v>0</v>
      </c>
      <c r="V620">
        <f ca="1">INDEX(rngParamTypes,$N620,15)</f>
        <v>0</v>
      </c>
      <c r="W620">
        <f ca="1">INDEX(rngParamTypes,$N620,16)</f>
        <v>0</v>
      </c>
      <c r="X620">
        <f ca="1">INDEX(rngParamTypes,$N620,17)</f>
        <v>0</v>
      </c>
      <c r="Y620">
        <f ca="1">INDEX(rngParamTypes,$N620,18)</f>
        <v>0</v>
      </c>
    </row>
    <row r="621" spans="1:25" x14ac:dyDescent="0.2">
      <c r="A621" s="16">
        <v>620</v>
      </c>
      <c r="B621" s="37">
        <v>1</v>
      </c>
      <c r="C621" s="16" t="s">
        <v>1853</v>
      </c>
      <c r="D621" s="16" t="s">
        <v>1853</v>
      </c>
      <c r="E621" s="16"/>
      <c r="F621" s="16" t="s">
        <v>4307</v>
      </c>
      <c r="G621" s="16" t="s">
        <v>385</v>
      </c>
      <c r="H621" s="16" t="s">
        <v>1852</v>
      </c>
      <c r="I621" s="16" t="s">
        <v>387</v>
      </c>
      <c r="J621" s="16">
        <v>0</v>
      </c>
      <c r="K621" s="16">
        <v>4.4482220000000003</v>
      </c>
      <c r="L621" s="16">
        <v>30</v>
      </c>
      <c r="M621" s="16">
        <v>0</v>
      </c>
      <c r="N621">
        <f t="array" aca="1" ref="N621" ca="1">MATCH(TRUE,EXACT(I621,OFFSET(rngParamTypes,0,6,,1)),0)</f>
        <v>156</v>
      </c>
      <c r="O621" t="str">
        <f ca="1">IF((INDEX(rngParamTypes,$N621,7)=I621),"",1)</f>
        <v/>
      </c>
      <c r="P621">
        <f ca="1">INDEX(rngParamTypes,$N621,9)</f>
        <v>1</v>
      </c>
      <c r="Q621">
        <f ca="1">INDEX(rngParamTypes,$N621,10)</f>
        <v>0</v>
      </c>
      <c r="R621">
        <f ca="1">INDEX(rngParamTypes,$N621,11)</f>
        <v>-2</v>
      </c>
      <c r="S621">
        <f ca="1">INDEX(rngParamTypes,$N621,12)</f>
        <v>0</v>
      </c>
      <c r="T621">
        <f ca="1">INDEX(rngParamTypes,$N621,13)</f>
        <v>0</v>
      </c>
      <c r="U621">
        <f ca="1">INDEX(rngParamTypes,$N621,14)</f>
        <v>0</v>
      </c>
      <c r="V621">
        <f ca="1">INDEX(rngParamTypes,$N621,15)</f>
        <v>0</v>
      </c>
      <c r="W621">
        <f ca="1">INDEX(rngParamTypes,$N621,16)</f>
        <v>0</v>
      </c>
      <c r="X621">
        <f ca="1">INDEX(rngParamTypes,$N621,17)</f>
        <v>0</v>
      </c>
      <c r="Y621">
        <f ca="1">INDEX(rngParamTypes,$N621,18)</f>
        <v>0</v>
      </c>
    </row>
    <row r="622" spans="1:25" x14ac:dyDescent="0.2">
      <c r="A622" s="16">
        <v>621</v>
      </c>
      <c r="B622" s="37">
        <v>1</v>
      </c>
      <c r="C622" s="16" t="s">
        <v>1855</v>
      </c>
      <c r="D622" s="16" t="s">
        <v>1855</v>
      </c>
      <c r="E622" s="16"/>
      <c r="F622" s="16" t="s">
        <v>3794</v>
      </c>
      <c r="G622" s="16" t="s">
        <v>385</v>
      </c>
      <c r="H622" s="16" t="s">
        <v>1854</v>
      </c>
      <c r="I622" s="16" t="s">
        <v>387</v>
      </c>
      <c r="J622" s="16">
        <v>0</v>
      </c>
      <c r="K622" s="16">
        <v>4.4482220000000003</v>
      </c>
      <c r="L622" s="16">
        <v>0.30480000000000002</v>
      </c>
      <c r="M622" s="16">
        <v>0</v>
      </c>
      <c r="N622">
        <f t="array" aca="1" ref="N622" ca="1">MATCH(TRUE,EXACT(I622,OFFSET(rngParamTypes,0,6,,1)),0)</f>
        <v>156</v>
      </c>
      <c r="O622" t="str">
        <f ca="1">IF((INDEX(rngParamTypes,$N622,7)=I622),"",1)</f>
        <v/>
      </c>
      <c r="P622">
        <f ca="1">INDEX(rngParamTypes,$N622,9)</f>
        <v>1</v>
      </c>
      <c r="Q622">
        <f ca="1">INDEX(rngParamTypes,$N622,10)</f>
        <v>0</v>
      </c>
      <c r="R622">
        <f ca="1">INDEX(rngParamTypes,$N622,11)</f>
        <v>-2</v>
      </c>
      <c r="S622">
        <f ca="1">INDEX(rngParamTypes,$N622,12)</f>
        <v>0</v>
      </c>
      <c r="T622">
        <f ca="1">INDEX(rngParamTypes,$N622,13)</f>
        <v>0</v>
      </c>
      <c r="U622">
        <f ca="1">INDEX(rngParamTypes,$N622,14)</f>
        <v>0</v>
      </c>
      <c r="V622">
        <f ca="1">INDEX(rngParamTypes,$N622,15)</f>
        <v>0</v>
      </c>
      <c r="W622">
        <f ca="1">INDEX(rngParamTypes,$N622,16)</f>
        <v>0</v>
      </c>
      <c r="X622">
        <f ca="1">INDEX(rngParamTypes,$N622,17)</f>
        <v>0</v>
      </c>
      <c r="Y622">
        <f ca="1">INDEX(rngParamTypes,$N622,18)</f>
        <v>0</v>
      </c>
    </row>
    <row r="623" spans="1:25" x14ac:dyDescent="0.2">
      <c r="A623" s="16">
        <v>622</v>
      </c>
      <c r="B623" s="37">
        <v>1</v>
      </c>
      <c r="C623" s="16" t="s">
        <v>1857</v>
      </c>
      <c r="D623" s="16" t="s">
        <v>1857</v>
      </c>
      <c r="E623" s="16">
        <v>2</v>
      </c>
      <c r="F623" s="16" t="s">
        <v>3795</v>
      </c>
      <c r="G623" s="16" t="s">
        <v>3270</v>
      </c>
      <c r="H623" s="16" t="s">
        <v>1856</v>
      </c>
      <c r="I623" s="16" t="s">
        <v>416</v>
      </c>
      <c r="J623" s="16">
        <v>0</v>
      </c>
      <c r="K623" s="16">
        <v>47.88026</v>
      </c>
      <c r="L623" s="16">
        <v>1</v>
      </c>
      <c r="M623" s="16">
        <v>0</v>
      </c>
      <c r="N623">
        <f t="array" aca="1" ref="N623" ca="1">MATCH(TRUE,EXACT(I623,OFFSET(rngParamTypes,0,6,,1)),0)</f>
        <v>167</v>
      </c>
      <c r="O623" t="str">
        <f ca="1">IF((INDEX(rngParamTypes,$N623,7)=I623),"",1)</f>
        <v/>
      </c>
      <c r="P623">
        <f ca="1">INDEX(rngParamTypes,$N623,9)</f>
        <v>1</v>
      </c>
      <c r="Q623">
        <f ca="1">INDEX(rngParamTypes,$N623,10)</f>
        <v>-1</v>
      </c>
      <c r="R623">
        <f ca="1">INDEX(rngParamTypes,$N623,11)</f>
        <v>-2</v>
      </c>
      <c r="S623">
        <f ca="1">INDEX(rngParamTypes,$N623,12)</f>
        <v>0</v>
      </c>
      <c r="T623">
        <f ca="1">INDEX(rngParamTypes,$N623,13)</f>
        <v>0</v>
      </c>
      <c r="U623">
        <f ca="1">INDEX(rngParamTypes,$N623,14)</f>
        <v>0</v>
      </c>
      <c r="V623">
        <f ca="1">INDEX(rngParamTypes,$N623,15)</f>
        <v>0</v>
      </c>
      <c r="W623">
        <f ca="1">INDEX(rngParamTypes,$N623,16)</f>
        <v>0</v>
      </c>
      <c r="X623">
        <f ca="1">INDEX(rngParamTypes,$N623,17)</f>
        <v>0</v>
      </c>
      <c r="Y623">
        <f ca="1">INDEX(rngParamTypes,$N623,18)</f>
        <v>0</v>
      </c>
    </row>
    <row r="624" spans="1:25" x14ac:dyDescent="0.2">
      <c r="A624" s="16">
        <v>623</v>
      </c>
      <c r="B624" s="37">
        <v>1</v>
      </c>
      <c r="C624" s="16" t="s">
        <v>1858</v>
      </c>
      <c r="D624" s="16" t="s">
        <v>1858</v>
      </c>
      <c r="E624" s="16">
        <v>2</v>
      </c>
      <c r="F624" s="16" t="s">
        <v>4308</v>
      </c>
      <c r="G624" s="16" t="s">
        <v>3270</v>
      </c>
      <c r="H624" s="16" t="s">
        <v>1850</v>
      </c>
      <c r="I624" s="16" t="s">
        <v>416</v>
      </c>
      <c r="J624" s="16">
        <v>0</v>
      </c>
      <c r="K624" s="16">
        <v>0.47880260000000002</v>
      </c>
      <c r="L624" s="16">
        <v>1</v>
      </c>
      <c r="M624" s="16">
        <v>0</v>
      </c>
      <c r="N624">
        <f t="array" aca="1" ref="N624" ca="1">MATCH(TRUE,EXACT(I624,OFFSET(rngParamTypes,0,6,,1)),0)</f>
        <v>167</v>
      </c>
      <c r="O624" t="str">
        <f ca="1">IF((INDEX(rngParamTypes,$N624,7)=I624),"",1)</f>
        <v/>
      </c>
      <c r="P624">
        <f ca="1">INDEX(rngParamTypes,$N624,9)</f>
        <v>1</v>
      </c>
      <c r="Q624">
        <f ca="1">INDEX(rngParamTypes,$N624,10)</f>
        <v>-1</v>
      </c>
      <c r="R624">
        <f ca="1">INDEX(rngParamTypes,$N624,11)</f>
        <v>-2</v>
      </c>
      <c r="S624">
        <f ca="1">INDEX(rngParamTypes,$N624,12)</f>
        <v>0</v>
      </c>
      <c r="T624">
        <f ca="1">INDEX(rngParamTypes,$N624,13)</f>
        <v>0</v>
      </c>
      <c r="U624">
        <f ca="1">INDEX(rngParamTypes,$N624,14)</f>
        <v>0</v>
      </c>
      <c r="V624">
        <f ca="1">INDEX(rngParamTypes,$N624,15)</f>
        <v>0</v>
      </c>
      <c r="W624">
        <f ca="1">INDEX(rngParamTypes,$N624,16)</f>
        <v>0</v>
      </c>
      <c r="X624">
        <f ca="1">INDEX(rngParamTypes,$N624,17)</f>
        <v>0</v>
      </c>
      <c r="Y624">
        <f ca="1">INDEX(rngParamTypes,$N624,18)</f>
        <v>0</v>
      </c>
    </row>
    <row r="625" spans="1:25" x14ac:dyDescent="0.2">
      <c r="A625" s="16">
        <v>624</v>
      </c>
      <c r="B625" s="37">
        <v>1</v>
      </c>
      <c r="C625" s="16" t="s">
        <v>1860</v>
      </c>
      <c r="D625" s="16" t="s">
        <v>1860</v>
      </c>
      <c r="E625" s="16"/>
      <c r="F625" s="16" t="s">
        <v>3796</v>
      </c>
      <c r="G625" s="16" t="s">
        <v>3273</v>
      </c>
      <c r="H625" s="16" t="s">
        <v>1859</v>
      </c>
      <c r="I625" s="16" t="s">
        <v>391</v>
      </c>
      <c r="J625" s="16">
        <v>0</v>
      </c>
      <c r="K625" s="16">
        <v>4.4482220000000003</v>
      </c>
      <c r="L625" s="16">
        <v>2.8316850000000001E-2</v>
      </c>
      <c r="M625" s="16">
        <v>0</v>
      </c>
      <c r="N625">
        <f t="array" aca="1" ref="N625" ca="1">MATCH(TRUE,EXACT(I625,OFFSET(rngParamTypes,0,6,,1)),0)</f>
        <v>158</v>
      </c>
      <c r="O625" t="str">
        <f ca="1">IF((INDEX(rngParamTypes,$N625,7)=I625),"",1)</f>
        <v/>
      </c>
      <c r="P625">
        <f ca="1">INDEX(rngParamTypes,$N625,9)</f>
        <v>1</v>
      </c>
      <c r="Q625">
        <f ca="1">INDEX(rngParamTypes,$N625,10)</f>
        <v>-2</v>
      </c>
      <c r="R625">
        <f ca="1">INDEX(rngParamTypes,$N625,11)</f>
        <v>-2</v>
      </c>
      <c r="S625">
        <f ca="1">INDEX(rngParamTypes,$N625,12)</f>
        <v>0</v>
      </c>
      <c r="T625">
        <f ca="1">INDEX(rngParamTypes,$N625,13)</f>
        <v>0</v>
      </c>
      <c r="U625">
        <f ca="1">INDEX(rngParamTypes,$N625,14)</f>
        <v>0</v>
      </c>
      <c r="V625">
        <f ca="1">INDEX(rngParamTypes,$N625,15)</f>
        <v>0</v>
      </c>
      <c r="W625">
        <f ca="1">INDEX(rngParamTypes,$N625,16)</f>
        <v>0</v>
      </c>
      <c r="X625">
        <f ca="1">INDEX(rngParamTypes,$N625,17)</f>
        <v>0</v>
      </c>
      <c r="Y625">
        <f ca="1">INDEX(rngParamTypes,$N625,18)</f>
        <v>0</v>
      </c>
    </row>
    <row r="626" spans="1:25" x14ac:dyDescent="0.2">
      <c r="A626" s="16">
        <v>625</v>
      </c>
      <c r="B626" s="37">
        <v>1</v>
      </c>
      <c r="C626" s="16" t="s">
        <v>1862</v>
      </c>
      <c r="D626" s="16" t="s">
        <v>1862</v>
      </c>
      <c r="E626" s="16"/>
      <c r="F626" s="16" t="s">
        <v>3797</v>
      </c>
      <c r="G626" s="16" t="s">
        <v>3273</v>
      </c>
      <c r="H626" s="16" t="s">
        <v>1861</v>
      </c>
      <c r="I626" s="16" t="s">
        <v>391</v>
      </c>
      <c r="J626" s="16">
        <v>0</v>
      </c>
      <c r="K626" s="16">
        <v>4.4482220000000003</v>
      </c>
      <c r="L626" s="16">
        <v>3.7854120000000002E-3</v>
      </c>
      <c r="M626" s="16">
        <v>0</v>
      </c>
      <c r="N626">
        <f t="array" aca="1" ref="N626" ca="1">MATCH(TRUE,EXACT(I626,OFFSET(rngParamTypes,0,6,,1)),0)</f>
        <v>158</v>
      </c>
      <c r="O626" t="str">
        <f ca="1">IF((INDEX(rngParamTypes,$N626,7)=I626),"",1)</f>
        <v/>
      </c>
      <c r="P626">
        <f ca="1">INDEX(rngParamTypes,$N626,9)</f>
        <v>1</v>
      </c>
      <c r="Q626">
        <f ca="1">INDEX(rngParamTypes,$N626,10)</f>
        <v>-2</v>
      </c>
      <c r="R626">
        <f ca="1">INDEX(rngParamTypes,$N626,11)</f>
        <v>-2</v>
      </c>
      <c r="S626">
        <f ca="1">INDEX(rngParamTypes,$N626,12)</f>
        <v>0</v>
      </c>
      <c r="T626">
        <f ca="1">INDEX(rngParamTypes,$N626,13)</f>
        <v>0</v>
      </c>
      <c r="U626">
        <f ca="1">INDEX(rngParamTypes,$N626,14)</f>
        <v>0</v>
      </c>
      <c r="V626">
        <f ca="1">INDEX(rngParamTypes,$N626,15)</f>
        <v>0</v>
      </c>
      <c r="W626">
        <f ca="1">INDEX(rngParamTypes,$N626,16)</f>
        <v>0</v>
      </c>
      <c r="X626">
        <f ca="1">INDEX(rngParamTypes,$N626,17)</f>
        <v>0</v>
      </c>
      <c r="Y626">
        <f ca="1">INDEX(rngParamTypes,$N626,18)</f>
        <v>0</v>
      </c>
    </row>
    <row r="627" spans="1:25" x14ac:dyDescent="0.2">
      <c r="A627" s="16">
        <v>626</v>
      </c>
      <c r="B627" s="37">
        <v>1</v>
      </c>
      <c r="C627" s="16" t="s">
        <v>1864</v>
      </c>
      <c r="D627" s="16" t="s">
        <v>1864</v>
      </c>
      <c r="E627" s="16"/>
      <c r="F627" s="16" t="s">
        <v>3798</v>
      </c>
      <c r="G627" s="16" t="s">
        <v>385</v>
      </c>
      <c r="H627" s="16" t="s">
        <v>1863</v>
      </c>
      <c r="I627" s="16" t="s">
        <v>387</v>
      </c>
      <c r="J627" s="16">
        <v>0</v>
      </c>
      <c r="K627" s="16">
        <v>4.4482220000000003</v>
      </c>
      <c r="L627" s="16">
        <v>2.5399999999999999E-2</v>
      </c>
      <c r="M627" s="16">
        <v>0</v>
      </c>
      <c r="N627">
        <f t="array" aca="1" ref="N627" ca="1">MATCH(TRUE,EXACT(I627,OFFSET(rngParamTypes,0,6,,1)),0)</f>
        <v>156</v>
      </c>
      <c r="O627" t="str">
        <f ca="1">IF((INDEX(rngParamTypes,$N627,7)=I627),"",1)</f>
        <v/>
      </c>
      <c r="P627">
        <f ca="1">INDEX(rngParamTypes,$N627,9)</f>
        <v>1</v>
      </c>
      <c r="Q627">
        <f ca="1">INDEX(rngParamTypes,$N627,10)</f>
        <v>0</v>
      </c>
      <c r="R627">
        <f ca="1">INDEX(rngParamTypes,$N627,11)</f>
        <v>-2</v>
      </c>
      <c r="S627">
        <f ca="1">INDEX(rngParamTypes,$N627,12)</f>
        <v>0</v>
      </c>
      <c r="T627">
        <f ca="1">INDEX(rngParamTypes,$N627,13)</f>
        <v>0</v>
      </c>
      <c r="U627">
        <f ca="1">INDEX(rngParamTypes,$N627,14)</f>
        <v>0</v>
      </c>
      <c r="V627">
        <f ca="1">INDEX(rngParamTypes,$N627,15)</f>
        <v>0</v>
      </c>
      <c r="W627">
        <f ca="1">INDEX(rngParamTypes,$N627,16)</f>
        <v>0</v>
      </c>
      <c r="X627">
        <f ca="1">INDEX(rngParamTypes,$N627,17)</f>
        <v>0</v>
      </c>
      <c r="Y627">
        <f ca="1">INDEX(rngParamTypes,$N627,18)</f>
        <v>0</v>
      </c>
    </row>
    <row r="628" spans="1:25" x14ac:dyDescent="0.2">
      <c r="A628" s="16">
        <v>627</v>
      </c>
      <c r="B628" s="37">
        <v>1</v>
      </c>
      <c r="C628" s="16" t="s">
        <v>1866</v>
      </c>
      <c r="D628" s="16" t="s">
        <v>1866</v>
      </c>
      <c r="E628" s="16">
        <v>2</v>
      </c>
      <c r="F628" s="16" t="s">
        <v>3799</v>
      </c>
      <c r="G628" s="16" t="s">
        <v>3270</v>
      </c>
      <c r="H628" s="16" t="s">
        <v>1865</v>
      </c>
      <c r="I628" s="16" t="s">
        <v>416</v>
      </c>
      <c r="J628" s="16">
        <v>0</v>
      </c>
      <c r="K628" s="16">
        <v>6894.7569999999996</v>
      </c>
      <c r="L628" s="16">
        <v>1</v>
      </c>
      <c r="M628" s="16">
        <v>0</v>
      </c>
      <c r="N628">
        <f t="array" aca="1" ref="N628" ca="1">MATCH(TRUE,EXACT(I628,OFFSET(rngParamTypes,0,6,,1)),0)</f>
        <v>167</v>
      </c>
      <c r="O628" t="str">
        <f ca="1">IF((INDEX(rngParamTypes,$N628,7)=I628),"",1)</f>
        <v/>
      </c>
      <c r="P628">
        <f ca="1">INDEX(rngParamTypes,$N628,9)</f>
        <v>1</v>
      </c>
      <c r="Q628">
        <f ca="1">INDEX(rngParamTypes,$N628,10)</f>
        <v>-1</v>
      </c>
      <c r="R628">
        <f ca="1">INDEX(rngParamTypes,$N628,11)</f>
        <v>-2</v>
      </c>
      <c r="S628">
        <f ca="1">INDEX(rngParamTypes,$N628,12)</f>
        <v>0</v>
      </c>
      <c r="T628">
        <f ca="1">INDEX(rngParamTypes,$N628,13)</f>
        <v>0</v>
      </c>
      <c r="U628">
        <f ca="1">INDEX(rngParamTypes,$N628,14)</f>
        <v>0</v>
      </c>
      <c r="V628">
        <f ca="1">INDEX(rngParamTypes,$N628,15)</f>
        <v>0</v>
      </c>
      <c r="W628">
        <f ca="1">INDEX(rngParamTypes,$N628,16)</f>
        <v>0</v>
      </c>
      <c r="X628">
        <f ca="1">INDEX(rngParamTypes,$N628,17)</f>
        <v>0</v>
      </c>
      <c r="Y628">
        <f ca="1">INDEX(rngParamTypes,$N628,18)</f>
        <v>0</v>
      </c>
    </row>
    <row r="629" spans="1:25" x14ac:dyDescent="0.2">
      <c r="A629" s="16">
        <v>628</v>
      </c>
      <c r="B629" s="37">
        <v>1</v>
      </c>
      <c r="C629" s="16" t="s">
        <v>1868</v>
      </c>
      <c r="D629" s="16" t="s">
        <v>1868</v>
      </c>
      <c r="E629" s="16"/>
      <c r="F629" s="16" t="s">
        <v>3800</v>
      </c>
      <c r="G629" s="16" t="s">
        <v>584</v>
      </c>
      <c r="H629" s="16" t="s">
        <v>1867</v>
      </c>
      <c r="I629" s="16" t="s">
        <v>131</v>
      </c>
      <c r="J629" s="16">
        <v>0</v>
      </c>
      <c r="K629" s="16">
        <v>1</v>
      </c>
      <c r="L629" s="16">
        <v>1</v>
      </c>
      <c r="M629" s="16">
        <v>0</v>
      </c>
      <c r="N629">
        <f t="array" aca="1" ref="N629" ca="1">MATCH(TRUE,EXACT(I629,OFFSET(rngParamTypes,0,6,,1)),0)</f>
        <v>42</v>
      </c>
      <c r="O629" t="str">
        <f ca="1">IF((INDEX(rngParamTypes,$N629,7)=I629),"",1)</f>
        <v/>
      </c>
      <c r="P629">
        <f ca="1">INDEX(rngParamTypes,$N629,9)</f>
        <v>0</v>
      </c>
      <c r="Q629">
        <f ca="1">INDEX(rngParamTypes,$N629,10)</f>
        <v>0</v>
      </c>
      <c r="R629">
        <f ca="1">INDEX(rngParamTypes,$N629,11)</f>
        <v>0</v>
      </c>
      <c r="S629">
        <f ca="1">INDEX(rngParamTypes,$N629,12)</f>
        <v>0</v>
      </c>
      <c r="T629">
        <f ca="1">INDEX(rngParamTypes,$N629,13)</f>
        <v>0</v>
      </c>
      <c r="U629">
        <f ca="1">INDEX(rngParamTypes,$N629,14)</f>
        <v>0</v>
      </c>
      <c r="V629">
        <f ca="1">INDEX(rngParamTypes,$N629,15)</f>
        <v>0</v>
      </c>
      <c r="W629">
        <f ca="1">INDEX(rngParamTypes,$N629,16)</f>
        <v>0</v>
      </c>
      <c r="X629">
        <f ca="1">INDEX(rngParamTypes,$N629,17)</f>
        <v>0</v>
      </c>
      <c r="Y629">
        <f ca="1">INDEX(rngParamTypes,$N629,18)</f>
        <v>0</v>
      </c>
    </row>
    <row r="630" spans="1:25" x14ac:dyDescent="0.2">
      <c r="A630" s="16">
        <v>629</v>
      </c>
      <c r="B630" s="37">
        <v>1</v>
      </c>
      <c r="C630" s="16" t="s">
        <v>1870</v>
      </c>
      <c r="D630" s="16" t="s">
        <v>1870</v>
      </c>
      <c r="E630" s="16">
        <v>2</v>
      </c>
      <c r="F630" s="16" t="s">
        <v>3801</v>
      </c>
      <c r="G630" s="16" t="s">
        <v>220</v>
      </c>
      <c r="H630" s="16" t="s">
        <v>1869</v>
      </c>
      <c r="I630" s="16" t="s">
        <v>221</v>
      </c>
      <c r="J630" s="16">
        <v>0</v>
      </c>
      <c r="K630" s="16">
        <v>0.45359240000000001</v>
      </c>
      <c r="L630" s="16">
        <v>1</v>
      </c>
      <c r="M630" s="16">
        <v>0</v>
      </c>
      <c r="N630">
        <f t="array" aca="1" ref="N630" ca="1">MATCH(TRUE,EXACT(I630,OFFSET(rngParamTypes,0,6,,1)),0)</f>
        <v>87</v>
      </c>
      <c r="O630" t="str">
        <f ca="1">IF((INDEX(rngParamTypes,$N630,7)=I630),"",1)</f>
        <v/>
      </c>
      <c r="P630">
        <f ca="1">INDEX(rngParamTypes,$N630,9)</f>
        <v>1</v>
      </c>
      <c r="Q630">
        <f ca="1">INDEX(rngParamTypes,$N630,10)</f>
        <v>0</v>
      </c>
      <c r="R630">
        <f ca="1">INDEX(rngParamTypes,$N630,11)</f>
        <v>0</v>
      </c>
      <c r="S630">
        <f ca="1">INDEX(rngParamTypes,$N630,12)</f>
        <v>0</v>
      </c>
      <c r="T630">
        <f ca="1">INDEX(rngParamTypes,$N630,13)</f>
        <v>0</v>
      </c>
      <c r="U630">
        <f ca="1">INDEX(rngParamTypes,$N630,14)</f>
        <v>0</v>
      </c>
      <c r="V630">
        <f ca="1">INDEX(rngParamTypes,$N630,15)</f>
        <v>0</v>
      </c>
      <c r="W630">
        <f ca="1">INDEX(rngParamTypes,$N630,16)</f>
        <v>0</v>
      </c>
      <c r="X630">
        <f ca="1">INDEX(rngParamTypes,$N630,17)</f>
        <v>0</v>
      </c>
      <c r="Y630">
        <f ca="1">INDEX(rngParamTypes,$N630,18)</f>
        <v>0</v>
      </c>
    </row>
    <row r="631" spans="1:25" x14ac:dyDescent="0.2">
      <c r="A631" s="16">
        <v>630</v>
      </c>
      <c r="B631" s="37">
        <v>1</v>
      </c>
      <c r="C631" s="16" t="s">
        <v>1872</v>
      </c>
      <c r="D631" s="16" t="s">
        <v>1872</v>
      </c>
      <c r="E631" s="16"/>
      <c r="F631" s="16" t="s">
        <v>3802</v>
      </c>
      <c r="G631" s="16" t="s">
        <v>3803</v>
      </c>
      <c r="H631" s="16" t="s">
        <v>1871</v>
      </c>
      <c r="I631" s="16" t="s">
        <v>229</v>
      </c>
      <c r="J631" s="16">
        <v>0</v>
      </c>
      <c r="K631" s="16">
        <v>0.13825499999999999</v>
      </c>
      <c r="L631" s="16">
        <v>1</v>
      </c>
      <c r="M631" s="16">
        <v>0</v>
      </c>
      <c r="N631">
        <f t="array" aca="1" ref="N631" ca="1">MATCH(TRUE,EXACT(I631,OFFSET(rngParamTypes,0,6,,1)),0)</f>
        <v>89</v>
      </c>
      <c r="O631" t="str">
        <f ca="1">IF((INDEX(rngParamTypes,$N631,7)=I631),"",1)</f>
        <v/>
      </c>
      <c r="P631">
        <f ca="1">INDEX(rngParamTypes,$N631,9)</f>
        <v>1</v>
      </c>
      <c r="Q631">
        <f ca="1">INDEX(rngParamTypes,$N631,10)</f>
        <v>1</v>
      </c>
      <c r="R631">
        <f ca="1">INDEX(rngParamTypes,$N631,11)</f>
        <v>-1</v>
      </c>
      <c r="S631">
        <f ca="1">INDEX(rngParamTypes,$N631,12)</f>
        <v>0</v>
      </c>
      <c r="T631">
        <f ca="1">INDEX(rngParamTypes,$N631,13)</f>
        <v>0</v>
      </c>
      <c r="U631">
        <f ca="1">INDEX(rngParamTypes,$N631,14)</f>
        <v>0</v>
      </c>
      <c r="V631">
        <f ca="1">INDEX(rngParamTypes,$N631,15)</f>
        <v>0</v>
      </c>
      <c r="W631">
        <f ca="1">INDEX(rngParamTypes,$N631,16)</f>
        <v>0</v>
      </c>
      <c r="X631">
        <f ca="1">INDEX(rngParamTypes,$N631,17)</f>
        <v>0</v>
      </c>
      <c r="Y631">
        <f ca="1">INDEX(rngParamTypes,$N631,18)</f>
        <v>0</v>
      </c>
    </row>
    <row r="632" spans="1:25" x14ac:dyDescent="0.2">
      <c r="A632" s="16">
        <v>631</v>
      </c>
      <c r="B632" s="37">
        <v>1</v>
      </c>
      <c r="C632" s="16" t="s">
        <v>1874</v>
      </c>
      <c r="D632" s="16" t="s">
        <v>1874</v>
      </c>
      <c r="E632" s="16"/>
      <c r="F632" s="16" t="s">
        <v>3804</v>
      </c>
      <c r="G632" s="16" t="s">
        <v>231</v>
      </c>
      <c r="H632" s="16" t="s">
        <v>1873</v>
      </c>
      <c r="I632" s="16" t="s">
        <v>232</v>
      </c>
      <c r="J632" s="16">
        <v>0</v>
      </c>
      <c r="K632" s="16">
        <v>4.2140110000000001E-2</v>
      </c>
      <c r="L632" s="16">
        <v>1</v>
      </c>
      <c r="M632" s="16">
        <v>0</v>
      </c>
      <c r="N632">
        <f t="array" aca="1" ref="N632" ca="1">MATCH(TRUE,EXACT(I632,OFFSET(rngParamTypes,0,6,,1)),0)</f>
        <v>91</v>
      </c>
      <c r="O632" t="str">
        <f ca="1">IF((INDEX(rngParamTypes,$N632,7)=I632),"",1)</f>
        <v/>
      </c>
      <c r="P632">
        <f ca="1">INDEX(rngParamTypes,$N632,9)</f>
        <v>1</v>
      </c>
      <c r="Q632">
        <f ca="1">INDEX(rngParamTypes,$N632,10)</f>
        <v>2</v>
      </c>
      <c r="R632">
        <f ca="1">INDEX(rngParamTypes,$N632,11)</f>
        <v>0</v>
      </c>
      <c r="S632">
        <f ca="1">INDEX(rngParamTypes,$N632,12)</f>
        <v>0</v>
      </c>
      <c r="T632">
        <f ca="1">INDEX(rngParamTypes,$N632,13)</f>
        <v>0</v>
      </c>
      <c r="U632">
        <f ca="1">INDEX(rngParamTypes,$N632,14)</f>
        <v>0</v>
      </c>
      <c r="V632">
        <f ca="1">INDEX(rngParamTypes,$N632,15)</f>
        <v>0</v>
      </c>
      <c r="W632">
        <f ca="1">INDEX(rngParamTypes,$N632,16)</f>
        <v>0</v>
      </c>
      <c r="X632">
        <f ca="1">INDEX(rngParamTypes,$N632,17)</f>
        <v>0</v>
      </c>
      <c r="Y632">
        <f ca="1">INDEX(rngParamTypes,$N632,18)</f>
        <v>0</v>
      </c>
    </row>
    <row r="633" spans="1:25" x14ac:dyDescent="0.2">
      <c r="A633" s="16">
        <v>632</v>
      </c>
      <c r="B633" s="37">
        <v>1</v>
      </c>
      <c r="C633" s="16" t="s">
        <v>1876</v>
      </c>
      <c r="D633" s="16" t="s">
        <v>1876</v>
      </c>
      <c r="E633" s="16"/>
      <c r="F633" s="16" t="s">
        <v>3805</v>
      </c>
      <c r="G633" s="16" t="s">
        <v>3417</v>
      </c>
      <c r="H633" s="16" t="s">
        <v>1875</v>
      </c>
      <c r="I633" s="16" t="s">
        <v>168</v>
      </c>
      <c r="J633" s="16">
        <v>0</v>
      </c>
      <c r="K633" s="16">
        <v>4.2140110000000001E-2</v>
      </c>
      <c r="L633" s="16">
        <v>1</v>
      </c>
      <c r="M633" s="16">
        <v>0</v>
      </c>
      <c r="N633">
        <f t="array" aca="1" ref="N633" ca="1">MATCH(TRUE,EXACT(I633,OFFSET(rngParamTypes,0,6,,1)),0)</f>
        <v>56</v>
      </c>
      <c r="O633" t="str">
        <f ca="1">IF((INDEX(rngParamTypes,$N633,7)=I633),"",1)</f>
        <v/>
      </c>
      <c r="P633">
        <f ca="1">INDEX(rngParamTypes,$N633,9)</f>
        <v>1</v>
      </c>
      <c r="Q633">
        <f ca="1">INDEX(rngParamTypes,$N633,10)</f>
        <v>2</v>
      </c>
      <c r="R633">
        <f ca="1">INDEX(rngParamTypes,$N633,11)</f>
        <v>-2</v>
      </c>
      <c r="S633">
        <f ca="1">INDEX(rngParamTypes,$N633,12)</f>
        <v>0</v>
      </c>
      <c r="T633">
        <f ca="1">INDEX(rngParamTypes,$N633,13)</f>
        <v>0</v>
      </c>
      <c r="U633">
        <f ca="1">INDEX(rngParamTypes,$N633,14)</f>
        <v>0</v>
      </c>
      <c r="V633">
        <f ca="1">INDEX(rngParamTypes,$N633,15)</f>
        <v>0</v>
      </c>
      <c r="W633">
        <f ca="1">INDEX(rngParamTypes,$N633,16)</f>
        <v>0</v>
      </c>
      <c r="X633">
        <f ca="1">INDEX(rngParamTypes,$N633,17)</f>
        <v>0</v>
      </c>
      <c r="Y633">
        <f ca="1">INDEX(rngParamTypes,$N633,18)</f>
        <v>0</v>
      </c>
    </row>
    <row r="634" spans="1:25" x14ac:dyDescent="0.2">
      <c r="A634" s="16">
        <v>633</v>
      </c>
      <c r="B634" s="37">
        <v>1</v>
      </c>
      <c r="C634" s="16" t="s">
        <v>1878</v>
      </c>
      <c r="D634" s="16" t="s">
        <v>1878</v>
      </c>
      <c r="E634" s="16">
        <v>2</v>
      </c>
      <c r="F634" s="16" t="s">
        <v>4309</v>
      </c>
      <c r="G634" s="16" t="s">
        <v>257</v>
      </c>
      <c r="H634" s="16" t="s">
        <v>1877</v>
      </c>
      <c r="I634" s="16" t="s">
        <v>258</v>
      </c>
      <c r="J634" s="16">
        <v>0</v>
      </c>
      <c r="K634" s="16">
        <v>453592.4</v>
      </c>
      <c r="L634" s="16">
        <v>31558150</v>
      </c>
      <c r="M634" s="16">
        <v>0</v>
      </c>
      <c r="N634">
        <f t="array" aca="1" ref="N634" ca="1">MATCH(TRUE,EXACT(I634,OFFSET(rngParamTypes,0,6,,1)),0)</f>
        <v>103</v>
      </c>
      <c r="O634" t="str">
        <f ca="1">IF((INDEX(rngParamTypes,$N634,7)=I634),"",1)</f>
        <v/>
      </c>
      <c r="P634">
        <f ca="1">INDEX(rngParamTypes,$N634,9)</f>
        <v>1</v>
      </c>
      <c r="Q634">
        <f ca="1">INDEX(rngParamTypes,$N634,10)</f>
        <v>0</v>
      </c>
      <c r="R634">
        <f ca="1">INDEX(rngParamTypes,$N634,11)</f>
        <v>-1</v>
      </c>
      <c r="S634">
        <f ca="1">INDEX(rngParamTypes,$N634,12)</f>
        <v>0</v>
      </c>
      <c r="T634">
        <f ca="1">INDEX(rngParamTypes,$N634,13)</f>
        <v>0</v>
      </c>
      <c r="U634">
        <f ca="1">INDEX(rngParamTypes,$N634,14)</f>
        <v>0</v>
      </c>
      <c r="V634">
        <f ca="1">INDEX(rngParamTypes,$N634,15)</f>
        <v>0</v>
      </c>
      <c r="W634">
        <f ca="1">INDEX(rngParamTypes,$N634,16)</f>
        <v>0</v>
      </c>
      <c r="X634">
        <f ca="1">INDEX(rngParamTypes,$N634,17)</f>
        <v>0</v>
      </c>
      <c r="Y634">
        <f ca="1">INDEX(rngParamTypes,$N634,18)</f>
        <v>0</v>
      </c>
    </row>
    <row r="635" spans="1:25" x14ac:dyDescent="0.2">
      <c r="A635" s="16">
        <v>634</v>
      </c>
      <c r="B635" s="37">
        <v>1</v>
      </c>
      <c r="C635" s="16" t="s">
        <v>1880</v>
      </c>
      <c r="D635" s="16" t="s">
        <v>1880</v>
      </c>
      <c r="E635" s="16">
        <v>2</v>
      </c>
      <c r="F635" s="16" t="s">
        <v>4470</v>
      </c>
      <c r="G635" s="16" t="s">
        <v>3253</v>
      </c>
      <c r="H635" s="16" t="s">
        <v>1879</v>
      </c>
      <c r="I635" s="16" t="s">
        <v>252</v>
      </c>
      <c r="J635" s="16">
        <v>0</v>
      </c>
      <c r="K635" s="16">
        <v>99.776330000000002</v>
      </c>
      <c r="L635" s="16">
        <v>1000</v>
      </c>
      <c r="M635" s="16">
        <v>0</v>
      </c>
      <c r="N635">
        <f t="array" aca="1" ref="N635" ca="1">MATCH(TRUE,EXACT(I635,OFFSET(rngParamTypes,0,6,,1)),0)</f>
        <v>99</v>
      </c>
      <c r="O635" t="str">
        <f ca="1">IF((INDEX(rngParamTypes,$N635,7)=I635),"",1)</f>
        <v/>
      </c>
      <c r="P635">
        <f ca="1">INDEX(rngParamTypes,$N635,9)</f>
        <v>1</v>
      </c>
      <c r="Q635">
        <f ca="1">INDEX(rngParamTypes,$N635,10)</f>
        <v>-3</v>
      </c>
      <c r="R635">
        <f ca="1">INDEX(rngParamTypes,$N635,11)</f>
        <v>0</v>
      </c>
      <c r="S635">
        <f ca="1">INDEX(rngParamTypes,$N635,12)</f>
        <v>0</v>
      </c>
      <c r="T635">
        <f ca="1">INDEX(rngParamTypes,$N635,13)</f>
        <v>0</v>
      </c>
      <c r="U635">
        <f ca="1">INDEX(rngParamTypes,$N635,14)</f>
        <v>0</v>
      </c>
      <c r="V635">
        <f ca="1">INDEX(rngParamTypes,$N635,15)</f>
        <v>0</v>
      </c>
      <c r="W635">
        <f ca="1">INDEX(rngParamTypes,$N635,16)</f>
        <v>0</v>
      </c>
      <c r="X635">
        <f ca="1">INDEX(rngParamTypes,$N635,17)</f>
        <v>0</v>
      </c>
      <c r="Y635">
        <f ca="1">INDEX(rngParamTypes,$N635,18)</f>
        <v>0</v>
      </c>
    </row>
    <row r="636" spans="1:25" x14ac:dyDescent="0.2">
      <c r="A636" s="16">
        <v>635</v>
      </c>
      <c r="B636" s="37">
        <v>1</v>
      </c>
      <c r="C636" s="16" t="s">
        <v>1882</v>
      </c>
      <c r="D636" s="16" t="s">
        <v>1882</v>
      </c>
      <c r="E636" s="16">
        <v>2</v>
      </c>
      <c r="F636" s="16" t="s">
        <v>4471</v>
      </c>
      <c r="G636" s="16" t="s">
        <v>3253</v>
      </c>
      <c r="H636" s="16" t="s">
        <v>1881</v>
      </c>
      <c r="I636" s="16" t="s">
        <v>252</v>
      </c>
      <c r="J636" s="16">
        <v>0</v>
      </c>
      <c r="K636" s="16">
        <v>119.82640000000001</v>
      </c>
      <c r="L636" s="16">
        <v>1000</v>
      </c>
      <c r="M636" s="16">
        <v>0</v>
      </c>
      <c r="N636">
        <f t="array" aca="1" ref="N636" ca="1">MATCH(TRUE,EXACT(I636,OFFSET(rngParamTypes,0,6,,1)),0)</f>
        <v>99</v>
      </c>
      <c r="O636" t="str">
        <f ca="1">IF((INDEX(rngParamTypes,$N636,7)=I636),"",1)</f>
        <v/>
      </c>
      <c r="P636">
        <f ca="1">INDEX(rngParamTypes,$N636,9)</f>
        <v>1</v>
      </c>
      <c r="Q636">
        <f ca="1">INDEX(rngParamTypes,$N636,10)</f>
        <v>-3</v>
      </c>
      <c r="R636">
        <f ca="1">INDEX(rngParamTypes,$N636,11)</f>
        <v>0</v>
      </c>
      <c r="S636">
        <f ca="1">INDEX(rngParamTypes,$N636,12)</f>
        <v>0</v>
      </c>
      <c r="T636">
        <f ca="1">INDEX(rngParamTypes,$N636,13)</f>
        <v>0</v>
      </c>
      <c r="U636">
        <f ca="1">INDEX(rngParamTypes,$N636,14)</f>
        <v>0</v>
      </c>
      <c r="V636">
        <f ca="1">INDEX(rngParamTypes,$N636,15)</f>
        <v>0</v>
      </c>
      <c r="W636">
        <f ca="1">INDEX(rngParamTypes,$N636,16)</f>
        <v>0</v>
      </c>
      <c r="X636">
        <f ca="1">INDEX(rngParamTypes,$N636,17)</f>
        <v>0</v>
      </c>
      <c r="Y636">
        <f ca="1">INDEX(rngParamTypes,$N636,18)</f>
        <v>0</v>
      </c>
    </row>
    <row r="637" spans="1:25" x14ac:dyDescent="0.2">
      <c r="A637" s="16">
        <v>636</v>
      </c>
      <c r="B637" s="37">
        <v>1</v>
      </c>
      <c r="C637" s="16" t="s">
        <v>1884</v>
      </c>
      <c r="D637" s="16" t="s">
        <v>1884</v>
      </c>
      <c r="E637" s="16"/>
      <c r="F637" s="16" t="s">
        <v>4310</v>
      </c>
      <c r="G637" s="16" t="s">
        <v>3806</v>
      </c>
      <c r="H637" s="16" t="s">
        <v>1883</v>
      </c>
      <c r="I637" s="16" t="s">
        <v>244</v>
      </c>
      <c r="J637" s="16">
        <v>0</v>
      </c>
      <c r="K637" s="16">
        <v>4.882428</v>
      </c>
      <c r="L637" s="16">
        <v>100</v>
      </c>
      <c r="M637" s="16">
        <v>0</v>
      </c>
      <c r="N637">
        <f t="array" aca="1" ref="N637" ca="1">MATCH(TRUE,EXACT(I637,OFFSET(rngParamTypes,0,6,,1)),0)</f>
        <v>96</v>
      </c>
      <c r="O637" t="str">
        <f ca="1">IF((INDEX(rngParamTypes,$N637,7)=I637),"",1)</f>
        <v/>
      </c>
      <c r="P637">
        <f ca="1">INDEX(rngParamTypes,$N637,9)</f>
        <v>1</v>
      </c>
      <c r="Q637">
        <f ca="1">INDEX(rngParamTypes,$N637,10)</f>
        <v>-2</v>
      </c>
      <c r="R637">
        <f ca="1">INDEX(rngParamTypes,$N637,11)</f>
        <v>0</v>
      </c>
      <c r="S637">
        <f ca="1">INDEX(rngParamTypes,$N637,12)</f>
        <v>0</v>
      </c>
      <c r="T637">
        <f ca="1">INDEX(rngParamTypes,$N637,13)</f>
        <v>0</v>
      </c>
      <c r="U637">
        <f ca="1">INDEX(rngParamTypes,$N637,14)</f>
        <v>0</v>
      </c>
      <c r="V637">
        <f ca="1">INDEX(rngParamTypes,$N637,15)</f>
        <v>0</v>
      </c>
      <c r="W637">
        <f ca="1">INDEX(rngParamTypes,$N637,16)</f>
        <v>0</v>
      </c>
      <c r="X637">
        <f ca="1">INDEX(rngParamTypes,$N637,17)</f>
        <v>0</v>
      </c>
      <c r="Y637">
        <f ca="1">INDEX(rngParamTypes,$N637,18)</f>
        <v>0</v>
      </c>
    </row>
    <row r="638" spans="1:25" x14ac:dyDescent="0.2">
      <c r="A638" s="16">
        <v>637</v>
      </c>
      <c r="B638" s="37">
        <v>1</v>
      </c>
      <c r="C638" s="16" t="s">
        <v>1886</v>
      </c>
      <c r="D638" s="16" t="s">
        <v>1886</v>
      </c>
      <c r="E638" s="16">
        <v>2</v>
      </c>
      <c r="F638" s="16" t="s">
        <v>4311</v>
      </c>
      <c r="G638" s="16" t="s">
        <v>3253</v>
      </c>
      <c r="H638" s="16" t="s">
        <v>1885</v>
      </c>
      <c r="I638" s="16" t="s">
        <v>252</v>
      </c>
      <c r="J638" s="16">
        <v>0</v>
      </c>
      <c r="K638" s="16">
        <v>0.45359240000000001</v>
      </c>
      <c r="L638" s="16">
        <v>1.5898730000000001</v>
      </c>
      <c r="M638" s="16">
        <v>0</v>
      </c>
      <c r="N638">
        <f t="array" aca="1" ref="N638" ca="1">MATCH(TRUE,EXACT(I638,OFFSET(rngParamTypes,0,6,,1)),0)</f>
        <v>99</v>
      </c>
      <c r="O638" t="str">
        <f ca="1">IF((INDEX(rngParamTypes,$N638,7)=I638),"",1)</f>
        <v/>
      </c>
      <c r="P638">
        <f ca="1">INDEX(rngParamTypes,$N638,9)</f>
        <v>1</v>
      </c>
      <c r="Q638">
        <f ca="1">INDEX(rngParamTypes,$N638,10)</f>
        <v>-3</v>
      </c>
      <c r="R638">
        <f ca="1">INDEX(rngParamTypes,$N638,11)</f>
        <v>0</v>
      </c>
      <c r="S638">
        <f ca="1">INDEX(rngParamTypes,$N638,12)</f>
        <v>0</v>
      </c>
      <c r="T638">
        <f ca="1">INDEX(rngParamTypes,$N638,13)</f>
        <v>0</v>
      </c>
      <c r="U638">
        <f ca="1">INDEX(rngParamTypes,$N638,14)</f>
        <v>0</v>
      </c>
      <c r="V638">
        <f ca="1">INDEX(rngParamTypes,$N638,15)</f>
        <v>0</v>
      </c>
      <c r="W638">
        <f ca="1">INDEX(rngParamTypes,$N638,16)</f>
        <v>0</v>
      </c>
      <c r="X638">
        <f ca="1">INDEX(rngParamTypes,$N638,17)</f>
        <v>0</v>
      </c>
      <c r="Y638">
        <f ca="1">INDEX(rngParamTypes,$N638,18)</f>
        <v>0</v>
      </c>
    </row>
    <row r="639" spans="1:25" x14ac:dyDescent="0.2">
      <c r="A639" s="16">
        <v>638</v>
      </c>
      <c r="B639" s="37">
        <v>1</v>
      </c>
      <c r="C639" s="16" t="s">
        <v>1888</v>
      </c>
      <c r="D639" s="16" t="s">
        <v>1888</v>
      </c>
      <c r="E639" s="16">
        <v>2</v>
      </c>
      <c r="F639" s="16" t="s">
        <v>3807</v>
      </c>
      <c r="G639" s="16" t="s">
        <v>3253</v>
      </c>
      <c r="H639" s="16" t="s">
        <v>1887</v>
      </c>
      <c r="I639" s="16" t="s">
        <v>252</v>
      </c>
      <c r="J639" s="16">
        <v>0</v>
      </c>
      <c r="K639" s="16">
        <v>0.45359240000000001</v>
      </c>
      <c r="L639" s="16">
        <v>0.1589873</v>
      </c>
      <c r="M639" s="16">
        <v>0</v>
      </c>
      <c r="N639">
        <f t="array" aca="1" ref="N639" ca="1">MATCH(TRUE,EXACT(I639,OFFSET(rngParamTypes,0,6,,1)),0)</f>
        <v>99</v>
      </c>
      <c r="O639" t="str">
        <f ca="1">IF((INDEX(rngParamTypes,$N639,7)=I639),"",1)</f>
        <v/>
      </c>
      <c r="P639">
        <f ca="1">INDEX(rngParamTypes,$N639,9)</f>
        <v>1</v>
      </c>
      <c r="Q639">
        <f ca="1">INDEX(rngParamTypes,$N639,10)</f>
        <v>-3</v>
      </c>
      <c r="R639">
        <f ca="1">INDEX(rngParamTypes,$N639,11)</f>
        <v>0</v>
      </c>
      <c r="S639">
        <f ca="1">INDEX(rngParamTypes,$N639,12)</f>
        <v>0</v>
      </c>
      <c r="T639">
        <f ca="1">INDEX(rngParamTypes,$N639,13)</f>
        <v>0</v>
      </c>
      <c r="U639">
        <f ca="1">INDEX(rngParamTypes,$N639,14)</f>
        <v>0</v>
      </c>
      <c r="V639">
        <f ca="1">INDEX(rngParamTypes,$N639,15)</f>
        <v>0</v>
      </c>
      <c r="W639">
        <f ca="1">INDEX(rngParamTypes,$N639,16)</f>
        <v>0</v>
      </c>
      <c r="X639">
        <f ca="1">INDEX(rngParamTypes,$N639,17)</f>
        <v>0</v>
      </c>
      <c r="Y639">
        <f ca="1">INDEX(rngParamTypes,$N639,18)</f>
        <v>0</v>
      </c>
    </row>
    <row r="640" spans="1:25" x14ac:dyDescent="0.2">
      <c r="A640" s="16">
        <v>639</v>
      </c>
      <c r="B640" s="37">
        <v>1</v>
      </c>
      <c r="C640" s="16" t="s">
        <v>1890</v>
      </c>
      <c r="D640" s="16" t="s">
        <v>1890</v>
      </c>
      <c r="E640" s="16">
        <v>2</v>
      </c>
      <c r="F640" s="16" t="s">
        <v>3808</v>
      </c>
      <c r="G640" s="16" t="s">
        <v>257</v>
      </c>
      <c r="H640" s="16" t="s">
        <v>1889</v>
      </c>
      <c r="I640" s="16" t="s">
        <v>258</v>
      </c>
      <c r="J640" s="16">
        <v>0</v>
      </c>
      <c r="K640" s="16">
        <v>0.45359240000000001</v>
      </c>
      <c r="L640" s="16">
        <v>86400</v>
      </c>
      <c r="M640" s="16">
        <v>0</v>
      </c>
      <c r="N640">
        <f t="array" aca="1" ref="N640" ca="1">MATCH(TRUE,EXACT(I640,OFFSET(rngParamTypes,0,6,,1)),0)</f>
        <v>103</v>
      </c>
      <c r="O640" t="str">
        <f ca="1">IF((INDEX(rngParamTypes,$N640,7)=I640),"",1)</f>
        <v/>
      </c>
      <c r="P640">
        <f ca="1">INDEX(rngParamTypes,$N640,9)</f>
        <v>1</v>
      </c>
      <c r="Q640">
        <f ca="1">INDEX(rngParamTypes,$N640,10)</f>
        <v>0</v>
      </c>
      <c r="R640">
        <f ca="1">INDEX(rngParamTypes,$N640,11)</f>
        <v>-1</v>
      </c>
      <c r="S640">
        <f ca="1">INDEX(rngParamTypes,$N640,12)</f>
        <v>0</v>
      </c>
      <c r="T640">
        <f ca="1">INDEX(rngParamTypes,$N640,13)</f>
        <v>0</v>
      </c>
      <c r="U640">
        <f ca="1">INDEX(rngParamTypes,$N640,14)</f>
        <v>0</v>
      </c>
      <c r="V640">
        <f ca="1">INDEX(rngParamTypes,$N640,15)</f>
        <v>0</v>
      </c>
      <c r="W640">
        <f ca="1">INDEX(rngParamTypes,$N640,16)</f>
        <v>0</v>
      </c>
      <c r="X640">
        <f ca="1">INDEX(rngParamTypes,$N640,17)</f>
        <v>0</v>
      </c>
      <c r="Y640">
        <f ca="1">INDEX(rngParamTypes,$N640,18)</f>
        <v>0</v>
      </c>
    </row>
    <row r="641" spans="1:25" x14ac:dyDescent="0.2">
      <c r="A641" s="16">
        <v>640</v>
      </c>
      <c r="B641" s="37">
        <v>1</v>
      </c>
      <c r="C641" s="16" t="s">
        <v>1892</v>
      </c>
      <c r="D641" s="16" t="s">
        <v>1892</v>
      </c>
      <c r="E641" s="16"/>
      <c r="F641" s="16" t="s">
        <v>3809</v>
      </c>
      <c r="G641" s="16" t="s">
        <v>3724</v>
      </c>
      <c r="H641" s="16" t="s">
        <v>1891</v>
      </c>
      <c r="I641" s="16" t="s">
        <v>240</v>
      </c>
      <c r="J641" s="16">
        <v>0</v>
      </c>
      <c r="K641" s="16">
        <v>0.45359240000000001</v>
      </c>
      <c r="L641" s="16">
        <v>0.30480000000000002</v>
      </c>
      <c r="M641" s="16">
        <v>0</v>
      </c>
      <c r="N641">
        <f t="array" aca="1" ref="N641" ca="1">MATCH(TRUE,EXACT(I641,OFFSET(rngParamTypes,0,6,,1)),0)</f>
        <v>93</v>
      </c>
      <c r="O641" t="str">
        <f ca="1">IF((INDEX(rngParamTypes,$N641,7)=I641),"",1)</f>
        <v/>
      </c>
      <c r="P641">
        <f ca="1">INDEX(rngParamTypes,$N641,9)</f>
        <v>1</v>
      </c>
      <c r="Q641">
        <f ca="1">INDEX(rngParamTypes,$N641,10)</f>
        <v>-1</v>
      </c>
      <c r="R641">
        <f ca="1">INDEX(rngParamTypes,$N641,11)</f>
        <v>0</v>
      </c>
      <c r="S641">
        <f ca="1">INDEX(rngParamTypes,$N641,12)</f>
        <v>0</v>
      </c>
      <c r="T641">
        <f ca="1">INDEX(rngParamTypes,$N641,13)</f>
        <v>0</v>
      </c>
      <c r="U641">
        <f ca="1">INDEX(rngParamTypes,$N641,14)</f>
        <v>0</v>
      </c>
      <c r="V641">
        <f ca="1">INDEX(rngParamTypes,$N641,15)</f>
        <v>0</v>
      </c>
      <c r="W641">
        <f ca="1">INDEX(rngParamTypes,$N641,16)</f>
        <v>0</v>
      </c>
      <c r="X641">
        <f ca="1">INDEX(rngParamTypes,$N641,17)</f>
        <v>0</v>
      </c>
      <c r="Y641">
        <f ca="1">INDEX(rngParamTypes,$N641,18)</f>
        <v>0</v>
      </c>
    </row>
    <row r="642" spans="1:25" x14ac:dyDescent="0.2">
      <c r="A642" s="16">
        <v>641</v>
      </c>
      <c r="B642" s="37">
        <v>1</v>
      </c>
      <c r="C642" s="16" t="s">
        <v>1894</v>
      </c>
      <c r="D642" s="16" t="s">
        <v>1894</v>
      </c>
      <c r="E642" s="16"/>
      <c r="F642" s="16" t="s">
        <v>3810</v>
      </c>
      <c r="G642" s="16" t="s">
        <v>420</v>
      </c>
      <c r="H642" s="16" t="s">
        <v>1893</v>
      </c>
      <c r="I642" s="16" t="s">
        <v>421</v>
      </c>
      <c r="J642" s="16">
        <v>0</v>
      </c>
      <c r="K642" s="16">
        <v>4.1337889999999998E-4</v>
      </c>
      <c r="L642" s="16">
        <v>1</v>
      </c>
      <c r="M642" s="16">
        <v>0</v>
      </c>
      <c r="N642">
        <f t="array" aca="1" ref="N642" ca="1">MATCH(TRUE,EXACT(I642,OFFSET(rngParamTypes,0,6,,1)),0)</f>
        <v>169</v>
      </c>
      <c r="O642" t="str">
        <f ca="1">IF((INDEX(rngParamTypes,$N642,7)=I642),"",1)</f>
        <v/>
      </c>
      <c r="P642">
        <f ca="1">INDEX(rngParamTypes,$N642,9)</f>
        <v>1</v>
      </c>
      <c r="Q642">
        <f ca="1">INDEX(rngParamTypes,$N642,10)</f>
        <v>-1</v>
      </c>
      <c r="R642">
        <f ca="1">INDEX(rngParamTypes,$N642,11)</f>
        <v>-1</v>
      </c>
      <c r="S642">
        <f ca="1">INDEX(rngParamTypes,$N642,12)</f>
        <v>0</v>
      </c>
      <c r="T642">
        <f ca="1">INDEX(rngParamTypes,$N642,13)</f>
        <v>0</v>
      </c>
      <c r="U642">
        <f ca="1">INDEX(rngParamTypes,$N642,14)</f>
        <v>0</v>
      </c>
      <c r="V642">
        <f ca="1">INDEX(rngParamTypes,$N642,15)</f>
        <v>0</v>
      </c>
      <c r="W642">
        <f ca="1">INDEX(rngParamTypes,$N642,16)</f>
        <v>0</v>
      </c>
      <c r="X642">
        <f ca="1">INDEX(rngParamTypes,$N642,17)</f>
        <v>0</v>
      </c>
      <c r="Y642">
        <f ca="1">INDEX(rngParamTypes,$N642,18)</f>
        <v>0</v>
      </c>
    </row>
    <row r="643" spans="1:25" x14ac:dyDescent="0.2">
      <c r="A643" s="16">
        <v>642</v>
      </c>
      <c r="B643" s="37">
        <v>1</v>
      </c>
      <c r="C643" s="16" t="s">
        <v>1897</v>
      </c>
      <c r="D643" s="16" t="s">
        <v>1897</v>
      </c>
      <c r="E643" s="16"/>
      <c r="F643" s="16" t="s">
        <v>3811</v>
      </c>
      <c r="G643" s="16" t="s">
        <v>420</v>
      </c>
      <c r="H643" s="16" t="s">
        <v>1896</v>
      </c>
      <c r="I643" s="16" t="s">
        <v>421</v>
      </c>
      <c r="J643" s="16">
        <v>0</v>
      </c>
      <c r="K643" s="16">
        <v>1.488164</v>
      </c>
      <c r="L643" s="16">
        <v>1</v>
      </c>
      <c r="M643" s="16">
        <v>0</v>
      </c>
      <c r="N643">
        <f t="array" aca="1" ref="N643" ca="1">MATCH(TRUE,EXACT(I643,OFFSET(rngParamTypes,0,6,,1)),0)</f>
        <v>169</v>
      </c>
      <c r="O643" t="str">
        <f ca="1">IF((INDEX(rngParamTypes,$N643,7)=I643),"",1)</f>
        <v/>
      </c>
      <c r="P643">
        <f ca="1">INDEX(rngParamTypes,$N643,9)</f>
        <v>1</v>
      </c>
      <c r="Q643">
        <f ca="1">INDEX(rngParamTypes,$N643,10)</f>
        <v>-1</v>
      </c>
      <c r="R643">
        <f ca="1">INDEX(rngParamTypes,$N643,11)</f>
        <v>-1</v>
      </c>
      <c r="S643">
        <f ca="1">INDEX(rngParamTypes,$N643,12)</f>
        <v>0</v>
      </c>
      <c r="T643">
        <f ca="1">INDEX(rngParamTypes,$N643,13)</f>
        <v>0</v>
      </c>
      <c r="U643">
        <f ca="1">INDEX(rngParamTypes,$N643,14)</f>
        <v>0</v>
      </c>
      <c r="V643">
        <f ca="1">INDEX(rngParamTypes,$N643,15)</f>
        <v>0</v>
      </c>
      <c r="W643">
        <f ca="1">INDEX(rngParamTypes,$N643,16)</f>
        <v>0</v>
      </c>
      <c r="X643">
        <f ca="1">INDEX(rngParamTypes,$N643,17)</f>
        <v>0</v>
      </c>
      <c r="Y643">
        <f ca="1">INDEX(rngParamTypes,$N643,18)</f>
        <v>0</v>
      </c>
    </row>
    <row r="644" spans="1:25" x14ac:dyDescent="0.2">
      <c r="A644" s="16">
        <v>643</v>
      </c>
      <c r="B644" s="37">
        <v>1</v>
      </c>
      <c r="C644" s="16" t="s">
        <v>1900</v>
      </c>
      <c r="D644" s="16" t="s">
        <v>1900</v>
      </c>
      <c r="E644" s="16"/>
      <c r="F644" s="16" t="s">
        <v>3812</v>
      </c>
      <c r="G644" s="16" t="s">
        <v>3806</v>
      </c>
      <c r="H644" s="16" t="s">
        <v>1899</v>
      </c>
      <c r="I644" s="16" t="s">
        <v>244</v>
      </c>
      <c r="J644" s="16">
        <v>0</v>
      </c>
      <c r="K644" s="16">
        <v>4.882428</v>
      </c>
      <c r="L644" s="16">
        <v>1</v>
      </c>
      <c r="M644" s="16">
        <v>0</v>
      </c>
      <c r="N644">
        <f t="array" aca="1" ref="N644" ca="1">MATCH(TRUE,EXACT(I644,OFFSET(rngParamTypes,0,6,,1)),0)</f>
        <v>96</v>
      </c>
      <c r="O644" t="str">
        <f ca="1">IF((INDEX(rngParamTypes,$N644,7)=I644),"",1)</f>
        <v/>
      </c>
      <c r="P644">
        <f ca="1">INDEX(rngParamTypes,$N644,9)</f>
        <v>1</v>
      </c>
      <c r="Q644">
        <f ca="1">INDEX(rngParamTypes,$N644,10)</f>
        <v>-2</v>
      </c>
      <c r="R644">
        <f ca="1">INDEX(rngParamTypes,$N644,11)</f>
        <v>0</v>
      </c>
      <c r="S644">
        <f ca="1">INDEX(rngParamTypes,$N644,12)</f>
        <v>0</v>
      </c>
      <c r="T644">
        <f ca="1">INDEX(rngParamTypes,$N644,13)</f>
        <v>0</v>
      </c>
      <c r="U644">
        <f ca="1">INDEX(rngParamTypes,$N644,14)</f>
        <v>0</v>
      </c>
      <c r="V644">
        <f ca="1">INDEX(rngParamTypes,$N644,15)</f>
        <v>0</v>
      </c>
      <c r="W644">
        <f ca="1">INDEX(rngParamTypes,$N644,16)</f>
        <v>0</v>
      </c>
      <c r="X644">
        <f ca="1">INDEX(rngParamTypes,$N644,17)</f>
        <v>0</v>
      </c>
      <c r="Y644">
        <f ca="1">INDEX(rngParamTypes,$N644,18)</f>
        <v>0</v>
      </c>
    </row>
    <row r="645" spans="1:25" x14ac:dyDescent="0.2">
      <c r="A645" s="16">
        <v>644</v>
      </c>
      <c r="B645" s="37">
        <v>1</v>
      </c>
      <c r="C645" s="16" t="s">
        <v>1902</v>
      </c>
      <c r="D645" s="16" t="s">
        <v>1902</v>
      </c>
      <c r="E645" s="16">
        <v>2</v>
      </c>
      <c r="F645" s="16" t="s">
        <v>3813</v>
      </c>
      <c r="G645" s="16" t="s">
        <v>3253</v>
      </c>
      <c r="H645" s="16" t="s">
        <v>1901</v>
      </c>
      <c r="I645" s="16" t="s">
        <v>252</v>
      </c>
      <c r="J645" s="16">
        <v>0</v>
      </c>
      <c r="K645" s="16">
        <v>16.018460000000001</v>
      </c>
      <c r="L645" s="16">
        <v>1</v>
      </c>
      <c r="M645" s="16">
        <v>0</v>
      </c>
      <c r="N645">
        <f t="array" aca="1" ref="N645" ca="1">MATCH(TRUE,EXACT(I645,OFFSET(rngParamTypes,0,6,,1)),0)</f>
        <v>99</v>
      </c>
      <c r="O645" t="str">
        <f ca="1">IF((INDEX(rngParamTypes,$N645,7)=I645),"",1)</f>
        <v/>
      </c>
      <c r="P645">
        <f ca="1">INDEX(rngParamTypes,$N645,9)</f>
        <v>1</v>
      </c>
      <c r="Q645">
        <f ca="1">INDEX(rngParamTypes,$N645,10)</f>
        <v>-3</v>
      </c>
      <c r="R645">
        <f ca="1">INDEX(rngParamTypes,$N645,11)</f>
        <v>0</v>
      </c>
      <c r="S645">
        <f ca="1">INDEX(rngParamTypes,$N645,12)</f>
        <v>0</v>
      </c>
      <c r="T645">
        <f ca="1">INDEX(rngParamTypes,$N645,13)</f>
        <v>0</v>
      </c>
      <c r="U645">
        <f ca="1">INDEX(rngParamTypes,$N645,14)</f>
        <v>0</v>
      </c>
      <c r="V645">
        <f ca="1">INDEX(rngParamTypes,$N645,15)</f>
        <v>0</v>
      </c>
      <c r="W645">
        <f ca="1">INDEX(rngParamTypes,$N645,16)</f>
        <v>0</v>
      </c>
      <c r="X645">
        <f ca="1">INDEX(rngParamTypes,$N645,17)</f>
        <v>0</v>
      </c>
      <c r="Y645">
        <f ca="1">INDEX(rngParamTypes,$N645,18)</f>
        <v>0</v>
      </c>
    </row>
    <row r="646" spans="1:25" x14ac:dyDescent="0.2">
      <c r="A646" s="16">
        <v>645</v>
      </c>
      <c r="B646" s="37">
        <v>1</v>
      </c>
      <c r="C646" s="16" t="s">
        <v>1904</v>
      </c>
      <c r="D646" s="16" t="s">
        <v>1904</v>
      </c>
      <c r="E646" s="16"/>
      <c r="F646" s="16" t="s">
        <v>3814</v>
      </c>
      <c r="G646" s="16" t="s">
        <v>254</v>
      </c>
      <c r="H646" s="16" t="s">
        <v>1903</v>
      </c>
      <c r="I646" s="16" t="s">
        <v>255</v>
      </c>
      <c r="J646" s="16">
        <v>0</v>
      </c>
      <c r="K646" s="16">
        <v>16.018460000000001</v>
      </c>
      <c r="L646" s="16">
        <v>0.30480000000000002</v>
      </c>
      <c r="M646" s="16">
        <v>0</v>
      </c>
      <c r="N646">
        <f t="array" aca="1" ref="N646" ca="1">MATCH(TRUE,EXACT(I646,OFFSET(rngParamTypes,0,6,,1)),0)</f>
        <v>102</v>
      </c>
      <c r="O646" t="str">
        <f ca="1">IF((INDEX(rngParamTypes,$N646,7)=I646),"",1)</f>
        <v/>
      </c>
      <c r="P646">
        <f ca="1">INDEX(rngParamTypes,$N646,9)</f>
        <v>1</v>
      </c>
      <c r="Q646">
        <f ca="1">INDEX(rngParamTypes,$N646,10)</f>
        <v>-4</v>
      </c>
      <c r="R646">
        <f ca="1">INDEX(rngParamTypes,$N646,11)</f>
        <v>0</v>
      </c>
      <c r="S646">
        <f ca="1">INDEX(rngParamTypes,$N646,12)</f>
        <v>0</v>
      </c>
      <c r="T646">
        <f ca="1">INDEX(rngParamTypes,$N646,13)</f>
        <v>0</v>
      </c>
      <c r="U646">
        <f ca="1">INDEX(rngParamTypes,$N646,14)</f>
        <v>0</v>
      </c>
      <c r="V646">
        <f ca="1">INDEX(rngParamTypes,$N646,15)</f>
        <v>0</v>
      </c>
      <c r="W646">
        <f ca="1">INDEX(rngParamTypes,$N646,16)</f>
        <v>0</v>
      </c>
      <c r="X646">
        <f ca="1">INDEX(rngParamTypes,$N646,17)</f>
        <v>0</v>
      </c>
      <c r="Y646">
        <f ca="1">INDEX(rngParamTypes,$N646,18)</f>
        <v>0</v>
      </c>
    </row>
    <row r="647" spans="1:25" x14ac:dyDescent="0.2">
      <c r="A647" s="16">
        <v>646</v>
      </c>
      <c r="B647" s="37">
        <v>1</v>
      </c>
      <c r="C647" s="16" t="s">
        <v>1906</v>
      </c>
      <c r="D647" s="16" t="s">
        <v>1906</v>
      </c>
      <c r="E647" s="16">
        <v>2</v>
      </c>
      <c r="F647" s="16" t="s">
        <v>3815</v>
      </c>
      <c r="G647" s="16" t="s">
        <v>3253</v>
      </c>
      <c r="H647" s="16" t="s">
        <v>1905</v>
      </c>
      <c r="I647" s="16" t="s">
        <v>252</v>
      </c>
      <c r="J647" s="16">
        <v>0</v>
      </c>
      <c r="K647" s="16">
        <v>99.776330000000002</v>
      </c>
      <c r="L647" s="16">
        <v>1</v>
      </c>
      <c r="M647" s="16">
        <v>0</v>
      </c>
      <c r="N647">
        <f t="array" aca="1" ref="N647" ca="1">MATCH(TRUE,EXACT(I647,OFFSET(rngParamTypes,0,6,,1)),0)</f>
        <v>99</v>
      </c>
      <c r="O647" t="str">
        <f ca="1">IF((INDEX(rngParamTypes,$N647,7)=I647),"",1)</f>
        <v/>
      </c>
      <c r="P647">
        <f ca="1">INDEX(rngParamTypes,$N647,9)</f>
        <v>1</v>
      </c>
      <c r="Q647">
        <f ca="1">INDEX(rngParamTypes,$N647,10)</f>
        <v>-3</v>
      </c>
      <c r="R647">
        <f ca="1">INDEX(rngParamTypes,$N647,11)</f>
        <v>0</v>
      </c>
      <c r="S647">
        <f ca="1">INDEX(rngParamTypes,$N647,12)</f>
        <v>0</v>
      </c>
      <c r="T647">
        <f ca="1">INDEX(rngParamTypes,$N647,13)</f>
        <v>0</v>
      </c>
      <c r="U647">
        <f ca="1">INDEX(rngParamTypes,$N647,14)</f>
        <v>0</v>
      </c>
      <c r="V647">
        <f ca="1">INDEX(rngParamTypes,$N647,15)</f>
        <v>0</v>
      </c>
      <c r="W647">
        <f ca="1">INDEX(rngParamTypes,$N647,16)</f>
        <v>0</v>
      </c>
      <c r="X647">
        <f ca="1">INDEX(rngParamTypes,$N647,17)</f>
        <v>0</v>
      </c>
      <c r="Y647">
        <f ca="1">INDEX(rngParamTypes,$N647,18)</f>
        <v>0</v>
      </c>
    </row>
    <row r="648" spans="1:25" x14ac:dyDescent="0.2">
      <c r="A648" s="16">
        <v>647</v>
      </c>
      <c r="B648" s="37">
        <v>1</v>
      </c>
      <c r="C648" s="16" t="s">
        <v>1908</v>
      </c>
      <c r="D648" s="16" t="s">
        <v>1908</v>
      </c>
      <c r="E648" s="16"/>
      <c r="F648" s="16" t="s">
        <v>3816</v>
      </c>
      <c r="G648" s="16" t="s">
        <v>254</v>
      </c>
      <c r="H648" s="16" t="s">
        <v>1907</v>
      </c>
      <c r="I648" s="16" t="s">
        <v>255</v>
      </c>
      <c r="J648" s="16">
        <v>0</v>
      </c>
      <c r="K648" s="16">
        <v>99.776330000000002</v>
      </c>
      <c r="L648" s="16">
        <v>0.30480000000000002</v>
      </c>
      <c r="M648" s="16">
        <v>0</v>
      </c>
      <c r="N648">
        <f t="array" aca="1" ref="N648" ca="1">MATCH(TRUE,EXACT(I648,OFFSET(rngParamTypes,0,6,,1)),0)</f>
        <v>102</v>
      </c>
      <c r="O648" t="str">
        <f ca="1">IF((INDEX(rngParamTypes,$N648,7)=I648),"",1)</f>
        <v/>
      </c>
      <c r="P648">
        <f ca="1">INDEX(rngParamTypes,$N648,9)</f>
        <v>1</v>
      </c>
      <c r="Q648">
        <f ca="1">INDEX(rngParamTypes,$N648,10)</f>
        <v>-4</v>
      </c>
      <c r="R648">
        <f ca="1">INDEX(rngParamTypes,$N648,11)</f>
        <v>0</v>
      </c>
      <c r="S648">
        <f ca="1">INDEX(rngParamTypes,$N648,12)</f>
        <v>0</v>
      </c>
      <c r="T648">
        <f ca="1">INDEX(rngParamTypes,$N648,13)</f>
        <v>0</v>
      </c>
      <c r="U648">
        <f ca="1">INDEX(rngParamTypes,$N648,14)</f>
        <v>0</v>
      </c>
      <c r="V648">
        <f ca="1">INDEX(rngParamTypes,$N648,15)</f>
        <v>0</v>
      </c>
      <c r="W648">
        <f ca="1">INDEX(rngParamTypes,$N648,16)</f>
        <v>0</v>
      </c>
      <c r="X648">
        <f ca="1">INDEX(rngParamTypes,$N648,17)</f>
        <v>0</v>
      </c>
      <c r="Y648">
        <f ca="1">INDEX(rngParamTypes,$N648,18)</f>
        <v>0</v>
      </c>
    </row>
    <row r="649" spans="1:25" x14ac:dyDescent="0.2">
      <c r="A649" s="16">
        <v>648</v>
      </c>
      <c r="B649" s="37">
        <v>1</v>
      </c>
      <c r="C649" s="16" t="s">
        <v>1909</v>
      </c>
      <c r="D649" s="16" t="s">
        <v>1909</v>
      </c>
      <c r="E649" s="16">
        <v>2</v>
      </c>
      <c r="F649" s="16" t="s">
        <v>4312</v>
      </c>
      <c r="G649" s="16" t="s">
        <v>3253</v>
      </c>
      <c r="H649" s="16" t="s">
        <v>1879</v>
      </c>
      <c r="I649" s="16" t="s">
        <v>252</v>
      </c>
      <c r="J649" s="16">
        <v>0</v>
      </c>
      <c r="K649" s="16">
        <v>99.776330000000002</v>
      </c>
      <c r="L649" s="16">
        <v>1000</v>
      </c>
      <c r="M649" s="16">
        <v>0</v>
      </c>
      <c r="N649">
        <f t="array" aca="1" ref="N649" ca="1">MATCH(TRUE,EXACT(I649,OFFSET(rngParamTypes,0,6,,1)),0)</f>
        <v>99</v>
      </c>
      <c r="O649" t="str">
        <f ca="1">IF((INDEX(rngParamTypes,$N649,7)=I649),"",1)</f>
        <v/>
      </c>
      <c r="P649">
        <f ca="1">INDEX(rngParamTypes,$N649,9)</f>
        <v>1</v>
      </c>
      <c r="Q649">
        <f ca="1">INDEX(rngParamTypes,$N649,10)</f>
        <v>-3</v>
      </c>
      <c r="R649">
        <f ca="1">INDEX(rngParamTypes,$N649,11)</f>
        <v>0</v>
      </c>
      <c r="S649">
        <f ca="1">INDEX(rngParamTypes,$N649,12)</f>
        <v>0</v>
      </c>
      <c r="T649">
        <f ca="1">INDEX(rngParamTypes,$N649,13)</f>
        <v>0</v>
      </c>
      <c r="U649">
        <f ca="1">INDEX(rngParamTypes,$N649,14)</f>
        <v>0</v>
      </c>
      <c r="V649">
        <f ca="1">INDEX(rngParamTypes,$N649,15)</f>
        <v>0</v>
      </c>
      <c r="W649">
        <f ca="1">INDEX(rngParamTypes,$N649,16)</f>
        <v>0</v>
      </c>
      <c r="X649">
        <f ca="1">INDEX(rngParamTypes,$N649,17)</f>
        <v>0</v>
      </c>
      <c r="Y649">
        <f ca="1">INDEX(rngParamTypes,$N649,18)</f>
        <v>0</v>
      </c>
    </row>
    <row r="650" spans="1:25" x14ac:dyDescent="0.2">
      <c r="A650" s="16">
        <v>649</v>
      </c>
      <c r="B650" s="37">
        <v>1</v>
      </c>
      <c r="C650" s="16" t="s">
        <v>1911</v>
      </c>
      <c r="D650" s="16" t="s">
        <v>1911</v>
      </c>
      <c r="E650" s="16">
        <v>2</v>
      </c>
      <c r="F650" s="16" t="s">
        <v>3817</v>
      </c>
      <c r="G650" s="16" t="s">
        <v>3253</v>
      </c>
      <c r="H650" s="16" t="s">
        <v>1910</v>
      </c>
      <c r="I650" s="16" t="s">
        <v>252</v>
      </c>
      <c r="J650" s="16">
        <v>0</v>
      </c>
      <c r="K650" s="16">
        <v>119.82640000000001</v>
      </c>
      <c r="L650" s="16">
        <v>1</v>
      </c>
      <c r="M650" s="16">
        <v>0</v>
      </c>
      <c r="N650">
        <f t="array" aca="1" ref="N650" ca="1">MATCH(TRUE,EXACT(I650,OFFSET(rngParamTypes,0,6,,1)),0)</f>
        <v>99</v>
      </c>
      <c r="O650" t="str">
        <f ca="1">IF((INDEX(rngParamTypes,$N650,7)=I650),"",1)</f>
        <v/>
      </c>
      <c r="P650">
        <f ca="1">INDEX(rngParamTypes,$N650,9)</f>
        <v>1</v>
      </c>
      <c r="Q650">
        <f ca="1">INDEX(rngParamTypes,$N650,10)</f>
        <v>-3</v>
      </c>
      <c r="R650">
        <f ca="1">INDEX(rngParamTypes,$N650,11)</f>
        <v>0</v>
      </c>
      <c r="S650">
        <f ca="1">INDEX(rngParamTypes,$N650,12)</f>
        <v>0</v>
      </c>
      <c r="T650">
        <f ca="1">INDEX(rngParamTypes,$N650,13)</f>
        <v>0</v>
      </c>
      <c r="U650">
        <f ca="1">INDEX(rngParamTypes,$N650,14)</f>
        <v>0</v>
      </c>
      <c r="V650">
        <f ca="1">INDEX(rngParamTypes,$N650,15)</f>
        <v>0</v>
      </c>
      <c r="W650">
        <f ca="1">INDEX(rngParamTypes,$N650,16)</f>
        <v>0</v>
      </c>
      <c r="X650">
        <f ca="1">INDEX(rngParamTypes,$N650,17)</f>
        <v>0</v>
      </c>
      <c r="Y650">
        <f ca="1">INDEX(rngParamTypes,$N650,18)</f>
        <v>0</v>
      </c>
    </row>
    <row r="651" spans="1:25" x14ac:dyDescent="0.2">
      <c r="A651" s="16">
        <v>650</v>
      </c>
      <c r="B651" s="37">
        <v>1</v>
      </c>
      <c r="C651" s="16" t="s">
        <v>1913</v>
      </c>
      <c r="D651" s="16" t="s">
        <v>1913</v>
      </c>
      <c r="E651" s="16"/>
      <c r="F651" s="16" t="s">
        <v>3818</v>
      </c>
      <c r="G651" s="16" t="s">
        <v>254</v>
      </c>
      <c r="H651" s="16" t="s">
        <v>1912</v>
      </c>
      <c r="I651" s="16" t="s">
        <v>255</v>
      </c>
      <c r="J651" s="16">
        <v>0</v>
      </c>
      <c r="K651" s="16">
        <v>119.82640000000001</v>
      </c>
      <c r="L651" s="16">
        <v>0.30480000000000002</v>
      </c>
      <c r="M651" s="16">
        <v>0</v>
      </c>
      <c r="N651">
        <f t="array" aca="1" ref="N651" ca="1">MATCH(TRUE,EXACT(I651,OFFSET(rngParamTypes,0,6,,1)),0)</f>
        <v>102</v>
      </c>
      <c r="O651" t="str">
        <f ca="1">IF((INDEX(rngParamTypes,$N651,7)=I651),"",1)</f>
        <v/>
      </c>
      <c r="P651">
        <f ca="1">INDEX(rngParamTypes,$N651,9)</f>
        <v>1</v>
      </c>
      <c r="Q651">
        <f ca="1">INDEX(rngParamTypes,$N651,10)</f>
        <v>-4</v>
      </c>
      <c r="R651">
        <f ca="1">INDEX(rngParamTypes,$N651,11)</f>
        <v>0</v>
      </c>
      <c r="S651">
        <f ca="1">INDEX(rngParamTypes,$N651,12)</f>
        <v>0</v>
      </c>
      <c r="T651">
        <f ca="1">INDEX(rngParamTypes,$N651,13)</f>
        <v>0</v>
      </c>
      <c r="U651">
        <f ca="1">INDEX(rngParamTypes,$N651,14)</f>
        <v>0</v>
      </c>
      <c r="V651">
        <f ca="1">INDEX(rngParamTypes,$N651,15)</f>
        <v>0</v>
      </c>
      <c r="W651">
        <f ca="1">INDEX(rngParamTypes,$N651,16)</f>
        <v>0</v>
      </c>
      <c r="X651">
        <f ca="1">INDEX(rngParamTypes,$N651,17)</f>
        <v>0</v>
      </c>
      <c r="Y651">
        <f ca="1">INDEX(rngParamTypes,$N651,18)</f>
        <v>0</v>
      </c>
    </row>
    <row r="652" spans="1:25" x14ac:dyDescent="0.2">
      <c r="A652" s="16">
        <v>651</v>
      </c>
      <c r="B652" s="37">
        <v>1</v>
      </c>
      <c r="C652" s="16" t="s">
        <v>1914</v>
      </c>
      <c r="D652" s="16" t="s">
        <v>1914</v>
      </c>
      <c r="E652" s="16">
        <v>2</v>
      </c>
      <c r="F652" s="16" t="s">
        <v>4313</v>
      </c>
      <c r="G652" s="16" t="s">
        <v>3253</v>
      </c>
      <c r="H652" s="16" t="s">
        <v>1881</v>
      </c>
      <c r="I652" s="16" t="s">
        <v>252</v>
      </c>
      <c r="J652" s="16">
        <v>0</v>
      </c>
      <c r="K652" s="16">
        <v>119.82640000000001</v>
      </c>
      <c r="L652" s="16">
        <v>1000</v>
      </c>
      <c r="M652" s="16">
        <v>0</v>
      </c>
      <c r="N652">
        <f t="array" aca="1" ref="N652" ca="1">MATCH(TRUE,EXACT(I652,OFFSET(rngParamTypes,0,6,,1)),0)</f>
        <v>99</v>
      </c>
      <c r="O652" t="str">
        <f ca="1">IF((INDEX(rngParamTypes,$N652,7)=I652),"",1)</f>
        <v/>
      </c>
      <c r="P652">
        <f ca="1">INDEX(rngParamTypes,$N652,9)</f>
        <v>1</v>
      </c>
      <c r="Q652">
        <f ca="1">INDEX(rngParamTypes,$N652,10)</f>
        <v>-3</v>
      </c>
      <c r="R652">
        <f ca="1">INDEX(rngParamTypes,$N652,11)</f>
        <v>0</v>
      </c>
      <c r="S652">
        <f ca="1">INDEX(rngParamTypes,$N652,12)</f>
        <v>0</v>
      </c>
      <c r="T652">
        <f ca="1">INDEX(rngParamTypes,$N652,13)</f>
        <v>0</v>
      </c>
      <c r="U652">
        <f ca="1">INDEX(rngParamTypes,$N652,14)</f>
        <v>0</v>
      </c>
      <c r="V652">
        <f ca="1">INDEX(rngParamTypes,$N652,15)</f>
        <v>0</v>
      </c>
      <c r="W652">
        <f ca="1">INDEX(rngParamTypes,$N652,16)</f>
        <v>0</v>
      </c>
      <c r="X652">
        <f ca="1">INDEX(rngParamTypes,$N652,17)</f>
        <v>0</v>
      </c>
      <c r="Y652">
        <f ca="1">INDEX(rngParamTypes,$N652,18)</f>
        <v>0</v>
      </c>
    </row>
    <row r="653" spans="1:25" x14ac:dyDescent="0.2">
      <c r="A653" s="16">
        <v>652</v>
      </c>
      <c r="B653" s="37">
        <v>1</v>
      </c>
      <c r="C653" s="16" t="s">
        <v>1916</v>
      </c>
      <c r="D653" s="16" t="s">
        <v>1916</v>
      </c>
      <c r="E653" s="16">
        <v>2</v>
      </c>
      <c r="F653" s="16" t="s">
        <v>3819</v>
      </c>
      <c r="G653" s="16" t="s">
        <v>257</v>
      </c>
      <c r="H653" s="16" t="s">
        <v>1915</v>
      </c>
      <c r="I653" s="16" t="s">
        <v>258</v>
      </c>
      <c r="J653" s="16">
        <v>0</v>
      </c>
      <c r="K653" s="16">
        <v>0.45359240000000001</v>
      </c>
      <c r="L653" s="16">
        <v>3600</v>
      </c>
      <c r="M653" s="16">
        <v>0</v>
      </c>
      <c r="N653">
        <f t="array" aca="1" ref="N653" ca="1">MATCH(TRUE,EXACT(I653,OFFSET(rngParamTypes,0,6,,1)),0)</f>
        <v>103</v>
      </c>
      <c r="O653" t="str">
        <f ca="1">IF((INDEX(rngParamTypes,$N653,7)=I653),"",1)</f>
        <v/>
      </c>
      <c r="P653">
        <f ca="1">INDEX(rngParamTypes,$N653,9)</f>
        <v>1</v>
      </c>
      <c r="Q653">
        <f ca="1">INDEX(rngParamTypes,$N653,10)</f>
        <v>0</v>
      </c>
      <c r="R653">
        <f ca="1">INDEX(rngParamTypes,$N653,11)</f>
        <v>-1</v>
      </c>
      <c r="S653">
        <f ca="1">INDEX(rngParamTypes,$N653,12)</f>
        <v>0</v>
      </c>
      <c r="T653">
        <f ca="1">INDEX(rngParamTypes,$N653,13)</f>
        <v>0</v>
      </c>
      <c r="U653">
        <f ca="1">INDEX(rngParamTypes,$N653,14)</f>
        <v>0</v>
      </c>
      <c r="V653">
        <f ca="1">INDEX(rngParamTypes,$N653,15)</f>
        <v>0</v>
      </c>
      <c r="W653">
        <f ca="1">INDEX(rngParamTypes,$N653,16)</f>
        <v>0</v>
      </c>
      <c r="X653">
        <f ca="1">INDEX(rngParamTypes,$N653,17)</f>
        <v>0</v>
      </c>
      <c r="Y653">
        <f ca="1">INDEX(rngParamTypes,$N653,18)</f>
        <v>0</v>
      </c>
    </row>
    <row r="654" spans="1:25" x14ac:dyDescent="0.2">
      <c r="A654" s="16">
        <v>653</v>
      </c>
      <c r="B654" s="37">
        <v>1</v>
      </c>
      <c r="C654" s="16" t="s">
        <v>1895</v>
      </c>
      <c r="D654" s="16" t="s">
        <v>1895</v>
      </c>
      <c r="E654" s="16"/>
      <c r="F654" s="16" t="s">
        <v>3820</v>
      </c>
      <c r="G654" s="16" t="s">
        <v>420</v>
      </c>
      <c r="H654" s="16" t="s">
        <v>1917</v>
      </c>
      <c r="I654" s="16" t="s">
        <v>421</v>
      </c>
      <c r="J654" s="16">
        <v>0</v>
      </c>
      <c r="K654" s="16">
        <v>4.1337889999999998E-4</v>
      </c>
      <c r="L654" s="16">
        <v>1</v>
      </c>
      <c r="M654" s="16">
        <v>0</v>
      </c>
      <c r="N654">
        <f t="array" aca="1" ref="N654" ca="1">MATCH(TRUE,EXACT(I654,OFFSET(rngParamTypes,0,6,,1)),0)</f>
        <v>169</v>
      </c>
      <c r="O654" t="str">
        <f ca="1">IF((INDEX(rngParamTypes,$N654,7)=I654),"",1)</f>
        <v/>
      </c>
      <c r="P654">
        <f ca="1">INDEX(rngParamTypes,$N654,9)</f>
        <v>1</v>
      </c>
      <c r="Q654">
        <f ca="1">INDEX(rngParamTypes,$N654,10)</f>
        <v>-1</v>
      </c>
      <c r="R654">
        <f ca="1">INDEX(rngParamTypes,$N654,11)</f>
        <v>-1</v>
      </c>
      <c r="S654">
        <f ca="1">INDEX(rngParamTypes,$N654,12)</f>
        <v>0</v>
      </c>
      <c r="T654">
        <f ca="1">INDEX(rngParamTypes,$N654,13)</f>
        <v>0</v>
      </c>
      <c r="U654">
        <f ca="1">INDEX(rngParamTypes,$N654,14)</f>
        <v>0</v>
      </c>
      <c r="V654">
        <f ca="1">INDEX(rngParamTypes,$N654,15)</f>
        <v>0</v>
      </c>
      <c r="W654">
        <f ca="1">INDEX(rngParamTypes,$N654,16)</f>
        <v>0</v>
      </c>
      <c r="X654">
        <f ca="1">INDEX(rngParamTypes,$N654,17)</f>
        <v>0</v>
      </c>
      <c r="Y654">
        <f ca="1">INDEX(rngParamTypes,$N654,18)</f>
        <v>0</v>
      </c>
    </row>
    <row r="655" spans="1:25" x14ac:dyDescent="0.2">
      <c r="A655" s="16">
        <v>654</v>
      </c>
      <c r="B655" s="37">
        <v>1</v>
      </c>
      <c r="C655" s="16" t="s">
        <v>1919</v>
      </c>
      <c r="D655" s="16" t="s">
        <v>1919</v>
      </c>
      <c r="E655" s="16"/>
      <c r="F655" s="16" t="s">
        <v>3821</v>
      </c>
      <c r="G655" s="16" t="s">
        <v>246</v>
      </c>
      <c r="H655" s="16" t="s">
        <v>1918</v>
      </c>
      <c r="I655" s="16" t="s">
        <v>247</v>
      </c>
      <c r="J655" s="16">
        <v>0</v>
      </c>
      <c r="K655" s="16">
        <v>1.3562299999999999E-3</v>
      </c>
      <c r="L655" s="16">
        <v>1</v>
      </c>
      <c r="M655" s="16">
        <v>0</v>
      </c>
      <c r="N655">
        <f t="array" aca="1" ref="N655" ca="1">MATCH(TRUE,EXACT(I655,OFFSET(rngParamTypes,0,6,,1)),0)</f>
        <v>98</v>
      </c>
      <c r="O655" t="str">
        <f ca="1">IF((INDEX(rngParamTypes,$N655,7)=I655),"",1)</f>
        <v/>
      </c>
      <c r="P655">
        <f ca="1">INDEX(rngParamTypes,$N655,9)</f>
        <v>1</v>
      </c>
      <c r="Q655">
        <f ca="1">INDEX(rngParamTypes,$N655,10)</f>
        <v>-2</v>
      </c>
      <c r="R655">
        <f ca="1">INDEX(rngParamTypes,$N655,11)</f>
        <v>-1</v>
      </c>
      <c r="S655">
        <f ca="1">INDEX(rngParamTypes,$N655,12)</f>
        <v>0</v>
      </c>
      <c r="T655">
        <f ca="1">INDEX(rngParamTypes,$N655,13)</f>
        <v>0</v>
      </c>
      <c r="U655">
        <f ca="1">INDEX(rngParamTypes,$N655,14)</f>
        <v>0</v>
      </c>
      <c r="V655">
        <f ca="1">INDEX(rngParamTypes,$N655,15)</f>
        <v>0</v>
      </c>
      <c r="W655">
        <f ca="1">INDEX(rngParamTypes,$N655,16)</f>
        <v>0</v>
      </c>
      <c r="X655">
        <f ca="1">INDEX(rngParamTypes,$N655,17)</f>
        <v>0</v>
      </c>
      <c r="Y655">
        <f ca="1">INDEX(rngParamTypes,$N655,18)</f>
        <v>0</v>
      </c>
    </row>
    <row r="656" spans="1:25" x14ac:dyDescent="0.2">
      <c r="A656" s="16">
        <v>655</v>
      </c>
      <c r="B656" s="37">
        <v>1</v>
      </c>
      <c r="C656" s="16" t="s">
        <v>1921</v>
      </c>
      <c r="D656" s="16" t="s">
        <v>1921</v>
      </c>
      <c r="E656" s="16"/>
      <c r="F656" s="16" t="s">
        <v>3822</v>
      </c>
      <c r="G656" s="16" t="s">
        <v>234</v>
      </c>
      <c r="H656" s="16" t="s">
        <v>1920</v>
      </c>
      <c r="I656" s="16" t="s">
        <v>235</v>
      </c>
      <c r="J656" s="16">
        <v>0</v>
      </c>
      <c r="K656" s="16">
        <v>1.6896589999999999E-7</v>
      </c>
      <c r="L656" s="16">
        <v>1</v>
      </c>
      <c r="M656" s="16">
        <v>0</v>
      </c>
      <c r="N656">
        <f t="array" aca="1" ref="N656" ca="1">MATCH(TRUE,EXACT(I656,OFFSET(rngParamTypes,0,6,,1)),0)</f>
        <v>92</v>
      </c>
      <c r="O656" t="str">
        <f ca="1">IF((INDEX(rngParamTypes,$N656,7)=I656),"",1)</f>
        <v/>
      </c>
      <c r="P656">
        <f ca="1">INDEX(rngParamTypes,$N656,9)</f>
        <v>0</v>
      </c>
      <c r="Q656">
        <f ca="1">INDEX(rngParamTypes,$N656,10)</f>
        <v>-2</v>
      </c>
      <c r="R656">
        <f ca="1">INDEX(rngParamTypes,$N656,11)</f>
        <v>2</v>
      </c>
      <c r="S656">
        <f ca="1">INDEX(rngParamTypes,$N656,12)</f>
        <v>0</v>
      </c>
      <c r="T656">
        <f ca="1">INDEX(rngParamTypes,$N656,13)</f>
        <v>0</v>
      </c>
      <c r="U656">
        <f ca="1">INDEX(rngParamTypes,$N656,14)</f>
        <v>0</v>
      </c>
      <c r="V656">
        <f ca="1">INDEX(rngParamTypes,$N656,15)</f>
        <v>0</v>
      </c>
      <c r="W656">
        <f ca="1">INDEX(rngParamTypes,$N656,16)</f>
        <v>0</v>
      </c>
      <c r="X656">
        <f ca="1">INDEX(rngParamTypes,$N656,17)</f>
        <v>0</v>
      </c>
      <c r="Y656">
        <f ca="1">INDEX(rngParamTypes,$N656,18)</f>
        <v>0</v>
      </c>
    </row>
    <row r="657" spans="1:25" x14ac:dyDescent="0.2">
      <c r="A657" s="16">
        <v>656</v>
      </c>
      <c r="B657" s="37">
        <v>1</v>
      </c>
      <c r="C657" s="16" t="s">
        <v>1923</v>
      </c>
      <c r="D657" s="16" t="s">
        <v>1923</v>
      </c>
      <c r="E657" s="16">
        <v>2</v>
      </c>
      <c r="F657" s="16" t="s">
        <v>3823</v>
      </c>
      <c r="G657" s="16" t="s">
        <v>3253</v>
      </c>
      <c r="H657" s="16" t="s">
        <v>1922</v>
      </c>
      <c r="I657" s="16" t="s">
        <v>252</v>
      </c>
      <c r="J657" s="16">
        <v>0</v>
      </c>
      <c r="K657" s="16">
        <v>0.45359240000000001</v>
      </c>
      <c r="L657" s="16">
        <v>1.6387063999999999E-5</v>
      </c>
      <c r="M657" s="16">
        <v>0</v>
      </c>
      <c r="N657">
        <f t="array" aca="1" ref="N657" ca="1">MATCH(TRUE,EXACT(I657,OFFSET(rngParamTypes,0,6,,1)),0)</f>
        <v>99</v>
      </c>
      <c r="O657" t="str">
        <f ca="1">IF((INDEX(rngParamTypes,$N657,7)=I657),"",1)</f>
        <v/>
      </c>
      <c r="P657">
        <f ca="1">INDEX(rngParamTypes,$N657,9)</f>
        <v>1</v>
      </c>
      <c r="Q657">
        <f ca="1">INDEX(rngParamTypes,$N657,10)</f>
        <v>-3</v>
      </c>
      <c r="R657">
        <f ca="1">INDEX(rngParamTypes,$N657,11)</f>
        <v>0</v>
      </c>
      <c r="S657">
        <f ca="1">INDEX(rngParamTypes,$N657,12)</f>
        <v>0</v>
      </c>
      <c r="T657">
        <f ca="1">INDEX(rngParamTypes,$N657,13)</f>
        <v>0</v>
      </c>
      <c r="U657">
        <f ca="1">INDEX(rngParamTypes,$N657,14)</f>
        <v>0</v>
      </c>
      <c r="V657">
        <f ca="1">INDEX(rngParamTypes,$N657,15)</f>
        <v>0</v>
      </c>
      <c r="W657">
        <f ca="1">INDEX(rngParamTypes,$N657,16)</f>
        <v>0</v>
      </c>
      <c r="X657">
        <f ca="1">INDEX(rngParamTypes,$N657,17)</f>
        <v>0</v>
      </c>
      <c r="Y657">
        <f ca="1">INDEX(rngParamTypes,$N657,18)</f>
        <v>0</v>
      </c>
    </row>
    <row r="658" spans="1:25" x14ac:dyDescent="0.2">
      <c r="A658" s="16">
        <v>657</v>
      </c>
      <c r="B658" s="37">
        <v>1</v>
      </c>
      <c r="C658" s="16" t="s">
        <v>1925</v>
      </c>
      <c r="D658" s="16" t="s">
        <v>1925</v>
      </c>
      <c r="E658" s="16">
        <v>2</v>
      </c>
      <c r="F658" s="16" t="s">
        <v>3824</v>
      </c>
      <c r="G658" s="16" t="s">
        <v>3253</v>
      </c>
      <c r="H658" s="16" t="s">
        <v>1924</v>
      </c>
      <c r="I658" s="16" t="s">
        <v>252</v>
      </c>
      <c r="J658" s="16">
        <v>0</v>
      </c>
      <c r="K658" s="16">
        <v>2.85301E-3</v>
      </c>
      <c r="L658" s="16">
        <v>1</v>
      </c>
      <c r="M658" s="16">
        <v>0</v>
      </c>
      <c r="N658">
        <f t="array" aca="1" ref="N658" ca="1">MATCH(TRUE,EXACT(I658,OFFSET(rngParamTypes,0,6,,1)),0)</f>
        <v>99</v>
      </c>
      <c r="O658" t="str">
        <f ca="1">IF((INDEX(rngParamTypes,$N658,7)=I658),"",1)</f>
        <v/>
      </c>
      <c r="P658">
        <f ca="1">INDEX(rngParamTypes,$N658,9)</f>
        <v>1</v>
      </c>
      <c r="Q658">
        <f ca="1">INDEX(rngParamTypes,$N658,10)</f>
        <v>-3</v>
      </c>
      <c r="R658">
        <f ca="1">INDEX(rngParamTypes,$N658,11)</f>
        <v>0</v>
      </c>
      <c r="S658">
        <f ca="1">INDEX(rngParamTypes,$N658,12)</f>
        <v>0</v>
      </c>
      <c r="T658">
        <f ca="1">INDEX(rngParamTypes,$N658,13)</f>
        <v>0</v>
      </c>
      <c r="U658">
        <f ca="1">INDEX(rngParamTypes,$N658,14)</f>
        <v>0</v>
      </c>
      <c r="V658">
        <f ca="1">INDEX(rngParamTypes,$N658,15)</f>
        <v>0</v>
      </c>
      <c r="W658">
        <f ca="1">INDEX(rngParamTypes,$N658,16)</f>
        <v>0</v>
      </c>
      <c r="X658">
        <f ca="1">INDEX(rngParamTypes,$N658,17)</f>
        <v>0</v>
      </c>
      <c r="Y658">
        <f ca="1">INDEX(rngParamTypes,$N658,18)</f>
        <v>0</v>
      </c>
    </row>
    <row r="659" spans="1:25" x14ac:dyDescent="0.2">
      <c r="A659" s="16">
        <v>658</v>
      </c>
      <c r="B659" s="37">
        <v>1</v>
      </c>
      <c r="C659" s="16" t="s">
        <v>1927</v>
      </c>
      <c r="D659" s="16" t="s">
        <v>1927</v>
      </c>
      <c r="E659" s="16">
        <v>2</v>
      </c>
      <c r="F659" s="16" t="s">
        <v>3825</v>
      </c>
      <c r="G659" s="16" t="s">
        <v>257</v>
      </c>
      <c r="H659" s="16" t="s">
        <v>1926</v>
      </c>
      <c r="I659" s="16" t="s">
        <v>258</v>
      </c>
      <c r="J659" s="16">
        <v>0</v>
      </c>
      <c r="K659" s="16">
        <v>0.45359240000000001</v>
      </c>
      <c r="L659" s="16">
        <v>60</v>
      </c>
      <c r="M659" s="16">
        <v>0</v>
      </c>
      <c r="N659">
        <f t="array" aca="1" ref="N659" ca="1">MATCH(TRUE,EXACT(I659,OFFSET(rngParamTypes,0,6,,1)),0)</f>
        <v>103</v>
      </c>
      <c r="O659" t="str">
        <f ca="1">IF((INDEX(rngParamTypes,$N659,7)=I659),"",1)</f>
        <v/>
      </c>
      <c r="P659">
        <f ca="1">INDEX(rngParamTypes,$N659,9)</f>
        <v>1</v>
      </c>
      <c r="Q659">
        <f ca="1">INDEX(rngParamTypes,$N659,10)</f>
        <v>0</v>
      </c>
      <c r="R659">
        <f ca="1">INDEX(rngParamTypes,$N659,11)</f>
        <v>-1</v>
      </c>
      <c r="S659">
        <f ca="1">INDEX(rngParamTypes,$N659,12)</f>
        <v>0</v>
      </c>
      <c r="T659">
        <f ca="1">INDEX(rngParamTypes,$N659,13)</f>
        <v>0</v>
      </c>
      <c r="U659">
        <f ca="1">INDEX(rngParamTypes,$N659,14)</f>
        <v>0</v>
      </c>
      <c r="V659">
        <f ca="1">INDEX(rngParamTypes,$N659,15)</f>
        <v>0</v>
      </c>
      <c r="W659">
        <f ca="1">INDEX(rngParamTypes,$N659,16)</f>
        <v>0</v>
      </c>
      <c r="X659">
        <f ca="1">INDEX(rngParamTypes,$N659,17)</f>
        <v>0</v>
      </c>
      <c r="Y659">
        <f ca="1">INDEX(rngParamTypes,$N659,18)</f>
        <v>0</v>
      </c>
    </row>
    <row r="660" spans="1:25" x14ac:dyDescent="0.2">
      <c r="A660" s="16">
        <v>659</v>
      </c>
      <c r="B660" s="37">
        <v>1</v>
      </c>
      <c r="C660" s="16" t="s">
        <v>1929</v>
      </c>
      <c r="D660" s="16" t="s">
        <v>1929</v>
      </c>
      <c r="E660" s="16">
        <v>2</v>
      </c>
      <c r="F660" s="16" t="s">
        <v>3826</v>
      </c>
      <c r="G660" s="16" t="s">
        <v>257</v>
      </c>
      <c r="H660" s="16" t="s">
        <v>1928</v>
      </c>
      <c r="I660" s="16" t="s">
        <v>258</v>
      </c>
      <c r="J660" s="16">
        <v>0</v>
      </c>
      <c r="K660" s="16">
        <v>0.45359240000000001</v>
      </c>
      <c r="L660" s="16">
        <v>1</v>
      </c>
      <c r="M660" s="16">
        <v>0</v>
      </c>
      <c r="N660">
        <f t="array" aca="1" ref="N660" ca="1">MATCH(TRUE,EXACT(I660,OFFSET(rngParamTypes,0,6,,1)),0)</f>
        <v>103</v>
      </c>
      <c r="O660" t="str">
        <f ca="1">IF((INDEX(rngParamTypes,$N660,7)=I660),"",1)</f>
        <v/>
      </c>
      <c r="P660">
        <f ca="1">INDEX(rngParamTypes,$N660,9)</f>
        <v>1</v>
      </c>
      <c r="Q660">
        <f ca="1">INDEX(rngParamTypes,$N660,10)</f>
        <v>0</v>
      </c>
      <c r="R660">
        <f ca="1">INDEX(rngParamTypes,$N660,11)</f>
        <v>-1</v>
      </c>
      <c r="S660">
        <f ca="1">INDEX(rngParamTypes,$N660,12)</f>
        <v>0</v>
      </c>
      <c r="T660">
        <f ca="1">INDEX(rngParamTypes,$N660,13)</f>
        <v>0</v>
      </c>
      <c r="U660">
        <f ca="1">INDEX(rngParamTypes,$N660,14)</f>
        <v>0</v>
      </c>
      <c r="V660">
        <f ca="1">INDEX(rngParamTypes,$N660,15)</f>
        <v>0</v>
      </c>
      <c r="W660">
        <f ca="1">INDEX(rngParamTypes,$N660,16)</f>
        <v>0</v>
      </c>
      <c r="X660">
        <f ca="1">INDEX(rngParamTypes,$N660,17)</f>
        <v>0</v>
      </c>
      <c r="Y660">
        <f ca="1">INDEX(rngParamTypes,$N660,18)</f>
        <v>0</v>
      </c>
    </row>
    <row r="661" spans="1:25" x14ac:dyDescent="0.2">
      <c r="A661" s="16">
        <v>660</v>
      </c>
      <c r="B661" s="37">
        <v>1</v>
      </c>
      <c r="C661" s="16" t="s">
        <v>1898</v>
      </c>
      <c r="D661" s="16" t="s">
        <v>1898</v>
      </c>
      <c r="E661" s="16"/>
      <c r="F661" s="16" t="s">
        <v>3827</v>
      </c>
      <c r="G661" s="16" t="s">
        <v>420</v>
      </c>
      <c r="H661" s="16" t="s">
        <v>1930</v>
      </c>
      <c r="I661" s="16" t="s">
        <v>421</v>
      </c>
      <c r="J661" s="16">
        <v>0</v>
      </c>
      <c r="K661" s="16">
        <v>1.488164</v>
      </c>
      <c r="L661" s="16">
        <v>1</v>
      </c>
      <c r="M661" s="16">
        <v>0</v>
      </c>
      <c r="N661">
        <f t="array" aca="1" ref="N661" ca="1">MATCH(TRUE,EXACT(I661,OFFSET(rngParamTypes,0,6,,1)),0)</f>
        <v>169</v>
      </c>
      <c r="O661" t="str">
        <f ca="1">IF((INDEX(rngParamTypes,$N661,7)=I661),"",1)</f>
        <v/>
      </c>
      <c r="P661">
        <f ca="1">INDEX(rngParamTypes,$N661,9)</f>
        <v>1</v>
      </c>
      <c r="Q661">
        <f ca="1">INDEX(rngParamTypes,$N661,10)</f>
        <v>-1</v>
      </c>
      <c r="R661">
        <f ca="1">INDEX(rngParamTypes,$N661,11)</f>
        <v>-1</v>
      </c>
      <c r="S661">
        <f ca="1">INDEX(rngParamTypes,$N661,12)</f>
        <v>0</v>
      </c>
      <c r="T661">
        <f ca="1">INDEX(rngParamTypes,$N661,13)</f>
        <v>0</v>
      </c>
      <c r="U661">
        <f ca="1">INDEX(rngParamTypes,$N661,14)</f>
        <v>0</v>
      </c>
      <c r="V661">
        <f ca="1">INDEX(rngParamTypes,$N661,15)</f>
        <v>0</v>
      </c>
      <c r="W661">
        <f ca="1">INDEX(rngParamTypes,$N661,16)</f>
        <v>0</v>
      </c>
      <c r="X661">
        <f ca="1">INDEX(rngParamTypes,$N661,17)</f>
        <v>0</v>
      </c>
      <c r="Y661">
        <f ca="1">INDEX(rngParamTypes,$N661,18)</f>
        <v>0</v>
      </c>
    </row>
    <row r="662" spans="1:25" x14ac:dyDescent="0.2">
      <c r="A662" s="16">
        <v>661</v>
      </c>
      <c r="B662" s="37">
        <v>1</v>
      </c>
      <c r="C662" s="16" t="s">
        <v>1932</v>
      </c>
      <c r="D662" s="16" t="s">
        <v>1932</v>
      </c>
      <c r="E662" s="16"/>
      <c r="F662" s="16" t="s">
        <v>3828</v>
      </c>
      <c r="G662" s="16" t="s">
        <v>246</v>
      </c>
      <c r="H662" s="16" t="s">
        <v>1931</v>
      </c>
      <c r="I662" s="16" t="s">
        <v>247</v>
      </c>
      <c r="J662" s="16">
        <v>0</v>
      </c>
      <c r="K662" s="16">
        <v>4.882428</v>
      </c>
      <c r="L662" s="16">
        <v>1</v>
      </c>
      <c r="M662" s="16">
        <v>0</v>
      </c>
      <c r="N662">
        <f t="array" aca="1" ref="N662" ca="1">MATCH(TRUE,EXACT(I662,OFFSET(rngParamTypes,0,6,,1)),0)</f>
        <v>98</v>
      </c>
      <c r="O662" t="str">
        <f ca="1">IF((INDEX(rngParamTypes,$N662,7)=I662),"",1)</f>
        <v/>
      </c>
      <c r="P662">
        <f ca="1">INDEX(rngParamTypes,$N662,9)</f>
        <v>1</v>
      </c>
      <c r="Q662">
        <f ca="1">INDEX(rngParamTypes,$N662,10)</f>
        <v>-2</v>
      </c>
      <c r="R662">
        <f ca="1">INDEX(rngParamTypes,$N662,11)</f>
        <v>-1</v>
      </c>
      <c r="S662">
        <f ca="1">INDEX(rngParamTypes,$N662,12)</f>
        <v>0</v>
      </c>
      <c r="T662">
        <f ca="1">INDEX(rngParamTypes,$N662,13)</f>
        <v>0</v>
      </c>
      <c r="U662">
        <f ca="1">INDEX(rngParamTypes,$N662,14)</f>
        <v>0</v>
      </c>
      <c r="V662">
        <f ca="1">INDEX(rngParamTypes,$N662,15)</f>
        <v>0</v>
      </c>
      <c r="W662">
        <f ca="1">INDEX(rngParamTypes,$N662,16)</f>
        <v>0</v>
      </c>
      <c r="X662">
        <f ca="1">INDEX(rngParamTypes,$N662,17)</f>
        <v>0</v>
      </c>
      <c r="Y662">
        <f ca="1">INDEX(rngParamTypes,$N662,18)</f>
        <v>0</v>
      </c>
    </row>
    <row r="663" spans="1:25" x14ac:dyDescent="0.2">
      <c r="A663" s="16">
        <v>662</v>
      </c>
      <c r="B663" s="37">
        <v>1</v>
      </c>
      <c r="C663" s="16" t="s">
        <v>1934</v>
      </c>
      <c r="D663" s="16" t="s">
        <v>1934</v>
      </c>
      <c r="E663" s="16">
        <v>2</v>
      </c>
      <c r="F663" s="16" t="s">
        <v>3829</v>
      </c>
      <c r="G663" s="16" t="s">
        <v>3540</v>
      </c>
      <c r="H663" s="16" t="s">
        <v>1933</v>
      </c>
      <c r="I663" s="16" t="s">
        <v>290</v>
      </c>
      <c r="J663" s="16">
        <v>0</v>
      </c>
      <c r="K663" s="16">
        <v>0.201167824</v>
      </c>
      <c r="L663" s="16">
        <v>1</v>
      </c>
      <c r="M663" s="16">
        <v>0</v>
      </c>
      <c r="N663">
        <f t="array" aca="1" ref="N663" ca="1">MATCH(TRUE,EXACT(I663,OFFSET(rngParamTypes,0,6,,1)),0)</f>
        <v>109</v>
      </c>
      <c r="O663" t="str">
        <f ca="1">IF((INDEX(rngParamTypes,$N663,7)=I663),"",1)</f>
        <v/>
      </c>
      <c r="P663">
        <f ca="1">INDEX(rngParamTypes,$N663,9)</f>
        <v>0</v>
      </c>
      <c r="Q663">
        <f ca="1">INDEX(rngParamTypes,$N663,10)</f>
        <v>1</v>
      </c>
      <c r="R663">
        <f ca="1">INDEX(rngParamTypes,$N663,11)</f>
        <v>0</v>
      </c>
      <c r="S663">
        <f ca="1">INDEX(rngParamTypes,$N663,12)</f>
        <v>0</v>
      </c>
      <c r="T663">
        <f ca="1">INDEX(rngParamTypes,$N663,13)</f>
        <v>0</v>
      </c>
      <c r="U663">
        <f ca="1">INDEX(rngParamTypes,$N663,14)</f>
        <v>0</v>
      </c>
      <c r="V663">
        <f ca="1">INDEX(rngParamTypes,$N663,15)</f>
        <v>0</v>
      </c>
      <c r="W663">
        <f ca="1">INDEX(rngParamTypes,$N663,16)</f>
        <v>0</v>
      </c>
      <c r="X663">
        <f ca="1">INDEX(rngParamTypes,$N663,17)</f>
        <v>0</v>
      </c>
      <c r="Y663">
        <f ca="1">INDEX(rngParamTypes,$N663,18)</f>
        <v>0</v>
      </c>
    </row>
    <row r="664" spans="1:25" x14ac:dyDescent="0.2">
      <c r="A664" s="16">
        <v>663</v>
      </c>
      <c r="B664" s="37">
        <v>1</v>
      </c>
      <c r="C664" s="16" t="s">
        <v>1936</v>
      </c>
      <c r="D664" s="16" t="s">
        <v>1936</v>
      </c>
      <c r="E664" s="16">
        <v>2</v>
      </c>
      <c r="F664" s="16" t="s">
        <v>3830</v>
      </c>
      <c r="G664" s="16" t="s">
        <v>3540</v>
      </c>
      <c r="H664" s="16" t="s">
        <v>1935</v>
      </c>
      <c r="I664" s="16" t="s">
        <v>290</v>
      </c>
      <c r="J664" s="16">
        <v>0</v>
      </c>
      <c r="K664" s="16">
        <v>7.92</v>
      </c>
      <c r="L664" s="16">
        <v>39.370113000000003</v>
      </c>
      <c r="M664" s="16">
        <v>0</v>
      </c>
      <c r="N664">
        <f t="array" aca="1" ref="N664" ca="1">MATCH(TRUE,EXACT(I664,OFFSET(rngParamTypes,0,6,,1)),0)</f>
        <v>109</v>
      </c>
      <c r="O664" t="str">
        <f ca="1">IF((INDEX(rngParamTypes,$N664,7)=I664),"",1)</f>
        <v/>
      </c>
      <c r="P664">
        <f ca="1">INDEX(rngParamTypes,$N664,9)</f>
        <v>0</v>
      </c>
      <c r="Q664">
        <f ca="1">INDEX(rngParamTypes,$N664,10)</f>
        <v>1</v>
      </c>
      <c r="R664">
        <f ca="1">INDEX(rngParamTypes,$N664,11)</f>
        <v>0</v>
      </c>
      <c r="S664">
        <f ca="1">INDEX(rngParamTypes,$N664,12)</f>
        <v>0</v>
      </c>
      <c r="T664">
        <f ca="1">INDEX(rngParamTypes,$N664,13)</f>
        <v>0</v>
      </c>
      <c r="U664">
        <f ca="1">INDEX(rngParamTypes,$N664,14)</f>
        <v>0</v>
      </c>
      <c r="V664">
        <f ca="1">INDEX(rngParamTypes,$N664,15)</f>
        <v>0</v>
      </c>
      <c r="W664">
        <f ca="1">INDEX(rngParamTypes,$N664,16)</f>
        <v>0</v>
      </c>
      <c r="X664">
        <f ca="1">INDEX(rngParamTypes,$N664,17)</f>
        <v>0</v>
      </c>
      <c r="Y664">
        <f ca="1">INDEX(rngParamTypes,$N664,18)</f>
        <v>0</v>
      </c>
    </row>
    <row r="665" spans="1:25" x14ac:dyDescent="0.2">
      <c r="A665" s="16">
        <v>664</v>
      </c>
      <c r="B665" s="37">
        <v>1</v>
      </c>
      <c r="C665" s="16" t="s">
        <v>1938</v>
      </c>
      <c r="D665" s="16" t="s">
        <v>1938</v>
      </c>
      <c r="E665" s="16">
        <v>2</v>
      </c>
      <c r="F665" s="16" t="s">
        <v>3831</v>
      </c>
      <c r="G665" s="16" t="s">
        <v>3540</v>
      </c>
      <c r="H665" s="16" t="s">
        <v>1937</v>
      </c>
      <c r="I665" s="16" t="s">
        <v>290</v>
      </c>
      <c r="J665" s="16">
        <v>0</v>
      </c>
      <c r="K665" s="16">
        <v>7.92</v>
      </c>
      <c r="L665" s="16">
        <v>39.370432000000001</v>
      </c>
      <c r="M665" s="16">
        <v>0</v>
      </c>
      <c r="N665">
        <f t="array" aca="1" ref="N665" ca="1">MATCH(TRUE,EXACT(I665,OFFSET(rngParamTypes,0,6,,1)),0)</f>
        <v>109</v>
      </c>
      <c r="O665" t="str">
        <f ca="1">IF((INDEX(rngParamTypes,$N665,7)=I665),"",1)</f>
        <v/>
      </c>
      <c r="P665">
        <f ca="1">INDEX(rngParamTypes,$N665,9)</f>
        <v>0</v>
      </c>
      <c r="Q665">
        <f ca="1">INDEX(rngParamTypes,$N665,10)</f>
        <v>1</v>
      </c>
      <c r="R665">
        <f ca="1">INDEX(rngParamTypes,$N665,11)</f>
        <v>0</v>
      </c>
      <c r="S665">
        <f ca="1">INDEX(rngParamTypes,$N665,12)</f>
        <v>0</v>
      </c>
      <c r="T665">
        <f ca="1">INDEX(rngParamTypes,$N665,13)</f>
        <v>0</v>
      </c>
      <c r="U665">
        <f ca="1">INDEX(rngParamTypes,$N665,14)</f>
        <v>0</v>
      </c>
      <c r="V665">
        <f ca="1">INDEX(rngParamTypes,$N665,15)</f>
        <v>0</v>
      </c>
      <c r="W665">
        <f ca="1">INDEX(rngParamTypes,$N665,16)</f>
        <v>0</v>
      </c>
      <c r="X665">
        <f ca="1">INDEX(rngParamTypes,$N665,17)</f>
        <v>0</v>
      </c>
      <c r="Y665">
        <f ca="1">INDEX(rngParamTypes,$N665,18)</f>
        <v>0</v>
      </c>
    </row>
    <row r="666" spans="1:25" x14ac:dyDescent="0.2">
      <c r="A666" s="16">
        <v>665</v>
      </c>
      <c r="B666" s="37">
        <v>1</v>
      </c>
      <c r="C666" s="16" t="s">
        <v>1940</v>
      </c>
      <c r="D666" s="16" t="s">
        <v>1940</v>
      </c>
      <c r="E666" s="16">
        <v>2</v>
      </c>
      <c r="F666" s="16" t="s">
        <v>3832</v>
      </c>
      <c r="G666" s="16" t="s">
        <v>3540</v>
      </c>
      <c r="H666" s="16" t="s">
        <v>1939</v>
      </c>
      <c r="I666" s="16" t="s">
        <v>290</v>
      </c>
      <c r="J666" s="16">
        <v>0</v>
      </c>
      <c r="K666" s="16">
        <v>7.92</v>
      </c>
      <c r="L666" s="16">
        <v>39.370147000000003</v>
      </c>
      <c r="M666" s="16">
        <v>0</v>
      </c>
      <c r="N666">
        <f t="array" aca="1" ref="N666" ca="1">MATCH(TRUE,EXACT(I666,OFFSET(rngParamTypes,0,6,,1)),0)</f>
        <v>109</v>
      </c>
      <c r="O666" t="str">
        <f ca="1">IF((INDEX(rngParamTypes,$N666,7)=I666),"",1)</f>
        <v/>
      </c>
      <c r="P666">
        <f ca="1">INDEX(rngParamTypes,$N666,9)</f>
        <v>0</v>
      </c>
      <c r="Q666">
        <f ca="1">INDEX(rngParamTypes,$N666,10)</f>
        <v>1</v>
      </c>
      <c r="R666">
        <f ca="1">INDEX(rngParamTypes,$N666,11)</f>
        <v>0</v>
      </c>
      <c r="S666">
        <f ca="1">INDEX(rngParamTypes,$N666,12)</f>
        <v>0</v>
      </c>
      <c r="T666">
        <f ca="1">INDEX(rngParamTypes,$N666,13)</f>
        <v>0</v>
      </c>
      <c r="U666">
        <f ca="1">INDEX(rngParamTypes,$N666,14)</f>
        <v>0</v>
      </c>
      <c r="V666">
        <f ca="1">INDEX(rngParamTypes,$N666,15)</f>
        <v>0</v>
      </c>
      <c r="W666">
        <f ca="1">INDEX(rngParamTypes,$N666,16)</f>
        <v>0</v>
      </c>
      <c r="X666">
        <f ca="1">INDEX(rngParamTypes,$N666,17)</f>
        <v>0</v>
      </c>
      <c r="Y666">
        <f ca="1">INDEX(rngParamTypes,$N666,18)</f>
        <v>0</v>
      </c>
    </row>
    <row r="667" spans="1:25" x14ac:dyDescent="0.2">
      <c r="A667" s="16">
        <v>666</v>
      </c>
      <c r="B667" s="37">
        <v>1</v>
      </c>
      <c r="C667" s="16" t="s">
        <v>1942</v>
      </c>
      <c r="D667" s="16" t="s">
        <v>1942</v>
      </c>
      <c r="E667" s="16">
        <v>2</v>
      </c>
      <c r="F667" s="16" t="s">
        <v>3833</v>
      </c>
      <c r="G667" s="16" t="s">
        <v>3540</v>
      </c>
      <c r="H667" s="16" t="s">
        <v>1941</v>
      </c>
      <c r="I667" s="16" t="s">
        <v>290</v>
      </c>
      <c r="J667" s="16">
        <v>0</v>
      </c>
      <c r="K667" s="16">
        <v>7.92</v>
      </c>
      <c r="L667" s="16">
        <v>39.369999999999997</v>
      </c>
      <c r="M667" s="16">
        <v>0</v>
      </c>
      <c r="N667">
        <f t="array" aca="1" ref="N667" ca="1">MATCH(TRUE,EXACT(I667,OFFSET(rngParamTypes,0,6,,1)),0)</f>
        <v>109</v>
      </c>
      <c r="O667" t="str">
        <f ca="1">IF((INDEX(rngParamTypes,$N667,7)=I667),"",1)</f>
        <v/>
      </c>
      <c r="P667">
        <f ca="1">INDEX(rngParamTypes,$N667,9)</f>
        <v>0</v>
      </c>
      <c r="Q667">
        <f ca="1">INDEX(rngParamTypes,$N667,10)</f>
        <v>1</v>
      </c>
      <c r="R667">
        <f ca="1">INDEX(rngParamTypes,$N667,11)</f>
        <v>0</v>
      </c>
      <c r="S667">
        <f ca="1">INDEX(rngParamTypes,$N667,12)</f>
        <v>0</v>
      </c>
      <c r="T667">
        <f ca="1">INDEX(rngParamTypes,$N667,13)</f>
        <v>0</v>
      </c>
      <c r="U667">
        <f ca="1">INDEX(rngParamTypes,$N667,14)</f>
        <v>0</v>
      </c>
      <c r="V667">
        <f ca="1">INDEX(rngParamTypes,$N667,15)</f>
        <v>0</v>
      </c>
      <c r="W667">
        <f ca="1">INDEX(rngParamTypes,$N667,16)</f>
        <v>0</v>
      </c>
      <c r="X667">
        <f ca="1">INDEX(rngParamTypes,$N667,17)</f>
        <v>0</v>
      </c>
      <c r="Y667">
        <f ca="1">INDEX(rngParamTypes,$N667,18)</f>
        <v>0</v>
      </c>
    </row>
    <row r="668" spans="1:25" x14ac:dyDescent="0.2">
      <c r="A668" s="16">
        <v>667</v>
      </c>
      <c r="B668" s="37">
        <v>1</v>
      </c>
      <c r="C668" s="16" t="s">
        <v>1945</v>
      </c>
      <c r="D668" s="16" t="s">
        <v>1945</v>
      </c>
      <c r="E668" s="16"/>
      <c r="F668" s="16" t="s">
        <v>3834</v>
      </c>
      <c r="G668" s="16" t="s">
        <v>1944</v>
      </c>
      <c r="H668" s="16" t="s">
        <v>1943</v>
      </c>
      <c r="I668" s="16" t="s">
        <v>271</v>
      </c>
      <c r="J668" s="16">
        <v>0</v>
      </c>
      <c r="K668" s="16">
        <v>1</v>
      </c>
      <c r="L668" s="16">
        <v>1</v>
      </c>
      <c r="M668" s="16">
        <v>0</v>
      </c>
      <c r="N668">
        <f t="array" aca="1" ref="N668" ca="1">MATCH(TRUE,EXACT(I668,OFFSET(rngParamTypes,0,6,,1)),0)</f>
        <v>107</v>
      </c>
      <c r="O668" t="str">
        <f ca="1">IF((INDEX(rngParamTypes,$N668,7)=I668),"",1)</f>
        <v/>
      </c>
      <c r="P668">
        <f ca="1">INDEX(rngParamTypes,$N668,9)</f>
        <v>0</v>
      </c>
      <c r="Q668">
        <f ca="1">INDEX(rngParamTypes,$N668,10)</f>
        <v>-2</v>
      </c>
      <c r="R668">
        <f ca="1">INDEX(rngParamTypes,$N668,11)</f>
        <v>0</v>
      </c>
      <c r="S668">
        <f ca="1">INDEX(rngParamTypes,$N668,12)</f>
        <v>0</v>
      </c>
      <c r="T668">
        <f ca="1">INDEX(rngParamTypes,$N668,13)</f>
        <v>0</v>
      </c>
      <c r="U668">
        <f ca="1">INDEX(rngParamTypes,$N668,14)</f>
        <v>0</v>
      </c>
      <c r="V668">
        <f ca="1">INDEX(rngParamTypes,$N668,15)</f>
        <v>1</v>
      </c>
      <c r="W668">
        <f ca="1">INDEX(rngParamTypes,$N668,16)</f>
        <v>0</v>
      </c>
      <c r="X668">
        <f ca="1">INDEX(rngParamTypes,$N668,17)</f>
        <v>1</v>
      </c>
      <c r="Y668">
        <f ca="1">INDEX(rngParamTypes,$N668,18)</f>
        <v>0</v>
      </c>
    </row>
    <row r="669" spans="1:25" x14ac:dyDescent="0.2">
      <c r="A669" s="16">
        <v>668</v>
      </c>
      <c r="B669" s="37">
        <v>1</v>
      </c>
      <c r="C669" s="16" t="s">
        <v>1947</v>
      </c>
      <c r="D669" s="16" t="s">
        <v>1947</v>
      </c>
      <c r="E669" s="16">
        <v>2</v>
      </c>
      <c r="F669" s="16" t="s">
        <v>4314</v>
      </c>
      <c r="G669" s="16" t="s">
        <v>321</v>
      </c>
      <c r="H669" s="16" t="s">
        <v>1946</v>
      </c>
      <c r="I669" s="16" t="s">
        <v>322</v>
      </c>
      <c r="J669" s="16">
        <v>0</v>
      </c>
      <c r="K669" s="16">
        <v>28316.846592000002</v>
      </c>
      <c r="L669" s="16">
        <v>1</v>
      </c>
      <c r="M669" s="16">
        <v>0</v>
      </c>
      <c r="N669">
        <f t="array" aca="1" ref="N669" ca="1">MATCH(TRUE,EXACT(I669,OFFSET(rngParamTypes,0,6,,1)),0)</f>
        <v>134</v>
      </c>
      <c r="O669" t="str">
        <f ca="1">IF((INDEX(rngParamTypes,$N669,7)=I669),"",1)</f>
        <v/>
      </c>
      <c r="P669">
        <f ca="1">INDEX(rngParamTypes,$N669,9)</f>
        <v>0</v>
      </c>
      <c r="Q669">
        <f ca="1">INDEX(rngParamTypes,$N669,10)</f>
        <v>3</v>
      </c>
      <c r="R669">
        <f ca="1">INDEX(rngParamTypes,$N669,11)</f>
        <v>0</v>
      </c>
      <c r="S669">
        <f ca="1">INDEX(rngParamTypes,$N669,12)</f>
        <v>0</v>
      </c>
      <c r="T669">
        <f ca="1">INDEX(rngParamTypes,$N669,13)</f>
        <v>0</v>
      </c>
      <c r="U669">
        <f ca="1">INDEX(rngParamTypes,$N669,14)</f>
        <v>0</v>
      </c>
      <c r="V669">
        <f ca="1">INDEX(rngParamTypes,$N669,15)</f>
        <v>0</v>
      </c>
      <c r="W669">
        <f ca="1">INDEX(rngParamTypes,$N669,16)</f>
        <v>0</v>
      </c>
      <c r="X669">
        <f ca="1">INDEX(rngParamTypes,$N669,17)</f>
        <v>0</v>
      </c>
      <c r="Y669">
        <f ca="1">INDEX(rngParamTypes,$N669,18)</f>
        <v>0</v>
      </c>
    </row>
    <row r="670" spans="1:25" x14ac:dyDescent="0.2">
      <c r="A670" s="16">
        <v>669</v>
      </c>
      <c r="B670" s="37">
        <v>1</v>
      </c>
      <c r="C670" s="16" t="s">
        <v>1949</v>
      </c>
      <c r="D670" s="16" t="s">
        <v>1949</v>
      </c>
      <c r="E670" s="16"/>
      <c r="F670" s="16" t="s">
        <v>4315</v>
      </c>
      <c r="G670" s="16" t="s">
        <v>659</v>
      </c>
      <c r="H670" s="16" t="s">
        <v>1948</v>
      </c>
      <c r="I670" s="16" t="s">
        <v>131</v>
      </c>
      <c r="J670" s="16">
        <v>0</v>
      </c>
      <c r="K670" s="16">
        <v>1000000</v>
      </c>
      <c r="L670" s="16">
        <v>43560</v>
      </c>
      <c r="M670" s="16">
        <v>0</v>
      </c>
      <c r="N670">
        <f t="array" aca="1" ref="N670" ca="1">MATCH(TRUE,EXACT(I670,OFFSET(rngParamTypes,0,6,,1)),0)</f>
        <v>42</v>
      </c>
      <c r="O670" t="str">
        <f ca="1">IF((INDEX(rngParamTypes,$N670,7)=I670),"",1)</f>
        <v/>
      </c>
      <c r="P670">
        <f ca="1">INDEX(rngParamTypes,$N670,9)</f>
        <v>0</v>
      </c>
      <c r="Q670">
        <f ca="1">INDEX(rngParamTypes,$N670,10)</f>
        <v>0</v>
      </c>
      <c r="R670">
        <f ca="1">INDEX(rngParamTypes,$N670,11)</f>
        <v>0</v>
      </c>
      <c r="S670">
        <f ca="1">INDEX(rngParamTypes,$N670,12)</f>
        <v>0</v>
      </c>
      <c r="T670">
        <f ca="1">INDEX(rngParamTypes,$N670,13)</f>
        <v>0</v>
      </c>
      <c r="U670">
        <f ca="1">INDEX(rngParamTypes,$N670,14)</f>
        <v>0</v>
      </c>
      <c r="V670">
        <f ca="1">INDEX(rngParamTypes,$N670,15)</f>
        <v>0</v>
      </c>
      <c r="W670">
        <f ca="1">INDEX(rngParamTypes,$N670,16)</f>
        <v>0</v>
      </c>
      <c r="X670">
        <f ca="1">INDEX(rngParamTypes,$N670,17)</f>
        <v>0</v>
      </c>
      <c r="Y670">
        <f ca="1">INDEX(rngParamTypes,$N670,18)</f>
        <v>0</v>
      </c>
    </row>
    <row r="671" spans="1:25" x14ac:dyDescent="0.2">
      <c r="A671" s="16">
        <v>670</v>
      </c>
      <c r="B671" s="37">
        <v>1</v>
      </c>
      <c r="C671" s="16" t="s">
        <v>1951</v>
      </c>
      <c r="D671" s="16" t="s">
        <v>1951</v>
      </c>
      <c r="E671" s="16">
        <v>2</v>
      </c>
      <c r="F671" s="16" t="s">
        <v>4316</v>
      </c>
      <c r="G671" s="16" t="s">
        <v>343</v>
      </c>
      <c r="H671" s="16" t="s">
        <v>1950</v>
      </c>
      <c r="I671" s="16" t="s">
        <v>344</v>
      </c>
      <c r="J671" s="16">
        <v>0</v>
      </c>
      <c r="K671" s="16">
        <v>28316.85</v>
      </c>
      <c r="L671" s="16">
        <v>86400</v>
      </c>
      <c r="M671" s="16">
        <v>0</v>
      </c>
      <c r="N671">
        <f t="array" aca="1" ref="N671" ca="1">MATCH(TRUE,EXACT(I671,OFFSET(rngParamTypes,0,6,,1)),0)</f>
        <v>141</v>
      </c>
      <c r="O671" t="str">
        <f ca="1">IF((INDEX(rngParamTypes,$N671,7)=I671),"",1)</f>
        <v/>
      </c>
      <c r="P671">
        <f ca="1">INDEX(rngParamTypes,$N671,9)</f>
        <v>0</v>
      </c>
      <c r="Q671">
        <f ca="1">INDEX(rngParamTypes,$N671,10)</f>
        <v>3</v>
      </c>
      <c r="R671">
        <f ca="1">INDEX(rngParamTypes,$N671,11)</f>
        <v>-1</v>
      </c>
      <c r="S671">
        <f ca="1">INDEX(rngParamTypes,$N671,12)</f>
        <v>0</v>
      </c>
      <c r="T671">
        <f ca="1">INDEX(rngParamTypes,$N671,13)</f>
        <v>0</v>
      </c>
      <c r="U671">
        <f ca="1">INDEX(rngParamTypes,$N671,14)</f>
        <v>0</v>
      </c>
      <c r="V671">
        <f ca="1">INDEX(rngParamTypes,$N671,15)</f>
        <v>0</v>
      </c>
      <c r="W671">
        <f ca="1">INDEX(rngParamTypes,$N671,16)</f>
        <v>0</v>
      </c>
      <c r="X671">
        <f ca="1">INDEX(rngParamTypes,$N671,17)</f>
        <v>0</v>
      </c>
      <c r="Y671">
        <f ca="1">INDEX(rngParamTypes,$N671,18)</f>
        <v>0</v>
      </c>
    </row>
    <row r="672" spans="1:25" x14ac:dyDescent="0.2">
      <c r="A672" s="16">
        <v>671</v>
      </c>
      <c r="B672" s="37">
        <v>1</v>
      </c>
      <c r="C672" s="16" t="s">
        <v>1953</v>
      </c>
      <c r="D672" s="16" t="s">
        <v>1953</v>
      </c>
      <c r="E672" s="16">
        <v>2</v>
      </c>
      <c r="F672" s="16" t="s">
        <v>4317</v>
      </c>
      <c r="G672" s="16" t="s">
        <v>321</v>
      </c>
      <c r="H672" s="16" t="s">
        <v>1952</v>
      </c>
      <c r="I672" s="16" t="s">
        <v>322</v>
      </c>
      <c r="J672" s="16">
        <v>0</v>
      </c>
      <c r="K672" s="16">
        <v>1.0000000000000001E-9</v>
      </c>
      <c r="L672" s="16">
        <v>1</v>
      </c>
      <c r="M672" s="16">
        <v>0</v>
      </c>
      <c r="N672">
        <f t="array" aca="1" ref="N672" ca="1">MATCH(TRUE,EXACT(I672,OFFSET(rngParamTypes,0,6,,1)),0)</f>
        <v>134</v>
      </c>
      <c r="O672" t="str">
        <f ca="1">IF((INDEX(rngParamTypes,$N672,7)=I672),"",1)</f>
        <v/>
      </c>
      <c r="P672">
        <f ca="1">INDEX(rngParamTypes,$N672,9)</f>
        <v>0</v>
      </c>
      <c r="Q672">
        <f ca="1">INDEX(rngParamTypes,$N672,10)</f>
        <v>3</v>
      </c>
      <c r="R672">
        <f ca="1">INDEX(rngParamTypes,$N672,11)</f>
        <v>0</v>
      </c>
      <c r="S672">
        <f ca="1">INDEX(rngParamTypes,$N672,12)</f>
        <v>0</v>
      </c>
      <c r="T672">
        <f ca="1">INDEX(rngParamTypes,$N672,13)</f>
        <v>0</v>
      </c>
      <c r="U672">
        <f ca="1">INDEX(rngParamTypes,$N672,14)</f>
        <v>0</v>
      </c>
      <c r="V672">
        <f ca="1">INDEX(rngParamTypes,$N672,15)</f>
        <v>0</v>
      </c>
      <c r="W672">
        <f ca="1">INDEX(rngParamTypes,$N672,16)</f>
        <v>0</v>
      </c>
      <c r="X672">
        <f ca="1">INDEX(rngParamTypes,$N672,17)</f>
        <v>0</v>
      </c>
      <c r="Y672">
        <f ca="1">INDEX(rngParamTypes,$N672,18)</f>
        <v>0</v>
      </c>
    </row>
    <row r="673" spans="1:25" x14ac:dyDescent="0.2">
      <c r="A673" s="16">
        <v>672</v>
      </c>
      <c r="B673" s="37">
        <v>1</v>
      </c>
      <c r="C673" s="16" t="s">
        <v>1955</v>
      </c>
      <c r="D673" s="16" t="s">
        <v>1955</v>
      </c>
      <c r="E673" s="16">
        <v>2</v>
      </c>
      <c r="F673" s="16" t="s">
        <v>4318</v>
      </c>
      <c r="G673" s="16" t="s">
        <v>343</v>
      </c>
      <c r="H673" s="16" t="s">
        <v>1954</v>
      </c>
      <c r="I673" s="16" t="s">
        <v>344</v>
      </c>
      <c r="J673" s="16">
        <v>0</v>
      </c>
      <c r="K673" s="16">
        <v>1000000</v>
      </c>
      <c r="L673" s="16">
        <v>86400</v>
      </c>
      <c r="M673" s="16">
        <v>0</v>
      </c>
      <c r="N673">
        <f t="array" aca="1" ref="N673" ca="1">MATCH(TRUE,EXACT(I673,OFFSET(rngParamTypes,0,6,,1)),0)</f>
        <v>141</v>
      </c>
      <c r="O673" t="str">
        <f ca="1">IF((INDEX(rngParamTypes,$N673,7)=I673),"",1)</f>
        <v/>
      </c>
      <c r="P673">
        <f ca="1">INDEX(rngParamTypes,$N673,9)</f>
        <v>0</v>
      </c>
      <c r="Q673">
        <f ca="1">INDEX(rngParamTypes,$N673,10)</f>
        <v>3</v>
      </c>
      <c r="R673">
        <f ca="1">INDEX(rngParamTypes,$N673,11)</f>
        <v>-1</v>
      </c>
      <c r="S673">
        <f ca="1">INDEX(rngParamTypes,$N673,12)</f>
        <v>0</v>
      </c>
      <c r="T673">
        <f ca="1">INDEX(rngParamTypes,$N673,13)</f>
        <v>0</v>
      </c>
      <c r="U673">
        <f ca="1">INDEX(rngParamTypes,$N673,14)</f>
        <v>0</v>
      </c>
      <c r="V673">
        <f ca="1">INDEX(rngParamTypes,$N673,15)</f>
        <v>0</v>
      </c>
      <c r="W673">
        <f ca="1">INDEX(rngParamTypes,$N673,16)</f>
        <v>0</v>
      </c>
      <c r="X673">
        <f ca="1">INDEX(rngParamTypes,$N673,17)</f>
        <v>0</v>
      </c>
      <c r="Y673">
        <f ca="1">INDEX(rngParamTypes,$N673,18)</f>
        <v>0</v>
      </c>
    </row>
    <row r="674" spans="1:25" x14ac:dyDescent="0.2">
      <c r="A674" s="16">
        <v>673</v>
      </c>
      <c r="B674" s="37">
        <v>1</v>
      </c>
      <c r="C674" s="16" t="s">
        <v>1957</v>
      </c>
      <c r="D674" s="16" t="s">
        <v>1957</v>
      </c>
      <c r="E674" s="16"/>
      <c r="F674" s="16" t="s">
        <v>4319</v>
      </c>
      <c r="G674" s="16" t="s">
        <v>3500</v>
      </c>
      <c r="H674" s="16" t="s">
        <v>1956</v>
      </c>
      <c r="I674" s="16" t="s">
        <v>131</v>
      </c>
      <c r="J674" s="16">
        <v>0</v>
      </c>
      <c r="K674" s="16">
        <v>1</v>
      </c>
      <c r="L674" s="16">
        <v>30</v>
      </c>
      <c r="M674" s="16">
        <v>0</v>
      </c>
      <c r="N674">
        <f t="array" aca="1" ref="N674" ca="1">MATCH(TRUE,EXACT(I674,OFFSET(rngParamTypes,0,6,,1)),0)</f>
        <v>42</v>
      </c>
      <c r="O674" t="str">
        <f ca="1">IF((INDEX(rngParamTypes,$N674,7)=I674),"",1)</f>
        <v/>
      </c>
      <c r="P674">
        <f ca="1">INDEX(rngParamTypes,$N674,9)</f>
        <v>0</v>
      </c>
      <c r="Q674">
        <f ca="1">INDEX(rngParamTypes,$N674,10)</f>
        <v>0</v>
      </c>
      <c r="R674">
        <f ca="1">INDEX(rngParamTypes,$N674,11)</f>
        <v>0</v>
      </c>
      <c r="S674">
        <f ca="1">INDEX(rngParamTypes,$N674,12)</f>
        <v>0</v>
      </c>
      <c r="T674">
        <f ca="1">INDEX(rngParamTypes,$N674,13)</f>
        <v>0</v>
      </c>
      <c r="U674">
        <f ca="1">INDEX(rngParamTypes,$N674,14)</f>
        <v>0</v>
      </c>
      <c r="V674">
        <f ca="1">INDEX(rngParamTypes,$N674,15)</f>
        <v>0</v>
      </c>
      <c r="W674">
        <f ca="1">INDEX(rngParamTypes,$N674,16)</f>
        <v>0</v>
      </c>
      <c r="X674">
        <f ca="1">INDEX(rngParamTypes,$N674,17)</f>
        <v>0</v>
      </c>
      <c r="Y674">
        <f ca="1">INDEX(rngParamTypes,$N674,18)</f>
        <v>0</v>
      </c>
    </row>
    <row r="675" spans="1:25" x14ac:dyDescent="0.2">
      <c r="A675" s="16">
        <v>674</v>
      </c>
      <c r="B675" s="37">
        <v>1</v>
      </c>
      <c r="C675" s="16" t="s">
        <v>1959</v>
      </c>
      <c r="D675" s="16" t="s">
        <v>1959</v>
      </c>
      <c r="E675" s="16"/>
      <c r="F675" s="16" t="s">
        <v>3835</v>
      </c>
      <c r="G675" s="16" t="s">
        <v>3509</v>
      </c>
      <c r="H675" s="16" t="s">
        <v>1958</v>
      </c>
      <c r="I675" s="16" t="s">
        <v>131</v>
      </c>
      <c r="J675" s="16">
        <v>0</v>
      </c>
      <c r="K675" s="16">
        <v>100</v>
      </c>
      <c r="L675" s="16">
        <v>1</v>
      </c>
      <c r="M675" s="16">
        <v>0</v>
      </c>
      <c r="N675">
        <f t="array" aca="1" ref="N675" ca="1">MATCH(TRUE,EXACT(I675,OFFSET(rngParamTypes,0,6,,1)),0)</f>
        <v>42</v>
      </c>
      <c r="O675" t="str">
        <f ca="1">IF((INDEX(rngParamTypes,$N675,7)=I675),"",1)</f>
        <v/>
      </c>
      <c r="P675">
        <f ca="1">INDEX(rngParamTypes,$N675,9)</f>
        <v>0</v>
      </c>
      <c r="Q675">
        <f ca="1">INDEX(rngParamTypes,$N675,10)</f>
        <v>0</v>
      </c>
      <c r="R675">
        <f ca="1">INDEX(rngParamTypes,$N675,11)</f>
        <v>0</v>
      </c>
      <c r="S675">
        <f ca="1">INDEX(rngParamTypes,$N675,12)</f>
        <v>0</v>
      </c>
      <c r="T675">
        <f ca="1">INDEX(rngParamTypes,$N675,13)</f>
        <v>0</v>
      </c>
      <c r="U675">
        <f ca="1">INDEX(rngParamTypes,$N675,14)</f>
        <v>0</v>
      </c>
      <c r="V675">
        <f ca="1">INDEX(rngParamTypes,$N675,15)</f>
        <v>0</v>
      </c>
      <c r="W675">
        <f ca="1">INDEX(rngParamTypes,$N675,16)</f>
        <v>0</v>
      </c>
      <c r="X675">
        <f ca="1">INDEX(rngParamTypes,$N675,17)</f>
        <v>0</v>
      </c>
      <c r="Y675">
        <f ca="1">INDEX(rngParamTypes,$N675,18)</f>
        <v>0</v>
      </c>
    </row>
    <row r="676" spans="1:25" x14ac:dyDescent="0.2">
      <c r="A676" s="16">
        <v>675</v>
      </c>
      <c r="B676" s="37">
        <v>1</v>
      </c>
      <c r="C676" s="16" t="s">
        <v>1961</v>
      </c>
      <c r="D676" s="16" t="s">
        <v>1961</v>
      </c>
      <c r="E676" s="16">
        <v>2</v>
      </c>
      <c r="F676" s="16" t="s">
        <v>3836</v>
      </c>
      <c r="G676" s="16" t="s">
        <v>296</v>
      </c>
      <c r="H676" s="16" t="s">
        <v>1960</v>
      </c>
      <c r="I676" s="16" t="s">
        <v>297</v>
      </c>
      <c r="J676" s="16">
        <v>0</v>
      </c>
      <c r="K676" s="16">
        <v>1</v>
      </c>
      <c r="L676" s="16">
        <v>86400</v>
      </c>
      <c r="M676" s="16">
        <v>0</v>
      </c>
      <c r="N676">
        <f t="array" aca="1" ref="N676" ca="1">MATCH(TRUE,EXACT(I676,OFFSET(rngParamTypes,0,6,,1)),0)</f>
        <v>123</v>
      </c>
      <c r="O676" t="str">
        <f ca="1">IF((INDEX(rngParamTypes,$N676,7)=I676),"",1)</f>
        <v/>
      </c>
      <c r="P676">
        <f ca="1">INDEX(rngParamTypes,$N676,9)</f>
        <v>0</v>
      </c>
      <c r="Q676">
        <f ca="1">INDEX(rngParamTypes,$N676,10)</f>
        <v>1</v>
      </c>
      <c r="R676">
        <f ca="1">INDEX(rngParamTypes,$N676,11)</f>
        <v>-1</v>
      </c>
      <c r="S676">
        <f ca="1">INDEX(rngParamTypes,$N676,12)</f>
        <v>0</v>
      </c>
      <c r="T676">
        <f ca="1">INDEX(rngParamTypes,$N676,13)</f>
        <v>0</v>
      </c>
      <c r="U676">
        <f ca="1">INDEX(rngParamTypes,$N676,14)</f>
        <v>0</v>
      </c>
      <c r="V676">
        <f ca="1">INDEX(rngParamTypes,$N676,15)</f>
        <v>0</v>
      </c>
      <c r="W676">
        <f ca="1">INDEX(rngParamTypes,$N676,16)</f>
        <v>0</v>
      </c>
      <c r="X676">
        <f ca="1">INDEX(rngParamTypes,$N676,17)</f>
        <v>0</v>
      </c>
      <c r="Y676">
        <f ca="1">INDEX(rngParamTypes,$N676,18)</f>
        <v>0</v>
      </c>
    </row>
    <row r="677" spans="1:25" x14ac:dyDescent="0.2">
      <c r="A677" s="16">
        <v>676</v>
      </c>
      <c r="B677" s="37">
        <v>1</v>
      </c>
      <c r="C677" s="16" t="s">
        <v>1963</v>
      </c>
      <c r="D677" s="16" t="s">
        <v>1963</v>
      </c>
      <c r="E677" s="16">
        <v>2</v>
      </c>
      <c r="F677" s="16" t="s">
        <v>3837</v>
      </c>
      <c r="G677" s="16" t="s">
        <v>296</v>
      </c>
      <c r="H677" s="16" t="s">
        <v>1962</v>
      </c>
      <c r="I677" s="16" t="s">
        <v>297</v>
      </c>
      <c r="J677" s="16">
        <v>0</v>
      </c>
      <c r="K677" s="16">
        <v>1</v>
      </c>
      <c r="L677" s="16">
        <v>3600</v>
      </c>
      <c r="M677" s="16">
        <v>0</v>
      </c>
      <c r="N677">
        <f t="array" aca="1" ref="N677" ca="1">MATCH(TRUE,EXACT(I677,OFFSET(rngParamTypes,0,6,,1)),0)</f>
        <v>123</v>
      </c>
      <c r="O677" t="str">
        <f ca="1">IF((INDEX(rngParamTypes,$N677,7)=I677),"",1)</f>
        <v/>
      </c>
      <c r="P677">
        <f ca="1">INDEX(rngParamTypes,$N677,9)</f>
        <v>0</v>
      </c>
      <c r="Q677">
        <f ca="1">INDEX(rngParamTypes,$N677,10)</f>
        <v>1</v>
      </c>
      <c r="R677">
        <f ca="1">INDEX(rngParamTypes,$N677,11)</f>
        <v>-1</v>
      </c>
      <c r="S677">
        <f ca="1">INDEX(rngParamTypes,$N677,12)</f>
        <v>0</v>
      </c>
      <c r="T677">
        <f ca="1">INDEX(rngParamTypes,$N677,13)</f>
        <v>0</v>
      </c>
      <c r="U677">
        <f ca="1">INDEX(rngParamTypes,$N677,14)</f>
        <v>0</v>
      </c>
      <c r="V677">
        <f ca="1">INDEX(rngParamTypes,$N677,15)</f>
        <v>0</v>
      </c>
      <c r="W677">
        <f ca="1">INDEX(rngParamTypes,$N677,16)</f>
        <v>0</v>
      </c>
      <c r="X677">
        <f ca="1">INDEX(rngParamTypes,$N677,17)</f>
        <v>0</v>
      </c>
      <c r="Y677">
        <f ca="1">INDEX(rngParamTypes,$N677,18)</f>
        <v>0</v>
      </c>
    </row>
    <row r="678" spans="1:25" x14ac:dyDescent="0.2">
      <c r="A678" s="16">
        <v>677</v>
      </c>
      <c r="B678" s="37">
        <v>1</v>
      </c>
      <c r="C678" s="16" t="s">
        <v>1965</v>
      </c>
      <c r="D678" s="16" t="s">
        <v>1965</v>
      </c>
      <c r="E678" s="16"/>
      <c r="F678" s="16" t="s">
        <v>3838</v>
      </c>
      <c r="G678" s="16" t="s">
        <v>3500</v>
      </c>
      <c r="H678" s="16" t="s">
        <v>1964</v>
      </c>
      <c r="I678" s="16" t="s">
        <v>131</v>
      </c>
      <c r="J678" s="16">
        <v>0</v>
      </c>
      <c r="K678" s="16">
        <v>1E-3</v>
      </c>
      <c r="L678" s="16">
        <v>1</v>
      </c>
      <c r="M678" s="16">
        <v>0</v>
      </c>
      <c r="N678">
        <f t="array" aca="1" ref="N678" ca="1">MATCH(TRUE,EXACT(I678,OFFSET(rngParamTypes,0,6,,1)),0)</f>
        <v>42</v>
      </c>
      <c r="O678" t="str">
        <f ca="1">IF((INDEX(rngParamTypes,$N678,7)=I678),"",1)</f>
        <v/>
      </c>
      <c r="P678">
        <f ca="1">INDEX(rngParamTypes,$N678,9)</f>
        <v>0</v>
      </c>
      <c r="Q678">
        <f ca="1">INDEX(rngParamTypes,$N678,10)</f>
        <v>0</v>
      </c>
      <c r="R678">
        <f ca="1">INDEX(rngParamTypes,$N678,11)</f>
        <v>0</v>
      </c>
      <c r="S678">
        <f ca="1">INDEX(rngParamTypes,$N678,12)</f>
        <v>0</v>
      </c>
      <c r="T678">
        <f ca="1">INDEX(rngParamTypes,$N678,13)</f>
        <v>0</v>
      </c>
      <c r="U678">
        <f ca="1">INDEX(rngParamTypes,$N678,14)</f>
        <v>0</v>
      </c>
      <c r="V678">
        <f ca="1">INDEX(rngParamTypes,$N678,15)</f>
        <v>0</v>
      </c>
      <c r="W678">
        <f ca="1">INDEX(rngParamTypes,$N678,16)</f>
        <v>0</v>
      </c>
      <c r="X678">
        <f ca="1">INDEX(rngParamTypes,$N678,17)</f>
        <v>0</v>
      </c>
      <c r="Y678">
        <f ca="1">INDEX(rngParamTypes,$N678,18)</f>
        <v>0</v>
      </c>
    </row>
    <row r="679" spans="1:25" x14ac:dyDescent="0.2">
      <c r="A679" s="16">
        <v>678</v>
      </c>
      <c r="B679" s="37">
        <v>1</v>
      </c>
      <c r="C679" s="16" t="s">
        <v>1967</v>
      </c>
      <c r="D679" s="16" t="s">
        <v>1967</v>
      </c>
      <c r="E679" s="16"/>
      <c r="F679" s="16" t="s">
        <v>3839</v>
      </c>
      <c r="G679" s="16" t="s">
        <v>3500</v>
      </c>
      <c r="H679" s="16" t="s">
        <v>1966</v>
      </c>
      <c r="I679" s="16" t="s">
        <v>131</v>
      </c>
      <c r="J679" s="16">
        <v>0</v>
      </c>
      <c r="K679" s="16">
        <v>1</v>
      </c>
      <c r="L679" s="16">
        <v>1</v>
      </c>
      <c r="M679" s="16">
        <v>0</v>
      </c>
      <c r="N679">
        <f t="array" aca="1" ref="N679" ca="1">MATCH(TRUE,EXACT(I679,OFFSET(rngParamTypes,0,6,,1)),0)</f>
        <v>42</v>
      </c>
      <c r="O679" t="str">
        <f ca="1">IF((INDEX(rngParamTypes,$N679,7)=I679),"",1)</f>
        <v/>
      </c>
      <c r="P679">
        <f ca="1">INDEX(rngParamTypes,$N679,9)</f>
        <v>0</v>
      </c>
      <c r="Q679">
        <f ca="1">INDEX(rngParamTypes,$N679,10)</f>
        <v>0</v>
      </c>
      <c r="R679">
        <f ca="1">INDEX(rngParamTypes,$N679,11)</f>
        <v>0</v>
      </c>
      <c r="S679">
        <f ca="1">INDEX(rngParamTypes,$N679,12)</f>
        <v>0</v>
      </c>
      <c r="T679">
        <f ca="1">INDEX(rngParamTypes,$N679,13)</f>
        <v>0</v>
      </c>
      <c r="U679">
        <f ca="1">INDEX(rngParamTypes,$N679,14)</f>
        <v>0</v>
      </c>
      <c r="V679">
        <f ca="1">INDEX(rngParamTypes,$N679,15)</f>
        <v>0</v>
      </c>
      <c r="W679">
        <f ca="1">INDEX(rngParamTypes,$N679,16)</f>
        <v>0</v>
      </c>
      <c r="X679">
        <f ca="1">INDEX(rngParamTypes,$N679,17)</f>
        <v>0</v>
      </c>
      <c r="Y679">
        <f ca="1">INDEX(rngParamTypes,$N679,18)</f>
        <v>0</v>
      </c>
    </row>
    <row r="680" spans="1:25" x14ac:dyDescent="0.2">
      <c r="A680" s="16">
        <v>679</v>
      </c>
      <c r="B680" s="37">
        <v>1</v>
      </c>
      <c r="C680" s="16" t="s">
        <v>1969</v>
      </c>
      <c r="D680" s="16" t="s">
        <v>1969</v>
      </c>
      <c r="E680" s="16"/>
      <c r="F680" s="16" t="s">
        <v>3840</v>
      </c>
      <c r="G680" s="16" t="s">
        <v>12</v>
      </c>
      <c r="H680" s="16" t="s">
        <v>1968</v>
      </c>
      <c r="I680" s="16" t="s">
        <v>13</v>
      </c>
      <c r="J680" s="16">
        <v>0</v>
      </c>
      <c r="K680" s="16">
        <v>1</v>
      </c>
      <c r="L680" s="16">
        <v>1</v>
      </c>
      <c r="M680" s="16">
        <v>0</v>
      </c>
      <c r="N680">
        <f t="array" aca="1" ref="N680" ca="1">MATCH(TRUE,EXACT(I680,OFFSET(rngParamTypes,0,6,,1)),0)</f>
        <v>2</v>
      </c>
      <c r="O680" t="str">
        <f ca="1">IF((INDEX(rngParamTypes,$N680,7)=I680),"",1)</f>
        <v/>
      </c>
      <c r="P680">
        <f ca="1">INDEX(rngParamTypes,$N680,9)</f>
        <v>0</v>
      </c>
      <c r="Q680">
        <f ca="1">INDEX(rngParamTypes,$N680,10)</f>
        <v>0</v>
      </c>
      <c r="R680">
        <f ca="1">INDEX(rngParamTypes,$N680,11)</f>
        <v>0</v>
      </c>
      <c r="S680">
        <f ca="1">INDEX(rngParamTypes,$N680,12)</f>
        <v>0</v>
      </c>
      <c r="T680">
        <f ca="1">INDEX(rngParamTypes,$N680,13)</f>
        <v>-1</v>
      </c>
      <c r="U680">
        <f ca="1">INDEX(rngParamTypes,$N680,14)</f>
        <v>0</v>
      </c>
      <c r="V680">
        <f ca="1">INDEX(rngParamTypes,$N680,15)</f>
        <v>0</v>
      </c>
      <c r="W680">
        <f ca="1">INDEX(rngParamTypes,$N680,16)</f>
        <v>0</v>
      </c>
      <c r="X680">
        <f ca="1">INDEX(rngParamTypes,$N680,17)</f>
        <v>0</v>
      </c>
      <c r="Y680">
        <f ca="1">INDEX(rngParamTypes,$N680,18)</f>
        <v>0</v>
      </c>
    </row>
    <row r="681" spans="1:25" x14ac:dyDescent="0.2">
      <c r="A681" s="16">
        <v>680</v>
      </c>
      <c r="B681" s="37">
        <v>1</v>
      </c>
      <c r="C681" s="16" t="s">
        <v>1971</v>
      </c>
      <c r="D681" s="16" t="s">
        <v>1971</v>
      </c>
      <c r="E681" s="16"/>
      <c r="F681" s="16" t="s">
        <v>3841</v>
      </c>
      <c r="G681" s="16" t="s">
        <v>1208</v>
      </c>
      <c r="H681" s="16" t="s">
        <v>1970</v>
      </c>
      <c r="I681" s="16" t="s">
        <v>23</v>
      </c>
      <c r="J681" s="16">
        <v>0</v>
      </c>
      <c r="K681" s="16">
        <v>1</v>
      </c>
      <c r="L681" s="16">
        <v>1</v>
      </c>
      <c r="M681" s="16">
        <v>0</v>
      </c>
      <c r="N681">
        <f t="array" aca="1" ref="N681" ca="1">MATCH(TRUE,EXACT(I681,OFFSET(rngParamTypes,0,6,,1)),0)</f>
        <v>7</v>
      </c>
      <c r="O681" t="str">
        <f ca="1">IF((INDEX(rngParamTypes,$N681,7)=I681),"",1)</f>
        <v/>
      </c>
      <c r="P681">
        <f ca="1">INDEX(rngParamTypes,$N681,9)</f>
        <v>0</v>
      </c>
      <c r="Q681">
        <f ca="1">INDEX(rngParamTypes,$N681,10)</f>
        <v>-2</v>
      </c>
      <c r="R681">
        <f ca="1">INDEX(rngParamTypes,$N681,11)</f>
        <v>0</v>
      </c>
      <c r="S681">
        <f ca="1">INDEX(rngParamTypes,$N681,12)</f>
        <v>0</v>
      </c>
      <c r="T681">
        <f ca="1">INDEX(rngParamTypes,$N681,13)</f>
        <v>0</v>
      </c>
      <c r="U681">
        <f ca="1">INDEX(rngParamTypes,$N681,14)</f>
        <v>0</v>
      </c>
      <c r="V681">
        <f ca="1">INDEX(rngParamTypes,$N681,15)</f>
        <v>0</v>
      </c>
      <c r="W681">
        <f ca="1">INDEX(rngParamTypes,$N681,16)</f>
        <v>0</v>
      </c>
      <c r="X681">
        <f ca="1">INDEX(rngParamTypes,$N681,17)</f>
        <v>0</v>
      </c>
      <c r="Y681">
        <f ca="1">INDEX(rngParamTypes,$N681,18)</f>
        <v>0</v>
      </c>
    </row>
    <row r="682" spans="1:25" x14ac:dyDescent="0.2">
      <c r="A682" s="16">
        <v>681</v>
      </c>
      <c r="B682" s="37">
        <v>1</v>
      </c>
      <c r="C682" s="16" t="s">
        <v>1973</v>
      </c>
      <c r="D682" s="16" t="s">
        <v>1973</v>
      </c>
      <c r="E682" s="16">
        <v>2</v>
      </c>
      <c r="F682" s="16" t="s">
        <v>3842</v>
      </c>
      <c r="G682" s="16" t="s">
        <v>296</v>
      </c>
      <c r="H682" s="16" t="s">
        <v>1972</v>
      </c>
      <c r="I682" s="16" t="s">
        <v>297</v>
      </c>
      <c r="J682" s="16">
        <v>0</v>
      </c>
      <c r="K682" s="16">
        <v>1</v>
      </c>
      <c r="L682" s="16">
        <v>60</v>
      </c>
      <c r="M682" s="16">
        <v>0</v>
      </c>
      <c r="N682">
        <f t="array" aca="1" ref="N682" ca="1">MATCH(TRUE,EXACT(I682,OFFSET(rngParamTypes,0,6,,1)),0)</f>
        <v>123</v>
      </c>
      <c r="O682" t="str">
        <f ca="1">IF((INDEX(rngParamTypes,$N682,7)=I682),"",1)</f>
        <v/>
      </c>
      <c r="P682">
        <f ca="1">INDEX(rngParamTypes,$N682,9)</f>
        <v>0</v>
      </c>
      <c r="Q682">
        <f ca="1">INDEX(rngParamTypes,$N682,10)</f>
        <v>1</v>
      </c>
      <c r="R682">
        <f ca="1">INDEX(rngParamTypes,$N682,11)</f>
        <v>-1</v>
      </c>
      <c r="S682">
        <f ca="1">INDEX(rngParamTypes,$N682,12)</f>
        <v>0</v>
      </c>
      <c r="T682">
        <f ca="1">INDEX(rngParamTypes,$N682,13)</f>
        <v>0</v>
      </c>
      <c r="U682">
        <f ca="1">INDEX(rngParamTypes,$N682,14)</f>
        <v>0</v>
      </c>
      <c r="V682">
        <f ca="1">INDEX(rngParamTypes,$N682,15)</f>
        <v>0</v>
      </c>
      <c r="W682">
        <f ca="1">INDEX(rngParamTypes,$N682,16)</f>
        <v>0</v>
      </c>
      <c r="X682">
        <f ca="1">INDEX(rngParamTypes,$N682,17)</f>
        <v>0</v>
      </c>
      <c r="Y682">
        <f ca="1">INDEX(rngParamTypes,$N682,18)</f>
        <v>0</v>
      </c>
    </row>
    <row r="683" spans="1:25" x14ac:dyDescent="0.2">
      <c r="A683" s="16">
        <v>682</v>
      </c>
      <c r="B683" s="37">
        <v>1</v>
      </c>
      <c r="C683" s="16" t="s">
        <v>1975</v>
      </c>
      <c r="D683" s="16" t="s">
        <v>1975</v>
      </c>
      <c r="E683" s="16">
        <v>2</v>
      </c>
      <c r="F683" s="16" t="s">
        <v>3843</v>
      </c>
      <c r="G683" s="16" t="s">
        <v>296</v>
      </c>
      <c r="H683" s="16" t="s">
        <v>1974</v>
      </c>
      <c r="I683" s="16" t="s">
        <v>297</v>
      </c>
      <c r="J683" s="16">
        <v>0</v>
      </c>
      <c r="K683" s="16">
        <v>1000</v>
      </c>
      <c r="L683" s="16">
        <v>1</v>
      </c>
      <c r="M683" s="16">
        <v>0</v>
      </c>
      <c r="N683">
        <f t="array" aca="1" ref="N683" ca="1">MATCH(TRUE,EXACT(I683,OFFSET(rngParamTypes,0,6,,1)),0)</f>
        <v>123</v>
      </c>
      <c r="O683" t="str">
        <f ca="1">IF((INDEX(rngParamTypes,$N683,7)=I683),"",1)</f>
        <v/>
      </c>
      <c r="P683">
        <f ca="1">INDEX(rngParamTypes,$N683,9)</f>
        <v>0</v>
      </c>
      <c r="Q683">
        <f ca="1">INDEX(rngParamTypes,$N683,10)</f>
        <v>1</v>
      </c>
      <c r="R683">
        <f ca="1">INDEX(rngParamTypes,$N683,11)</f>
        <v>-1</v>
      </c>
      <c r="S683">
        <f ca="1">INDEX(rngParamTypes,$N683,12)</f>
        <v>0</v>
      </c>
      <c r="T683">
        <f ca="1">INDEX(rngParamTypes,$N683,13)</f>
        <v>0</v>
      </c>
      <c r="U683">
        <f ca="1">INDEX(rngParamTypes,$N683,14)</f>
        <v>0</v>
      </c>
      <c r="V683">
        <f ca="1">INDEX(rngParamTypes,$N683,15)</f>
        <v>0</v>
      </c>
      <c r="W683">
        <f ca="1">INDEX(rngParamTypes,$N683,16)</f>
        <v>0</v>
      </c>
      <c r="X683">
        <f ca="1">INDEX(rngParamTypes,$N683,17)</f>
        <v>0</v>
      </c>
      <c r="Y683">
        <f ca="1">INDEX(rngParamTypes,$N683,18)</f>
        <v>0</v>
      </c>
    </row>
    <row r="684" spans="1:25" x14ac:dyDescent="0.2">
      <c r="A684" s="16">
        <v>683</v>
      </c>
      <c r="B684" s="37">
        <v>1</v>
      </c>
      <c r="C684" s="16" t="s">
        <v>1977</v>
      </c>
      <c r="D684" s="16" t="s">
        <v>1977</v>
      </c>
      <c r="E684" s="16"/>
      <c r="F684" s="16" t="s">
        <v>3844</v>
      </c>
      <c r="G684" s="16" t="s">
        <v>722</v>
      </c>
      <c r="H684" s="16" t="s">
        <v>1976</v>
      </c>
      <c r="I684" s="16" t="s">
        <v>20</v>
      </c>
      <c r="J684" s="16">
        <v>0</v>
      </c>
      <c r="K684" s="16">
        <v>1000000</v>
      </c>
      <c r="L684" s="16">
        <v>1</v>
      </c>
      <c r="M684" s="16">
        <v>0</v>
      </c>
      <c r="N684">
        <f t="array" aca="1" ref="N684" ca="1">MATCH(TRUE,EXACT(I684,OFFSET(rngParamTypes,0,6,,1)),0)</f>
        <v>5</v>
      </c>
      <c r="O684" t="str">
        <f ca="1">IF((INDEX(rngParamTypes,$N684,7)=I684),"",1)</f>
        <v/>
      </c>
      <c r="P684">
        <f ca="1">INDEX(rngParamTypes,$N684,9)</f>
        <v>0</v>
      </c>
      <c r="Q684">
        <f ca="1">INDEX(rngParamTypes,$N684,10)</f>
        <v>-1</v>
      </c>
      <c r="R684">
        <f ca="1">INDEX(rngParamTypes,$N684,11)</f>
        <v>0</v>
      </c>
      <c r="S684">
        <f ca="1">INDEX(rngParamTypes,$N684,12)</f>
        <v>0</v>
      </c>
      <c r="T684">
        <f ca="1">INDEX(rngParamTypes,$N684,13)</f>
        <v>0</v>
      </c>
      <c r="U684">
        <f ca="1">INDEX(rngParamTypes,$N684,14)</f>
        <v>0</v>
      </c>
      <c r="V684">
        <f ca="1">INDEX(rngParamTypes,$N684,15)</f>
        <v>0</v>
      </c>
      <c r="W684">
        <f ca="1">INDEX(rngParamTypes,$N684,16)</f>
        <v>0</v>
      </c>
      <c r="X684">
        <f ca="1">INDEX(rngParamTypes,$N684,17)</f>
        <v>0</v>
      </c>
      <c r="Y684">
        <f ca="1">INDEX(rngParamTypes,$N684,18)</f>
        <v>0</v>
      </c>
    </row>
    <row r="685" spans="1:25" x14ac:dyDescent="0.2">
      <c r="A685" s="16">
        <v>684</v>
      </c>
      <c r="B685" s="37">
        <v>1</v>
      </c>
      <c r="C685" s="16" t="s">
        <v>1979</v>
      </c>
      <c r="D685" s="16" t="s">
        <v>1979</v>
      </c>
      <c r="E685" s="16"/>
      <c r="F685" s="16" t="s">
        <v>3845</v>
      </c>
      <c r="G685" s="16" t="s">
        <v>311</v>
      </c>
      <c r="H685" s="16" t="s">
        <v>1978</v>
      </c>
      <c r="I685" s="16" t="s">
        <v>313</v>
      </c>
      <c r="J685" s="16">
        <v>0</v>
      </c>
      <c r="K685" s="16">
        <v>1</v>
      </c>
      <c r="L685" s="16">
        <v>86400000</v>
      </c>
      <c r="M685" s="16">
        <v>0</v>
      </c>
      <c r="N685">
        <f t="array" aca="1" ref="N685" ca="1">MATCH(TRUE,EXACT(I685,OFFSET(rngParamTypes,0,6,,1)),0)</f>
        <v>128</v>
      </c>
      <c r="O685" t="str">
        <f ca="1">IF((INDEX(rngParamTypes,$N685,7)=I685),"",1)</f>
        <v/>
      </c>
      <c r="P685">
        <f ca="1">INDEX(rngParamTypes,$N685,9)</f>
        <v>-1</v>
      </c>
      <c r="Q685">
        <f ca="1">INDEX(rngParamTypes,$N685,10)</f>
        <v>3</v>
      </c>
      <c r="R685">
        <f ca="1">INDEX(rngParamTypes,$N685,11)</f>
        <v>1</v>
      </c>
      <c r="S685">
        <f ca="1">INDEX(rngParamTypes,$N685,12)</f>
        <v>0</v>
      </c>
      <c r="T685">
        <f ca="1">INDEX(rngParamTypes,$N685,13)</f>
        <v>0</v>
      </c>
      <c r="U685">
        <f ca="1">INDEX(rngParamTypes,$N685,14)</f>
        <v>0</v>
      </c>
      <c r="V685">
        <f ca="1">INDEX(rngParamTypes,$N685,15)</f>
        <v>0</v>
      </c>
      <c r="W685">
        <f ca="1">INDEX(rngParamTypes,$N685,16)</f>
        <v>0</v>
      </c>
      <c r="X685">
        <f ca="1">INDEX(rngParamTypes,$N685,17)</f>
        <v>0</v>
      </c>
      <c r="Y685">
        <f ca="1">INDEX(rngParamTypes,$N685,18)</f>
        <v>0</v>
      </c>
    </row>
    <row r="686" spans="1:25" x14ac:dyDescent="0.2">
      <c r="A686" s="16">
        <v>685</v>
      </c>
      <c r="B686" s="37">
        <v>1</v>
      </c>
      <c r="C686" s="16" t="s">
        <v>1981</v>
      </c>
      <c r="D686" s="16" t="s">
        <v>1981</v>
      </c>
      <c r="E686" s="16"/>
      <c r="F686" s="16" t="s">
        <v>3846</v>
      </c>
      <c r="G686" s="16" t="s">
        <v>305</v>
      </c>
      <c r="H686" s="16" t="s">
        <v>1980</v>
      </c>
      <c r="I686" s="16" t="s">
        <v>306</v>
      </c>
      <c r="J686" s="16">
        <v>0</v>
      </c>
      <c r="K686" s="16">
        <v>1000</v>
      </c>
      <c r="L686" s="16">
        <v>1</v>
      </c>
      <c r="M686" s="16">
        <v>0</v>
      </c>
      <c r="N686">
        <f t="array" aca="1" ref="N686" ca="1">MATCH(TRUE,EXACT(I686,OFFSET(rngParamTypes,0,6,,1)),0)</f>
        <v>126</v>
      </c>
      <c r="O686" t="str">
        <f ca="1">IF((INDEX(rngParamTypes,$N686,7)=I686),"",1)</f>
        <v/>
      </c>
      <c r="P686">
        <f ca="1">INDEX(rngParamTypes,$N686,9)</f>
        <v>-1</v>
      </c>
      <c r="Q686">
        <f ca="1">INDEX(rngParamTypes,$N686,10)</f>
        <v>2</v>
      </c>
      <c r="R686">
        <f ca="1">INDEX(rngParamTypes,$N686,11)</f>
        <v>0</v>
      </c>
      <c r="S686">
        <f ca="1">INDEX(rngParamTypes,$N686,12)</f>
        <v>0</v>
      </c>
      <c r="T686">
        <f ca="1">INDEX(rngParamTypes,$N686,13)</f>
        <v>0</v>
      </c>
      <c r="U686">
        <f ca="1">INDEX(rngParamTypes,$N686,14)</f>
        <v>0</v>
      </c>
      <c r="V686">
        <f ca="1">INDEX(rngParamTypes,$N686,15)</f>
        <v>0</v>
      </c>
      <c r="W686">
        <f ca="1">INDEX(rngParamTypes,$N686,16)</f>
        <v>0</v>
      </c>
      <c r="X686">
        <f ca="1">INDEX(rngParamTypes,$N686,17)</f>
        <v>0</v>
      </c>
      <c r="Y686">
        <f ca="1">INDEX(rngParamTypes,$N686,18)</f>
        <v>0</v>
      </c>
    </row>
    <row r="687" spans="1:25" x14ac:dyDescent="0.2">
      <c r="A687" s="16">
        <v>686</v>
      </c>
      <c r="B687" s="37">
        <v>1</v>
      </c>
      <c r="C687" s="16" t="s">
        <v>1983</v>
      </c>
      <c r="D687" s="16" t="s">
        <v>1983</v>
      </c>
      <c r="E687" s="16">
        <v>2</v>
      </c>
      <c r="F687" s="16" t="s">
        <v>3847</v>
      </c>
      <c r="G687" s="16" t="s">
        <v>3387</v>
      </c>
      <c r="H687" s="16" t="s">
        <v>1982</v>
      </c>
      <c r="I687" s="16" t="s">
        <v>319</v>
      </c>
      <c r="J687" s="16">
        <v>0</v>
      </c>
      <c r="K687" s="16">
        <v>1</v>
      </c>
      <c r="L687" s="16">
        <v>3600</v>
      </c>
      <c r="M687" s="16">
        <v>0</v>
      </c>
      <c r="N687">
        <f t="array" aca="1" ref="N687" ca="1">MATCH(TRUE,EXACT(I687,OFFSET(rngParamTypes,0,6,,1)),0)</f>
        <v>130</v>
      </c>
      <c r="O687" t="str">
        <f ca="1">IF((INDEX(rngParamTypes,$N687,7)=I687),"",1)</f>
        <v/>
      </c>
      <c r="P687">
        <f ca="1">INDEX(rngParamTypes,$N687,9)</f>
        <v>0</v>
      </c>
      <c r="Q687">
        <f ca="1">INDEX(rngParamTypes,$N687,10)</f>
        <v>2</v>
      </c>
      <c r="R687">
        <f ca="1">INDEX(rngParamTypes,$N687,11)</f>
        <v>-1</v>
      </c>
      <c r="S687">
        <f ca="1">INDEX(rngParamTypes,$N687,12)</f>
        <v>0</v>
      </c>
      <c r="T687">
        <f ca="1">INDEX(rngParamTypes,$N687,13)</f>
        <v>0</v>
      </c>
      <c r="U687">
        <f ca="1">INDEX(rngParamTypes,$N687,14)</f>
        <v>0</v>
      </c>
      <c r="V687">
        <f ca="1">INDEX(rngParamTypes,$N687,15)</f>
        <v>0</v>
      </c>
      <c r="W687">
        <f ca="1">INDEX(rngParamTypes,$N687,16)</f>
        <v>0</v>
      </c>
      <c r="X687">
        <f ca="1">INDEX(rngParamTypes,$N687,17)</f>
        <v>0</v>
      </c>
      <c r="Y687">
        <f ca="1">INDEX(rngParamTypes,$N687,18)</f>
        <v>0</v>
      </c>
    </row>
    <row r="688" spans="1:25" x14ac:dyDescent="0.2">
      <c r="A688" s="16">
        <v>687</v>
      </c>
      <c r="B688" s="37">
        <v>1</v>
      </c>
      <c r="C688" s="16" t="s">
        <v>1985</v>
      </c>
      <c r="D688" s="16" t="s">
        <v>1985</v>
      </c>
      <c r="E688" s="16"/>
      <c r="F688" s="16" t="s">
        <v>3848</v>
      </c>
      <c r="G688" s="16" t="s">
        <v>3652</v>
      </c>
      <c r="H688" s="16" t="s">
        <v>1984</v>
      </c>
      <c r="I688" s="16" t="s">
        <v>131</v>
      </c>
      <c r="J688" s="16">
        <v>0</v>
      </c>
      <c r="K688" s="16">
        <v>1</v>
      </c>
      <c r="L688" s="16">
        <v>1</v>
      </c>
      <c r="M688" s="16">
        <v>0</v>
      </c>
      <c r="N688">
        <f t="array" aca="1" ref="N688" ca="1">MATCH(TRUE,EXACT(I688,OFFSET(rngParamTypes,0,6,,1)),0)</f>
        <v>42</v>
      </c>
      <c r="O688" t="str">
        <f ca="1">IF((INDEX(rngParamTypes,$N688,7)=I688),"",1)</f>
        <v/>
      </c>
      <c r="P688">
        <f ca="1">INDEX(rngParamTypes,$N688,9)</f>
        <v>0</v>
      </c>
      <c r="Q688">
        <f ca="1">INDEX(rngParamTypes,$N688,10)</f>
        <v>0</v>
      </c>
      <c r="R688">
        <f ca="1">INDEX(rngParamTypes,$N688,11)</f>
        <v>0</v>
      </c>
      <c r="S688">
        <f ca="1">INDEX(rngParamTypes,$N688,12)</f>
        <v>0</v>
      </c>
      <c r="T688">
        <f ca="1">INDEX(rngParamTypes,$N688,13)</f>
        <v>0</v>
      </c>
      <c r="U688">
        <f ca="1">INDEX(rngParamTypes,$N688,14)</f>
        <v>0</v>
      </c>
      <c r="V688">
        <f ca="1">INDEX(rngParamTypes,$N688,15)</f>
        <v>0</v>
      </c>
      <c r="W688">
        <f ca="1">INDEX(rngParamTypes,$N688,16)</f>
        <v>0</v>
      </c>
      <c r="X688">
        <f ca="1">INDEX(rngParamTypes,$N688,17)</f>
        <v>0</v>
      </c>
      <c r="Y688">
        <f ca="1">INDEX(rngParamTypes,$N688,18)</f>
        <v>0</v>
      </c>
    </row>
    <row r="689" spans="1:25" x14ac:dyDescent="0.2">
      <c r="A689" s="16">
        <v>688</v>
      </c>
      <c r="B689" s="37">
        <v>1</v>
      </c>
      <c r="C689" s="16" t="s">
        <v>1987</v>
      </c>
      <c r="D689" s="16" t="s">
        <v>1987</v>
      </c>
      <c r="E689" s="16"/>
      <c r="F689" s="16" t="s">
        <v>3849</v>
      </c>
      <c r="G689" s="16" t="s">
        <v>722</v>
      </c>
      <c r="H689" s="16" t="s">
        <v>1986</v>
      </c>
      <c r="I689" s="16" t="s">
        <v>20</v>
      </c>
      <c r="J689" s="16">
        <v>0</v>
      </c>
      <c r="K689" s="16">
        <v>1</v>
      </c>
      <c r="L689" s="16">
        <v>1</v>
      </c>
      <c r="M689" s="16">
        <v>0</v>
      </c>
      <c r="N689">
        <f t="array" aca="1" ref="N689" ca="1">MATCH(TRUE,EXACT(I689,OFFSET(rngParamTypes,0,6,,1)),0)</f>
        <v>5</v>
      </c>
      <c r="O689" t="str">
        <f ca="1">IF((INDEX(rngParamTypes,$N689,7)=I689),"",1)</f>
        <v/>
      </c>
      <c r="P689">
        <f ca="1">INDEX(rngParamTypes,$N689,9)</f>
        <v>0</v>
      </c>
      <c r="Q689">
        <f ca="1">INDEX(rngParamTypes,$N689,10)</f>
        <v>-1</v>
      </c>
      <c r="R689">
        <f ca="1">INDEX(rngParamTypes,$N689,11)</f>
        <v>0</v>
      </c>
      <c r="S689">
        <f ca="1">INDEX(rngParamTypes,$N689,12)</f>
        <v>0</v>
      </c>
      <c r="T689">
        <f ca="1">INDEX(rngParamTypes,$N689,13)</f>
        <v>0</v>
      </c>
      <c r="U689">
        <f ca="1">INDEX(rngParamTypes,$N689,14)</f>
        <v>0</v>
      </c>
      <c r="V689">
        <f ca="1">INDEX(rngParamTypes,$N689,15)</f>
        <v>0</v>
      </c>
      <c r="W689">
        <f ca="1">INDEX(rngParamTypes,$N689,16)</f>
        <v>0</v>
      </c>
      <c r="X689">
        <f ca="1">INDEX(rngParamTypes,$N689,17)</f>
        <v>0</v>
      </c>
      <c r="Y689">
        <f ca="1">INDEX(rngParamTypes,$N689,18)</f>
        <v>0</v>
      </c>
    </row>
    <row r="690" spans="1:25" x14ac:dyDescent="0.2">
      <c r="A690" s="16">
        <v>689</v>
      </c>
      <c r="B690" s="37">
        <v>1</v>
      </c>
      <c r="C690" s="16" t="s">
        <v>1989</v>
      </c>
      <c r="D690" s="16" t="s">
        <v>1989</v>
      </c>
      <c r="E690" s="16">
        <v>2</v>
      </c>
      <c r="F690" s="16" t="s">
        <v>4320</v>
      </c>
      <c r="G690" s="16" t="s">
        <v>361</v>
      </c>
      <c r="H690" s="16" t="s">
        <v>1988</v>
      </c>
      <c r="I690" s="16" t="s">
        <v>362</v>
      </c>
      <c r="J690" s="16">
        <v>0</v>
      </c>
      <c r="K690" s="16">
        <v>4.4615799999999997E-2</v>
      </c>
      <c r="L690" s="16">
        <v>1</v>
      </c>
      <c r="M690" s="16">
        <v>0</v>
      </c>
      <c r="N690">
        <f t="array" aca="1" ref="N690" ca="1">MATCH(TRUE,EXACT(I690,OFFSET(rngParamTypes,0,6,,1)),0)</f>
        <v>148</v>
      </c>
      <c r="O690" t="str">
        <f ca="1">IF((INDEX(rngParamTypes,$N690,7)=I690),"",1)</f>
        <v/>
      </c>
      <c r="P690">
        <f ca="1">INDEX(rngParamTypes,$N690,9)</f>
        <v>0</v>
      </c>
      <c r="Q690">
        <f ca="1">INDEX(rngParamTypes,$N690,10)</f>
        <v>0</v>
      </c>
      <c r="R690">
        <f ca="1">INDEX(rngParamTypes,$N690,11)</f>
        <v>0</v>
      </c>
      <c r="S690">
        <f ca="1">INDEX(rngParamTypes,$N690,12)</f>
        <v>0</v>
      </c>
      <c r="T690">
        <f ca="1">INDEX(rngParamTypes,$N690,13)</f>
        <v>0</v>
      </c>
      <c r="U690">
        <f ca="1">INDEX(rngParamTypes,$N690,14)</f>
        <v>1</v>
      </c>
      <c r="V690">
        <f ca="1">INDEX(rngParamTypes,$N690,15)</f>
        <v>0</v>
      </c>
      <c r="W690">
        <f ca="1">INDEX(rngParamTypes,$N690,16)</f>
        <v>0</v>
      </c>
      <c r="X690">
        <f ca="1">INDEX(rngParamTypes,$N690,17)</f>
        <v>0</v>
      </c>
      <c r="Y690">
        <f ca="1">INDEX(rngParamTypes,$N690,18)</f>
        <v>0</v>
      </c>
    </row>
    <row r="691" spans="1:25" x14ac:dyDescent="0.2">
      <c r="A691" s="16">
        <v>690</v>
      </c>
      <c r="B691" s="37">
        <v>1</v>
      </c>
      <c r="C691" s="16" t="s">
        <v>1991</v>
      </c>
      <c r="D691" s="16" t="s">
        <v>1991</v>
      </c>
      <c r="E691" s="16">
        <v>2</v>
      </c>
      <c r="F691" s="16" t="s">
        <v>4321</v>
      </c>
      <c r="G691" s="16" t="s">
        <v>361</v>
      </c>
      <c r="H691" s="16" t="s">
        <v>1990</v>
      </c>
      <c r="I691" s="16" t="s">
        <v>362</v>
      </c>
      <c r="J691" s="16">
        <v>0</v>
      </c>
      <c r="K691" s="16">
        <v>4.2293200000000003E-2</v>
      </c>
      <c r="L691" s="16">
        <v>1</v>
      </c>
      <c r="M691" s="16">
        <v>0</v>
      </c>
      <c r="N691">
        <f t="array" aca="1" ref="N691" ca="1">MATCH(TRUE,EXACT(I691,OFFSET(rngParamTypes,0,6,,1)),0)</f>
        <v>148</v>
      </c>
      <c r="O691" t="str">
        <f ca="1">IF((INDEX(rngParamTypes,$N691,7)=I691),"",1)</f>
        <v/>
      </c>
      <c r="P691">
        <f ca="1">INDEX(rngParamTypes,$N691,9)</f>
        <v>0</v>
      </c>
      <c r="Q691">
        <f ca="1">INDEX(rngParamTypes,$N691,10)</f>
        <v>0</v>
      </c>
      <c r="R691">
        <f ca="1">INDEX(rngParamTypes,$N691,11)</f>
        <v>0</v>
      </c>
      <c r="S691">
        <f ca="1">INDEX(rngParamTypes,$N691,12)</f>
        <v>0</v>
      </c>
      <c r="T691">
        <f ca="1">INDEX(rngParamTypes,$N691,13)</f>
        <v>0</v>
      </c>
      <c r="U691">
        <f ca="1">INDEX(rngParamTypes,$N691,14)</f>
        <v>1</v>
      </c>
      <c r="V691">
        <f ca="1">INDEX(rngParamTypes,$N691,15)</f>
        <v>0</v>
      </c>
      <c r="W691">
        <f ca="1">INDEX(rngParamTypes,$N691,16)</f>
        <v>0</v>
      </c>
      <c r="X691">
        <f ca="1">INDEX(rngParamTypes,$N691,17)</f>
        <v>0</v>
      </c>
      <c r="Y691">
        <f ca="1">INDEX(rngParamTypes,$N691,18)</f>
        <v>0</v>
      </c>
    </row>
    <row r="692" spans="1:25" x14ac:dyDescent="0.2">
      <c r="A692" s="16">
        <v>691</v>
      </c>
      <c r="B692" s="37">
        <v>1</v>
      </c>
      <c r="C692" s="16" t="s">
        <v>1993</v>
      </c>
      <c r="D692" s="16" t="s">
        <v>1993</v>
      </c>
      <c r="E692" s="16"/>
      <c r="F692" s="16" t="s">
        <v>3850</v>
      </c>
      <c r="G692" s="16" t="s">
        <v>334</v>
      </c>
      <c r="H692" s="16" t="s">
        <v>1992</v>
      </c>
      <c r="I692" s="16" t="s">
        <v>335</v>
      </c>
      <c r="J692" s="16">
        <v>0</v>
      </c>
      <c r="K692" s="16">
        <v>1</v>
      </c>
      <c r="L692" s="16">
        <v>8640000000</v>
      </c>
      <c r="M692" s="16">
        <v>0</v>
      </c>
      <c r="N692">
        <f t="array" aca="1" ref="N692" ca="1">MATCH(TRUE,EXACT(I692,OFFSET(rngParamTypes,0,6,,1)),0)</f>
        <v>139</v>
      </c>
      <c r="O692" t="str">
        <f ca="1">IF((INDEX(rngParamTypes,$N692,7)=I692),"",1)</f>
        <v/>
      </c>
      <c r="P692">
        <f ca="1">INDEX(rngParamTypes,$N692,9)</f>
        <v>-1</v>
      </c>
      <c r="Q692">
        <f ca="1">INDEX(rngParamTypes,$N692,10)</f>
        <v>4</v>
      </c>
      <c r="R692">
        <f ca="1">INDEX(rngParamTypes,$N692,11)</f>
        <v>1</v>
      </c>
      <c r="S692">
        <f ca="1">INDEX(rngParamTypes,$N692,12)</f>
        <v>0</v>
      </c>
      <c r="T692">
        <f ca="1">INDEX(rngParamTypes,$N692,13)</f>
        <v>0</v>
      </c>
      <c r="U692">
        <f ca="1">INDEX(rngParamTypes,$N692,14)</f>
        <v>0</v>
      </c>
      <c r="V692">
        <f ca="1">INDEX(rngParamTypes,$N692,15)</f>
        <v>0</v>
      </c>
      <c r="W692">
        <f ca="1">INDEX(rngParamTypes,$N692,16)</f>
        <v>0</v>
      </c>
      <c r="X692">
        <f ca="1">INDEX(rngParamTypes,$N692,17)</f>
        <v>0</v>
      </c>
      <c r="Y692">
        <f ca="1">INDEX(rngParamTypes,$N692,18)</f>
        <v>0</v>
      </c>
    </row>
    <row r="693" spans="1:25" x14ac:dyDescent="0.2">
      <c r="A693" s="16">
        <v>692</v>
      </c>
      <c r="B693" s="37">
        <v>1</v>
      </c>
      <c r="C693" s="16" t="s">
        <v>1996</v>
      </c>
      <c r="D693" s="16" t="s">
        <v>1996</v>
      </c>
      <c r="E693" s="16"/>
      <c r="F693" s="16" t="s">
        <v>3851</v>
      </c>
      <c r="G693" s="16" t="s">
        <v>334</v>
      </c>
      <c r="H693" s="16" t="s">
        <v>1995</v>
      </c>
      <c r="I693" s="16" t="s">
        <v>335</v>
      </c>
      <c r="J693" s="16">
        <v>0</v>
      </c>
      <c r="K693" s="16">
        <v>1</v>
      </c>
      <c r="L693" s="16">
        <v>360000000</v>
      </c>
      <c r="M693" s="16">
        <v>0</v>
      </c>
      <c r="N693">
        <f t="array" aca="1" ref="N693" ca="1">MATCH(TRUE,EXACT(I693,OFFSET(rngParamTypes,0,6,,1)),0)</f>
        <v>139</v>
      </c>
      <c r="O693" t="str">
        <f ca="1">IF((INDEX(rngParamTypes,$N693,7)=I693),"",1)</f>
        <v/>
      </c>
      <c r="P693">
        <f ca="1">INDEX(rngParamTypes,$N693,9)</f>
        <v>-1</v>
      </c>
      <c r="Q693">
        <f ca="1">INDEX(rngParamTypes,$N693,10)</f>
        <v>4</v>
      </c>
      <c r="R693">
        <f ca="1">INDEX(rngParamTypes,$N693,11)</f>
        <v>1</v>
      </c>
      <c r="S693">
        <f ca="1">INDEX(rngParamTypes,$N693,12)</f>
        <v>0</v>
      </c>
      <c r="T693">
        <f ca="1">INDEX(rngParamTypes,$N693,13)</f>
        <v>0</v>
      </c>
      <c r="U693">
        <f ca="1">INDEX(rngParamTypes,$N693,14)</f>
        <v>0</v>
      </c>
      <c r="V693">
        <f ca="1">INDEX(rngParamTypes,$N693,15)</f>
        <v>0</v>
      </c>
      <c r="W693">
        <f ca="1">INDEX(rngParamTypes,$N693,16)</f>
        <v>0</v>
      </c>
      <c r="X693">
        <f ca="1">INDEX(rngParamTypes,$N693,17)</f>
        <v>0</v>
      </c>
      <c r="Y693">
        <f ca="1">INDEX(rngParamTypes,$N693,18)</f>
        <v>0</v>
      </c>
    </row>
    <row r="694" spans="1:25" x14ac:dyDescent="0.2">
      <c r="A694" s="16">
        <v>693</v>
      </c>
      <c r="B694" s="37">
        <v>1</v>
      </c>
      <c r="C694" s="16" t="s">
        <v>2000</v>
      </c>
      <c r="D694" s="16" t="s">
        <v>2000</v>
      </c>
      <c r="E694" s="16"/>
      <c r="F694" s="16" t="s">
        <v>3852</v>
      </c>
      <c r="G694" s="16" t="s">
        <v>334</v>
      </c>
      <c r="H694" s="16" t="s">
        <v>1999</v>
      </c>
      <c r="I694" s="16" t="s">
        <v>335</v>
      </c>
      <c r="J694" s="16">
        <v>0</v>
      </c>
      <c r="K694" s="16">
        <v>1</v>
      </c>
      <c r="L694" s="16">
        <v>6000000</v>
      </c>
      <c r="M694" s="16">
        <v>0</v>
      </c>
      <c r="N694">
        <f t="array" aca="1" ref="N694" ca="1">MATCH(TRUE,EXACT(I694,OFFSET(rngParamTypes,0,6,,1)),0)</f>
        <v>139</v>
      </c>
      <c r="O694" t="str">
        <f ca="1">IF((INDEX(rngParamTypes,$N694,7)=I694),"",1)</f>
        <v/>
      </c>
      <c r="P694">
        <f ca="1">INDEX(rngParamTypes,$N694,9)</f>
        <v>-1</v>
      </c>
      <c r="Q694">
        <f ca="1">INDEX(rngParamTypes,$N694,10)</f>
        <v>4</v>
      </c>
      <c r="R694">
        <f ca="1">INDEX(rngParamTypes,$N694,11)</f>
        <v>1</v>
      </c>
      <c r="S694">
        <f ca="1">INDEX(rngParamTypes,$N694,12)</f>
        <v>0</v>
      </c>
      <c r="T694">
        <f ca="1">INDEX(rngParamTypes,$N694,13)</f>
        <v>0</v>
      </c>
      <c r="U694">
        <f ca="1">INDEX(rngParamTypes,$N694,14)</f>
        <v>0</v>
      </c>
      <c r="V694">
        <f ca="1">INDEX(rngParamTypes,$N694,15)</f>
        <v>0</v>
      </c>
      <c r="W694">
        <f ca="1">INDEX(rngParamTypes,$N694,16)</f>
        <v>0</v>
      </c>
      <c r="X694">
        <f ca="1">INDEX(rngParamTypes,$N694,17)</f>
        <v>0</v>
      </c>
      <c r="Y694">
        <f ca="1">INDEX(rngParamTypes,$N694,18)</f>
        <v>0</v>
      </c>
    </row>
    <row r="695" spans="1:25" x14ac:dyDescent="0.2">
      <c r="A695" s="16">
        <v>694</v>
      </c>
      <c r="B695" s="37">
        <v>1</v>
      </c>
      <c r="C695" s="16" t="s">
        <v>2003</v>
      </c>
      <c r="D695" s="16" t="s">
        <v>2003</v>
      </c>
      <c r="E695" s="16"/>
      <c r="F695" s="16" t="s">
        <v>3853</v>
      </c>
      <c r="G695" s="16" t="s">
        <v>340</v>
      </c>
      <c r="H695" s="16" t="s">
        <v>2002</v>
      </c>
      <c r="I695" s="16" t="s">
        <v>341</v>
      </c>
      <c r="J695" s="16">
        <v>0</v>
      </c>
      <c r="K695" s="16">
        <v>1</v>
      </c>
      <c r="L695" s="16">
        <v>86400</v>
      </c>
      <c r="M695" s="16">
        <v>0</v>
      </c>
      <c r="N695">
        <f t="array" aca="1" ref="N695" ca="1">MATCH(TRUE,EXACT(I695,OFFSET(rngParamTypes,0,6,,1)),0)</f>
        <v>140</v>
      </c>
      <c r="O695" t="str">
        <f ca="1">IF((INDEX(rngParamTypes,$N695,7)=I695),"",1)</f>
        <v/>
      </c>
      <c r="P695">
        <f ca="1">INDEX(rngParamTypes,$N695,9)</f>
        <v>-2</v>
      </c>
      <c r="Q695">
        <f ca="1">INDEX(rngParamTypes,$N695,10)</f>
        <v>5</v>
      </c>
      <c r="R695">
        <f ca="1">INDEX(rngParamTypes,$N695,11)</f>
        <v>2</v>
      </c>
      <c r="S695">
        <f ca="1">INDEX(rngParamTypes,$N695,12)</f>
        <v>0</v>
      </c>
      <c r="T695">
        <f ca="1">INDEX(rngParamTypes,$N695,13)</f>
        <v>0</v>
      </c>
      <c r="U695">
        <f ca="1">INDEX(rngParamTypes,$N695,14)</f>
        <v>0</v>
      </c>
      <c r="V695">
        <f ca="1">INDEX(rngParamTypes,$N695,15)</f>
        <v>0</v>
      </c>
      <c r="W695">
        <f ca="1">INDEX(rngParamTypes,$N695,16)</f>
        <v>0</v>
      </c>
      <c r="X695">
        <f ca="1">INDEX(rngParamTypes,$N695,17)</f>
        <v>0</v>
      </c>
      <c r="Y695">
        <f ca="1">INDEX(rngParamTypes,$N695,18)</f>
        <v>0</v>
      </c>
    </row>
    <row r="696" spans="1:25" x14ac:dyDescent="0.2">
      <c r="A696" s="16">
        <v>695</v>
      </c>
      <c r="B696" s="37">
        <v>1</v>
      </c>
      <c r="C696" s="16" t="s">
        <v>2005</v>
      </c>
      <c r="D696" s="16" t="s">
        <v>2005</v>
      </c>
      <c r="E696" s="16"/>
      <c r="F696" s="16" t="s">
        <v>3854</v>
      </c>
      <c r="G696" s="16" t="s">
        <v>340</v>
      </c>
      <c r="H696" s="16" t="s">
        <v>2004</v>
      </c>
      <c r="I696" s="16" t="s">
        <v>341</v>
      </c>
      <c r="J696" s="16">
        <v>0</v>
      </c>
      <c r="K696" s="16">
        <v>1000</v>
      </c>
      <c r="L696" s="16">
        <v>1</v>
      </c>
      <c r="M696" s="16">
        <v>0</v>
      </c>
      <c r="N696">
        <f t="array" aca="1" ref="N696" ca="1">MATCH(TRUE,EXACT(I696,OFFSET(rngParamTypes,0,6,,1)),0)</f>
        <v>140</v>
      </c>
      <c r="O696" t="str">
        <f ca="1">IF((INDEX(rngParamTypes,$N696,7)=I696),"",1)</f>
        <v/>
      </c>
      <c r="P696">
        <f ca="1">INDEX(rngParamTypes,$N696,9)</f>
        <v>-2</v>
      </c>
      <c r="Q696">
        <f ca="1">INDEX(rngParamTypes,$N696,10)</f>
        <v>5</v>
      </c>
      <c r="R696">
        <f ca="1">INDEX(rngParamTypes,$N696,11)</f>
        <v>2</v>
      </c>
      <c r="S696">
        <f ca="1">INDEX(rngParamTypes,$N696,12)</f>
        <v>0</v>
      </c>
      <c r="T696">
        <f ca="1">INDEX(rngParamTypes,$N696,13)</f>
        <v>0</v>
      </c>
      <c r="U696">
        <f ca="1">INDEX(rngParamTypes,$N696,14)</f>
        <v>0</v>
      </c>
      <c r="V696">
        <f ca="1">INDEX(rngParamTypes,$N696,15)</f>
        <v>0</v>
      </c>
      <c r="W696">
        <f ca="1">INDEX(rngParamTypes,$N696,16)</f>
        <v>0</v>
      </c>
      <c r="X696">
        <f ca="1">INDEX(rngParamTypes,$N696,17)</f>
        <v>0</v>
      </c>
      <c r="Y696">
        <f ca="1">INDEX(rngParamTypes,$N696,18)</f>
        <v>0</v>
      </c>
    </row>
    <row r="697" spans="1:25" x14ac:dyDescent="0.2">
      <c r="A697" s="16">
        <v>696</v>
      </c>
      <c r="B697" s="37">
        <v>1</v>
      </c>
      <c r="C697" s="16" t="s">
        <v>2007</v>
      </c>
      <c r="D697" s="16" t="s">
        <v>2007</v>
      </c>
      <c r="E697" s="16">
        <v>2</v>
      </c>
      <c r="F697" s="16" t="s">
        <v>3855</v>
      </c>
      <c r="G697" s="16" t="s">
        <v>343</v>
      </c>
      <c r="H697" s="16" t="s">
        <v>2006</v>
      </c>
      <c r="I697" s="16" t="s">
        <v>344</v>
      </c>
      <c r="J697" s="16">
        <v>0</v>
      </c>
      <c r="K697" s="16">
        <v>1</v>
      </c>
      <c r="L697" s="16">
        <v>86400</v>
      </c>
      <c r="M697" s="16">
        <v>0</v>
      </c>
      <c r="N697">
        <f t="array" aca="1" ref="N697" ca="1">MATCH(TRUE,EXACT(I697,OFFSET(rngParamTypes,0,6,,1)),0)</f>
        <v>141</v>
      </c>
      <c r="O697" t="str">
        <f ca="1">IF((INDEX(rngParamTypes,$N697,7)=I697),"",1)</f>
        <v/>
      </c>
      <c r="P697">
        <f ca="1">INDEX(rngParamTypes,$N697,9)</f>
        <v>0</v>
      </c>
      <c r="Q697">
        <f ca="1">INDEX(rngParamTypes,$N697,10)</f>
        <v>3</v>
      </c>
      <c r="R697">
        <f ca="1">INDEX(rngParamTypes,$N697,11)</f>
        <v>-1</v>
      </c>
      <c r="S697">
        <f ca="1">INDEX(rngParamTypes,$N697,12)</f>
        <v>0</v>
      </c>
      <c r="T697">
        <f ca="1">INDEX(rngParamTypes,$N697,13)</f>
        <v>0</v>
      </c>
      <c r="U697">
        <f ca="1">INDEX(rngParamTypes,$N697,14)</f>
        <v>0</v>
      </c>
      <c r="V697">
        <f ca="1">INDEX(rngParamTypes,$N697,15)</f>
        <v>0</v>
      </c>
      <c r="W697">
        <f ca="1">INDEX(rngParamTypes,$N697,16)</f>
        <v>0</v>
      </c>
      <c r="X697">
        <f ca="1">INDEX(rngParamTypes,$N697,17)</f>
        <v>0</v>
      </c>
      <c r="Y697">
        <f ca="1">INDEX(rngParamTypes,$N697,18)</f>
        <v>0</v>
      </c>
    </row>
    <row r="698" spans="1:25" x14ac:dyDescent="0.2">
      <c r="A698" s="16">
        <v>697</v>
      </c>
      <c r="B698" s="37">
        <v>1</v>
      </c>
      <c r="C698" s="16" t="s">
        <v>2009</v>
      </c>
      <c r="D698" s="16" t="s">
        <v>2009</v>
      </c>
      <c r="E698" s="16"/>
      <c r="F698" s="16" t="s">
        <v>3856</v>
      </c>
      <c r="G698" s="16" t="s">
        <v>334</v>
      </c>
      <c r="H698" s="16" t="s">
        <v>2008</v>
      </c>
      <c r="I698" s="16" t="s">
        <v>335</v>
      </c>
      <c r="J698" s="16">
        <v>0</v>
      </c>
      <c r="K698" s="16">
        <v>1</v>
      </c>
      <c r="L698" s="16">
        <v>86400000</v>
      </c>
      <c r="M698" s="16">
        <v>0</v>
      </c>
      <c r="N698">
        <f t="array" aca="1" ref="N698" ca="1">MATCH(TRUE,EXACT(I698,OFFSET(rngParamTypes,0,6,,1)),0)</f>
        <v>139</v>
      </c>
      <c r="O698" t="str">
        <f ca="1">IF((INDEX(rngParamTypes,$N698,7)=I698),"",1)</f>
        <v/>
      </c>
      <c r="P698">
        <f ca="1">INDEX(rngParamTypes,$N698,9)</f>
        <v>-1</v>
      </c>
      <c r="Q698">
        <f ca="1">INDEX(rngParamTypes,$N698,10)</f>
        <v>4</v>
      </c>
      <c r="R698">
        <f ca="1">INDEX(rngParamTypes,$N698,11)</f>
        <v>1</v>
      </c>
      <c r="S698">
        <f ca="1">INDEX(rngParamTypes,$N698,12)</f>
        <v>0</v>
      </c>
      <c r="T698">
        <f ca="1">INDEX(rngParamTypes,$N698,13)</f>
        <v>0</v>
      </c>
      <c r="U698">
        <f ca="1">INDEX(rngParamTypes,$N698,14)</f>
        <v>0</v>
      </c>
      <c r="V698">
        <f ca="1">INDEX(rngParamTypes,$N698,15)</f>
        <v>0</v>
      </c>
      <c r="W698">
        <f ca="1">INDEX(rngParamTypes,$N698,16)</f>
        <v>0</v>
      </c>
      <c r="X698">
        <f ca="1">INDEX(rngParamTypes,$N698,17)</f>
        <v>0</v>
      </c>
      <c r="Y698">
        <f ca="1">INDEX(rngParamTypes,$N698,18)</f>
        <v>0</v>
      </c>
    </row>
    <row r="699" spans="1:25" x14ac:dyDescent="0.2">
      <c r="A699" s="16">
        <v>698</v>
      </c>
      <c r="B699" s="37">
        <v>1</v>
      </c>
      <c r="C699" s="16" t="s">
        <v>2012</v>
      </c>
      <c r="D699" s="16" t="s">
        <v>2012</v>
      </c>
      <c r="E699" s="16"/>
      <c r="F699" s="16" t="s">
        <v>3857</v>
      </c>
      <c r="G699" s="16" t="s">
        <v>664</v>
      </c>
      <c r="H699" s="16" t="s">
        <v>2011</v>
      </c>
      <c r="I699" s="16" t="s">
        <v>319</v>
      </c>
      <c r="J699" s="16">
        <v>0</v>
      </c>
      <c r="K699" s="16">
        <v>1</v>
      </c>
      <c r="L699" s="16">
        <v>86400</v>
      </c>
      <c r="M699" s="16">
        <v>0</v>
      </c>
      <c r="N699">
        <f t="array" aca="1" ref="N699" ca="1">MATCH(TRUE,EXACT(I699,OFFSET(rngParamTypes,0,6,,1)),0)</f>
        <v>130</v>
      </c>
      <c r="O699" t="str">
        <f ca="1">IF((INDEX(rngParamTypes,$N699,7)=I699),"",1)</f>
        <v/>
      </c>
      <c r="P699">
        <f ca="1">INDEX(rngParamTypes,$N699,9)</f>
        <v>0</v>
      </c>
      <c r="Q699">
        <f ca="1">INDEX(rngParamTypes,$N699,10)</f>
        <v>2</v>
      </c>
      <c r="R699">
        <f ca="1">INDEX(rngParamTypes,$N699,11)</f>
        <v>-1</v>
      </c>
      <c r="S699">
        <f ca="1">INDEX(rngParamTypes,$N699,12)</f>
        <v>0</v>
      </c>
      <c r="T699">
        <f ca="1">INDEX(rngParamTypes,$N699,13)</f>
        <v>0</v>
      </c>
      <c r="U699">
        <f ca="1">INDEX(rngParamTypes,$N699,14)</f>
        <v>0</v>
      </c>
      <c r="V699">
        <f ca="1">INDEX(rngParamTypes,$N699,15)</f>
        <v>0</v>
      </c>
      <c r="W699">
        <f ca="1">INDEX(rngParamTypes,$N699,16)</f>
        <v>0</v>
      </c>
      <c r="X699">
        <f ca="1">INDEX(rngParamTypes,$N699,17)</f>
        <v>0</v>
      </c>
      <c r="Y699">
        <f ca="1">INDEX(rngParamTypes,$N699,18)</f>
        <v>0</v>
      </c>
    </row>
    <row r="700" spans="1:25" x14ac:dyDescent="0.2">
      <c r="A700" s="16">
        <v>699</v>
      </c>
      <c r="B700" s="37">
        <v>1</v>
      </c>
      <c r="C700" s="16" t="s">
        <v>2015</v>
      </c>
      <c r="D700" s="16" t="s">
        <v>2015</v>
      </c>
      <c r="E700" s="16"/>
      <c r="F700" s="16" t="s">
        <v>3858</v>
      </c>
      <c r="G700" s="16" t="s">
        <v>346</v>
      </c>
      <c r="H700" s="16" t="s">
        <v>2014</v>
      </c>
      <c r="I700" s="16" t="s">
        <v>347</v>
      </c>
      <c r="J700" s="16">
        <v>0</v>
      </c>
      <c r="K700" s="16">
        <v>1</v>
      </c>
      <c r="L700" s="16">
        <v>7464960000</v>
      </c>
      <c r="M700" s="16">
        <v>0</v>
      </c>
      <c r="N700">
        <f t="array" aca="1" ref="N700" ca="1">MATCH(TRUE,EXACT(I700,OFFSET(rngParamTypes,0,6,,1)),0)</f>
        <v>142</v>
      </c>
      <c r="O700" t="str">
        <f ca="1">IF((INDEX(rngParamTypes,$N700,7)=I700),"",1)</f>
        <v/>
      </c>
      <c r="P700">
        <f ca="1">INDEX(rngParamTypes,$N700,9)</f>
        <v>0</v>
      </c>
      <c r="Q700">
        <f ca="1">INDEX(rngParamTypes,$N700,10)</f>
        <v>3</v>
      </c>
      <c r="R700">
        <f ca="1">INDEX(rngParamTypes,$N700,11)</f>
        <v>-2</v>
      </c>
      <c r="S700">
        <f ca="1">INDEX(rngParamTypes,$N700,12)</f>
        <v>0</v>
      </c>
      <c r="T700">
        <f ca="1">INDEX(rngParamTypes,$N700,13)</f>
        <v>0</v>
      </c>
      <c r="U700">
        <f ca="1">INDEX(rngParamTypes,$N700,14)</f>
        <v>0</v>
      </c>
      <c r="V700">
        <f ca="1">INDEX(rngParamTypes,$N700,15)</f>
        <v>0</v>
      </c>
      <c r="W700">
        <f ca="1">INDEX(rngParamTypes,$N700,16)</f>
        <v>0</v>
      </c>
      <c r="X700">
        <f ca="1">INDEX(rngParamTypes,$N700,17)</f>
        <v>0</v>
      </c>
      <c r="Y700">
        <f ca="1">INDEX(rngParamTypes,$N700,18)</f>
        <v>0</v>
      </c>
    </row>
    <row r="701" spans="1:25" x14ac:dyDescent="0.2">
      <c r="A701" s="16">
        <v>700</v>
      </c>
      <c r="B701" s="37">
        <v>1</v>
      </c>
      <c r="C701" s="16" t="s">
        <v>2017</v>
      </c>
      <c r="D701" s="16" t="s">
        <v>2017</v>
      </c>
      <c r="E701" s="16">
        <v>2</v>
      </c>
      <c r="F701" s="16" t="s">
        <v>3859</v>
      </c>
      <c r="G701" s="16" t="s">
        <v>3307</v>
      </c>
      <c r="H701" s="16" t="s">
        <v>2016</v>
      </c>
      <c r="I701" s="16" t="s">
        <v>329</v>
      </c>
      <c r="J701" s="16">
        <v>0</v>
      </c>
      <c r="K701" s="16">
        <v>1000</v>
      </c>
      <c r="L701" s="16">
        <v>1</v>
      </c>
      <c r="M701" s="16">
        <v>0</v>
      </c>
      <c r="N701">
        <f t="array" aca="1" ref="N701" ca="1">MATCH(TRUE,EXACT(I701,OFFSET(rngParamTypes,0,6,,1)),0)</f>
        <v>136</v>
      </c>
      <c r="O701" t="str">
        <f ca="1">IF((INDEX(rngParamTypes,$N701,7)=I701),"",1)</f>
        <v/>
      </c>
      <c r="P701">
        <f ca="1">INDEX(rngParamTypes,$N701,9)</f>
        <v>-1</v>
      </c>
      <c r="Q701">
        <f ca="1">INDEX(rngParamTypes,$N701,10)</f>
        <v>3</v>
      </c>
      <c r="R701">
        <f ca="1">INDEX(rngParamTypes,$N701,11)</f>
        <v>0</v>
      </c>
      <c r="S701">
        <f ca="1">INDEX(rngParamTypes,$N701,12)</f>
        <v>0</v>
      </c>
      <c r="T701">
        <f ca="1">INDEX(rngParamTypes,$N701,13)</f>
        <v>0</v>
      </c>
      <c r="U701">
        <f ca="1">INDEX(rngParamTypes,$N701,14)</f>
        <v>0</v>
      </c>
      <c r="V701">
        <f ca="1">INDEX(rngParamTypes,$N701,15)</f>
        <v>0</v>
      </c>
      <c r="W701">
        <f ca="1">INDEX(rngParamTypes,$N701,16)</f>
        <v>0</v>
      </c>
      <c r="X701">
        <f ca="1">INDEX(rngParamTypes,$N701,17)</f>
        <v>0</v>
      </c>
      <c r="Y701">
        <f ca="1">INDEX(rngParamTypes,$N701,18)</f>
        <v>0</v>
      </c>
    </row>
    <row r="702" spans="1:25" x14ac:dyDescent="0.2">
      <c r="A702" s="16">
        <v>701</v>
      </c>
      <c r="B702" s="37">
        <v>1</v>
      </c>
      <c r="C702" s="16" t="s">
        <v>2019</v>
      </c>
      <c r="D702" s="16" t="s">
        <v>2019</v>
      </c>
      <c r="E702" s="16">
        <v>2</v>
      </c>
      <c r="F702" s="16" t="s">
        <v>3860</v>
      </c>
      <c r="G702" s="16" t="s">
        <v>343</v>
      </c>
      <c r="H702" s="16" t="s">
        <v>2018</v>
      </c>
      <c r="I702" s="16" t="s">
        <v>344</v>
      </c>
      <c r="J702" s="16">
        <v>0</v>
      </c>
      <c r="K702" s="16">
        <v>1</v>
      </c>
      <c r="L702" s="16">
        <v>3600</v>
      </c>
      <c r="M702" s="16">
        <v>0</v>
      </c>
      <c r="N702">
        <f t="array" aca="1" ref="N702" ca="1">MATCH(TRUE,EXACT(I702,OFFSET(rngParamTypes,0,6,,1)),0)</f>
        <v>141</v>
      </c>
      <c r="O702" t="str">
        <f ca="1">IF((INDEX(rngParamTypes,$N702,7)=I702),"",1)</f>
        <v/>
      </c>
      <c r="P702">
        <f ca="1">INDEX(rngParamTypes,$N702,9)</f>
        <v>0</v>
      </c>
      <c r="Q702">
        <f ca="1">INDEX(rngParamTypes,$N702,10)</f>
        <v>3</v>
      </c>
      <c r="R702">
        <f ca="1">INDEX(rngParamTypes,$N702,11)</f>
        <v>-1</v>
      </c>
      <c r="S702">
        <f ca="1">INDEX(rngParamTypes,$N702,12)</f>
        <v>0</v>
      </c>
      <c r="T702">
        <f ca="1">INDEX(rngParamTypes,$N702,13)</f>
        <v>0</v>
      </c>
      <c r="U702">
        <f ca="1">INDEX(rngParamTypes,$N702,14)</f>
        <v>0</v>
      </c>
      <c r="V702">
        <f ca="1">INDEX(rngParamTypes,$N702,15)</f>
        <v>0</v>
      </c>
      <c r="W702">
        <f ca="1">INDEX(rngParamTypes,$N702,16)</f>
        <v>0</v>
      </c>
      <c r="X702">
        <f ca="1">INDEX(rngParamTypes,$N702,17)</f>
        <v>0</v>
      </c>
      <c r="Y702">
        <f ca="1">INDEX(rngParamTypes,$N702,18)</f>
        <v>0</v>
      </c>
    </row>
    <row r="703" spans="1:25" x14ac:dyDescent="0.2">
      <c r="A703" s="16">
        <v>702</v>
      </c>
      <c r="B703" s="37">
        <v>1</v>
      </c>
      <c r="C703" s="16" t="s">
        <v>2021</v>
      </c>
      <c r="D703" s="16" t="s">
        <v>2021</v>
      </c>
      <c r="E703" s="16"/>
      <c r="F703" s="16" t="s">
        <v>3861</v>
      </c>
      <c r="G703" s="16" t="s">
        <v>664</v>
      </c>
      <c r="H703" s="16" t="s">
        <v>2020</v>
      </c>
      <c r="I703" s="16" t="s">
        <v>319</v>
      </c>
      <c r="J703" s="16">
        <v>0</v>
      </c>
      <c r="K703" s="16">
        <v>1</v>
      </c>
      <c r="L703" s="16">
        <v>3600</v>
      </c>
      <c r="M703" s="16">
        <v>0</v>
      </c>
      <c r="N703">
        <f t="array" aca="1" ref="N703" ca="1">MATCH(TRUE,EXACT(I703,OFFSET(rngParamTypes,0,6,,1)),0)</f>
        <v>130</v>
      </c>
      <c r="O703" t="str">
        <f ca="1">IF((INDEX(rngParamTypes,$N703,7)=I703),"",1)</f>
        <v/>
      </c>
      <c r="P703">
        <f ca="1">INDEX(rngParamTypes,$N703,9)</f>
        <v>0</v>
      </c>
      <c r="Q703">
        <f ca="1">INDEX(rngParamTypes,$N703,10)</f>
        <v>2</v>
      </c>
      <c r="R703">
        <f ca="1">INDEX(rngParamTypes,$N703,11)</f>
        <v>-1</v>
      </c>
      <c r="S703">
        <f ca="1">INDEX(rngParamTypes,$N703,12)</f>
        <v>0</v>
      </c>
      <c r="T703">
        <f ca="1">INDEX(rngParamTypes,$N703,13)</f>
        <v>0</v>
      </c>
      <c r="U703">
        <f ca="1">INDEX(rngParamTypes,$N703,14)</f>
        <v>0</v>
      </c>
      <c r="V703">
        <f ca="1">INDEX(rngParamTypes,$N703,15)</f>
        <v>0</v>
      </c>
      <c r="W703">
        <f ca="1">INDEX(rngParamTypes,$N703,16)</f>
        <v>0</v>
      </c>
      <c r="X703">
        <f ca="1">INDEX(rngParamTypes,$N703,17)</f>
        <v>0</v>
      </c>
      <c r="Y703">
        <f ca="1">INDEX(rngParamTypes,$N703,18)</f>
        <v>0</v>
      </c>
    </row>
    <row r="704" spans="1:25" x14ac:dyDescent="0.2">
      <c r="A704" s="16">
        <v>703</v>
      </c>
      <c r="B704" s="37">
        <v>1</v>
      </c>
      <c r="C704" s="16" t="s">
        <v>2024</v>
      </c>
      <c r="D704" s="16" t="s">
        <v>2024</v>
      </c>
      <c r="E704" s="16"/>
      <c r="F704" s="16" t="s">
        <v>3862</v>
      </c>
      <c r="G704" s="16" t="s">
        <v>659</v>
      </c>
      <c r="H704" s="16" t="s">
        <v>2023</v>
      </c>
      <c r="I704" s="16" t="s">
        <v>131</v>
      </c>
      <c r="J704" s="16">
        <v>0</v>
      </c>
      <c r="K704" s="16">
        <v>1E-4</v>
      </c>
      <c r="L704" s="16">
        <v>1</v>
      </c>
      <c r="M704" s="16">
        <v>0</v>
      </c>
      <c r="N704">
        <f t="array" aca="1" ref="N704" ca="1">MATCH(TRUE,EXACT(I704,OFFSET(rngParamTypes,0,6,,1)),0)</f>
        <v>42</v>
      </c>
      <c r="O704" t="str">
        <f ca="1">IF((INDEX(rngParamTypes,$N704,7)=I704),"",1)</f>
        <v/>
      </c>
      <c r="P704">
        <f ca="1">INDEX(rngParamTypes,$N704,9)</f>
        <v>0</v>
      </c>
      <c r="Q704">
        <f ca="1">INDEX(rngParamTypes,$N704,10)</f>
        <v>0</v>
      </c>
      <c r="R704">
        <f ca="1">INDEX(rngParamTypes,$N704,11)</f>
        <v>0</v>
      </c>
      <c r="S704">
        <f ca="1">INDEX(rngParamTypes,$N704,12)</f>
        <v>0</v>
      </c>
      <c r="T704">
        <f ca="1">INDEX(rngParamTypes,$N704,13)</f>
        <v>0</v>
      </c>
      <c r="U704">
        <f ca="1">INDEX(rngParamTypes,$N704,14)</f>
        <v>0</v>
      </c>
      <c r="V704">
        <f ca="1">INDEX(rngParamTypes,$N704,15)</f>
        <v>0</v>
      </c>
      <c r="W704">
        <f ca="1">INDEX(rngParamTypes,$N704,16)</f>
        <v>0</v>
      </c>
      <c r="X704">
        <f ca="1">INDEX(rngParamTypes,$N704,17)</f>
        <v>0</v>
      </c>
      <c r="Y704">
        <f ca="1">INDEX(rngParamTypes,$N704,18)</f>
        <v>0</v>
      </c>
    </row>
    <row r="705" spans="1:25" x14ac:dyDescent="0.2">
      <c r="A705" s="16">
        <v>704</v>
      </c>
      <c r="B705" s="37">
        <v>1</v>
      </c>
      <c r="C705" s="16" t="s">
        <v>2026</v>
      </c>
      <c r="D705" s="16" t="s">
        <v>2026</v>
      </c>
      <c r="E705" s="16"/>
      <c r="F705" s="16" t="s">
        <v>3863</v>
      </c>
      <c r="G705" s="16" t="s">
        <v>767</v>
      </c>
      <c r="H705" s="16" t="s">
        <v>2025</v>
      </c>
      <c r="I705" s="16" t="s">
        <v>303</v>
      </c>
      <c r="J705" s="16">
        <v>0</v>
      </c>
      <c r="K705" s="16">
        <v>1E-3</v>
      </c>
      <c r="L705" s="16">
        <v>1</v>
      </c>
      <c r="M705" s="16">
        <v>0</v>
      </c>
      <c r="N705">
        <f t="array" aca="1" ref="N705" ca="1">MATCH(TRUE,EXACT(I705,OFFSET(rngParamTypes,0,6,,1)),0)</f>
        <v>125</v>
      </c>
      <c r="O705" t="str">
        <f ca="1">IF((INDEX(rngParamTypes,$N705,7)=I705),"",1)</f>
        <v/>
      </c>
      <c r="P705">
        <f ca="1">INDEX(rngParamTypes,$N705,9)</f>
        <v>0</v>
      </c>
      <c r="Q705">
        <f ca="1">INDEX(rngParamTypes,$N705,10)</f>
        <v>2</v>
      </c>
      <c r="R705">
        <f ca="1">INDEX(rngParamTypes,$N705,11)</f>
        <v>0</v>
      </c>
      <c r="S705">
        <f ca="1">INDEX(rngParamTypes,$N705,12)</f>
        <v>0</v>
      </c>
      <c r="T705">
        <f ca="1">INDEX(rngParamTypes,$N705,13)</f>
        <v>0</v>
      </c>
      <c r="U705">
        <f ca="1">INDEX(rngParamTypes,$N705,14)</f>
        <v>0</v>
      </c>
      <c r="V705">
        <f ca="1">INDEX(rngParamTypes,$N705,15)</f>
        <v>0</v>
      </c>
      <c r="W705">
        <f ca="1">INDEX(rngParamTypes,$N705,16)</f>
        <v>0</v>
      </c>
      <c r="X705">
        <f ca="1">INDEX(rngParamTypes,$N705,17)</f>
        <v>0</v>
      </c>
      <c r="Y705">
        <f ca="1">INDEX(rngParamTypes,$N705,18)</f>
        <v>0</v>
      </c>
    </row>
    <row r="706" spans="1:25" x14ac:dyDescent="0.2">
      <c r="A706" s="16">
        <v>705</v>
      </c>
      <c r="B706" s="37">
        <v>1</v>
      </c>
      <c r="C706" s="16" t="s">
        <v>2028</v>
      </c>
      <c r="D706" s="16" t="s">
        <v>2028</v>
      </c>
      <c r="E706" s="16"/>
      <c r="F706" s="16" t="s">
        <v>3864</v>
      </c>
      <c r="G706" s="16" t="s">
        <v>334</v>
      </c>
      <c r="H706" s="16" t="s">
        <v>2027</v>
      </c>
      <c r="I706" s="16" t="s">
        <v>335</v>
      </c>
      <c r="J706" s="16">
        <v>0</v>
      </c>
      <c r="K706" s="16">
        <v>1</v>
      </c>
      <c r="L706" s="16">
        <v>86400000</v>
      </c>
      <c r="M706" s="16">
        <v>0</v>
      </c>
      <c r="N706">
        <f t="array" aca="1" ref="N706" ca="1">MATCH(TRUE,EXACT(I706,OFFSET(rngParamTypes,0,6,,1)),0)</f>
        <v>139</v>
      </c>
      <c r="O706" t="str">
        <f ca="1">IF((INDEX(rngParamTypes,$N706,7)=I706),"",1)</f>
        <v/>
      </c>
      <c r="P706">
        <f ca="1">INDEX(rngParamTypes,$N706,9)</f>
        <v>-1</v>
      </c>
      <c r="Q706">
        <f ca="1">INDEX(rngParamTypes,$N706,10)</f>
        <v>4</v>
      </c>
      <c r="R706">
        <f ca="1">INDEX(rngParamTypes,$N706,11)</f>
        <v>1</v>
      </c>
      <c r="S706">
        <f ca="1">INDEX(rngParamTypes,$N706,12)</f>
        <v>0</v>
      </c>
      <c r="T706">
        <f ca="1">INDEX(rngParamTypes,$N706,13)</f>
        <v>0</v>
      </c>
      <c r="U706">
        <f ca="1">INDEX(rngParamTypes,$N706,14)</f>
        <v>0</v>
      </c>
      <c r="V706">
        <f ca="1">INDEX(rngParamTypes,$N706,15)</f>
        <v>0</v>
      </c>
      <c r="W706">
        <f ca="1">INDEX(rngParamTypes,$N706,16)</f>
        <v>0</v>
      </c>
      <c r="X706">
        <f ca="1">INDEX(rngParamTypes,$N706,17)</f>
        <v>0</v>
      </c>
      <c r="Y706">
        <f ca="1">INDEX(rngParamTypes,$N706,18)</f>
        <v>0</v>
      </c>
    </row>
    <row r="707" spans="1:25" x14ac:dyDescent="0.2">
      <c r="A707" s="16">
        <v>706</v>
      </c>
      <c r="B707" s="37">
        <v>1</v>
      </c>
      <c r="C707" s="16" t="s">
        <v>2031</v>
      </c>
      <c r="D707" s="16" t="s">
        <v>2031</v>
      </c>
      <c r="E707" s="16"/>
      <c r="F707" s="16" t="s">
        <v>3865</v>
      </c>
      <c r="G707" s="16" t="s">
        <v>334</v>
      </c>
      <c r="H707" s="16" t="s">
        <v>2030</v>
      </c>
      <c r="I707" s="16" t="s">
        <v>335</v>
      </c>
      <c r="J707" s="16">
        <v>0</v>
      </c>
      <c r="K707" s="16">
        <v>1</v>
      </c>
      <c r="L707" s="16">
        <v>3600000</v>
      </c>
      <c r="M707" s="16">
        <v>0</v>
      </c>
      <c r="N707">
        <f t="array" aca="1" ref="N707" ca="1">MATCH(TRUE,EXACT(I707,OFFSET(rngParamTypes,0,6,,1)),0)</f>
        <v>139</v>
      </c>
      <c r="O707" t="str">
        <f ca="1">IF((INDEX(rngParamTypes,$N707,7)=I707),"",1)</f>
        <v/>
      </c>
      <c r="P707">
        <f ca="1">INDEX(rngParamTypes,$N707,9)</f>
        <v>-1</v>
      </c>
      <c r="Q707">
        <f ca="1">INDEX(rngParamTypes,$N707,10)</f>
        <v>4</v>
      </c>
      <c r="R707">
        <f ca="1">INDEX(rngParamTypes,$N707,11)</f>
        <v>1</v>
      </c>
      <c r="S707">
        <f ca="1">INDEX(rngParamTypes,$N707,12)</f>
        <v>0</v>
      </c>
      <c r="T707">
        <f ca="1">INDEX(rngParamTypes,$N707,13)</f>
        <v>0</v>
      </c>
      <c r="U707">
        <f ca="1">INDEX(rngParamTypes,$N707,14)</f>
        <v>0</v>
      </c>
      <c r="V707">
        <f ca="1">INDEX(rngParamTypes,$N707,15)</f>
        <v>0</v>
      </c>
      <c r="W707">
        <f ca="1">INDEX(rngParamTypes,$N707,16)</f>
        <v>0</v>
      </c>
      <c r="X707">
        <f ca="1">INDEX(rngParamTypes,$N707,17)</f>
        <v>0</v>
      </c>
      <c r="Y707">
        <f ca="1">INDEX(rngParamTypes,$N707,18)</f>
        <v>0</v>
      </c>
    </row>
    <row r="708" spans="1:25" x14ac:dyDescent="0.2">
      <c r="A708" s="16">
        <v>707</v>
      </c>
      <c r="B708" s="37">
        <v>1</v>
      </c>
      <c r="C708" s="16" t="s">
        <v>2034</v>
      </c>
      <c r="D708" s="16" t="s">
        <v>2034</v>
      </c>
      <c r="E708" s="16"/>
      <c r="F708" s="16" t="s">
        <v>3866</v>
      </c>
      <c r="G708" s="16" t="s">
        <v>324</v>
      </c>
      <c r="H708" s="16" t="s">
        <v>2033</v>
      </c>
      <c r="I708" s="16" t="s">
        <v>325</v>
      </c>
      <c r="J708" s="16">
        <v>0</v>
      </c>
      <c r="K708" s="16">
        <v>1</v>
      </c>
      <c r="L708" s="16">
        <v>3600000</v>
      </c>
      <c r="M708" s="16">
        <v>0</v>
      </c>
      <c r="N708">
        <f t="array" aca="1" ref="N708" ca="1">MATCH(TRUE,EXACT(I708,OFFSET(rngParamTypes,0,6,,1)),0)</f>
        <v>135</v>
      </c>
      <c r="O708" t="str">
        <f ca="1">IF((INDEX(rngParamTypes,$N708,7)=I708),"",1)</f>
        <v/>
      </c>
      <c r="P708">
        <f ca="1">INDEX(rngParamTypes,$N708,9)</f>
        <v>-1</v>
      </c>
      <c r="Q708">
        <f ca="1">INDEX(rngParamTypes,$N708,10)</f>
        <v>1</v>
      </c>
      <c r="R708">
        <f ca="1">INDEX(rngParamTypes,$N708,11)</f>
        <v>2</v>
      </c>
      <c r="S708">
        <f ca="1">INDEX(rngParamTypes,$N708,12)</f>
        <v>0</v>
      </c>
      <c r="T708">
        <f ca="1">INDEX(rngParamTypes,$N708,13)</f>
        <v>0</v>
      </c>
      <c r="U708">
        <f ca="1">INDEX(rngParamTypes,$N708,14)</f>
        <v>0</v>
      </c>
      <c r="V708">
        <f ca="1">INDEX(rngParamTypes,$N708,15)</f>
        <v>0</v>
      </c>
      <c r="W708">
        <f ca="1">INDEX(rngParamTypes,$N708,16)</f>
        <v>0</v>
      </c>
      <c r="X708">
        <f ca="1">INDEX(rngParamTypes,$N708,17)</f>
        <v>0</v>
      </c>
      <c r="Y708">
        <f ca="1">INDEX(rngParamTypes,$N708,18)</f>
        <v>0</v>
      </c>
    </row>
    <row r="709" spans="1:25" x14ac:dyDescent="0.2">
      <c r="A709" s="16">
        <v>708</v>
      </c>
      <c r="B709" s="37">
        <v>1</v>
      </c>
      <c r="C709" s="16" t="s">
        <v>2036</v>
      </c>
      <c r="D709" s="16" t="s">
        <v>2036</v>
      </c>
      <c r="E709" s="16"/>
      <c r="F709" s="16" t="s">
        <v>3867</v>
      </c>
      <c r="G709" s="16" t="s">
        <v>767</v>
      </c>
      <c r="H709" s="16" t="s">
        <v>2035</v>
      </c>
      <c r="I709" s="16" t="s">
        <v>303</v>
      </c>
      <c r="J709" s="16">
        <v>0</v>
      </c>
      <c r="K709" s="16">
        <v>1</v>
      </c>
      <c r="L709" s="16">
        <v>1</v>
      </c>
      <c r="M709" s="16">
        <v>0</v>
      </c>
      <c r="N709">
        <f t="array" aca="1" ref="N709" ca="1">MATCH(TRUE,EXACT(I709,OFFSET(rngParamTypes,0,6,,1)),0)</f>
        <v>125</v>
      </c>
      <c r="O709" t="str">
        <f ca="1">IF((INDEX(rngParamTypes,$N709,7)=I709),"",1)</f>
        <v/>
      </c>
      <c r="P709">
        <f ca="1">INDEX(rngParamTypes,$N709,9)</f>
        <v>0</v>
      </c>
      <c r="Q709">
        <f ca="1">INDEX(rngParamTypes,$N709,10)</f>
        <v>2</v>
      </c>
      <c r="R709">
        <f ca="1">INDEX(rngParamTypes,$N709,11)</f>
        <v>0</v>
      </c>
      <c r="S709">
        <f ca="1">INDEX(rngParamTypes,$N709,12)</f>
        <v>0</v>
      </c>
      <c r="T709">
        <f ca="1">INDEX(rngParamTypes,$N709,13)</f>
        <v>0</v>
      </c>
      <c r="U709">
        <f ca="1">INDEX(rngParamTypes,$N709,14)</f>
        <v>0</v>
      </c>
      <c r="V709">
        <f ca="1">INDEX(rngParamTypes,$N709,15)</f>
        <v>0</v>
      </c>
      <c r="W709">
        <f ca="1">INDEX(rngParamTypes,$N709,16)</f>
        <v>0</v>
      </c>
      <c r="X709">
        <f ca="1">INDEX(rngParamTypes,$N709,17)</f>
        <v>0</v>
      </c>
      <c r="Y709">
        <f ca="1">INDEX(rngParamTypes,$N709,18)</f>
        <v>0</v>
      </c>
    </row>
    <row r="710" spans="1:25" x14ac:dyDescent="0.2">
      <c r="A710" s="16">
        <v>709</v>
      </c>
      <c r="B710" s="37">
        <v>1</v>
      </c>
      <c r="C710" s="16" t="s">
        <v>2038</v>
      </c>
      <c r="D710" s="16" t="s">
        <v>2038</v>
      </c>
      <c r="E710" s="16"/>
      <c r="F710" s="16" t="s">
        <v>3868</v>
      </c>
      <c r="G710" s="16" t="s">
        <v>743</v>
      </c>
      <c r="H710" s="16" t="s">
        <v>2037</v>
      </c>
      <c r="I710" s="16" t="s">
        <v>290</v>
      </c>
      <c r="J710" s="16">
        <v>0</v>
      </c>
      <c r="K710" s="16">
        <v>1</v>
      </c>
      <c r="L710" s="16">
        <v>1</v>
      </c>
      <c r="M710" s="16">
        <v>0</v>
      </c>
      <c r="N710">
        <f t="array" aca="1" ref="N710" ca="1">MATCH(TRUE,EXACT(I710,OFFSET(rngParamTypes,0,6,,1)),0)</f>
        <v>109</v>
      </c>
      <c r="O710" t="str">
        <f ca="1">IF((INDEX(rngParamTypes,$N710,7)=I710),"",1)</f>
        <v/>
      </c>
      <c r="P710">
        <f ca="1">INDEX(rngParamTypes,$N710,9)</f>
        <v>0</v>
      </c>
      <c r="Q710">
        <f ca="1">INDEX(rngParamTypes,$N710,10)</f>
        <v>1</v>
      </c>
      <c r="R710">
        <f ca="1">INDEX(rngParamTypes,$N710,11)</f>
        <v>0</v>
      </c>
      <c r="S710">
        <f ca="1">INDEX(rngParamTypes,$N710,12)</f>
        <v>0</v>
      </c>
      <c r="T710">
        <f ca="1">INDEX(rngParamTypes,$N710,13)</f>
        <v>0</v>
      </c>
      <c r="U710">
        <f ca="1">INDEX(rngParamTypes,$N710,14)</f>
        <v>0</v>
      </c>
      <c r="V710">
        <f ca="1">INDEX(rngParamTypes,$N710,15)</f>
        <v>0</v>
      </c>
      <c r="W710">
        <f ca="1">INDEX(rngParamTypes,$N710,16)</f>
        <v>0</v>
      </c>
      <c r="X710">
        <f ca="1">INDEX(rngParamTypes,$N710,17)</f>
        <v>0</v>
      </c>
      <c r="Y710">
        <f ca="1">INDEX(rngParamTypes,$N710,18)</f>
        <v>0</v>
      </c>
    </row>
    <row r="711" spans="1:25" x14ac:dyDescent="0.2">
      <c r="A711" s="16">
        <v>710</v>
      </c>
      <c r="B711" s="37">
        <v>1</v>
      </c>
      <c r="C711" s="16" t="s">
        <v>2040</v>
      </c>
      <c r="D711" s="16" t="s">
        <v>2040</v>
      </c>
      <c r="E711" s="16"/>
      <c r="F711" s="16" t="s">
        <v>3869</v>
      </c>
      <c r="G711" s="16" t="s">
        <v>659</v>
      </c>
      <c r="H711" s="16" t="s">
        <v>2039</v>
      </c>
      <c r="I711" s="16" t="s">
        <v>131</v>
      </c>
      <c r="J711" s="16">
        <v>0</v>
      </c>
      <c r="K711" s="16">
        <v>1</v>
      </c>
      <c r="L711" s="16">
        <v>1</v>
      </c>
      <c r="M711" s="16">
        <v>0</v>
      </c>
      <c r="N711">
        <f t="array" aca="1" ref="N711" ca="1">MATCH(TRUE,EXACT(I711,OFFSET(rngParamTypes,0,6,,1)),0)</f>
        <v>42</v>
      </c>
      <c r="O711" t="str">
        <f ca="1">IF((INDEX(rngParamTypes,$N711,7)=I711),"",1)</f>
        <v/>
      </c>
      <c r="P711">
        <f ca="1">INDEX(rngParamTypes,$N711,9)</f>
        <v>0</v>
      </c>
      <c r="Q711">
        <f ca="1">INDEX(rngParamTypes,$N711,10)</f>
        <v>0</v>
      </c>
      <c r="R711">
        <f ca="1">INDEX(rngParamTypes,$N711,11)</f>
        <v>0</v>
      </c>
      <c r="S711">
        <f ca="1">INDEX(rngParamTypes,$N711,12)</f>
        <v>0</v>
      </c>
      <c r="T711">
        <f ca="1">INDEX(rngParamTypes,$N711,13)</f>
        <v>0</v>
      </c>
      <c r="U711">
        <f ca="1">INDEX(rngParamTypes,$N711,14)</f>
        <v>0</v>
      </c>
      <c r="V711">
        <f ca="1">INDEX(rngParamTypes,$N711,15)</f>
        <v>0</v>
      </c>
      <c r="W711">
        <f ca="1">INDEX(rngParamTypes,$N711,16)</f>
        <v>0</v>
      </c>
      <c r="X711">
        <f ca="1">INDEX(rngParamTypes,$N711,17)</f>
        <v>0</v>
      </c>
      <c r="Y711">
        <f ca="1">INDEX(rngParamTypes,$N711,18)</f>
        <v>0</v>
      </c>
    </row>
    <row r="712" spans="1:25" x14ac:dyDescent="0.2">
      <c r="A712" s="16">
        <v>711</v>
      </c>
      <c r="B712" s="37">
        <v>1</v>
      </c>
      <c r="C712" s="16" t="s">
        <v>2042</v>
      </c>
      <c r="D712" s="16" t="s">
        <v>2042</v>
      </c>
      <c r="E712" s="16">
        <v>2</v>
      </c>
      <c r="F712" s="16" t="s">
        <v>3870</v>
      </c>
      <c r="G712" s="16" t="s">
        <v>343</v>
      </c>
      <c r="H712" s="16" t="s">
        <v>2041</v>
      </c>
      <c r="I712" s="16" t="s">
        <v>344</v>
      </c>
      <c r="J712" s="16">
        <v>0</v>
      </c>
      <c r="K712" s="16">
        <v>1</v>
      </c>
      <c r="L712" s="16">
        <v>60</v>
      </c>
      <c r="M712" s="16">
        <v>0</v>
      </c>
      <c r="N712">
        <f t="array" aca="1" ref="N712" ca="1">MATCH(TRUE,EXACT(I712,OFFSET(rngParamTypes,0,6,,1)),0)</f>
        <v>141</v>
      </c>
      <c r="O712" t="str">
        <f ca="1">IF((INDEX(rngParamTypes,$N712,7)=I712),"",1)</f>
        <v/>
      </c>
      <c r="P712">
        <f ca="1">INDEX(rngParamTypes,$N712,9)</f>
        <v>0</v>
      </c>
      <c r="Q712">
        <f ca="1">INDEX(rngParamTypes,$N712,10)</f>
        <v>3</v>
      </c>
      <c r="R712">
        <f ca="1">INDEX(rngParamTypes,$N712,11)</f>
        <v>-1</v>
      </c>
      <c r="S712">
        <f ca="1">INDEX(rngParamTypes,$N712,12)</f>
        <v>0</v>
      </c>
      <c r="T712">
        <f ca="1">INDEX(rngParamTypes,$N712,13)</f>
        <v>0</v>
      </c>
      <c r="U712">
        <f ca="1">INDEX(rngParamTypes,$N712,14)</f>
        <v>0</v>
      </c>
      <c r="V712">
        <f ca="1">INDEX(rngParamTypes,$N712,15)</f>
        <v>0</v>
      </c>
      <c r="W712">
        <f ca="1">INDEX(rngParamTypes,$N712,16)</f>
        <v>0</v>
      </c>
      <c r="X712">
        <f ca="1">INDEX(rngParamTypes,$N712,17)</f>
        <v>0</v>
      </c>
      <c r="Y712">
        <f ca="1">INDEX(rngParamTypes,$N712,18)</f>
        <v>0</v>
      </c>
    </row>
    <row r="713" spans="1:25" x14ac:dyDescent="0.2">
      <c r="A713" s="16">
        <v>712</v>
      </c>
      <c r="B713" s="37">
        <v>1</v>
      </c>
      <c r="C713" s="16" t="s">
        <v>2044</v>
      </c>
      <c r="D713" s="16" t="s">
        <v>2044</v>
      </c>
      <c r="E713" s="16"/>
      <c r="F713" s="16" t="s">
        <v>3871</v>
      </c>
      <c r="G713" s="16" t="s">
        <v>331</v>
      </c>
      <c r="H713" s="16" t="s">
        <v>2043</v>
      </c>
      <c r="I713" s="16" t="s">
        <v>332</v>
      </c>
      <c r="J713" s="16">
        <v>0</v>
      </c>
      <c r="K713" s="16">
        <v>1E-3</v>
      </c>
      <c r="L713" s="16">
        <v>1</v>
      </c>
      <c r="M713" s="16">
        <v>0</v>
      </c>
      <c r="N713">
        <f t="array" aca="1" ref="N713" ca="1">MATCH(TRUE,EXACT(I713,OFFSET(rngParamTypes,0,6,,1)),0)</f>
        <v>138</v>
      </c>
      <c r="O713" t="str">
        <f ca="1">IF((INDEX(rngParamTypes,$N713,7)=I713),"",1)</f>
        <v/>
      </c>
      <c r="P713">
        <f ca="1">INDEX(rngParamTypes,$N713,9)</f>
        <v>0</v>
      </c>
      <c r="Q713">
        <f ca="1">INDEX(rngParamTypes,$N713,10)</f>
        <v>3</v>
      </c>
      <c r="R713">
        <f ca="1">INDEX(rngParamTypes,$N713,11)</f>
        <v>0</v>
      </c>
      <c r="S713">
        <f ca="1">INDEX(rngParamTypes,$N713,12)</f>
        <v>0</v>
      </c>
      <c r="T713">
        <f ca="1">INDEX(rngParamTypes,$N713,13)</f>
        <v>0</v>
      </c>
      <c r="U713">
        <f ca="1">INDEX(rngParamTypes,$N713,14)</f>
        <v>-1</v>
      </c>
      <c r="V713">
        <f ca="1">INDEX(rngParamTypes,$N713,15)</f>
        <v>0</v>
      </c>
      <c r="W713">
        <f ca="1">INDEX(rngParamTypes,$N713,16)</f>
        <v>0</v>
      </c>
      <c r="X713">
        <f ca="1">INDEX(rngParamTypes,$N713,17)</f>
        <v>0</v>
      </c>
      <c r="Y713">
        <f ca="1">INDEX(rngParamTypes,$N713,18)</f>
        <v>0</v>
      </c>
    </row>
    <row r="714" spans="1:25" x14ac:dyDescent="0.2">
      <c r="A714" s="16">
        <v>713</v>
      </c>
      <c r="B714" s="37">
        <v>1</v>
      </c>
      <c r="C714" s="16" t="s">
        <v>2045</v>
      </c>
      <c r="D714" s="16" t="s">
        <v>2045</v>
      </c>
      <c r="E714" s="16"/>
      <c r="F714" s="16" t="s">
        <v>4322</v>
      </c>
      <c r="G714" s="16" t="s">
        <v>331</v>
      </c>
      <c r="H714" s="16" t="s">
        <v>2043</v>
      </c>
      <c r="I714" s="16" t="s">
        <v>332</v>
      </c>
      <c r="J714" s="16">
        <v>0</v>
      </c>
      <c r="K714" s="16">
        <v>1</v>
      </c>
      <c r="L714" s="16">
        <v>1</v>
      </c>
      <c r="M714" s="16">
        <v>0</v>
      </c>
      <c r="N714">
        <f t="array" aca="1" ref="N714" ca="1">MATCH(TRUE,EXACT(I714,OFFSET(rngParamTypes,0,6,,1)),0)</f>
        <v>138</v>
      </c>
      <c r="O714" t="str">
        <f ca="1">IF((INDEX(rngParamTypes,$N714,7)=I714),"",1)</f>
        <v/>
      </c>
      <c r="P714">
        <f ca="1">INDEX(rngParamTypes,$N714,9)</f>
        <v>0</v>
      </c>
      <c r="Q714">
        <f ca="1">INDEX(rngParamTypes,$N714,10)</f>
        <v>3</v>
      </c>
      <c r="R714">
        <f ca="1">INDEX(rngParamTypes,$N714,11)</f>
        <v>0</v>
      </c>
      <c r="S714">
        <f ca="1">INDEX(rngParamTypes,$N714,12)</f>
        <v>0</v>
      </c>
      <c r="T714">
        <f ca="1">INDEX(rngParamTypes,$N714,13)</f>
        <v>0</v>
      </c>
      <c r="U714">
        <f ca="1">INDEX(rngParamTypes,$N714,14)</f>
        <v>-1</v>
      </c>
      <c r="V714">
        <f ca="1">INDEX(rngParamTypes,$N714,15)</f>
        <v>0</v>
      </c>
      <c r="W714">
        <f ca="1">INDEX(rngParamTypes,$N714,16)</f>
        <v>0</v>
      </c>
      <c r="X714">
        <f ca="1">INDEX(rngParamTypes,$N714,17)</f>
        <v>0</v>
      </c>
      <c r="Y714">
        <f ca="1">INDEX(rngParamTypes,$N714,18)</f>
        <v>0</v>
      </c>
    </row>
    <row r="715" spans="1:25" x14ac:dyDescent="0.2">
      <c r="A715" s="16">
        <v>714</v>
      </c>
      <c r="B715" s="37">
        <v>1</v>
      </c>
      <c r="C715" s="16" t="s">
        <v>2047</v>
      </c>
      <c r="D715" s="16" t="s">
        <v>2047</v>
      </c>
      <c r="E715" s="16"/>
      <c r="F715" s="16" t="s">
        <v>3872</v>
      </c>
      <c r="G715" s="16" t="s">
        <v>334</v>
      </c>
      <c r="H715" s="16" t="s">
        <v>2046</v>
      </c>
      <c r="I715" s="16" t="s">
        <v>335</v>
      </c>
      <c r="J715" s="16">
        <v>0</v>
      </c>
      <c r="K715" s="16">
        <v>1</v>
      </c>
      <c r="L715" s="16">
        <v>595707004.79999995</v>
      </c>
      <c r="M715" s="16">
        <v>0</v>
      </c>
      <c r="N715">
        <f t="array" aca="1" ref="N715" ca="1">MATCH(TRUE,EXACT(I715,OFFSET(rngParamTypes,0,6,,1)),0)</f>
        <v>139</v>
      </c>
      <c r="O715" t="str">
        <f ca="1">IF((INDEX(rngParamTypes,$N715,7)=I715),"",1)</f>
        <v/>
      </c>
      <c r="P715">
        <f ca="1">INDEX(rngParamTypes,$N715,9)</f>
        <v>-1</v>
      </c>
      <c r="Q715">
        <f ca="1">INDEX(rngParamTypes,$N715,10)</f>
        <v>4</v>
      </c>
      <c r="R715">
        <f ca="1">INDEX(rngParamTypes,$N715,11)</f>
        <v>1</v>
      </c>
      <c r="S715">
        <f ca="1">INDEX(rngParamTypes,$N715,12)</f>
        <v>0</v>
      </c>
      <c r="T715">
        <f ca="1">INDEX(rngParamTypes,$N715,13)</f>
        <v>0</v>
      </c>
      <c r="U715">
        <f ca="1">INDEX(rngParamTypes,$N715,14)</f>
        <v>0</v>
      </c>
      <c r="V715">
        <f ca="1">INDEX(rngParamTypes,$N715,15)</f>
        <v>0</v>
      </c>
      <c r="W715">
        <f ca="1">INDEX(rngParamTypes,$N715,16)</f>
        <v>0</v>
      </c>
      <c r="X715">
        <f ca="1">INDEX(rngParamTypes,$N715,17)</f>
        <v>0</v>
      </c>
      <c r="Y715">
        <f ca="1">INDEX(rngParamTypes,$N715,18)</f>
        <v>0</v>
      </c>
    </row>
    <row r="716" spans="1:25" x14ac:dyDescent="0.2">
      <c r="A716" s="16">
        <v>715</v>
      </c>
      <c r="B716" s="37">
        <v>1</v>
      </c>
      <c r="C716" s="16" t="s">
        <v>2050</v>
      </c>
      <c r="D716" s="16" t="s">
        <v>2050</v>
      </c>
      <c r="E716" s="16"/>
      <c r="F716" s="16" t="s">
        <v>3873</v>
      </c>
      <c r="G716" s="16" t="s">
        <v>664</v>
      </c>
      <c r="H716" s="16" t="s">
        <v>2049</v>
      </c>
      <c r="I716" s="16" t="s">
        <v>319</v>
      </c>
      <c r="J716" s="16">
        <v>0</v>
      </c>
      <c r="K716" s="16">
        <v>1</v>
      </c>
      <c r="L716" s="16">
        <v>0.30480000000000002</v>
      </c>
      <c r="M716" s="16">
        <v>0</v>
      </c>
      <c r="N716">
        <f t="array" aca="1" ref="N716" ca="1">MATCH(TRUE,EXACT(I716,OFFSET(rngParamTypes,0,6,,1)),0)</f>
        <v>130</v>
      </c>
      <c r="O716" t="str">
        <f ca="1">IF((INDEX(rngParamTypes,$N716,7)=I716),"",1)</f>
        <v/>
      </c>
      <c r="P716">
        <f ca="1">INDEX(rngParamTypes,$N716,9)</f>
        <v>0</v>
      </c>
      <c r="Q716">
        <f ca="1">INDEX(rngParamTypes,$N716,10)</f>
        <v>2</v>
      </c>
      <c r="R716">
        <f ca="1">INDEX(rngParamTypes,$N716,11)</f>
        <v>-1</v>
      </c>
      <c r="S716">
        <f ca="1">INDEX(rngParamTypes,$N716,12)</f>
        <v>0</v>
      </c>
      <c r="T716">
        <f ca="1">INDEX(rngParamTypes,$N716,13)</f>
        <v>0</v>
      </c>
      <c r="U716">
        <f ca="1">INDEX(rngParamTypes,$N716,14)</f>
        <v>0</v>
      </c>
      <c r="V716">
        <f ca="1">INDEX(rngParamTypes,$N716,15)</f>
        <v>0</v>
      </c>
      <c r="W716">
        <f ca="1">INDEX(rngParamTypes,$N716,16)</f>
        <v>0</v>
      </c>
      <c r="X716">
        <f ca="1">INDEX(rngParamTypes,$N716,17)</f>
        <v>0</v>
      </c>
      <c r="Y716">
        <f ca="1">INDEX(rngParamTypes,$N716,18)</f>
        <v>0</v>
      </c>
    </row>
    <row r="717" spans="1:25" x14ac:dyDescent="0.2">
      <c r="A717" s="16">
        <v>716</v>
      </c>
      <c r="B717" s="37">
        <v>1</v>
      </c>
      <c r="C717" s="16" t="s">
        <v>2053</v>
      </c>
      <c r="D717" s="16" t="s">
        <v>2053</v>
      </c>
      <c r="E717" s="16"/>
      <c r="F717" s="16" t="s">
        <v>3874</v>
      </c>
      <c r="G717" s="16" t="s">
        <v>664</v>
      </c>
      <c r="H717" s="16" t="s">
        <v>2052</v>
      </c>
      <c r="I717" s="16" t="s">
        <v>319</v>
      </c>
      <c r="J717" s="16">
        <v>0</v>
      </c>
      <c r="K717" s="16">
        <v>1</v>
      </c>
      <c r="L717" s="16">
        <v>1</v>
      </c>
      <c r="M717" s="16">
        <v>0</v>
      </c>
      <c r="N717">
        <f t="array" aca="1" ref="N717" ca="1">MATCH(TRUE,EXACT(I717,OFFSET(rngParamTypes,0,6,,1)),0)</f>
        <v>130</v>
      </c>
      <c r="O717" t="str">
        <f ca="1">IF((INDEX(rngParamTypes,$N717,7)=I717),"",1)</f>
        <v/>
      </c>
      <c r="P717">
        <f ca="1">INDEX(rngParamTypes,$N717,9)</f>
        <v>0</v>
      </c>
      <c r="Q717">
        <f ca="1">INDEX(rngParamTypes,$N717,10)</f>
        <v>2</v>
      </c>
      <c r="R717">
        <f ca="1">INDEX(rngParamTypes,$N717,11)</f>
        <v>-1</v>
      </c>
      <c r="S717">
        <f ca="1">INDEX(rngParamTypes,$N717,12)</f>
        <v>0</v>
      </c>
      <c r="T717">
        <f ca="1">INDEX(rngParamTypes,$N717,13)</f>
        <v>0</v>
      </c>
      <c r="U717">
        <f ca="1">INDEX(rngParamTypes,$N717,14)</f>
        <v>0</v>
      </c>
      <c r="V717">
        <f ca="1">INDEX(rngParamTypes,$N717,15)</f>
        <v>0</v>
      </c>
      <c r="W717">
        <f ca="1">INDEX(rngParamTypes,$N717,16)</f>
        <v>0</v>
      </c>
      <c r="X717">
        <f ca="1">INDEX(rngParamTypes,$N717,17)</f>
        <v>0</v>
      </c>
      <c r="Y717">
        <f ca="1">INDEX(rngParamTypes,$N717,18)</f>
        <v>0</v>
      </c>
    </row>
    <row r="718" spans="1:25" x14ac:dyDescent="0.2">
      <c r="A718" s="16">
        <v>717</v>
      </c>
      <c r="B718" s="37">
        <v>1</v>
      </c>
      <c r="C718" s="16" t="s">
        <v>2055</v>
      </c>
      <c r="D718" s="16" t="s">
        <v>2055</v>
      </c>
      <c r="E718" s="16"/>
      <c r="F718" s="16" t="s">
        <v>3875</v>
      </c>
      <c r="G718" s="16" t="s">
        <v>1271</v>
      </c>
      <c r="H718" s="16" t="s">
        <v>2054</v>
      </c>
      <c r="I718" s="16" t="s">
        <v>297</v>
      </c>
      <c r="J718" s="16">
        <v>0</v>
      </c>
      <c r="K718" s="16">
        <v>1</v>
      </c>
      <c r="L718" s="16">
        <v>1</v>
      </c>
      <c r="M718" s="16">
        <v>0</v>
      </c>
      <c r="N718">
        <f t="array" aca="1" ref="N718" ca="1">MATCH(TRUE,EXACT(I718,OFFSET(rngParamTypes,0,6,,1)),0)</f>
        <v>123</v>
      </c>
      <c r="O718" t="str">
        <f ca="1">IF((INDEX(rngParamTypes,$N718,7)=I718),"",1)</f>
        <v/>
      </c>
      <c r="P718">
        <f ca="1">INDEX(rngParamTypes,$N718,9)</f>
        <v>0</v>
      </c>
      <c r="Q718">
        <f ca="1">INDEX(rngParamTypes,$N718,10)</f>
        <v>1</v>
      </c>
      <c r="R718">
        <f ca="1">INDEX(rngParamTypes,$N718,11)</f>
        <v>-1</v>
      </c>
      <c r="S718">
        <f ca="1">INDEX(rngParamTypes,$N718,12)</f>
        <v>0</v>
      </c>
      <c r="T718">
        <f ca="1">INDEX(rngParamTypes,$N718,13)</f>
        <v>0</v>
      </c>
      <c r="U718">
        <f ca="1">INDEX(rngParamTypes,$N718,14)</f>
        <v>0</v>
      </c>
      <c r="V718">
        <f ca="1">INDEX(rngParamTypes,$N718,15)</f>
        <v>0</v>
      </c>
      <c r="W718">
        <f ca="1">INDEX(rngParamTypes,$N718,16)</f>
        <v>0</v>
      </c>
      <c r="X718">
        <f ca="1">INDEX(rngParamTypes,$N718,17)</f>
        <v>0</v>
      </c>
      <c r="Y718">
        <f ca="1">INDEX(rngParamTypes,$N718,18)</f>
        <v>0</v>
      </c>
    </row>
    <row r="719" spans="1:25" x14ac:dyDescent="0.2">
      <c r="A719" s="16">
        <v>718</v>
      </c>
      <c r="B719" s="37">
        <v>1</v>
      </c>
      <c r="C719" s="16" t="s">
        <v>2057</v>
      </c>
      <c r="D719" s="16" t="s">
        <v>2057</v>
      </c>
      <c r="E719" s="16">
        <v>2</v>
      </c>
      <c r="F719" s="16" t="s">
        <v>3876</v>
      </c>
      <c r="G719" s="16" t="s">
        <v>3307</v>
      </c>
      <c r="H719" s="16" t="s">
        <v>2056</v>
      </c>
      <c r="I719" s="16" t="s">
        <v>329</v>
      </c>
      <c r="J719" s="16">
        <v>0</v>
      </c>
      <c r="K719" s="16">
        <v>1E-3</v>
      </c>
      <c r="L719" s="16">
        <v>1</v>
      </c>
      <c r="M719" s="16">
        <v>0</v>
      </c>
      <c r="N719">
        <f t="array" aca="1" ref="N719" ca="1">MATCH(TRUE,EXACT(I719,OFFSET(rngParamTypes,0,6,,1)),0)</f>
        <v>136</v>
      </c>
      <c r="O719" t="str">
        <f ca="1">IF((INDEX(rngParamTypes,$N719,7)=I719),"",1)</f>
        <v/>
      </c>
      <c r="P719">
        <f ca="1">INDEX(rngParamTypes,$N719,9)</f>
        <v>-1</v>
      </c>
      <c r="Q719">
        <f ca="1">INDEX(rngParamTypes,$N719,10)</f>
        <v>3</v>
      </c>
      <c r="R719">
        <f ca="1">INDEX(rngParamTypes,$N719,11)</f>
        <v>0</v>
      </c>
      <c r="S719">
        <f ca="1">INDEX(rngParamTypes,$N719,12)</f>
        <v>0</v>
      </c>
      <c r="T719">
        <f ca="1">INDEX(rngParamTypes,$N719,13)</f>
        <v>0</v>
      </c>
      <c r="U719">
        <f ca="1">INDEX(rngParamTypes,$N719,14)</f>
        <v>0</v>
      </c>
      <c r="V719">
        <f ca="1">INDEX(rngParamTypes,$N719,15)</f>
        <v>0</v>
      </c>
      <c r="W719">
        <f ca="1">INDEX(rngParamTypes,$N719,16)</f>
        <v>0</v>
      </c>
      <c r="X719">
        <f ca="1">INDEX(rngParamTypes,$N719,17)</f>
        <v>0</v>
      </c>
      <c r="Y719">
        <f ca="1">INDEX(rngParamTypes,$N719,18)</f>
        <v>0</v>
      </c>
    </row>
    <row r="720" spans="1:25" x14ac:dyDescent="0.2">
      <c r="A720" s="16">
        <v>719</v>
      </c>
      <c r="B720" s="37">
        <v>1</v>
      </c>
      <c r="C720" s="16" t="s">
        <v>2059</v>
      </c>
      <c r="D720" s="16" t="s">
        <v>2059</v>
      </c>
      <c r="E720" s="16">
        <v>2</v>
      </c>
      <c r="F720" s="16" t="s">
        <v>3877</v>
      </c>
      <c r="G720" s="16" t="s">
        <v>3307</v>
      </c>
      <c r="H720" s="16" t="s">
        <v>2058</v>
      </c>
      <c r="I720" s="16" t="s">
        <v>329</v>
      </c>
      <c r="J720" s="16">
        <v>0</v>
      </c>
      <c r="K720" s="16">
        <v>1</v>
      </c>
      <c r="L720" s="16">
        <v>1016.047</v>
      </c>
      <c r="M720" s="16">
        <v>0</v>
      </c>
      <c r="N720">
        <f t="array" aca="1" ref="N720" ca="1">MATCH(TRUE,EXACT(I720,OFFSET(rngParamTypes,0,6,,1)),0)</f>
        <v>136</v>
      </c>
      <c r="O720" t="str">
        <f ca="1">IF((INDEX(rngParamTypes,$N720,7)=I720),"",1)</f>
        <v/>
      </c>
      <c r="P720">
        <f ca="1">INDEX(rngParamTypes,$N720,9)</f>
        <v>-1</v>
      </c>
      <c r="Q720">
        <f ca="1">INDEX(rngParamTypes,$N720,10)</f>
        <v>3</v>
      </c>
      <c r="R720">
        <f ca="1">INDEX(rngParamTypes,$N720,11)</f>
        <v>0</v>
      </c>
      <c r="S720">
        <f ca="1">INDEX(rngParamTypes,$N720,12)</f>
        <v>0</v>
      </c>
      <c r="T720">
        <f ca="1">INDEX(rngParamTypes,$N720,13)</f>
        <v>0</v>
      </c>
      <c r="U720">
        <f ca="1">INDEX(rngParamTypes,$N720,14)</f>
        <v>0</v>
      </c>
      <c r="V720">
        <f ca="1">INDEX(rngParamTypes,$N720,15)</f>
        <v>0</v>
      </c>
      <c r="W720">
        <f ca="1">INDEX(rngParamTypes,$N720,16)</f>
        <v>0</v>
      </c>
      <c r="X720">
        <f ca="1">INDEX(rngParamTypes,$N720,17)</f>
        <v>0</v>
      </c>
      <c r="Y720">
        <f ca="1">INDEX(rngParamTypes,$N720,18)</f>
        <v>0</v>
      </c>
    </row>
    <row r="721" spans="1:25" x14ac:dyDescent="0.2">
      <c r="A721" s="16">
        <v>720</v>
      </c>
      <c r="B721" s="37">
        <v>1</v>
      </c>
      <c r="C721" s="16" t="s">
        <v>2061</v>
      </c>
      <c r="D721" s="16" t="s">
        <v>2061</v>
      </c>
      <c r="E721" s="16">
        <v>2</v>
      </c>
      <c r="F721" s="16" t="s">
        <v>3878</v>
      </c>
      <c r="G721" s="16" t="s">
        <v>3307</v>
      </c>
      <c r="H721" s="16" t="s">
        <v>2060</v>
      </c>
      <c r="I721" s="16" t="s">
        <v>329</v>
      </c>
      <c r="J721" s="16">
        <v>0</v>
      </c>
      <c r="K721" s="16">
        <v>1</v>
      </c>
      <c r="L721" s="16">
        <v>907.18470000000002</v>
      </c>
      <c r="M721" s="16">
        <v>0</v>
      </c>
      <c r="N721">
        <f t="array" aca="1" ref="N721" ca="1">MATCH(TRUE,EXACT(I721,OFFSET(rngParamTypes,0,6,,1)),0)</f>
        <v>136</v>
      </c>
      <c r="O721" t="str">
        <f ca="1">IF((INDEX(rngParamTypes,$N721,7)=I721),"",1)</f>
        <v/>
      </c>
      <c r="P721">
        <f ca="1">INDEX(rngParamTypes,$N721,9)</f>
        <v>-1</v>
      </c>
      <c r="Q721">
        <f ca="1">INDEX(rngParamTypes,$N721,10)</f>
        <v>3</v>
      </c>
      <c r="R721">
        <f ca="1">INDEX(rngParamTypes,$N721,11)</f>
        <v>0</v>
      </c>
      <c r="S721">
        <f ca="1">INDEX(rngParamTypes,$N721,12)</f>
        <v>0</v>
      </c>
      <c r="T721">
        <f ca="1">INDEX(rngParamTypes,$N721,13)</f>
        <v>0</v>
      </c>
      <c r="U721">
        <f ca="1">INDEX(rngParamTypes,$N721,14)</f>
        <v>0</v>
      </c>
      <c r="V721">
        <f ca="1">INDEX(rngParamTypes,$N721,15)</f>
        <v>0</v>
      </c>
      <c r="W721">
        <f ca="1">INDEX(rngParamTypes,$N721,16)</f>
        <v>0</v>
      </c>
      <c r="X721">
        <f ca="1">INDEX(rngParamTypes,$N721,17)</f>
        <v>0</v>
      </c>
      <c r="Y721">
        <f ca="1">INDEX(rngParamTypes,$N721,18)</f>
        <v>0</v>
      </c>
    </row>
    <row r="722" spans="1:25" x14ac:dyDescent="0.2">
      <c r="A722" s="16">
        <v>721</v>
      </c>
      <c r="B722" s="37">
        <v>1</v>
      </c>
      <c r="C722" s="16" t="s">
        <v>2063</v>
      </c>
      <c r="D722" s="16" t="s">
        <v>2063</v>
      </c>
      <c r="E722" s="16">
        <v>2</v>
      </c>
      <c r="F722" s="16" t="s">
        <v>3879</v>
      </c>
      <c r="G722" s="16" t="s">
        <v>3668</v>
      </c>
      <c r="H722" s="16" t="s">
        <v>2062</v>
      </c>
      <c r="I722" s="16" t="s">
        <v>46</v>
      </c>
      <c r="J722" s="16">
        <v>0</v>
      </c>
      <c r="K722" s="16">
        <v>1E-3</v>
      </c>
      <c r="L722" s="16">
        <v>1</v>
      </c>
      <c r="M722" s="16">
        <v>0</v>
      </c>
      <c r="N722">
        <f t="array" aca="1" ref="N722" ca="1">MATCH(TRUE,EXACT(I722,OFFSET(rngParamTypes,0,6,,1)),0)</f>
        <v>15</v>
      </c>
      <c r="O722" t="str">
        <f ca="1">IF((INDEX(rngParamTypes,$N722,7)=I722),"",1)</f>
        <v/>
      </c>
      <c r="P722">
        <f ca="1">INDEX(rngParamTypes,$N722,9)</f>
        <v>0</v>
      </c>
      <c r="Q722">
        <f ca="1">INDEX(rngParamTypes,$N722,10)</f>
        <v>0</v>
      </c>
      <c r="R722">
        <f ca="1">INDEX(rngParamTypes,$N722,11)</f>
        <v>0</v>
      </c>
      <c r="S722">
        <f ca="1">INDEX(rngParamTypes,$N722,12)</f>
        <v>1</v>
      </c>
      <c r="T722">
        <f ca="1">INDEX(rngParamTypes,$N722,13)</f>
        <v>0</v>
      </c>
      <c r="U722">
        <f ca="1">INDEX(rngParamTypes,$N722,14)</f>
        <v>0</v>
      </c>
      <c r="V722">
        <f ca="1">INDEX(rngParamTypes,$N722,15)</f>
        <v>0</v>
      </c>
      <c r="W722">
        <f ca="1">INDEX(rngParamTypes,$N722,16)</f>
        <v>0</v>
      </c>
      <c r="X722">
        <f ca="1">INDEX(rngParamTypes,$N722,17)</f>
        <v>0</v>
      </c>
      <c r="Y722">
        <f ca="1">INDEX(rngParamTypes,$N722,18)</f>
        <v>0</v>
      </c>
    </row>
    <row r="723" spans="1:25" x14ac:dyDescent="0.2">
      <c r="A723" s="16">
        <v>722</v>
      </c>
      <c r="B723" s="37">
        <v>1</v>
      </c>
      <c r="C723" s="16" t="s">
        <v>2065</v>
      </c>
      <c r="D723" s="16" t="s">
        <v>2065</v>
      </c>
      <c r="E723" s="16">
        <v>2</v>
      </c>
      <c r="F723" s="16" t="s">
        <v>3880</v>
      </c>
      <c r="G723" s="16" t="s">
        <v>469</v>
      </c>
      <c r="H723" s="16" t="s">
        <v>2064</v>
      </c>
      <c r="I723" s="16" t="s">
        <v>470</v>
      </c>
      <c r="J723" s="16">
        <v>0</v>
      </c>
      <c r="K723" s="16">
        <v>31558150000000</v>
      </c>
      <c r="L723" s="16">
        <v>1</v>
      </c>
      <c r="M723" s="16">
        <v>0</v>
      </c>
      <c r="N723">
        <f t="array" aca="1" ref="N723" ca="1">MATCH(TRUE,EXACT(I723,OFFSET(rngParamTypes,0,6,,1)),0)</f>
        <v>190</v>
      </c>
      <c r="O723" t="str">
        <f ca="1">IF((INDEX(rngParamTypes,$N723,7)=I723),"",1)</f>
        <v/>
      </c>
      <c r="P723">
        <f ca="1">INDEX(rngParamTypes,$N723,9)</f>
        <v>0</v>
      </c>
      <c r="Q723">
        <f ca="1">INDEX(rngParamTypes,$N723,10)</f>
        <v>0</v>
      </c>
      <c r="R723">
        <f ca="1">INDEX(rngParamTypes,$N723,11)</f>
        <v>1</v>
      </c>
      <c r="S723">
        <f ca="1">INDEX(rngParamTypes,$N723,12)</f>
        <v>0</v>
      </c>
      <c r="T723">
        <f ca="1">INDEX(rngParamTypes,$N723,13)</f>
        <v>0</v>
      </c>
      <c r="U723">
        <f ca="1">INDEX(rngParamTypes,$N723,14)</f>
        <v>0</v>
      </c>
      <c r="V723">
        <f ca="1">INDEX(rngParamTypes,$N723,15)</f>
        <v>0</v>
      </c>
      <c r="W723">
        <f ca="1">INDEX(rngParamTypes,$N723,16)</f>
        <v>0</v>
      </c>
      <c r="X723">
        <f ca="1">INDEX(rngParamTypes,$N723,17)</f>
        <v>0</v>
      </c>
      <c r="Y723">
        <f ca="1">INDEX(rngParamTypes,$N723,18)</f>
        <v>0</v>
      </c>
    </row>
    <row r="724" spans="1:25" x14ac:dyDescent="0.2">
      <c r="A724" s="16">
        <v>723</v>
      </c>
      <c r="B724" s="37">
        <v>1</v>
      </c>
      <c r="C724" s="16" t="s">
        <v>2067</v>
      </c>
      <c r="D724" s="16" t="s">
        <v>2067</v>
      </c>
      <c r="E724" s="16">
        <v>2</v>
      </c>
      <c r="F724" s="16" t="s">
        <v>3881</v>
      </c>
      <c r="G724" s="16" t="s">
        <v>3668</v>
      </c>
      <c r="H724" s="16" t="s">
        <v>2066</v>
      </c>
      <c r="I724" s="16" t="s">
        <v>46</v>
      </c>
      <c r="J724" s="16">
        <v>0</v>
      </c>
      <c r="K724" s="16">
        <v>1000000</v>
      </c>
      <c r="L724" s="16">
        <v>1</v>
      </c>
      <c r="M724" s="16">
        <v>0</v>
      </c>
      <c r="N724">
        <f t="array" aca="1" ref="N724" ca="1">MATCH(TRUE,EXACT(I724,OFFSET(rngParamTypes,0,6,,1)),0)</f>
        <v>15</v>
      </c>
      <c r="O724" t="str">
        <f ca="1">IF((INDEX(rngParamTypes,$N724,7)=I724),"",1)</f>
        <v/>
      </c>
      <c r="P724">
        <f ca="1">INDEX(rngParamTypes,$N724,9)</f>
        <v>0</v>
      </c>
      <c r="Q724">
        <f ca="1">INDEX(rngParamTypes,$N724,10)</f>
        <v>0</v>
      </c>
      <c r="R724">
        <f ca="1">INDEX(rngParamTypes,$N724,11)</f>
        <v>0</v>
      </c>
      <c r="S724">
        <f ca="1">INDEX(rngParamTypes,$N724,12)</f>
        <v>1</v>
      </c>
      <c r="T724">
        <f ca="1">INDEX(rngParamTypes,$N724,13)</f>
        <v>0</v>
      </c>
      <c r="U724">
        <f ca="1">INDEX(rngParamTypes,$N724,14)</f>
        <v>0</v>
      </c>
      <c r="V724">
        <f ca="1">INDEX(rngParamTypes,$N724,15)</f>
        <v>0</v>
      </c>
      <c r="W724">
        <f ca="1">INDEX(rngParamTypes,$N724,16)</f>
        <v>0</v>
      </c>
      <c r="X724">
        <f ca="1">INDEX(rngParamTypes,$N724,17)</f>
        <v>0</v>
      </c>
      <c r="Y724">
        <f ca="1">INDEX(rngParamTypes,$N724,18)</f>
        <v>0</v>
      </c>
    </row>
    <row r="725" spans="1:25" x14ac:dyDescent="0.2">
      <c r="A725" s="16">
        <v>724</v>
      </c>
      <c r="B725" s="37">
        <v>1</v>
      </c>
      <c r="C725" s="16" t="s">
        <v>2069</v>
      </c>
      <c r="D725" s="16" t="s">
        <v>2069</v>
      </c>
      <c r="E725" s="16"/>
      <c r="F725" s="16" t="s">
        <v>3882</v>
      </c>
      <c r="G725" s="16" t="s">
        <v>57</v>
      </c>
      <c r="H725" s="16" t="s">
        <v>2068</v>
      </c>
      <c r="I725" s="16" t="s">
        <v>58</v>
      </c>
      <c r="J725" s="16">
        <v>0</v>
      </c>
      <c r="K725" s="16">
        <v>10</v>
      </c>
      <c r="L725" s="16">
        <v>1</v>
      </c>
      <c r="M725" s="16">
        <v>0</v>
      </c>
      <c r="N725">
        <f t="array" aca="1" ref="N725" ca="1">MATCH(TRUE,EXACT(I725,OFFSET(rngParamTypes,0,6,,1)),0)</f>
        <v>22</v>
      </c>
      <c r="O725" t="str">
        <f ca="1">IF((INDEX(rngParamTypes,$N725,7)=I725),"",1)</f>
        <v/>
      </c>
      <c r="P725">
        <f ca="1">INDEX(rngParamTypes,$N725,9)</f>
        <v>0</v>
      </c>
      <c r="Q725">
        <f ca="1">INDEX(rngParamTypes,$N725,10)</f>
        <v>-2</v>
      </c>
      <c r="R725">
        <f ca="1">INDEX(rngParamTypes,$N725,11)</f>
        <v>0</v>
      </c>
      <c r="S725">
        <f ca="1">INDEX(rngParamTypes,$N725,12)</f>
        <v>1</v>
      </c>
      <c r="T725">
        <f ca="1">INDEX(rngParamTypes,$N725,13)</f>
        <v>0</v>
      </c>
      <c r="U725">
        <f ca="1">INDEX(rngParamTypes,$N725,14)</f>
        <v>0</v>
      </c>
      <c r="V725">
        <f ca="1">INDEX(rngParamTypes,$N725,15)</f>
        <v>0</v>
      </c>
      <c r="W725">
        <f ca="1">INDEX(rngParamTypes,$N725,16)</f>
        <v>0</v>
      </c>
      <c r="X725">
        <f ca="1">INDEX(rngParamTypes,$N725,17)</f>
        <v>0</v>
      </c>
      <c r="Y725">
        <f ca="1">INDEX(rngParamTypes,$N725,18)</f>
        <v>0</v>
      </c>
    </row>
    <row r="726" spans="1:25" x14ac:dyDescent="0.2">
      <c r="A726" s="16">
        <v>725</v>
      </c>
      <c r="B726" s="37">
        <v>1</v>
      </c>
      <c r="C726" s="16" t="s">
        <v>2071</v>
      </c>
      <c r="D726" s="16" t="s">
        <v>2071</v>
      </c>
      <c r="E726" s="16"/>
      <c r="F726" s="16" t="s">
        <v>3883</v>
      </c>
      <c r="G726" s="16" t="s">
        <v>57</v>
      </c>
      <c r="H726" s="16" t="s">
        <v>2070</v>
      </c>
      <c r="I726" s="16" t="s">
        <v>58</v>
      </c>
      <c r="J726" s="16">
        <v>0</v>
      </c>
      <c r="K726" s="16">
        <v>1E-3</v>
      </c>
      <c r="L726" s="16">
        <v>9.2903040000000006E-2</v>
      </c>
      <c r="M726" s="16">
        <v>0</v>
      </c>
      <c r="N726">
        <f t="array" aca="1" ref="N726" ca="1">MATCH(TRUE,EXACT(I726,OFFSET(rngParamTypes,0,6,,1)),0)</f>
        <v>22</v>
      </c>
      <c r="O726" t="str">
        <f ca="1">IF((INDEX(rngParamTypes,$N726,7)=I726),"",1)</f>
        <v/>
      </c>
      <c r="P726">
        <f ca="1">INDEX(rngParamTypes,$N726,9)</f>
        <v>0</v>
      </c>
      <c r="Q726">
        <f ca="1">INDEX(rngParamTypes,$N726,10)</f>
        <v>-2</v>
      </c>
      <c r="R726">
        <f ca="1">INDEX(rngParamTypes,$N726,11)</f>
        <v>0</v>
      </c>
      <c r="S726">
        <f ca="1">INDEX(rngParamTypes,$N726,12)</f>
        <v>1</v>
      </c>
      <c r="T726">
        <f ca="1">INDEX(rngParamTypes,$N726,13)</f>
        <v>0</v>
      </c>
      <c r="U726">
        <f ca="1">INDEX(rngParamTypes,$N726,14)</f>
        <v>0</v>
      </c>
      <c r="V726">
        <f ca="1">INDEX(rngParamTypes,$N726,15)</f>
        <v>0</v>
      </c>
      <c r="W726">
        <f ca="1">INDEX(rngParamTypes,$N726,16)</f>
        <v>0</v>
      </c>
      <c r="X726">
        <f ca="1">INDEX(rngParamTypes,$N726,17)</f>
        <v>0</v>
      </c>
      <c r="Y726">
        <f ca="1">INDEX(rngParamTypes,$N726,18)</f>
        <v>0</v>
      </c>
    </row>
    <row r="727" spans="1:25" x14ac:dyDescent="0.2">
      <c r="A727" s="16">
        <v>726</v>
      </c>
      <c r="B727" s="37">
        <v>1</v>
      </c>
      <c r="C727" s="16" t="s">
        <v>2073</v>
      </c>
      <c r="D727" s="16" t="s">
        <v>2073</v>
      </c>
      <c r="E727" s="16">
        <v>2</v>
      </c>
      <c r="F727" s="16" t="s">
        <v>3884</v>
      </c>
      <c r="G727" s="16" t="s">
        <v>3270</v>
      </c>
      <c r="H727" s="16" t="s">
        <v>2072</v>
      </c>
      <c r="I727" s="16" t="s">
        <v>416</v>
      </c>
      <c r="J727" s="16">
        <v>0</v>
      </c>
      <c r="K727" s="16">
        <v>100</v>
      </c>
      <c r="L727" s="16">
        <v>1</v>
      </c>
      <c r="M727" s="16">
        <v>0</v>
      </c>
      <c r="N727">
        <f t="array" aca="1" ref="N727" ca="1">MATCH(TRUE,EXACT(I727,OFFSET(rngParamTypes,0,6,,1)),0)</f>
        <v>167</v>
      </c>
      <c r="O727" t="str">
        <f ca="1">IF((INDEX(rngParamTypes,$N727,7)=I727),"",1)</f>
        <v/>
      </c>
      <c r="P727">
        <f ca="1">INDEX(rngParamTypes,$N727,9)</f>
        <v>1</v>
      </c>
      <c r="Q727">
        <f ca="1">INDEX(rngParamTypes,$N727,10)</f>
        <v>-1</v>
      </c>
      <c r="R727">
        <f ca="1">INDEX(rngParamTypes,$N727,11)</f>
        <v>-2</v>
      </c>
      <c r="S727">
        <f ca="1">INDEX(rngParamTypes,$N727,12)</f>
        <v>0</v>
      </c>
      <c r="T727">
        <f ca="1">INDEX(rngParamTypes,$N727,13)</f>
        <v>0</v>
      </c>
      <c r="U727">
        <f ca="1">INDEX(rngParamTypes,$N727,14)</f>
        <v>0</v>
      </c>
      <c r="V727">
        <f ca="1">INDEX(rngParamTypes,$N727,15)</f>
        <v>0</v>
      </c>
      <c r="W727">
        <f ca="1">INDEX(rngParamTypes,$N727,16)</f>
        <v>0</v>
      </c>
      <c r="X727">
        <f ca="1">INDEX(rngParamTypes,$N727,17)</f>
        <v>0</v>
      </c>
      <c r="Y727">
        <f ca="1">INDEX(rngParamTypes,$N727,18)</f>
        <v>0</v>
      </c>
    </row>
    <row r="728" spans="1:25" x14ac:dyDescent="0.2">
      <c r="A728" s="16">
        <v>727</v>
      </c>
      <c r="B728" s="37">
        <v>1</v>
      </c>
      <c r="C728" s="16" t="s">
        <v>2075</v>
      </c>
      <c r="D728" s="16" t="s">
        <v>2075</v>
      </c>
      <c r="E728" s="16">
        <v>2</v>
      </c>
      <c r="F728" s="16" t="s">
        <v>3885</v>
      </c>
      <c r="G728" s="16" t="s">
        <v>321</v>
      </c>
      <c r="H728" s="16" t="s">
        <v>2074</v>
      </c>
      <c r="I728" s="16" t="s">
        <v>322</v>
      </c>
      <c r="J728" s="16">
        <v>0</v>
      </c>
      <c r="K728" s="16">
        <v>158.9873</v>
      </c>
      <c r="L728" s="16">
        <v>1</v>
      </c>
      <c r="M728" s="16">
        <v>0</v>
      </c>
      <c r="N728">
        <f t="array" aca="1" ref="N728" ca="1">MATCH(TRUE,EXACT(I728,OFFSET(rngParamTypes,0,6,,1)),0)</f>
        <v>134</v>
      </c>
      <c r="O728" t="str">
        <f ca="1">IF((INDEX(rngParamTypes,$N728,7)=I728),"",1)</f>
        <v/>
      </c>
      <c r="P728">
        <f ca="1">INDEX(rngParamTypes,$N728,9)</f>
        <v>0</v>
      </c>
      <c r="Q728">
        <f ca="1">INDEX(rngParamTypes,$N728,10)</f>
        <v>3</v>
      </c>
      <c r="R728">
        <f ca="1">INDEX(rngParamTypes,$N728,11)</f>
        <v>0</v>
      </c>
      <c r="S728">
        <f ca="1">INDEX(rngParamTypes,$N728,12)</f>
        <v>0</v>
      </c>
      <c r="T728">
        <f ca="1">INDEX(rngParamTypes,$N728,13)</f>
        <v>0</v>
      </c>
      <c r="U728">
        <f ca="1">INDEX(rngParamTypes,$N728,14)</f>
        <v>0</v>
      </c>
      <c r="V728">
        <f ca="1">INDEX(rngParamTypes,$N728,15)</f>
        <v>0</v>
      </c>
      <c r="W728">
        <f ca="1">INDEX(rngParamTypes,$N728,16)</f>
        <v>0</v>
      </c>
      <c r="X728">
        <f ca="1">INDEX(rngParamTypes,$N728,17)</f>
        <v>0</v>
      </c>
      <c r="Y728">
        <f ca="1">INDEX(rngParamTypes,$N728,18)</f>
        <v>0</v>
      </c>
    </row>
    <row r="729" spans="1:25" x14ac:dyDescent="0.2">
      <c r="A729" s="16">
        <v>728</v>
      </c>
      <c r="B729" s="37">
        <v>1</v>
      </c>
      <c r="C729" s="16" t="s">
        <v>2077</v>
      </c>
      <c r="D729" s="16" t="s">
        <v>2077</v>
      </c>
      <c r="E729" s="16"/>
      <c r="F729" s="16" t="s">
        <v>3886</v>
      </c>
      <c r="G729" s="16" t="s">
        <v>358</v>
      </c>
      <c r="H729" s="16" t="s">
        <v>2076</v>
      </c>
      <c r="I729" s="16" t="s">
        <v>359</v>
      </c>
      <c r="J729" s="16">
        <v>0</v>
      </c>
      <c r="K729" s="16">
        <v>48.459330000000001</v>
      </c>
      <c r="L729" s="16">
        <v>86400</v>
      </c>
      <c r="M729" s="16">
        <v>0</v>
      </c>
      <c r="N729">
        <f t="array" aca="1" ref="N729" ca="1">MATCH(TRUE,EXACT(I729,OFFSET(rngParamTypes,0,6,,1)),0)</f>
        <v>147</v>
      </c>
      <c r="O729" t="str">
        <f ca="1">IF((INDEX(rngParamTypes,$N729,7)=I729),"",1)</f>
        <v/>
      </c>
      <c r="P729">
        <f ca="1">INDEX(rngParamTypes,$N729,9)</f>
        <v>0</v>
      </c>
      <c r="Q729">
        <f ca="1">INDEX(rngParamTypes,$N729,10)</f>
        <v>4</v>
      </c>
      <c r="R729">
        <f ca="1">INDEX(rngParamTypes,$N729,11)</f>
        <v>-1</v>
      </c>
      <c r="S729">
        <f ca="1">INDEX(rngParamTypes,$N729,12)</f>
        <v>0</v>
      </c>
      <c r="T729">
        <f ca="1">INDEX(rngParamTypes,$N729,13)</f>
        <v>0</v>
      </c>
      <c r="U729">
        <f ca="1">INDEX(rngParamTypes,$N729,14)</f>
        <v>0</v>
      </c>
      <c r="V729">
        <f ca="1">INDEX(rngParamTypes,$N729,15)</f>
        <v>0</v>
      </c>
      <c r="W729">
        <f ca="1">INDEX(rngParamTypes,$N729,16)</f>
        <v>0</v>
      </c>
      <c r="X729">
        <f ca="1">INDEX(rngParamTypes,$N729,17)</f>
        <v>0</v>
      </c>
      <c r="Y729">
        <f ca="1">INDEX(rngParamTypes,$N729,18)</f>
        <v>0</v>
      </c>
    </row>
    <row r="730" spans="1:25" x14ac:dyDescent="0.2">
      <c r="A730" s="16">
        <v>729</v>
      </c>
      <c r="B730" s="37">
        <v>1</v>
      </c>
      <c r="C730" s="16" t="s">
        <v>2079</v>
      </c>
      <c r="D730" s="16" t="s">
        <v>2079</v>
      </c>
      <c r="E730" s="16">
        <v>2</v>
      </c>
      <c r="F730" s="16" t="s">
        <v>3887</v>
      </c>
      <c r="G730" s="16" t="s">
        <v>343</v>
      </c>
      <c r="H730" s="16" t="s">
        <v>2078</v>
      </c>
      <c r="I730" s="16" t="s">
        <v>344</v>
      </c>
      <c r="J730" s="16">
        <v>0</v>
      </c>
      <c r="K730" s="16">
        <v>158.9873</v>
      </c>
      <c r="L730" s="16">
        <v>86400</v>
      </c>
      <c r="M730" s="16">
        <v>0</v>
      </c>
      <c r="N730">
        <f t="array" aca="1" ref="N730" ca="1">MATCH(TRUE,EXACT(I730,OFFSET(rngParamTypes,0,6,,1)),0)</f>
        <v>141</v>
      </c>
      <c r="O730" t="str">
        <f ca="1">IF((INDEX(rngParamTypes,$N730,7)=I730),"",1)</f>
        <v/>
      </c>
      <c r="P730">
        <f ca="1">INDEX(rngParamTypes,$N730,9)</f>
        <v>0</v>
      </c>
      <c r="Q730">
        <f ca="1">INDEX(rngParamTypes,$N730,10)</f>
        <v>3</v>
      </c>
      <c r="R730">
        <f ca="1">INDEX(rngParamTypes,$N730,11)</f>
        <v>-1</v>
      </c>
      <c r="S730">
        <f ca="1">INDEX(rngParamTypes,$N730,12)</f>
        <v>0</v>
      </c>
      <c r="T730">
        <f ca="1">INDEX(rngParamTypes,$N730,13)</f>
        <v>0</v>
      </c>
      <c r="U730">
        <f ca="1">INDEX(rngParamTypes,$N730,14)</f>
        <v>0</v>
      </c>
      <c r="V730">
        <f ca="1">INDEX(rngParamTypes,$N730,15)</f>
        <v>0</v>
      </c>
      <c r="W730">
        <f ca="1">INDEX(rngParamTypes,$N730,16)</f>
        <v>0</v>
      </c>
      <c r="X730">
        <f ca="1">INDEX(rngParamTypes,$N730,17)</f>
        <v>0</v>
      </c>
      <c r="Y730">
        <f ca="1">INDEX(rngParamTypes,$N730,18)</f>
        <v>0</v>
      </c>
    </row>
    <row r="731" spans="1:25" x14ac:dyDescent="0.2">
      <c r="A731" s="16">
        <v>730</v>
      </c>
      <c r="B731" s="37">
        <v>1</v>
      </c>
      <c r="C731" s="16" t="s">
        <v>2081</v>
      </c>
      <c r="D731" s="16" t="s">
        <v>2081</v>
      </c>
      <c r="E731" s="16"/>
      <c r="F731" s="16" t="s">
        <v>3888</v>
      </c>
      <c r="G731" s="16" t="s">
        <v>80</v>
      </c>
      <c r="H731" s="16" t="s">
        <v>2080</v>
      </c>
      <c r="I731" s="16" t="s">
        <v>81</v>
      </c>
      <c r="J731" s="16">
        <v>0</v>
      </c>
      <c r="K731" s="16">
        <v>1000000</v>
      </c>
      <c r="L731" s="16">
        <v>1</v>
      </c>
      <c r="M731" s="16">
        <v>0</v>
      </c>
      <c r="N731">
        <f t="array" aca="1" ref="N731" ca="1">MATCH(TRUE,EXACT(I731,OFFSET(rngParamTypes,0,6,,1)),0)</f>
        <v>27</v>
      </c>
      <c r="O731" t="str">
        <f ca="1">IF((INDEX(rngParamTypes,$N731,7)=I731),"",1)</f>
        <v/>
      </c>
      <c r="P731">
        <f ca="1">INDEX(rngParamTypes,$N731,9)</f>
        <v>0</v>
      </c>
      <c r="Q731">
        <f ca="1">INDEX(rngParamTypes,$N731,10)</f>
        <v>0</v>
      </c>
      <c r="R731">
        <f ca="1">INDEX(rngParamTypes,$N731,11)</f>
        <v>-1</v>
      </c>
      <c r="S731">
        <f ca="1">INDEX(rngParamTypes,$N731,12)</f>
        <v>0</v>
      </c>
      <c r="T731">
        <f ca="1">INDEX(rngParamTypes,$N731,13)</f>
        <v>0</v>
      </c>
      <c r="U731">
        <f ca="1">INDEX(rngParamTypes,$N731,14)</f>
        <v>0</v>
      </c>
      <c r="V731">
        <f ca="1">INDEX(rngParamTypes,$N731,15)</f>
        <v>0</v>
      </c>
      <c r="W731">
        <f ca="1">INDEX(rngParamTypes,$N731,16)</f>
        <v>0</v>
      </c>
      <c r="X731">
        <f ca="1">INDEX(rngParamTypes,$N731,17)</f>
        <v>0</v>
      </c>
      <c r="Y731">
        <f ca="1">INDEX(rngParamTypes,$N731,18)</f>
        <v>0</v>
      </c>
    </row>
    <row r="732" spans="1:25" x14ac:dyDescent="0.2">
      <c r="A732" s="16">
        <v>731</v>
      </c>
      <c r="B732" s="37">
        <v>1</v>
      </c>
      <c r="C732" s="16" t="s">
        <v>2082</v>
      </c>
      <c r="D732" s="16" t="s">
        <v>2082</v>
      </c>
      <c r="E732" s="16">
        <v>2</v>
      </c>
      <c r="F732" s="16" t="s">
        <v>3889</v>
      </c>
      <c r="G732" s="16" t="s">
        <v>532</v>
      </c>
      <c r="H732" s="16" t="s">
        <v>807</v>
      </c>
      <c r="I732" s="16" t="s">
        <v>533</v>
      </c>
      <c r="J732" s="16">
        <v>0</v>
      </c>
      <c r="K732" s="16">
        <v>293071.09999999998</v>
      </c>
      <c r="L732" s="16">
        <v>1</v>
      </c>
      <c r="M732" s="16">
        <v>0</v>
      </c>
      <c r="N732">
        <f t="array" aca="1" ref="N732" ca="1">MATCH(TRUE,EXACT(I732,OFFSET(rngParamTypes,0,6,,1)),0)</f>
        <v>211</v>
      </c>
      <c r="O732" t="str">
        <f ca="1">IF((INDEX(rngParamTypes,$N732,7)=I732),"",1)</f>
        <v/>
      </c>
      <c r="P732">
        <f ca="1">INDEX(rngParamTypes,$N732,9)</f>
        <v>1</v>
      </c>
      <c r="Q732">
        <f ca="1">INDEX(rngParamTypes,$N732,10)</f>
        <v>2</v>
      </c>
      <c r="R732">
        <f ca="1">INDEX(rngParamTypes,$N732,11)</f>
        <v>-3</v>
      </c>
      <c r="S732">
        <f ca="1">INDEX(rngParamTypes,$N732,12)</f>
        <v>0</v>
      </c>
      <c r="T732">
        <f ca="1">INDEX(rngParamTypes,$N732,13)</f>
        <v>0</v>
      </c>
      <c r="U732">
        <f ca="1">INDEX(rngParamTypes,$N732,14)</f>
        <v>0</v>
      </c>
      <c r="V732">
        <f ca="1">INDEX(rngParamTypes,$N732,15)</f>
        <v>0</v>
      </c>
      <c r="W732">
        <f ca="1">INDEX(rngParamTypes,$N732,16)</f>
        <v>0</v>
      </c>
      <c r="X732">
        <f ca="1">INDEX(rngParamTypes,$N732,17)</f>
        <v>0</v>
      </c>
      <c r="Y732">
        <f ca="1">INDEX(rngParamTypes,$N732,18)</f>
        <v>0</v>
      </c>
    </row>
    <row r="733" spans="1:25" x14ac:dyDescent="0.2">
      <c r="A733" s="16">
        <v>732</v>
      </c>
      <c r="B733" s="37">
        <v>1</v>
      </c>
      <c r="C733" s="16" t="s">
        <v>2084</v>
      </c>
      <c r="D733" s="16" t="s">
        <v>2084</v>
      </c>
      <c r="E733" s="16"/>
      <c r="F733" s="16" t="s">
        <v>3890</v>
      </c>
      <c r="G733" s="16" t="s">
        <v>87</v>
      </c>
      <c r="H733" s="16" t="s">
        <v>2083</v>
      </c>
      <c r="I733" s="16" t="s">
        <v>86</v>
      </c>
      <c r="J733" s="16">
        <v>0</v>
      </c>
      <c r="K733" s="16">
        <v>1048576</v>
      </c>
      <c r="L733" s="16">
        <v>1</v>
      </c>
      <c r="M733" s="16">
        <v>0</v>
      </c>
      <c r="N733">
        <f t="array" aca="1" ref="N733" ca="1">MATCH(TRUE,EXACT(I733,OFFSET(rngParamTypes,0,6,,1)),0)</f>
        <v>29</v>
      </c>
      <c r="O733" t="str">
        <f ca="1">IF((INDEX(rngParamTypes,$N733,7)=I733),"",1)</f>
        <v/>
      </c>
      <c r="P733">
        <f ca="1">INDEX(rngParamTypes,$N733,9)</f>
        <v>0</v>
      </c>
      <c r="Q733">
        <f ca="1">INDEX(rngParamTypes,$N733,10)</f>
        <v>0</v>
      </c>
      <c r="R733">
        <f ca="1">INDEX(rngParamTypes,$N733,11)</f>
        <v>0</v>
      </c>
      <c r="S733">
        <f ca="1">INDEX(rngParamTypes,$N733,12)</f>
        <v>0</v>
      </c>
      <c r="T733">
        <f ca="1">INDEX(rngParamTypes,$N733,13)</f>
        <v>0</v>
      </c>
      <c r="U733">
        <f ca="1">INDEX(rngParamTypes,$N733,14)</f>
        <v>0</v>
      </c>
      <c r="V733">
        <f ca="1">INDEX(rngParamTypes,$N733,15)</f>
        <v>0</v>
      </c>
      <c r="W733">
        <f ca="1">INDEX(rngParamTypes,$N733,16)</f>
        <v>0</v>
      </c>
      <c r="X733">
        <f ca="1">INDEX(rngParamTypes,$N733,17)</f>
        <v>0</v>
      </c>
      <c r="Y733">
        <f ca="1">INDEX(rngParamTypes,$N733,18)</f>
        <v>0</v>
      </c>
    </row>
    <row r="734" spans="1:25" x14ac:dyDescent="0.2">
      <c r="A734" s="16">
        <v>733</v>
      </c>
      <c r="B734" s="37">
        <v>1</v>
      </c>
      <c r="C734" s="16" t="s">
        <v>2086</v>
      </c>
      <c r="D734" s="16" t="s">
        <v>2086</v>
      </c>
      <c r="E734" s="16"/>
      <c r="F734" s="16" t="s">
        <v>3891</v>
      </c>
      <c r="G734" s="16" t="s">
        <v>3256</v>
      </c>
      <c r="H734" s="16" t="s">
        <v>2085</v>
      </c>
      <c r="I734" s="16" t="s">
        <v>93</v>
      </c>
      <c r="J734" s="16">
        <v>0</v>
      </c>
      <c r="K734" s="16">
        <v>1E-3</v>
      </c>
      <c r="L734" s="16">
        <v>1</v>
      </c>
      <c r="M734" s="16">
        <v>0</v>
      </c>
      <c r="N734">
        <f t="array" aca="1" ref="N734" ca="1">MATCH(TRUE,EXACT(I734,OFFSET(rngParamTypes,0,6,,1)),0)</f>
        <v>30</v>
      </c>
      <c r="O734" t="str">
        <f ca="1">IF((INDEX(rngParamTypes,$N734,7)=I734),"",1)</f>
        <v/>
      </c>
      <c r="P734">
        <f ca="1">INDEX(rngParamTypes,$N734,9)</f>
        <v>0</v>
      </c>
      <c r="Q734">
        <f ca="1">INDEX(rngParamTypes,$N734,10)</f>
        <v>0</v>
      </c>
      <c r="R734">
        <f ca="1">INDEX(rngParamTypes,$N734,11)</f>
        <v>1</v>
      </c>
      <c r="S734">
        <f ca="1">INDEX(rngParamTypes,$N734,12)</f>
        <v>1</v>
      </c>
      <c r="T734">
        <f ca="1">INDEX(rngParamTypes,$N734,13)</f>
        <v>0</v>
      </c>
      <c r="U734">
        <f ca="1">INDEX(rngParamTypes,$N734,14)</f>
        <v>0</v>
      </c>
      <c r="V734">
        <f ca="1">INDEX(rngParamTypes,$N734,15)</f>
        <v>0</v>
      </c>
      <c r="W734">
        <f ca="1">INDEX(rngParamTypes,$N734,16)</f>
        <v>0</v>
      </c>
      <c r="X734">
        <f ca="1">INDEX(rngParamTypes,$N734,17)</f>
        <v>0</v>
      </c>
      <c r="Y734">
        <f ca="1">INDEX(rngParamTypes,$N734,18)</f>
        <v>0</v>
      </c>
    </row>
    <row r="735" spans="1:25" x14ac:dyDescent="0.2">
      <c r="A735" s="16">
        <v>734</v>
      </c>
      <c r="B735" s="37">
        <v>1</v>
      </c>
      <c r="C735" s="16" t="s">
        <v>2088</v>
      </c>
      <c r="D735" s="16" t="s">
        <v>2088</v>
      </c>
      <c r="E735" s="16"/>
      <c r="F735" s="16" t="s">
        <v>3892</v>
      </c>
      <c r="G735" s="16" t="s">
        <v>102</v>
      </c>
      <c r="H735" s="16" t="s">
        <v>2087</v>
      </c>
      <c r="I735" s="16" t="s">
        <v>103</v>
      </c>
      <c r="J735" s="16">
        <v>0</v>
      </c>
      <c r="K735" s="16">
        <v>1E-3</v>
      </c>
      <c r="L735" s="16">
        <v>1</v>
      </c>
      <c r="M735" s="16">
        <v>0</v>
      </c>
      <c r="N735">
        <f t="array" aca="1" ref="N735" ca="1">MATCH(TRUE,EXACT(I735,OFFSET(rngParamTypes,0,6,,1)),0)</f>
        <v>35</v>
      </c>
      <c r="O735" t="str">
        <f ca="1">IF((INDEX(rngParamTypes,$N735,7)=I735),"",1)</f>
        <v/>
      </c>
      <c r="P735">
        <f ca="1">INDEX(rngParamTypes,$N735,9)</f>
        <v>0</v>
      </c>
      <c r="Q735">
        <f ca="1">INDEX(rngParamTypes,$N735,10)</f>
        <v>-2</v>
      </c>
      <c r="R735">
        <f ca="1">INDEX(rngParamTypes,$N735,11)</f>
        <v>1</v>
      </c>
      <c r="S735">
        <f ca="1">INDEX(rngParamTypes,$N735,12)</f>
        <v>1</v>
      </c>
      <c r="T735">
        <f ca="1">INDEX(rngParamTypes,$N735,13)</f>
        <v>0</v>
      </c>
      <c r="U735">
        <f ca="1">INDEX(rngParamTypes,$N735,14)</f>
        <v>0</v>
      </c>
      <c r="V735">
        <f ca="1">INDEX(rngParamTypes,$N735,15)</f>
        <v>0</v>
      </c>
      <c r="W735">
        <f ca="1">INDEX(rngParamTypes,$N735,16)</f>
        <v>0</v>
      </c>
      <c r="X735">
        <f ca="1">INDEX(rngParamTypes,$N735,17)</f>
        <v>0</v>
      </c>
      <c r="Y735">
        <f ca="1">INDEX(rngParamTypes,$N735,18)</f>
        <v>0</v>
      </c>
    </row>
    <row r="736" spans="1:25" x14ac:dyDescent="0.2">
      <c r="A736" s="16">
        <v>735</v>
      </c>
      <c r="B736" s="37">
        <v>1</v>
      </c>
      <c r="C736" s="16" t="s">
        <v>2089</v>
      </c>
      <c r="D736" s="16" t="s">
        <v>2089</v>
      </c>
      <c r="E736" s="16">
        <v>2</v>
      </c>
      <c r="F736" s="16" t="s">
        <v>3893</v>
      </c>
      <c r="G736" s="16" t="s">
        <v>321</v>
      </c>
      <c r="H736" s="16" t="s">
        <v>656</v>
      </c>
      <c r="I736" s="16" t="s">
        <v>322</v>
      </c>
      <c r="J736" s="16">
        <v>0</v>
      </c>
      <c r="K736" s="16">
        <v>28.316846592000001</v>
      </c>
      <c r="L736" s="16">
        <v>1</v>
      </c>
      <c r="M736" s="16">
        <v>0</v>
      </c>
      <c r="N736">
        <f t="array" aca="1" ref="N736" ca="1">MATCH(TRUE,EXACT(I736,OFFSET(rngParamTypes,0,6,,1)),0)</f>
        <v>134</v>
      </c>
      <c r="O736" t="str">
        <f ca="1">IF((INDEX(rngParamTypes,$N736,7)=I736),"",1)</f>
        <v/>
      </c>
      <c r="P736">
        <f ca="1">INDEX(rngParamTypes,$N736,9)</f>
        <v>0</v>
      </c>
      <c r="Q736">
        <f ca="1">INDEX(rngParamTypes,$N736,10)</f>
        <v>3</v>
      </c>
      <c r="R736">
        <f ca="1">INDEX(rngParamTypes,$N736,11)</f>
        <v>0</v>
      </c>
      <c r="S736">
        <f ca="1">INDEX(rngParamTypes,$N736,12)</f>
        <v>0</v>
      </c>
      <c r="T736">
        <f ca="1">INDEX(rngParamTypes,$N736,13)</f>
        <v>0</v>
      </c>
      <c r="U736">
        <f ca="1">INDEX(rngParamTypes,$N736,14)</f>
        <v>0</v>
      </c>
      <c r="V736">
        <f ca="1">INDEX(rngParamTypes,$N736,15)</f>
        <v>0</v>
      </c>
      <c r="W736">
        <f ca="1">INDEX(rngParamTypes,$N736,16)</f>
        <v>0</v>
      </c>
      <c r="X736">
        <f ca="1">INDEX(rngParamTypes,$N736,17)</f>
        <v>0</v>
      </c>
      <c r="Y736">
        <f ca="1">INDEX(rngParamTypes,$N736,18)</f>
        <v>0</v>
      </c>
    </row>
    <row r="737" spans="1:25" x14ac:dyDescent="0.2">
      <c r="A737" s="16">
        <v>736</v>
      </c>
      <c r="B737" s="37">
        <v>1</v>
      </c>
      <c r="C737" s="16" t="s">
        <v>2090</v>
      </c>
      <c r="D737" s="16" t="s">
        <v>2090</v>
      </c>
      <c r="E737" s="16"/>
      <c r="F737" s="16" t="s">
        <v>4429</v>
      </c>
      <c r="G737" s="16" t="s">
        <v>80</v>
      </c>
      <c r="H737" s="16"/>
      <c r="I737" s="16" t="s">
        <v>81</v>
      </c>
      <c r="J737" s="16">
        <v>0</v>
      </c>
      <c r="K737" s="16">
        <v>37000000</v>
      </c>
      <c r="L737" s="16">
        <v>1</v>
      </c>
      <c r="M737" s="16">
        <v>0</v>
      </c>
      <c r="N737">
        <f t="array" aca="1" ref="N737" ca="1">MATCH(TRUE,EXACT(I737,OFFSET(rngParamTypes,0,6,,1)),0)</f>
        <v>27</v>
      </c>
      <c r="O737" t="str">
        <f ca="1">IF((INDEX(rngParamTypes,$N737,7)=I737),"",1)</f>
        <v/>
      </c>
      <c r="P737">
        <f ca="1">INDEX(rngParamTypes,$N737,9)</f>
        <v>0</v>
      </c>
      <c r="Q737">
        <f ca="1">INDEX(rngParamTypes,$N737,10)</f>
        <v>0</v>
      </c>
      <c r="R737">
        <f ca="1">INDEX(rngParamTypes,$N737,11)</f>
        <v>-1</v>
      </c>
      <c r="S737">
        <f ca="1">INDEX(rngParamTypes,$N737,12)</f>
        <v>0</v>
      </c>
      <c r="T737">
        <f ca="1">INDEX(rngParamTypes,$N737,13)</f>
        <v>0</v>
      </c>
      <c r="U737">
        <f ca="1">INDEX(rngParamTypes,$N737,14)</f>
        <v>0</v>
      </c>
      <c r="V737">
        <f ca="1">INDEX(rngParamTypes,$N737,15)</f>
        <v>0</v>
      </c>
      <c r="W737">
        <f ca="1">INDEX(rngParamTypes,$N737,16)</f>
        <v>0</v>
      </c>
      <c r="X737">
        <f ca="1">INDEX(rngParamTypes,$N737,17)</f>
        <v>0</v>
      </c>
      <c r="Y737">
        <f ca="1">INDEX(rngParamTypes,$N737,18)</f>
        <v>0</v>
      </c>
    </row>
    <row r="738" spans="1:25" x14ac:dyDescent="0.2">
      <c r="A738" s="16">
        <v>737</v>
      </c>
      <c r="B738" s="37">
        <v>1</v>
      </c>
      <c r="C738" s="16" t="s">
        <v>2092</v>
      </c>
      <c r="D738" s="16" t="s">
        <v>2092</v>
      </c>
      <c r="E738" s="16"/>
      <c r="F738" s="16" t="s">
        <v>3894</v>
      </c>
      <c r="G738" s="16" t="s">
        <v>80</v>
      </c>
      <c r="H738" s="16" t="s">
        <v>2091</v>
      </c>
      <c r="I738" s="16" t="s">
        <v>81</v>
      </c>
      <c r="J738" s="16">
        <v>0</v>
      </c>
      <c r="K738" s="16">
        <v>37000</v>
      </c>
      <c r="L738" s="16">
        <v>1</v>
      </c>
      <c r="M738" s="16">
        <v>0</v>
      </c>
      <c r="N738">
        <f t="array" aca="1" ref="N738" ca="1">MATCH(TRUE,EXACT(I738,OFFSET(rngParamTypes,0,6,,1)),0)</f>
        <v>27</v>
      </c>
      <c r="O738" t="str">
        <f ca="1">IF((INDEX(rngParamTypes,$N738,7)=I738),"",1)</f>
        <v/>
      </c>
      <c r="P738">
        <f ca="1">INDEX(rngParamTypes,$N738,9)</f>
        <v>0</v>
      </c>
      <c r="Q738">
        <f ca="1">INDEX(rngParamTypes,$N738,10)</f>
        <v>0</v>
      </c>
      <c r="R738">
        <f ca="1">INDEX(rngParamTypes,$N738,11)</f>
        <v>-1</v>
      </c>
      <c r="S738">
        <f ca="1">INDEX(rngParamTypes,$N738,12)</f>
        <v>0</v>
      </c>
      <c r="T738">
        <f ca="1">INDEX(rngParamTypes,$N738,13)</f>
        <v>0</v>
      </c>
      <c r="U738">
        <f ca="1">INDEX(rngParamTypes,$N738,14)</f>
        <v>0</v>
      </c>
      <c r="V738">
        <f ca="1">INDEX(rngParamTypes,$N738,15)</f>
        <v>0</v>
      </c>
      <c r="W738">
        <f ca="1">INDEX(rngParamTypes,$N738,16)</f>
        <v>0</v>
      </c>
      <c r="X738">
        <f ca="1">INDEX(rngParamTypes,$N738,17)</f>
        <v>0</v>
      </c>
      <c r="Y738">
        <f ca="1">INDEX(rngParamTypes,$N738,18)</f>
        <v>0</v>
      </c>
    </row>
    <row r="739" spans="1:25" x14ac:dyDescent="0.2">
      <c r="A739" s="16">
        <v>738</v>
      </c>
      <c r="B739" s="37">
        <v>1</v>
      </c>
      <c r="C739" s="16" t="s">
        <v>2094</v>
      </c>
      <c r="D739" s="16" t="s">
        <v>2094</v>
      </c>
      <c r="E739" s="16"/>
      <c r="F739" s="16" t="s">
        <v>3895</v>
      </c>
      <c r="G739" s="16" t="s">
        <v>1001</v>
      </c>
      <c r="H739" s="16" t="s">
        <v>2093</v>
      </c>
      <c r="I739" s="16" t="s">
        <v>303</v>
      </c>
      <c r="J739" s="16">
        <v>0</v>
      </c>
      <c r="K739" s="16">
        <v>9.8693200000000008E-16</v>
      </c>
      <c r="L739" s="16">
        <v>1</v>
      </c>
      <c r="M739" s="16">
        <v>0</v>
      </c>
      <c r="N739">
        <f t="array" aca="1" ref="N739" ca="1">MATCH(TRUE,EXACT(I739,OFFSET(rngParamTypes,0,6,,1)),0)</f>
        <v>125</v>
      </c>
      <c r="O739" t="str">
        <f ca="1">IF((INDEX(rngParamTypes,$N739,7)=I739),"",1)</f>
        <v/>
      </c>
      <c r="P739">
        <f ca="1">INDEX(rngParamTypes,$N739,9)</f>
        <v>0</v>
      </c>
      <c r="Q739">
        <f ca="1">INDEX(rngParamTypes,$N739,10)</f>
        <v>2</v>
      </c>
      <c r="R739">
        <f ca="1">INDEX(rngParamTypes,$N739,11)</f>
        <v>0</v>
      </c>
      <c r="S739">
        <f ca="1">INDEX(rngParamTypes,$N739,12)</f>
        <v>0</v>
      </c>
      <c r="T739">
        <f ca="1">INDEX(rngParamTypes,$N739,13)</f>
        <v>0</v>
      </c>
      <c r="U739">
        <f ca="1">INDEX(rngParamTypes,$N739,14)</f>
        <v>0</v>
      </c>
      <c r="V739">
        <f ca="1">INDEX(rngParamTypes,$N739,15)</f>
        <v>0</v>
      </c>
      <c r="W739">
        <f ca="1">INDEX(rngParamTypes,$N739,16)</f>
        <v>0</v>
      </c>
      <c r="X739">
        <f ca="1">INDEX(rngParamTypes,$N739,17)</f>
        <v>0</v>
      </c>
      <c r="Y739">
        <f ca="1">INDEX(rngParamTypes,$N739,18)</f>
        <v>0</v>
      </c>
    </row>
    <row r="740" spans="1:25" x14ac:dyDescent="0.2">
      <c r="A740" s="16">
        <v>739</v>
      </c>
      <c r="B740" s="37">
        <v>1</v>
      </c>
      <c r="C740" s="16" t="s">
        <v>2096</v>
      </c>
      <c r="D740" s="16" t="s">
        <v>2096</v>
      </c>
      <c r="E740" s="16"/>
      <c r="F740" s="16" t="s">
        <v>3896</v>
      </c>
      <c r="G740" s="16" t="s">
        <v>1005</v>
      </c>
      <c r="H740" s="16" t="s">
        <v>2095</v>
      </c>
      <c r="I740" s="16" t="s">
        <v>322</v>
      </c>
      <c r="J740" s="16">
        <v>0</v>
      </c>
      <c r="K740" s="16">
        <v>3.008141E-16</v>
      </c>
      <c r="L740" s="16">
        <v>1</v>
      </c>
      <c r="M740" s="16">
        <v>0</v>
      </c>
      <c r="N740">
        <f t="array" aca="1" ref="N740" ca="1">MATCH(TRUE,EXACT(I740,OFFSET(rngParamTypes,0,6,,1)),0)</f>
        <v>134</v>
      </c>
      <c r="O740" t="str">
        <f ca="1">IF((INDEX(rngParamTypes,$N740,7)=I740),"",1)</f>
        <v/>
      </c>
      <c r="P740">
        <f ca="1">INDEX(rngParamTypes,$N740,9)</f>
        <v>0</v>
      </c>
      <c r="Q740">
        <f ca="1">INDEX(rngParamTypes,$N740,10)</f>
        <v>3</v>
      </c>
      <c r="R740">
        <f ca="1">INDEX(rngParamTypes,$N740,11)</f>
        <v>0</v>
      </c>
      <c r="S740">
        <f ca="1">INDEX(rngParamTypes,$N740,12)</f>
        <v>0</v>
      </c>
      <c r="T740">
        <f ca="1">INDEX(rngParamTypes,$N740,13)</f>
        <v>0</v>
      </c>
      <c r="U740">
        <f ca="1">INDEX(rngParamTypes,$N740,14)</f>
        <v>0</v>
      </c>
      <c r="V740">
        <f ca="1">INDEX(rngParamTypes,$N740,15)</f>
        <v>0</v>
      </c>
      <c r="W740">
        <f ca="1">INDEX(rngParamTypes,$N740,16)</f>
        <v>0</v>
      </c>
      <c r="X740">
        <f ca="1">INDEX(rngParamTypes,$N740,17)</f>
        <v>0</v>
      </c>
      <c r="Y740">
        <f ca="1">INDEX(rngParamTypes,$N740,18)</f>
        <v>0</v>
      </c>
    </row>
    <row r="741" spans="1:25" x14ac:dyDescent="0.2">
      <c r="A741" s="16">
        <v>740</v>
      </c>
      <c r="B741" s="37">
        <v>1</v>
      </c>
      <c r="C741" s="16" t="s">
        <v>2098</v>
      </c>
      <c r="D741" s="16" t="s">
        <v>2098</v>
      </c>
      <c r="E741" s="16"/>
      <c r="F741" s="16" t="s">
        <v>3897</v>
      </c>
      <c r="G741" s="16" t="s">
        <v>312</v>
      </c>
      <c r="H741" s="16" t="s">
        <v>2097</v>
      </c>
      <c r="I741" s="16" t="s">
        <v>313</v>
      </c>
      <c r="J741" s="16">
        <v>0</v>
      </c>
      <c r="K741" s="16">
        <v>9.8693200000000008E-16</v>
      </c>
      <c r="L741" s="16">
        <v>47.88026</v>
      </c>
      <c r="M741" s="16">
        <v>0</v>
      </c>
      <c r="N741">
        <f t="array" aca="1" ref="N741" ca="1">MATCH(TRUE,EXACT(I741,OFFSET(rngParamTypes,0,6,,1)),0)</f>
        <v>128</v>
      </c>
      <c r="O741" t="str">
        <f ca="1">IF((INDEX(rngParamTypes,$N741,7)=I741),"",1)</f>
        <v/>
      </c>
      <c r="P741">
        <f ca="1">INDEX(rngParamTypes,$N741,9)</f>
        <v>-1</v>
      </c>
      <c r="Q741">
        <f ca="1">INDEX(rngParamTypes,$N741,10)</f>
        <v>3</v>
      </c>
      <c r="R741">
        <f ca="1">INDEX(rngParamTypes,$N741,11)</f>
        <v>1</v>
      </c>
      <c r="S741">
        <f ca="1">INDEX(rngParamTypes,$N741,12)</f>
        <v>0</v>
      </c>
      <c r="T741">
        <f ca="1">INDEX(rngParamTypes,$N741,13)</f>
        <v>0</v>
      </c>
      <c r="U741">
        <f ca="1">INDEX(rngParamTypes,$N741,14)</f>
        <v>0</v>
      </c>
      <c r="V741">
        <f ca="1">INDEX(rngParamTypes,$N741,15)</f>
        <v>0</v>
      </c>
      <c r="W741">
        <f ca="1">INDEX(rngParamTypes,$N741,16)</f>
        <v>0</v>
      </c>
      <c r="X741">
        <f ca="1">INDEX(rngParamTypes,$N741,17)</f>
        <v>0</v>
      </c>
      <c r="Y741">
        <f ca="1">INDEX(rngParamTypes,$N741,18)</f>
        <v>0</v>
      </c>
    </row>
    <row r="742" spans="1:25" x14ac:dyDescent="0.2">
      <c r="A742" s="16">
        <v>741</v>
      </c>
      <c r="B742" s="37">
        <v>1</v>
      </c>
      <c r="C742" s="16" t="s">
        <v>2100</v>
      </c>
      <c r="D742" s="16" t="s">
        <v>2100</v>
      </c>
      <c r="E742" s="16"/>
      <c r="F742" s="16" t="s">
        <v>3898</v>
      </c>
      <c r="G742" s="16" t="s">
        <v>312</v>
      </c>
      <c r="H742" s="16" t="s">
        <v>2099</v>
      </c>
      <c r="I742" s="16" t="s">
        <v>313</v>
      </c>
      <c r="J742" s="16">
        <v>0</v>
      </c>
      <c r="K742" s="16">
        <v>9.8693200000000008E-16</v>
      </c>
      <c r="L742" s="16">
        <v>6894.7569999999996</v>
      </c>
      <c r="M742" s="16">
        <v>0</v>
      </c>
      <c r="N742">
        <f t="array" aca="1" ref="N742" ca="1">MATCH(TRUE,EXACT(I742,OFFSET(rngParamTypes,0,6,,1)),0)</f>
        <v>128</v>
      </c>
      <c r="O742" t="str">
        <f ca="1">IF((INDEX(rngParamTypes,$N742,7)=I742),"",1)</f>
        <v/>
      </c>
      <c r="P742">
        <f ca="1">INDEX(rngParamTypes,$N742,9)</f>
        <v>-1</v>
      </c>
      <c r="Q742">
        <f ca="1">INDEX(rngParamTypes,$N742,10)</f>
        <v>3</v>
      </c>
      <c r="R742">
        <f ca="1">INDEX(rngParamTypes,$N742,11)</f>
        <v>1</v>
      </c>
      <c r="S742">
        <f ca="1">INDEX(rngParamTypes,$N742,12)</f>
        <v>0</v>
      </c>
      <c r="T742">
        <f ca="1">INDEX(rngParamTypes,$N742,13)</f>
        <v>0</v>
      </c>
      <c r="U742">
        <f ca="1">INDEX(rngParamTypes,$N742,14)</f>
        <v>0</v>
      </c>
      <c r="V742">
        <f ca="1">INDEX(rngParamTypes,$N742,15)</f>
        <v>0</v>
      </c>
      <c r="W742">
        <f ca="1">INDEX(rngParamTypes,$N742,16)</f>
        <v>0</v>
      </c>
      <c r="X742">
        <f ca="1">INDEX(rngParamTypes,$N742,17)</f>
        <v>0</v>
      </c>
      <c r="Y742">
        <f ca="1">INDEX(rngParamTypes,$N742,18)</f>
        <v>0</v>
      </c>
    </row>
    <row r="743" spans="1:25" x14ac:dyDescent="0.2">
      <c r="A743" s="16">
        <v>742</v>
      </c>
      <c r="B743" s="37">
        <v>1</v>
      </c>
      <c r="C743" s="16" t="s">
        <v>2102</v>
      </c>
      <c r="D743" s="16" t="s">
        <v>2102</v>
      </c>
      <c r="E743" s="16"/>
      <c r="F743" s="16" t="s">
        <v>3899</v>
      </c>
      <c r="G743" s="16" t="s">
        <v>1005</v>
      </c>
      <c r="H743" s="16" t="s">
        <v>2101</v>
      </c>
      <c r="I743" s="16" t="s">
        <v>322</v>
      </c>
      <c r="J743" s="16">
        <v>0</v>
      </c>
      <c r="K743" s="16">
        <v>9.8693200000000008E-16</v>
      </c>
      <c r="L743" s="16">
        <v>1</v>
      </c>
      <c r="M743" s="16">
        <v>0</v>
      </c>
      <c r="N743">
        <f t="array" aca="1" ref="N743" ca="1">MATCH(TRUE,EXACT(I743,OFFSET(rngParamTypes,0,6,,1)),0)</f>
        <v>134</v>
      </c>
      <c r="O743" t="str">
        <f ca="1">IF((INDEX(rngParamTypes,$N743,7)=I743),"",1)</f>
        <v/>
      </c>
      <c r="P743">
        <f ca="1">INDEX(rngParamTypes,$N743,9)</f>
        <v>0</v>
      </c>
      <c r="Q743">
        <f ca="1">INDEX(rngParamTypes,$N743,10)</f>
        <v>3</v>
      </c>
      <c r="R743">
        <f ca="1">INDEX(rngParamTypes,$N743,11)</f>
        <v>0</v>
      </c>
      <c r="S743">
        <f ca="1">INDEX(rngParamTypes,$N743,12)</f>
        <v>0</v>
      </c>
      <c r="T743">
        <f ca="1">INDEX(rngParamTypes,$N743,13)</f>
        <v>0</v>
      </c>
      <c r="U743">
        <f ca="1">INDEX(rngParamTypes,$N743,14)</f>
        <v>0</v>
      </c>
      <c r="V743">
        <f ca="1">INDEX(rngParamTypes,$N743,15)</f>
        <v>0</v>
      </c>
      <c r="W743">
        <f ca="1">INDEX(rngParamTypes,$N743,16)</f>
        <v>0</v>
      </c>
      <c r="X743">
        <f ca="1">INDEX(rngParamTypes,$N743,17)</f>
        <v>0</v>
      </c>
      <c r="Y743">
        <f ca="1">INDEX(rngParamTypes,$N743,18)</f>
        <v>0</v>
      </c>
    </row>
    <row r="744" spans="1:25" x14ac:dyDescent="0.2">
      <c r="A744" s="16">
        <v>743</v>
      </c>
      <c r="B744" s="37">
        <v>1</v>
      </c>
      <c r="C744" s="16" t="s">
        <v>2104</v>
      </c>
      <c r="D744" s="16" t="s">
        <v>2104</v>
      </c>
      <c r="E744" s="16"/>
      <c r="F744" s="16" t="s">
        <v>3900</v>
      </c>
      <c r="G744" s="16" t="s">
        <v>312</v>
      </c>
      <c r="H744" s="16" t="s">
        <v>2103</v>
      </c>
      <c r="I744" s="16" t="s">
        <v>313</v>
      </c>
      <c r="J744" s="16">
        <v>0</v>
      </c>
      <c r="K744" s="16">
        <v>9.8693200000000008E-16</v>
      </c>
      <c r="L744" s="16">
        <v>1E-3</v>
      </c>
      <c r="M744" s="16">
        <v>0</v>
      </c>
      <c r="N744">
        <f t="array" aca="1" ref="N744" ca="1">MATCH(TRUE,EXACT(I744,OFFSET(rngParamTypes,0,6,,1)),0)</f>
        <v>128</v>
      </c>
      <c r="O744" t="str">
        <f ca="1">IF((INDEX(rngParamTypes,$N744,7)=I744),"",1)</f>
        <v/>
      </c>
      <c r="P744">
        <f ca="1">INDEX(rngParamTypes,$N744,9)</f>
        <v>-1</v>
      </c>
      <c r="Q744">
        <f ca="1">INDEX(rngParamTypes,$N744,10)</f>
        <v>3</v>
      </c>
      <c r="R744">
        <f ca="1">INDEX(rngParamTypes,$N744,11)</f>
        <v>1</v>
      </c>
      <c r="S744">
        <f ca="1">INDEX(rngParamTypes,$N744,12)</f>
        <v>0</v>
      </c>
      <c r="T744">
        <f ca="1">INDEX(rngParamTypes,$N744,13)</f>
        <v>0</v>
      </c>
      <c r="U744">
        <f ca="1">INDEX(rngParamTypes,$N744,14)</f>
        <v>0</v>
      </c>
      <c r="V744">
        <f ca="1">INDEX(rngParamTypes,$N744,15)</f>
        <v>0</v>
      </c>
      <c r="W744">
        <f ca="1">INDEX(rngParamTypes,$N744,16)</f>
        <v>0</v>
      </c>
      <c r="X744">
        <f ca="1">INDEX(rngParamTypes,$N744,17)</f>
        <v>0</v>
      </c>
      <c r="Y744">
        <f ca="1">INDEX(rngParamTypes,$N744,18)</f>
        <v>0</v>
      </c>
    </row>
    <row r="745" spans="1:25" x14ac:dyDescent="0.2">
      <c r="A745" s="16">
        <v>744</v>
      </c>
      <c r="B745" s="37">
        <v>1</v>
      </c>
      <c r="C745" s="16" t="s">
        <v>2106</v>
      </c>
      <c r="D745" s="16" t="s">
        <v>2106</v>
      </c>
      <c r="E745" s="16"/>
      <c r="F745" s="16" t="s">
        <v>3901</v>
      </c>
      <c r="G745" s="16" t="s">
        <v>312</v>
      </c>
      <c r="H745" s="16" t="s">
        <v>2105</v>
      </c>
      <c r="I745" s="16" t="s">
        <v>313</v>
      </c>
      <c r="J745" s="16">
        <v>0</v>
      </c>
      <c r="K745" s="16">
        <v>9.8693200000000008E-16</v>
      </c>
      <c r="L745" s="16">
        <v>1</v>
      </c>
      <c r="M745" s="16">
        <v>0</v>
      </c>
      <c r="N745">
        <f t="array" aca="1" ref="N745" ca="1">MATCH(TRUE,EXACT(I745,OFFSET(rngParamTypes,0,6,,1)),0)</f>
        <v>128</v>
      </c>
      <c r="O745" t="str">
        <f ca="1">IF((INDEX(rngParamTypes,$N745,7)=I745),"",1)</f>
        <v/>
      </c>
      <c r="P745">
        <f ca="1">INDEX(rngParamTypes,$N745,9)</f>
        <v>-1</v>
      </c>
      <c r="Q745">
        <f ca="1">INDEX(rngParamTypes,$N745,10)</f>
        <v>3</v>
      </c>
      <c r="R745">
        <f ca="1">INDEX(rngParamTypes,$N745,11)</f>
        <v>1</v>
      </c>
      <c r="S745">
        <f ca="1">INDEX(rngParamTypes,$N745,12)</f>
        <v>0</v>
      </c>
      <c r="T745">
        <f ca="1">INDEX(rngParamTypes,$N745,13)</f>
        <v>0</v>
      </c>
      <c r="U745">
        <f ca="1">INDEX(rngParamTypes,$N745,14)</f>
        <v>0</v>
      </c>
      <c r="V745">
        <f ca="1">INDEX(rngParamTypes,$N745,15)</f>
        <v>0</v>
      </c>
      <c r="W745">
        <f ca="1">INDEX(rngParamTypes,$N745,16)</f>
        <v>0</v>
      </c>
      <c r="X745">
        <f ca="1">INDEX(rngParamTypes,$N745,17)</f>
        <v>0</v>
      </c>
      <c r="Y745">
        <f ca="1">INDEX(rngParamTypes,$N745,18)</f>
        <v>0</v>
      </c>
    </row>
    <row r="746" spans="1:25" x14ac:dyDescent="0.2">
      <c r="A746" s="16">
        <v>745</v>
      </c>
      <c r="B746" s="37">
        <v>0</v>
      </c>
      <c r="C746" s="16" t="s">
        <v>2108</v>
      </c>
      <c r="D746" s="16" t="s">
        <v>2108</v>
      </c>
      <c r="E746" s="16"/>
      <c r="F746" s="16" t="s">
        <v>3902</v>
      </c>
      <c r="G746" s="16" t="s">
        <v>115</v>
      </c>
      <c r="H746" s="16" t="s">
        <v>2107</v>
      </c>
      <c r="I746" s="16" t="s">
        <v>116</v>
      </c>
      <c r="J746" s="16">
        <v>0</v>
      </c>
      <c r="K746" s="16">
        <v>1E-3</v>
      </c>
      <c r="L746" s="16">
        <v>1</v>
      </c>
      <c r="M746" s="16">
        <v>0</v>
      </c>
      <c r="N746">
        <f t="array" aca="1" ref="N746" ca="1">MATCH(TRUE,EXACT(I746,OFFSET(rngParamTypes,0,6,,1)),0)</f>
        <v>39</v>
      </c>
      <c r="O746" t="str">
        <f ca="1">IF((INDEX(rngParamTypes,$N746,7)=I746),"",1)</f>
        <v/>
      </c>
      <c r="P746">
        <f ca="1">INDEX(rngParamTypes,$N746,9)</f>
        <v>0</v>
      </c>
      <c r="Q746">
        <f ca="1">INDEX(rngParamTypes,$N746,10)</f>
        <v>0</v>
      </c>
      <c r="R746">
        <f ca="1">INDEX(rngParamTypes,$N746,11)</f>
        <v>0</v>
      </c>
      <c r="S746">
        <f ca="1">INDEX(rngParamTypes,$N746,12)</f>
        <v>0</v>
      </c>
      <c r="T746">
        <f ca="1">INDEX(rngParamTypes,$N746,13)</f>
        <v>0</v>
      </c>
      <c r="U746">
        <f ca="1">INDEX(rngParamTypes,$N746,14)</f>
        <v>0</v>
      </c>
      <c r="V746">
        <f ca="1">INDEX(rngParamTypes,$N746,15)</f>
        <v>0</v>
      </c>
      <c r="W746">
        <f ca="1">INDEX(rngParamTypes,$N746,16)</f>
        <v>0</v>
      </c>
      <c r="X746">
        <f ca="1">INDEX(rngParamTypes,$N746,17)</f>
        <v>0</v>
      </c>
      <c r="Y746">
        <f ca="1">INDEX(rngParamTypes,$N746,18)</f>
        <v>0</v>
      </c>
    </row>
    <row r="747" spans="1:25" x14ac:dyDescent="0.2">
      <c r="A747" s="16">
        <v>746</v>
      </c>
      <c r="B747" s="37">
        <v>0</v>
      </c>
      <c r="C747" s="16" t="s">
        <v>2110</v>
      </c>
      <c r="D747" s="16" t="s">
        <v>2110</v>
      </c>
      <c r="E747" s="16"/>
      <c r="F747" s="16" t="s">
        <v>4323</v>
      </c>
      <c r="G747" s="16" t="s">
        <v>119</v>
      </c>
      <c r="H747" s="16" t="s">
        <v>2109</v>
      </c>
      <c r="I747" s="16" t="s">
        <v>120</v>
      </c>
      <c r="J747" s="16">
        <v>0</v>
      </c>
      <c r="K747" s="16">
        <v>100</v>
      </c>
      <c r="L747" s="16">
        <v>1</v>
      </c>
      <c r="M747" s="16">
        <v>0</v>
      </c>
      <c r="N747">
        <f t="array" aca="1" ref="N747" ca="1">MATCH(TRUE,EXACT(I747,OFFSET(rngParamTypes,0,6,,1)),0)</f>
        <v>40</v>
      </c>
      <c r="O747" t="str">
        <f ca="1">IF((INDEX(rngParamTypes,$N747,7)=I747),"",1)</f>
        <v/>
      </c>
      <c r="P747">
        <f ca="1">INDEX(rngParamTypes,$N747,9)</f>
        <v>0</v>
      </c>
      <c r="Q747">
        <f ca="1">INDEX(rngParamTypes,$N747,10)</f>
        <v>0</v>
      </c>
      <c r="R747">
        <f ca="1">INDEX(rngParamTypes,$N747,11)</f>
        <v>0</v>
      </c>
      <c r="S747">
        <f ca="1">INDEX(rngParamTypes,$N747,12)</f>
        <v>0</v>
      </c>
      <c r="T747">
        <f ca="1">INDEX(rngParamTypes,$N747,13)</f>
        <v>0</v>
      </c>
      <c r="U747">
        <f ca="1">INDEX(rngParamTypes,$N747,14)</f>
        <v>0</v>
      </c>
      <c r="V747">
        <f ca="1">INDEX(rngParamTypes,$N747,15)</f>
        <v>0</v>
      </c>
      <c r="W747">
        <f ca="1">INDEX(rngParamTypes,$N747,16)</f>
        <v>0</v>
      </c>
      <c r="X747">
        <f ca="1">INDEX(rngParamTypes,$N747,17)</f>
        <v>0</v>
      </c>
      <c r="Y747">
        <f ca="1">INDEX(rngParamTypes,$N747,18)</f>
        <v>0</v>
      </c>
    </row>
    <row r="748" spans="1:25" x14ac:dyDescent="0.2">
      <c r="A748" s="16">
        <v>747</v>
      </c>
      <c r="B748" s="37">
        <v>0</v>
      </c>
      <c r="C748" s="16" t="s">
        <v>2112</v>
      </c>
      <c r="D748" s="16" t="s">
        <v>2112</v>
      </c>
      <c r="E748" s="16"/>
      <c r="F748" s="16" t="s">
        <v>3903</v>
      </c>
      <c r="G748" s="16" t="s">
        <v>122</v>
      </c>
      <c r="H748" s="16" t="s">
        <v>2111</v>
      </c>
      <c r="I748" s="16" t="s">
        <v>123</v>
      </c>
      <c r="J748" s="16">
        <v>0</v>
      </c>
      <c r="K748" s="16">
        <v>1000</v>
      </c>
      <c r="L748" s="16">
        <v>1</v>
      </c>
      <c r="M748" s="16">
        <v>0</v>
      </c>
      <c r="N748">
        <f t="array" aca="1" ref="N748" ca="1">MATCH(TRUE,EXACT(I748,OFFSET(rngParamTypes,0,6,,1)),0)</f>
        <v>41</v>
      </c>
      <c r="O748" t="str">
        <f ca="1">IF((INDEX(rngParamTypes,$N748,7)=I748),"",1)</f>
        <v/>
      </c>
      <c r="P748">
        <f ca="1">INDEX(rngParamTypes,$N748,9)</f>
        <v>0</v>
      </c>
      <c r="Q748">
        <f ca="1">INDEX(rngParamTypes,$N748,10)</f>
        <v>0</v>
      </c>
      <c r="R748">
        <f ca="1">INDEX(rngParamTypes,$N748,11)</f>
        <v>0</v>
      </c>
      <c r="S748">
        <f ca="1">INDEX(rngParamTypes,$N748,12)</f>
        <v>0</v>
      </c>
      <c r="T748">
        <f ca="1">INDEX(rngParamTypes,$N748,13)</f>
        <v>0</v>
      </c>
      <c r="U748">
        <f ca="1">INDEX(rngParamTypes,$N748,14)</f>
        <v>0</v>
      </c>
      <c r="V748">
        <f ca="1">INDEX(rngParamTypes,$N748,15)</f>
        <v>0</v>
      </c>
      <c r="W748">
        <f ca="1">INDEX(rngParamTypes,$N748,16)</f>
        <v>0</v>
      </c>
      <c r="X748">
        <f ca="1">INDEX(rngParamTypes,$N748,17)</f>
        <v>0</v>
      </c>
      <c r="Y748">
        <f ca="1">INDEX(rngParamTypes,$N748,18)</f>
        <v>0</v>
      </c>
    </row>
    <row r="749" spans="1:25" x14ac:dyDescent="0.2">
      <c r="A749" s="16">
        <v>748</v>
      </c>
      <c r="B749" s="37">
        <v>0</v>
      </c>
      <c r="C749" s="16" t="s">
        <v>2114</v>
      </c>
      <c r="D749" s="16" t="s">
        <v>2114</v>
      </c>
      <c r="E749" s="16"/>
      <c r="F749" s="16" t="s">
        <v>3904</v>
      </c>
      <c r="G749" s="16" t="s">
        <v>119</v>
      </c>
      <c r="H749" s="16" t="s">
        <v>2113</v>
      </c>
      <c r="I749" s="16" t="s">
        <v>120</v>
      </c>
      <c r="J749" s="16">
        <v>0</v>
      </c>
      <c r="K749" s="16">
        <v>1</v>
      </c>
      <c r="L749" s="16">
        <v>1</v>
      </c>
      <c r="M749" s="16">
        <v>0</v>
      </c>
      <c r="N749">
        <f t="array" aca="1" ref="N749" ca="1">MATCH(TRUE,EXACT(I749,OFFSET(rngParamTypes,0,6,,1)),0)</f>
        <v>40</v>
      </c>
      <c r="O749" t="str">
        <f ca="1">IF((INDEX(rngParamTypes,$N749,7)=I749),"",1)</f>
        <v/>
      </c>
      <c r="P749">
        <f ca="1">INDEX(rngParamTypes,$N749,9)</f>
        <v>0</v>
      </c>
      <c r="Q749">
        <f ca="1">INDEX(rngParamTypes,$N749,10)</f>
        <v>0</v>
      </c>
      <c r="R749">
        <f ca="1">INDEX(rngParamTypes,$N749,11)</f>
        <v>0</v>
      </c>
      <c r="S749">
        <f ca="1">INDEX(rngParamTypes,$N749,12)</f>
        <v>0</v>
      </c>
      <c r="T749">
        <f ca="1">INDEX(rngParamTypes,$N749,13)</f>
        <v>0</v>
      </c>
      <c r="U749">
        <f ca="1">INDEX(rngParamTypes,$N749,14)</f>
        <v>0</v>
      </c>
      <c r="V749">
        <f ca="1">INDEX(rngParamTypes,$N749,15)</f>
        <v>0</v>
      </c>
      <c r="W749">
        <f ca="1">INDEX(rngParamTypes,$N749,16)</f>
        <v>0</v>
      </c>
      <c r="X749">
        <f ca="1">INDEX(rngParamTypes,$N749,17)</f>
        <v>0</v>
      </c>
      <c r="Y749">
        <f ca="1">INDEX(rngParamTypes,$N749,18)</f>
        <v>0</v>
      </c>
    </row>
    <row r="750" spans="1:25" x14ac:dyDescent="0.2">
      <c r="A750" s="16">
        <v>749</v>
      </c>
      <c r="B750" s="37">
        <v>1</v>
      </c>
      <c r="C750" s="16" t="s">
        <v>2116</v>
      </c>
      <c r="D750" s="16" t="s">
        <v>2116</v>
      </c>
      <c r="E750" s="16">
        <v>2</v>
      </c>
      <c r="F750" s="16" t="s">
        <v>3905</v>
      </c>
      <c r="G750" s="16" t="s">
        <v>3367</v>
      </c>
      <c r="H750" s="16" t="s">
        <v>2115</v>
      </c>
      <c r="I750" s="16" t="s">
        <v>131</v>
      </c>
      <c r="J750" s="16">
        <v>0</v>
      </c>
      <c r="K750" s="16">
        <v>1E-3</v>
      </c>
      <c r="L750" s="16">
        <v>1</v>
      </c>
      <c r="M750" s="16">
        <v>0</v>
      </c>
      <c r="N750">
        <f t="array" aca="1" ref="N750" ca="1">MATCH(TRUE,EXACT(I750,OFFSET(rngParamTypes,0,6,,1)),0)</f>
        <v>42</v>
      </c>
      <c r="O750" t="str">
        <f ca="1">IF((INDEX(rngParamTypes,$N750,7)=I750),"",1)</f>
        <v/>
      </c>
      <c r="P750">
        <f ca="1">INDEX(rngParamTypes,$N750,9)</f>
        <v>0</v>
      </c>
      <c r="Q750">
        <f ca="1">INDEX(rngParamTypes,$N750,10)</f>
        <v>0</v>
      </c>
      <c r="R750">
        <f ca="1">INDEX(rngParamTypes,$N750,11)</f>
        <v>0</v>
      </c>
      <c r="S750">
        <f ca="1">INDEX(rngParamTypes,$N750,12)</f>
        <v>0</v>
      </c>
      <c r="T750">
        <f ca="1">INDEX(rngParamTypes,$N750,13)</f>
        <v>0</v>
      </c>
      <c r="U750">
        <f ca="1">INDEX(rngParamTypes,$N750,14)</f>
        <v>0</v>
      </c>
      <c r="V750">
        <f ca="1">INDEX(rngParamTypes,$N750,15)</f>
        <v>0</v>
      </c>
      <c r="W750">
        <f ca="1">INDEX(rngParamTypes,$N750,16)</f>
        <v>0</v>
      </c>
      <c r="X750">
        <f ca="1">INDEX(rngParamTypes,$N750,17)</f>
        <v>0</v>
      </c>
      <c r="Y750">
        <f ca="1">INDEX(rngParamTypes,$N750,18)</f>
        <v>0</v>
      </c>
    </row>
    <row r="751" spans="1:25" x14ac:dyDescent="0.2">
      <c r="A751" s="16">
        <v>750</v>
      </c>
      <c r="B751" s="37">
        <v>1</v>
      </c>
      <c r="C751" s="16" t="s">
        <v>2119</v>
      </c>
      <c r="D751" s="16" t="s">
        <v>2119</v>
      </c>
      <c r="E751" s="16">
        <v>2</v>
      </c>
      <c r="F751" s="16" t="s">
        <v>3906</v>
      </c>
      <c r="G751" s="16" t="s">
        <v>3267</v>
      </c>
      <c r="H751" s="16" t="s">
        <v>2118</v>
      </c>
      <c r="I751" s="16" t="s">
        <v>168</v>
      </c>
      <c r="J751" s="16">
        <v>0</v>
      </c>
      <c r="K751" s="16">
        <v>1.60219E-13</v>
      </c>
      <c r="L751" s="16">
        <v>1</v>
      </c>
      <c r="M751" s="16">
        <v>0</v>
      </c>
      <c r="N751">
        <f t="array" aca="1" ref="N751" ca="1">MATCH(TRUE,EXACT(I751,OFFSET(rngParamTypes,0,6,,1)),0)</f>
        <v>56</v>
      </c>
      <c r="O751" t="str">
        <f ca="1">IF((INDEX(rngParamTypes,$N751,7)=I751),"",1)</f>
        <v/>
      </c>
      <c r="P751">
        <f ca="1">INDEX(rngParamTypes,$N751,9)</f>
        <v>1</v>
      </c>
      <c r="Q751">
        <f ca="1">INDEX(rngParamTypes,$N751,10)</f>
        <v>2</v>
      </c>
      <c r="R751">
        <f ca="1">INDEX(rngParamTypes,$N751,11)</f>
        <v>-2</v>
      </c>
      <c r="S751">
        <f ca="1">INDEX(rngParamTypes,$N751,12)</f>
        <v>0</v>
      </c>
      <c r="T751">
        <f ca="1">INDEX(rngParamTypes,$N751,13)</f>
        <v>0</v>
      </c>
      <c r="U751">
        <f ca="1">INDEX(rngParamTypes,$N751,14)</f>
        <v>0</v>
      </c>
      <c r="V751">
        <f ca="1">INDEX(rngParamTypes,$N751,15)</f>
        <v>0</v>
      </c>
      <c r="W751">
        <f ca="1">INDEX(rngParamTypes,$N751,16)</f>
        <v>0</v>
      </c>
      <c r="X751">
        <f ca="1">INDEX(rngParamTypes,$N751,17)</f>
        <v>0</v>
      </c>
      <c r="Y751">
        <f ca="1">INDEX(rngParamTypes,$N751,18)</f>
        <v>0</v>
      </c>
    </row>
    <row r="752" spans="1:25" x14ac:dyDescent="0.2">
      <c r="A752" s="16">
        <v>751</v>
      </c>
      <c r="B752" s="37">
        <v>1</v>
      </c>
      <c r="C752" s="16" t="s">
        <v>2121</v>
      </c>
      <c r="D752" s="16" t="s">
        <v>2121</v>
      </c>
      <c r="E752" s="16"/>
      <c r="F752" s="16" t="s">
        <v>3907</v>
      </c>
      <c r="G752" s="16" t="s">
        <v>36</v>
      </c>
      <c r="H752" s="16" t="s">
        <v>2120</v>
      </c>
      <c r="I752" s="16" t="s">
        <v>38</v>
      </c>
      <c r="J752" s="16">
        <v>0</v>
      </c>
      <c r="K752" s="16">
        <v>1000000</v>
      </c>
      <c r="L752" s="16">
        <v>1</v>
      </c>
      <c r="M752" s="16">
        <v>0</v>
      </c>
      <c r="N752">
        <f t="array" aca="1" ref="N752" ca="1">MATCH(TRUE,EXACT(I752,OFFSET(rngParamTypes,0,6,,1)),0)</f>
        <v>12</v>
      </c>
      <c r="O752" t="str">
        <f ca="1">IF((INDEX(rngParamTypes,$N752,7)=I752),"",1)</f>
        <v/>
      </c>
      <c r="P752">
        <f ca="1">INDEX(rngParamTypes,$N752,9)</f>
        <v>0</v>
      </c>
      <c r="Q752">
        <f ca="1">INDEX(rngParamTypes,$N752,10)</f>
        <v>0</v>
      </c>
      <c r="R752">
        <f ca="1">INDEX(rngParamTypes,$N752,11)</f>
        <v>-1</v>
      </c>
      <c r="S752">
        <f ca="1">INDEX(rngParamTypes,$N752,12)</f>
        <v>0</v>
      </c>
      <c r="T752">
        <f ca="1">INDEX(rngParamTypes,$N752,13)</f>
        <v>0</v>
      </c>
      <c r="U752">
        <f ca="1">INDEX(rngParamTypes,$N752,14)</f>
        <v>0</v>
      </c>
      <c r="V752">
        <f ca="1">INDEX(rngParamTypes,$N752,15)</f>
        <v>0</v>
      </c>
      <c r="W752">
        <f ca="1">INDEX(rngParamTypes,$N752,16)</f>
        <v>0</v>
      </c>
      <c r="X752">
        <f ca="1">INDEX(rngParamTypes,$N752,17)</f>
        <v>0</v>
      </c>
      <c r="Y752">
        <f ca="1">INDEX(rngParamTypes,$N752,18)</f>
        <v>0</v>
      </c>
    </row>
    <row r="753" spans="1:25" x14ac:dyDescent="0.2">
      <c r="A753" s="16">
        <v>752</v>
      </c>
      <c r="B753" s="37">
        <v>1</v>
      </c>
      <c r="C753" s="16" t="s">
        <v>2123</v>
      </c>
      <c r="D753" s="16" t="s">
        <v>2123</v>
      </c>
      <c r="E753" s="16">
        <v>2</v>
      </c>
      <c r="F753" s="16" t="s">
        <v>3908</v>
      </c>
      <c r="G753" s="16" t="s">
        <v>220</v>
      </c>
      <c r="H753" s="16" t="s">
        <v>2122</v>
      </c>
      <c r="I753" s="16" t="s">
        <v>221</v>
      </c>
      <c r="J753" s="16">
        <v>0</v>
      </c>
      <c r="K753" s="16">
        <v>1000</v>
      </c>
      <c r="L753" s="16">
        <v>1</v>
      </c>
      <c r="M753" s="16">
        <v>0</v>
      </c>
      <c r="N753">
        <f t="array" aca="1" ref="N753" ca="1">MATCH(TRUE,EXACT(I753,OFFSET(rngParamTypes,0,6,,1)),0)</f>
        <v>87</v>
      </c>
      <c r="O753" t="str">
        <f ca="1">IF((INDEX(rngParamTypes,$N753,7)=I753),"",1)</f>
        <v/>
      </c>
      <c r="P753">
        <f ca="1">INDEX(rngParamTypes,$N753,9)</f>
        <v>1</v>
      </c>
      <c r="Q753">
        <f ca="1">INDEX(rngParamTypes,$N753,10)</f>
        <v>0</v>
      </c>
      <c r="R753">
        <f ca="1">INDEX(rngParamTypes,$N753,11)</f>
        <v>0</v>
      </c>
      <c r="S753">
        <f ca="1">INDEX(rngParamTypes,$N753,12)</f>
        <v>0</v>
      </c>
      <c r="T753">
        <f ca="1">INDEX(rngParamTypes,$N753,13)</f>
        <v>0</v>
      </c>
      <c r="U753">
        <f ca="1">INDEX(rngParamTypes,$N753,14)</f>
        <v>0</v>
      </c>
      <c r="V753">
        <f ca="1">INDEX(rngParamTypes,$N753,15)</f>
        <v>0</v>
      </c>
      <c r="W753">
        <f ca="1">INDEX(rngParamTypes,$N753,16)</f>
        <v>0</v>
      </c>
      <c r="X753">
        <f ca="1">INDEX(rngParamTypes,$N753,17)</f>
        <v>0</v>
      </c>
      <c r="Y753">
        <f ca="1">INDEX(rngParamTypes,$N753,18)</f>
        <v>0</v>
      </c>
    </row>
    <row r="754" spans="1:25" x14ac:dyDescent="0.2">
      <c r="A754" s="16">
        <v>753</v>
      </c>
      <c r="B754" s="37">
        <v>1</v>
      </c>
      <c r="C754" s="16" t="s">
        <v>2125</v>
      </c>
      <c r="D754" s="16" t="s">
        <v>2125</v>
      </c>
      <c r="E754" s="16">
        <v>2</v>
      </c>
      <c r="F754" s="16" t="s">
        <v>3909</v>
      </c>
      <c r="G754" s="16" t="s">
        <v>220</v>
      </c>
      <c r="H754" s="16" t="s">
        <v>2124</v>
      </c>
      <c r="I754" s="16" t="s">
        <v>221</v>
      </c>
      <c r="J754" s="16">
        <v>0</v>
      </c>
      <c r="K754" s="16">
        <v>9.9999999999999995E-7</v>
      </c>
      <c r="L754" s="16">
        <v>1</v>
      </c>
      <c r="M754" s="16">
        <v>0</v>
      </c>
      <c r="N754">
        <f t="array" aca="1" ref="N754" ca="1">MATCH(TRUE,EXACT(I754,OFFSET(rngParamTypes,0,6,,1)),0)</f>
        <v>87</v>
      </c>
      <c r="O754" t="str">
        <f ca="1">IF((INDEX(rngParamTypes,$N754,7)=I754),"",1)</f>
        <v/>
      </c>
      <c r="P754">
        <f ca="1">INDEX(rngParamTypes,$N754,9)</f>
        <v>1</v>
      </c>
      <c r="Q754">
        <f ca="1">INDEX(rngParamTypes,$N754,10)</f>
        <v>0</v>
      </c>
      <c r="R754">
        <f ca="1">INDEX(rngParamTypes,$N754,11)</f>
        <v>0</v>
      </c>
      <c r="S754">
        <f ca="1">INDEX(rngParamTypes,$N754,12)</f>
        <v>0</v>
      </c>
      <c r="T754">
        <f ca="1">INDEX(rngParamTypes,$N754,13)</f>
        <v>0</v>
      </c>
      <c r="U754">
        <f ca="1">INDEX(rngParamTypes,$N754,14)</f>
        <v>0</v>
      </c>
      <c r="V754">
        <f ca="1">INDEX(rngParamTypes,$N754,15)</f>
        <v>0</v>
      </c>
      <c r="W754">
        <f ca="1">INDEX(rngParamTypes,$N754,16)</f>
        <v>0</v>
      </c>
      <c r="X754">
        <f ca="1">INDEX(rngParamTypes,$N754,17)</f>
        <v>0</v>
      </c>
      <c r="Y754">
        <f ca="1">INDEX(rngParamTypes,$N754,18)</f>
        <v>0</v>
      </c>
    </row>
    <row r="755" spans="1:25" x14ac:dyDescent="0.2">
      <c r="A755" s="16">
        <v>754</v>
      </c>
      <c r="B755" s="37">
        <v>1</v>
      </c>
      <c r="C755" s="16" t="s">
        <v>2127</v>
      </c>
      <c r="D755" s="16" t="s">
        <v>2127</v>
      </c>
      <c r="E755" s="16">
        <v>2</v>
      </c>
      <c r="F755" s="16" t="s">
        <v>3910</v>
      </c>
      <c r="G755" s="16" t="s">
        <v>257</v>
      </c>
      <c r="H755" s="16" t="s">
        <v>2126</v>
      </c>
      <c r="I755" s="16" t="s">
        <v>258</v>
      </c>
      <c r="J755" s="16">
        <v>0</v>
      </c>
      <c r="K755" s="16">
        <v>1000</v>
      </c>
      <c r="L755" s="16">
        <v>31558150</v>
      </c>
      <c r="M755" s="16">
        <v>0</v>
      </c>
      <c r="N755">
        <f t="array" aca="1" ref="N755" ca="1">MATCH(TRUE,EXACT(I755,OFFSET(rngParamTypes,0,6,,1)),0)</f>
        <v>103</v>
      </c>
      <c r="O755" t="str">
        <f ca="1">IF((INDEX(rngParamTypes,$N755,7)=I755),"",1)</f>
        <v/>
      </c>
      <c r="P755">
        <f ca="1">INDEX(rngParamTypes,$N755,9)</f>
        <v>1</v>
      </c>
      <c r="Q755">
        <f ca="1">INDEX(rngParamTypes,$N755,10)</f>
        <v>0</v>
      </c>
      <c r="R755">
        <f ca="1">INDEX(rngParamTypes,$N755,11)</f>
        <v>-1</v>
      </c>
      <c r="S755">
        <f ca="1">INDEX(rngParamTypes,$N755,12)</f>
        <v>0</v>
      </c>
      <c r="T755">
        <f ca="1">INDEX(rngParamTypes,$N755,13)</f>
        <v>0</v>
      </c>
      <c r="U755">
        <f ca="1">INDEX(rngParamTypes,$N755,14)</f>
        <v>0</v>
      </c>
      <c r="V755">
        <f ca="1">INDEX(rngParamTypes,$N755,15)</f>
        <v>0</v>
      </c>
      <c r="W755">
        <f ca="1">INDEX(rngParamTypes,$N755,16)</f>
        <v>0</v>
      </c>
      <c r="X755">
        <f ca="1">INDEX(rngParamTypes,$N755,17)</f>
        <v>0</v>
      </c>
      <c r="Y755">
        <f ca="1">INDEX(rngParamTypes,$N755,18)</f>
        <v>0</v>
      </c>
    </row>
    <row r="756" spans="1:25" x14ac:dyDescent="0.2">
      <c r="A756" s="16">
        <v>755</v>
      </c>
      <c r="B756" s="37">
        <v>1</v>
      </c>
      <c r="C756" s="16" t="s">
        <v>2129</v>
      </c>
      <c r="D756" s="16" t="s">
        <v>2129</v>
      </c>
      <c r="E756" s="16">
        <v>2</v>
      </c>
      <c r="F756" s="16" t="s">
        <v>3911</v>
      </c>
      <c r="G756" s="16" t="s">
        <v>257</v>
      </c>
      <c r="H756" s="16" t="s">
        <v>2128</v>
      </c>
      <c r="I756" s="16" t="s">
        <v>258</v>
      </c>
      <c r="J756" s="16">
        <v>0</v>
      </c>
      <c r="K756" s="16">
        <v>1000</v>
      </c>
      <c r="L756" s="16">
        <v>86400</v>
      </c>
      <c r="M756" s="16">
        <v>0</v>
      </c>
      <c r="N756">
        <f t="array" aca="1" ref="N756" ca="1">MATCH(TRUE,EXACT(I756,OFFSET(rngParamTypes,0,6,,1)),0)</f>
        <v>103</v>
      </c>
      <c r="O756" t="str">
        <f ca="1">IF((INDEX(rngParamTypes,$N756,7)=I756),"",1)</f>
        <v/>
      </c>
      <c r="P756">
        <f ca="1">INDEX(rngParamTypes,$N756,9)</f>
        <v>1</v>
      </c>
      <c r="Q756">
        <f ca="1">INDEX(rngParamTypes,$N756,10)</f>
        <v>0</v>
      </c>
      <c r="R756">
        <f ca="1">INDEX(rngParamTypes,$N756,11)</f>
        <v>-1</v>
      </c>
      <c r="S756">
        <f ca="1">INDEX(rngParamTypes,$N756,12)</f>
        <v>0</v>
      </c>
      <c r="T756">
        <f ca="1">INDEX(rngParamTypes,$N756,13)</f>
        <v>0</v>
      </c>
      <c r="U756">
        <f ca="1">INDEX(rngParamTypes,$N756,14)</f>
        <v>0</v>
      </c>
      <c r="V756">
        <f ca="1">INDEX(rngParamTypes,$N756,15)</f>
        <v>0</v>
      </c>
      <c r="W756">
        <f ca="1">INDEX(rngParamTypes,$N756,16)</f>
        <v>0</v>
      </c>
      <c r="X756">
        <f ca="1">INDEX(rngParamTypes,$N756,17)</f>
        <v>0</v>
      </c>
      <c r="Y756">
        <f ca="1">INDEX(rngParamTypes,$N756,18)</f>
        <v>0</v>
      </c>
    </row>
    <row r="757" spans="1:25" x14ac:dyDescent="0.2">
      <c r="A757" s="16">
        <v>756</v>
      </c>
      <c r="B757" s="37">
        <v>1</v>
      </c>
      <c r="C757" s="16" t="s">
        <v>2131</v>
      </c>
      <c r="D757" s="16" t="s">
        <v>2131</v>
      </c>
      <c r="E757" s="16">
        <v>2</v>
      </c>
      <c r="F757" s="16" t="s">
        <v>3912</v>
      </c>
      <c r="G757" s="16" t="s">
        <v>3253</v>
      </c>
      <c r="H757" s="16" t="s">
        <v>2130</v>
      </c>
      <c r="I757" s="16" t="s">
        <v>252</v>
      </c>
      <c r="J757" s="16">
        <v>0</v>
      </c>
      <c r="K757" s="16">
        <v>1E-3</v>
      </c>
      <c r="L757" s="16">
        <v>1</v>
      </c>
      <c r="M757" s="16">
        <v>0</v>
      </c>
      <c r="N757">
        <f t="array" aca="1" ref="N757" ca="1">MATCH(TRUE,EXACT(I757,OFFSET(rngParamTypes,0,6,,1)),0)</f>
        <v>99</v>
      </c>
      <c r="O757" t="str">
        <f ca="1">IF((INDEX(rngParamTypes,$N757,7)=I757),"",1)</f>
        <v/>
      </c>
      <c r="P757">
        <f ca="1">INDEX(rngParamTypes,$N757,9)</f>
        <v>1</v>
      </c>
      <c r="Q757">
        <f ca="1">INDEX(rngParamTypes,$N757,10)</f>
        <v>-3</v>
      </c>
      <c r="R757">
        <f ca="1">INDEX(rngParamTypes,$N757,11)</f>
        <v>0</v>
      </c>
      <c r="S757">
        <f ca="1">INDEX(rngParamTypes,$N757,12)</f>
        <v>0</v>
      </c>
      <c r="T757">
        <f ca="1">INDEX(rngParamTypes,$N757,13)</f>
        <v>0</v>
      </c>
      <c r="U757">
        <f ca="1">INDEX(rngParamTypes,$N757,14)</f>
        <v>0</v>
      </c>
      <c r="V757">
        <f ca="1">INDEX(rngParamTypes,$N757,15)</f>
        <v>0</v>
      </c>
      <c r="W757">
        <f ca="1">INDEX(rngParamTypes,$N757,16)</f>
        <v>0</v>
      </c>
      <c r="X757">
        <f ca="1">INDEX(rngParamTypes,$N757,17)</f>
        <v>0</v>
      </c>
      <c r="Y757">
        <f ca="1">INDEX(rngParamTypes,$N757,18)</f>
        <v>0</v>
      </c>
    </row>
    <row r="758" spans="1:25" x14ac:dyDescent="0.2">
      <c r="A758" s="16">
        <v>757</v>
      </c>
      <c r="B758" s="37">
        <v>1</v>
      </c>
      <c r="C758" s="16" t="s">
        <v>2133</v>
      </c>
      <c r="D758" s="16" t="s">
        <v>2133</v>
      </c>
      <c r="E758" s="16">
        <v>2</v>
      </c>
      <c r="F758" s="16" t="s">
        <v>3913</v>
      </c>
      <c r="G758" s="16" t="s">
        <v>3253</v>
      </c>
      <c r="H758" s="16" t="s">
        <v>2132</v>
      </c>
      <c r="I758" s="16" t="s">
        <v>252</v>
      </c>
      <c r="J758" s="16">
        <v>0</v>
      </c>
      <c r="K758" s="16">
        <v>2.6417200000000002E-4</v>
      </c>
      <c r="L758" s="16">
        <v>1</v>
      </c>
      <c r="M758" s="16">
        <v>0</v>
      </c>
      <c r="N758">
        <f t="array" aca="1" ref="N758" ca="1">MATCH(TRUE,EXACT(I758,OFFSET(rngParamTypes,0,6,,1)),0)</f>
        <v>99</v>
      </c>
      <c r="O758" t="str">
        <f ca="1">IF((INDEX(rngParamTypes,$N758,7)=I758),"",1)</f>
        <v/>
      </c>
      <c r="P758">
        <f ca="1">INDEX(rngParamTypes,$N758,9)</f>
        <v>1</v>
      </c>
      <c r="Q758">
        <f ca="1">INDEX(rngParamTypes,$N758,10)</f>
        <v>-3</v>
      </c>
      <c r="R758">
        <f ca="1">INDEX(rngParamTypes,$N758,11)</f>
        <v>0</v>
      </c>
      <c r="S758">
        <f ca="1">INDEX(rngParamTypes,$N758,12)</f>
        <v>0</v>
      </c>
      <c r="T758">
        <f ca="1">INDEX(rngParamTypes,$N758,13)</f>
        <v>0</v>
      </c>
      <c r="U758">
        <f ca="1">INDEX(rngParamTypes,$N758,14)</f>
        <v>0</v>
      </c>
      <c r="V758">
        <f ca="1">INDEX(rngParamTypes,$N758,15)</f>
        <v>0</v>
      </c>
      <c r="W758">
        <f ca="1">INDEX(rngParamTypes,$N758,16)</f>
        <v>0</v>
      </c>
      <c r="X758">
        <f ca="1">INDEX(rngParamTypes,$N758,17)</f>
        <v>0</v>
      </c>
      <c r="Y758">
        <f ca="1">INDEX(rngParamTypes,$N758,18)</f>
        <v>0</v>
      </c>
    </row>
    <row r="759" spans="1:25" x14ac:dyDescent="0.2">
      <c r="A759" s="16">
        <v>758</v>
      </c>
      <c r="B759" s="37">
        <v>1</v>
      </c>
      <c r="C759" s="16" t="s">
        <v>2135</v>
      </c>
      <c r="D759" s="16" t="s">
        <v>2135</v>
      </c>
      <c r="E759" s="16">
        <v>2</v>
      </c>
      <c r="F759" s="16" t="s">
        <v>3914</v>
      </c>
      <c r="G759" s="16" t="s">
        <v>257</v>
      </c>
      <c r="H759" s="16" t="s">
        <v>2134</v>
      </c>
      <c r="I759" s="16" t="s">
        <v>258</v>
      </c>
      <c r="J759" s="16">
        <v>0</v>
      </c>
      <c r="K759" s="16">
        <v>1</v>
      </c>
      <c r="L759" s="16">
        <v>3.6</v>
      </c>
      <c r="M759" s="16">
        <v>0</v>
      </c>
      <c r="N759">
        <f t="array" aca="1" ref="N759" ca="1">MATCH(TRUE,EXACT(I759,OFFSET(rngParamTypes,0,6,,1)),0)</f>
        <v>103</v>
      </c>
      <c r="O759" t="str">
        <f ca="1">IF((INDEX(rngParamTypes,$N759,7)=I759),"",1)</f>
        <v/>
      </c>
      <c r="P759">
        <f ca="1">INDEX(rngParamTypes,$N759,9)</f>
        <v>1</v>
      </c>
      <c r="Q759">
        <f ca="1">INDEX(rngParamTypes,$N759,10)</f>
        <v>0</v>
      </c>
      <c r="R759">
        <f ca="1">INDEX(rngParamTypes,$N759,11)</f>
        <v>-1</v>
      </c>
      <c r="S759">
        <f ca="1">INDEX(rngParamTypes,$N759,12)</f>
        <v>0</v>
      </c>
      <c r="T759">
        <f ca="1">INDEX(rngParamTypes,$N759,13)</f>
        <v>0</v>
      </c>
      <c r="U759">
        <f ca="1">INDEX(rngParamTypes,$N759,14)</f>
        <v>0</v>
      </c>
      <c r="V759">
        <f ca="1">INDEX(rngParamTypes,$N759,15)</f>
        <v>0</v>
      </c>
      <c r="W759">
        <f ca="1">INDEX(rngParamTypes,$N759,16)</f>
        <v>0</v>
      </c>
      <c r="X759">
        <f ca="1">INDEX(rngParamTypes,$N759,17)</f>
        <v>0</v>
      </c>
      <c r="Y759">
        <f ca="1">INDEX(rngParamTypes,$N759,18)</f>
        <v>0</v>
      </c>
    </row>
    <row r="760" spans="1:25" x14ac:dyDescent="0.2">
      <c r="A760" s="16">
        <v>759</v>
      </c>
      <c r="B760" s="37">
        <v>1</v>
      </c>
      <c r="C760" s="16" t="s">
        <v>2137</v>
      </c>
      <c r="D760" s="16" t="s">
        <v>2137</v>
      </c>
      <c r="E760" s="16"/>
      <c r="F760" s="16" t="s">
        <v>3915</v>
      </c>
      <c r="G760" s="16" t="s">
        <v>3724</v>
      </c>
      <c r="H760" s="16" t="s">
        <v>2136</v>
      </c>
      <c r="I760" s="16" t="s">
        <v>240</v>
      </c>
      <c r="J760" s="16">
        <v>0</v>
      </c>
      <c r="K760" s="16">
        <v>1000</v>
      </c>
      <c r="L760" s="16">
        <v>2.5399999999999999E-2</v>
      </c>
      <c r="M760" s="16">
        <v>0</v>
      </c>
      <c r="N760">
        <f t="array" aca="1" ref="N760" ca="1">MATCH(TRUE,EXACT(I760,OFFSET(rngParamTypes,0,6,,1)),0)</f>
        <v>93</v>
      </c>
      <c r="O760" t="str">
        <f ca="1">IF((INDEX(rngParamTypes,$N760,7)=I760),"",1)</f>
        <v/>
      </c>
      <c r="P760">
        <f ca="1">INDEX(rngParamTypes,$N760,9)</f>
        <v>1</v>
      </c>
      <c r="Q760">
        <f ca="1">INDEX(rngParamTypes,$N760,10)</f>
        <v>-1</v>
      </c>
      <c r="R760">
        <f ca="1">INDEX(rngParamTypes,$N760,11)</f>
        <v>0</v>
      </c>
      <c r="S760">
        <f ca="1">INDEX(rngParamTypes,$N760,12)</f>
        <v>0</v>
      </c>
      <c r="T760">
        <f ca="1">INDEX(rngParamTypes,$N760,13)</f>
        <v>0</v>
      </c>
      <c r="U760">
        <f ca="1">INDEX(rngParamTypes,$N760,14)</f>
        <v>0</v>
      </c>
      <c r="V760">
        <f ca="1">INDEX(rngParamTypes,$N760,15)</f>
        <v>0</v>
      </c>
      <c r="W760">
        <f ca="1">INDEX(rngParamTypes,$N760,16)</f>
        <v>0</v>
      </c>
      <c r="X760">
        <f ca="1">INDEX(rngParamTypes,$N760,17)</f>
        <v>0</v>
      </c>
      <c r="Y760">
        <f ca="1">INDEX(rngParamTypes,$N760,18)</f>
        <v>0</v>
      </c>
    </row>
    <row r="761" spans="1:25" x14ac:dyDescent="0.2">
      <c r="A761" s="16">
        <v>760</v>
      </c>
      <c r="B761" s="37">
        <v>1</v>
      </c>
      <c r="C761" s="16" t="s">
        <v>2139</v>
      </c>
      <c r="D761" s="16" t="s">
        <v>2139</v>
      </c>
      <c r="E761" s="16"/>
      <c r="F761" s="16" t="s">
        <v>3916</v>
      </c>
      <c r="G761" s="16" t="s">
        <v>234</v>
      </c>
      <c r="H761" s="16" t="s">
        <v>2138</v>
      </c>
      <c r="I761" s="16" t="s">
        <v>235</v>
      </c>
      <c r="J761" s="16">
        <v>0</v>
      </c>
      <c r="K761" s="16">
        <v>9.9999999999999995E-7</v>
      </c>
      <c r="L761" s="16">
        <v>1</v>
      </c>
      <c r="M761" s="16">
        <v>0</v>
      </c>
      <c r="N761">
        <f t="array" aca="1" ref="N761" ca="1">MATCH(TRUE,EXACT(I761,OFFSET(rngParamTypes,0,6,,1)),0)</f>
        <v>92</v>
      </c>
      <c r="O761" t="str">
        <f ca="1">IF((INDEX(rngParamTypes,$N761,7)=I761),"",1)</f>
        <v/>
      </c>
      <c r="P761">
        <f ca="1">INDEX(rngParamTypes,$N761,9)</f>
        <v>0</v>
      </c>
      <c r="Q761">
        <f ca="1">INDEX(rngParamTypes,$N761,10)</f>
        <v>-2</v>
      </c>
      <c r="R761">
        <f ca="1">INDEX(rngParamTypes,$N761,11)</f>
        <v>2</v>
      </c>
      <c r="S761">
        <f ca="1">INDEX(rngParamTypes,$N761,12)</f>
        <v>0</v>
      </c>
      <c r="T761">
        <f ca="1">INDEX(rngParamTypes,$N761,13)</f>
        <v>0</v>
      </c>
      <c r="U761">
        <f ca="1">INDEX(rngParamTypes,$N761,14)</f>
        <v>0</v>
      </c>
      <c r="V761">
        <f ca="1">INDEX(rngParamTypes,$N761,15)</f>
        <v>0</v>
      </c>
      <c r="W761">
        <f ca="1">INDEX(rngParamTypes,$N761,16)</f>
        <v>0</v>
      </c>
      <c r="X761">
        <f ca="1">INDEX(rngParamTypes,$N761,17)</f>
        <v>0</v>
      </c>
      <c r="Y761">
        <f ca="1">INDEX(rngParamTypes,$N761,18)</f>
        <v>0</v>
      </c>
    </row>
    <row r="762" spans="1:25" x14ac:dyDescent="0.2">
      <c r="A762" s="16">
        <v>761</v>
      </c>
      <c r="B762" s="37">
        <v>1</v>
      </c>
      <c r="C762" s="16" t="s">
        <v>2141</v>
      </c>
      <c r="D762" s="16" t="s">
        <v>2141</v>
      </c>
      <c r="E762" s="16"/>
      <c r="F762" s="16" t="s">
        <v>3917</v>
      </c>
      <c r="G762" s="16" t="s">
        <v>127</v>
      </c>
      <c r="H762" s="16" t="s">
        <v>2140</v>
      </c>
      <c r="I762" s="16" t="s">
        <v>131</v>
      </c>
      <c r="J762" s="16">
        <v>0</v>
      </c>
      <c r="K762" s="16">
        <v>9.9999999999999995E-7</v>
      </c>
      <c r="L762" s="16">
        <v>1</v>
      </c>
      <c r="M762" s="16">
        <v>0</v>
      </c>
      <c r="N762">
        <f t="array" aca="1" ref="N762" ca="1">MATCH(TRUE,EXACT(I762,OFFSET(rngParamTypes,0,6,,1)),0)</f>
        <v>42</v>
      </c>
      <c r="O762" t="str">
        <f ca="1">IF((INDEX(rngParamTypes,$N762,7)=I762),"",1)</f>
        <v/>
      </c>
      <c r="P762">
        <f ca="1">INDEX(rngParamTypes,$N762,9)</f>
        <v>0</v>
      </c>
      <c r="Q762">
        <f ca="1">INDEX(rngParamTypes,$N762,10)</f>
        <v>0</v>
      </c>
      <c r="R762">
        <f ca="1">INDEX(rngParamTypes,$N762,11)</f>
        <v>0</v>
      </c>
      <c r="S762">
        <f ca="1">INDEX(rngParamTypes,$N762,12)</f>
        <v>0</v>
      </c>
      <c r="T762">
        <f ca="1">INDEX(rngParamTypes,$N762,13)</f>
        <v>0</v>
      </c>
      <c r="U762">
        <f ca="1">INDEX(rngParamTypes,$N762,14)</f>
        <v>0</v>
      </c>
      <c r="V762">
        <f ca="1">INDEX(rngParamTypes,$N762,15)</f>
        <v>0</v>
      </c>
      <c r="W762">
        <f ca="1">INDEX(rngParamTypes,$N762,16)</f>
        <v>0</v>
      </c>
      <c r="X762">
        <f ca="1">INDEX(rngParamTypes,$N762,17)</f>
        <v>0</v>
      </c>
      <c r="Y762">
        <f ca="1">INDEX(rngParamTypes,$N762,18)</f>
        <v>0</v>
      </c>
    </row>
    <row r="763" spans="1:25" x14ac:dyDescent="0.2">
      <c r="A763" s="16">
        <v>762</v>
      </c>
      <c r="B763" s="37">
        <v>1</v>
      </c>
      <c r="C763" s="16" t="s">
        <v>2143</v>
      </c>
      <c r="D763" s="16" t="s">
        <v>2143</v>
      </c>
      <c r="E763" s="16">
        <v>2</v>
      </c>
      <c r="F763" s="16" t="s">
        <v>3918</v>
      </c>
      <c r="G763" s="16" t="s">
        <v>3253</v>
      </c>
      <c r="H763" s="16" t="s">
        <v>2142</v>
      </c>
      <c r="I763" s="16" t="s">
        <v>252</v>
      </c>
      <c r="J763" s="16">
        <v>0</v>
      </c>
      <c r="K763" s="16">
        <v>1E-3</v>
      </c>
      <c r="L763" s="16">
        <v>1</v>
      </c>
      <c r="M763" s="16">
        <v>0</v>
      </c>
      <c r="N763">
        <f t="array" aca="1" ref="N763" ca="1">MATCH(TRUE,EXACT(I763,OFFSET(rngParamTypes,0,6,,1)),0)</f>
        <v>99</v>
      </c>
      <c r="O763" t="str">
        <f ca="1">IF((INDEX(rngParamTypes,$N763,7)=I763),"",1)</f>
        <v/>
      </c>
      <c r="P763">
        <f ca="1">INDEX(rngParamTypes,$N763,9)</f>
        <v>1</v>
      </c>
      <c r="Q763">
        <f ca="1">INDEX(rngParamTypes,$N763,10)</f>
        <v>-3</v>
      </c>
      <c r="R763">
        <f ca="1">INDEX(rngParamTypes,$N763,11)</f>
        <v>0</v>
      </c>
      <c r="S763">
        <f ca="1">INDEX(rngParamTypes,$N763,12)</f>
        <v>0</v>
      </c>
      <c r="T763">
        <f ca="1">INDEX(rngParamTypes,$N763,13)</f>
        <v>0</v>
      </c>
      <c r="U763">
        <f ca="1">INDEX(rngParamTypes,$N763,14)</f>
        <v>0</v>
      </c>
      <c r="V763">
        <f ca="1">INDEX(rngParamTypes,$N763,15)</f>
        <v>0</v>
      </c>
      <c r="W763">
        <f ca="1">INDEX(rngParamTypes,$N763,16)</f>
        <v>0</v>
      </c>
      <c r="X763">
        <f ca="1">INDEX(rngParamTypes,$N763,17)</f>
        <v>0</v>
      </c>
      <c r="Y763">
        <f ca="1">INDEX(rngParamTypes,$N763,18)</f>
        <v>0</v>
      </c>
    </row>
    <row r="764" spans="1:25" x14ac:dyDescent="0.2">
      <c r="A764" s="16">
        <v>763</v>
      </c>
      <c r="B764" s="37">
        <v>1</v>
      </c>
      <c r="C764" s="16" t="s">
        <v>2145</v>
      </c>
      <c r="D764" s="16" t="s">
        <v>2145</v>
      </c>
      <c r="E764" s="16"/>
      <c r="F764" s="16" t="s">
        <v>3919</v>
      </c>
      <c r="G764" s="16" t="s">
        <v>3806</v>
      </c>
      <c r="H764" s="16" t="s">
        <v>2144</v>
      </c>
      <c r="I764" s="16" t="s">
        <v>244</v>
      </c>
      <c r="J764" s="16">
        <v>0</v>
      </c>
      <c r="K764" s="16">
        <v>1000</v>
      </c>
      <c r="L764" s="16">
        <v>1</v>
      </c>
      <c r="M764" s="16">
        <v>0</v>
      </c>
      <c r="N764">
        <f t="array" aca="1" ref="N764" ca="1">MATCH(TRUE,EXACT(I764,OFFSET(rngParamTypes,0,6,,1)),0)</f>
        <v>96</v>
      </c>
      <c r="O764" t="str">
        <f ca="1">IF((INDEX(rngParamTypes,$N764,7)=I764),"",1)</f>
        <v/>
      </c>
      <c r="P764">
        <f ca="1">INDEX(rngParamTypes,$N764,9)</f>
        <v>1</v>
      </c>
      <c r="Q764">
        <f ca="1">INDEX(rngParamTypes,$N764,10)</f>
        <v>-2</v>
      </c>
      <c r="R764">
        <f ca="1">INDEX(rngParamTypes,$N764,11)</f>
        <v>0</v>
      </c>
      <c r="S764">
        <f ca="1">INDEX(rngParamTypes,$N764,12)</f>
        <v>0</v>
      </c>
      <c r="T764">
        <f ca="1">INDEX(rngParamTypes,$N764,13)</f>
        <v>0</v>
      </c>
      <c r="U764">
        <f ca="1">INDEX(rngParamTypes,$N764,14)</f>
        <v>0</v>
      </c>
      <c r="V764">
        <f ca="1">INDEX(rngParamTypes,$N764,15)</f>
        <v>0</v>
      </c>
      <c r="W764">
        <f ca="1">INDEX(rngParamTypes,$N764,16)</f>
        <v>0</v>
      </c>
      <c r="X764">
        <f ca="1">INDEX(rngParamTypes,$N764,17)</f>
        <v>0</v>
      </c>
      <c r="Y764">
        <f ca="1">INDEX(rngParamTypes,$N764,18)</f>
        <v>0</v>
      </c>
    </row>
    <row r="765" spans="1:25" x14ac:dyDescent="0.2">
      <c r="A765" s="16">
        <v>764</v>
      </c>
      <c r="B765" s="37">
        <v>1</v>
      </c>
      <c r="C765" s="16" t="s">
        <v>2147</v>
      </c>
      <c r="D765" s="16" t="s">
        <v>2147</v>
      </c>
      <c r="E765" s="16">
        <v>2</v>
      </c>
      <c r="F765" s="16" t="s">
        <v>3920</v>
      </c>
      <c r="G765" s="16" t="s">
        <v>3253</v>
      </c>
      <c r="H765" s="16" t="s">
        <v>2146</v>
      </c>
      <c r="I765" s="16" t="s">
        <v>252</v>
      </c>
      <c r="J765" s="16">
        <v>0</v>
      </c>
      <c r="K765" s="16">
        <v>9.9999999999999995E-7</v>
      </c>
      <c r="L765" s="16">
        <v>1</v>
      </c>
      <c r="M765" s="16">
        <v>0</v>
      </c>
      <c r="N765">
        <f t="array" aca="1" ref="N765" ca="1">MATCH(TRUE,EXACT(I765,OFFSET(rngParamTypes,0,6,,1)),0)</f>
        <v>99</v>
      </c>
      <c r="O765" t="str">
        <f ca="1">IF((INDEX(rngParamTypes,$N765,7)=I765),"",1)</f>
        <v/>
      </c>
      <c r="P765">
        <f ca="1">INDEX(rngParamTypes,$N765,9)</f>
        <v>1</v>
      </c>
      <c r="Q765">
        <f ca="1">INDEX(rngParamTypes,$N765,10)</f>
        <v>-3</v>
      </c>
      <c r="R765">
        <f ca="1">INDEX(rngParamTypes,$N765,11)</f>
        <v>0</v>
      </c>
      <c r="S765">
        <f ca="1">INDEX(rngParamTypes,$N765,12)</f>
        <v>0</v>
      </c>
      <c r="T765">
        <f ca="1">INDEX(rngParamTypes,$N765,13)</f>
        <v>0</v>
      </c>
      <c r="U765">
        <f ca="1">INDEX(rngParamTypes,$N765,14)</f>
        <v>0</v>
      </c>
      <c r="V765">
        <f ca="1">INDEX(rngParamTypes,$N765,15)</f>
        <v>0</v>
      </c>
      <c r="W765">
        <f ca="1">INDEX(rngParamTypes,$N765,16)</f>
        <v>0</v>
      </c>
      <c r="X765">
        <f ca="1">INDEX(rngParamTypes,$N765,17)</f>
        <v>0</v>
      </c>
      <c r="Y765">
        <f ca="1">INDEX(rngParamTypes,$N765,18)</f>
        <v>0</v>
      </c>
    </row>
    <row r="766" spans="1:25" x14ac:dyDescent="0.2">
      <c r="A766" s="16">
        <v>765</v>
      </c>
      <c r="B766" s="37">
        <v>1</v>
      </c>
      <c r="C766" s="16" t="s">
        <v>2149</v>
      </c>
      <c r="D766" s="16" t="s">
        <v>2149</v>
      </c>
      <c r="E766" s="16">
        <v>2</v>
      </c>
      <c r="F766" s="16" t="s">
        <v>3921</v>
      </c>
      <c r="G766" s="16" t="s">
        <v>3253</v>
      </c>
      <c r="H766" s="16" t="s">
        <v>2148</v>
      </c>
      <c r="I766" s="16" t="s">
        <v>252</v>
      </c>
      <c r="J766" s="16">
        <v>0</v>
      </c>
      <c r="K766" s="16">
        <v>1000000</v>
      </c>
      <c r="L766" s="16">
        <v>1</v>
      </c>
      <c r="M766" s="16">
        <v>0</v>
      </c>
      <c r="N766">
        <f t="array" aca="1" ref="N766" ca="1">MATCH(TRUE,EXACT(I766,OFFSET(rngParamTypes,0,6,,1)),0)</f>
        <v>99</v>
      </c>
      <c r="O766" t="str">
        <f ca="1">IF((INDEX(rngParamTypes,$N766,7)=I766),"",1)</f>
        <v/>
      </c>
      <c r="P766">
        <f ca="1">INDEX(rngParamTypes,$N766,9)</f>
        <v>1</v>
      </c>
      <c r="Q766">
        <f ca="1">INDEX(rngParamTypes,$N766,10)</f>
        <v>-3</v>
      </c>
      <c r="R766">
        <f ca="1">INDEX(rngParamTypes,$N766,11)</f>
        <v>0</v>
      </c>
      <c r="S766">
        <f ca="1">INDEX(rngParamTypes,$N766,12)</f>
        <v>0</v>
      </c>
      <c r="T766">
        <f ca="1">INDEX(rngParamTypes,$N766,13)</f>
        <v>0</v>
      </c>
      <c r="U766">
        <f ca="1">INDEX(rngParamTypes,$N766,14)</f>
        <v>0</v>
      </c>
      <c r="V766">
        <f ca="1">INDEX(rngParamTypes,$N766,15)</f>
        <v>0</v>
      </c>
      <c r="W766">
        <f ca="1">INDEX(rngParamTypes,$N766,16)</f>
        <v>0</v>
      </c>
      <c r="X766">
        <f ca="1">INDEX(rngParamTypes,$N766,17)</f>
        <v>0</v>
      </c>
      <c r="Y766">
        <f ca="1">INDEX(rngParamTypes,$N766,18)</f>
        <v>0</v>
      </c>
    </row>
    <row r="767" spans="1:25" x14ac:dyDescent="0.2">
      <c r="A767" s="16">
        <v>766</v>
      </c>
      <c r="B767" s="37">
        <v>1</v>
      </c>
      <c r="C767" s="16" t="s">
        <v>2151</v>
      </c>
      <c r="D767" s="16" t="s">
        <v>2151</v>
      </c>
      <c r="E767" s="16">
        <v>2</v>
      </c>
      <c r="F767" s="16" t="s">
        <v>3922</v>
      </c>
      <c r="G767" s="16" t="s">
        <v>299</v>
      </c>
      <c r="H767" s="16" t="s">
        <v>2150</v>
      </c>
      <c r="I767" s="16" t="s">
        <v>300</v>
      </c>
      <c r="J767" s="16">
        <v>0</v>
      </c>
      <c r="K767" s="16">
        <v>1.0000000000000001E-5</v>
      </c>
      <c r="L767" s="16">
        <v>1</v>
      </c>
      <c r="M767" s="16">
        <v>0</v>
      </c>
      <c r="N767">
        <f t="array" aca="1" ref="N767" ca="1">MATCH(TRUE,EXACT(I767,OFFSET(rngParamTypes,0,6,,1)),0)</f>
        <v>124</v>
      </c>
      <c r="O767" t="str">
        <f ca="1">IF((INDEX(rngParamTypes,$N767,7)=I767),"",1)</f>
        <v/>
      </c>
      <c r="P767">
        <f ca="1">INDEX(rngParamTypes,$N767,9)</f>
        <v>0</v>
      </c>
      <c r="Q767">
        <f ca="1">INDEX(rngParamTypes,$N767,10)</f>
        <v>1</v>
      </c>
      <c r="R767">
        <f ca="1">INDEX(rngParamTypes,$N767,11)</f>
        <v>-2</v>
      </c>
      <c r="S767">
        <f ca="1">INDEX(rngParamTypes,$N767,12)</f>
        <v>0</v>
      </c>
      <c r="T767">
        <f ca="1">INDEX(rngParamTypes,$N767,13)</f>
        <v>0</v>
      </c>
      <c r="U767">
        <f ca="1">INDEX(rngParamTypes,$N767,14)</f>
        <v>0</v>
      </c>
      <c r="V767">
        <f ca="1">INDEX(rngParamTypes,$N767,15)</f>
        <v>0</v>
      </c>
      <c r="W767">
        <f ca="1">INDEX(rngParamTypes,$N767,16)</f>
        <v>0</v>
      </c>
      <c r="X767">
        <f ca="1">INDEX(rngParamTypes,$N767,17)</f>
        <v>0</v>
      </c>
      <c r="Y767">
        <f ca="1">INDEX(rngParamTypes,$N767,18)</f>
        <v>0</v>
      </c>
    </row>
    <row r="768" spans="1:25" x14ac:dyDescent="0.2">
      <c r="A768" s="16">
        <v>767</v>
      </c>
      <c r="B768" s="37">
        <v>1</v>
      </c>
      <c r="C768" s="16" t="s">
        <v>2153</v>
      </c>
      <c r="D768" s="16" t="s">
        <v>2153</v>
      </c>
      <c r="E768" s="16"/>
      <c r="F768" s="16" t="s">
        <v>3923</v>
      </c>
      <c r="G768" s="16" t="s">
        <v>3602</v>
      </c>
      <c r="H768" s="16" t="s">
        <v>2152</v>
      </c>
      <c r="I768" s="16" t="s">
        <v>518</v>
      </c>
      <c r="J768" s="16">
        <v>0</v>
      </c>
      <c r="K768" s="16">
        <v>9.9999999999999995E-8</v>
      </c>
      <c r="L768" s="16">
        <v>1</v>
      </c>
      <c r="M768" s="16">
        <v>0</v>
      </c>
      <c r="N768">
        <f t="array" aca="1" ref="N768" ca="1">MATCH(TRUE,EXACT(I768,OFFSET(rngParamTypes,0,6,,1)),0)</f>
        <v>206</v>
      </c>
      <c r="O768" t="str">
        <f ca="1">IF((INDEX(rngParamTypes,$N768,7)=I768),"",1)</f>
        <v/>
      </c>
      <c r="P768">
        <f ca="1">INDEX(rngParamTypes,$N768,9)</f>
        <v>1</v>
      </c>
      <c r="Q768">
        <f ca="1">INDEX(rngParamTypes,$N768,10)</f>
        <v>0</v>
      </c>
      <c r="R768">
        <f ca="1">INDEX(rngParamTypes,$N768,11)</f>
        <v>-2</v>
      </c>
      <c r="S768">
        <f ca="1">INDEX(rngParamTypes,$N768,12)</f>
        <v>-1</v>
      </c>
      <c r="T768">
        <f ca="1">INDEX(rngParamTypes,$N768,13)</f>
        <v>0</v>
      </c>
      <c r="U768">
        <f ca="1">INDEX(rngParamTypes,$N768,14)</f>
        <v>0</v>
      </c>
      <c r="V768">
        <f ca="1">INDEX(rngParamTypes,$N768,15)</f>
        <v>0</v>
      </c>
      <c r="W768">
        <f ca="1">INDEX(rngParamTypes,$N768,16)</f>
        <v>0</v>
      </c>
      <c r="X768">
        <f ca="1">INDEX(rngParamTypes,$N768,17)</f>
        <v>0</v>
      </c>
      <c r="Y768">
        <f ca="1">INDEX(rngParamTypes,$N768,18)</f>
        <v>0</v>
      </c>
    </row>
    <row r="769" spans="1:25" x14ac:dyDescent="0.2">
      <c r="A769" s="16">
        <v>768</v>
      </c>
      <c r="B769" s="37">
        <v>1</v>
      </c>
      <c r="C769" s="16" t="s">
        <v>2155</v>
      </c>
      <c r="D769" s="16" t="s">
        <v>2155</v>
      </c>
      <c r="E769" s="16">
        <v>2</v>
      </c>
      <c r="F769" s="16" t="s">
        <v>3924</v>
      </c>
      <c r="G769" s="16" t="s">
        <v>3540</v>
      </c>
      <c r="H769" s="16" t="s">
        <v>2154</v>
      </c>
      <c r="I769" s="16" t="s">
        <v>290</v>
      </c>
      <c r="J769" s="16">
        <v>0</v>
      </c>
      <c r="K769" s="16">
        <v>1.000014</v>
      </c>
      <c r="L769" s="16">
        <v>1</v>
      </c>
      <c r="M769" s="16">
        <v>0</v>
      </c>
      <c r="N769">
        <f t="array" aca="1" ref="N769" ca="1">MATCH(TRUE,EXACT(I769,OFFSET(rngParamTypes,0,6,,1)),0)</f>
        <v>109</v>
      </c>
      <c r="O769" t="str">
        <f ca="1">IF((INDEX(rngParamTypes,$N769,7)=I769),"",1)</f>
        <v/>
      </c>
      <c r="P769">
        <f ca="1">INDEX(rngParamTypes,$N769,9)</f>
        <v>0</v>
      </c>
      <c r="Q769">
        <f ca="1">INDEX(rngParamTypes,$N769,10)</f>
        <v>1</v>
      </c>
      <c r="R769">
        <f ca="1">INDEX(rngParamTypes,$N769,11)</f>
        <v>0</v>
      </c>
      <c r="S769">
        <f ca="1">INDEX(rngParamTypes,$N769,12)</f>
        <v>0</v>
      </c>
      <c r="T769">
        <f ca="1">INDEX(rngParamTypes,$N769,13)</f>
        <v>0</v>
      </c>
      <c r="U769">
        <f ca="1">INDEX(rngParamTypes,$N769,14)</f>
        <v>0</v>
      </c>
      <c r="V769">
        <f ca="1">INDEX(rngParamTypes,$N769,15)</f>
        <v>0</v>
      </c>
      <c r="W769">
        <f ca="1">INDEX(rngParamTypes,$N769,16)</f>
        <v>0</v>
      </c>
      <c r="X769">
        <f ca="1">INDEX(rngParamTypes,$N769,17)</f>
        <v>0</v>
      </c>
      <c r="Y769">
        <f ca="1">INDEX(rngParamTypes,$N769,18)</f>
        <v>0</v>
      </c>
    </row>
    <row r="770" spans="1:25" x14ac:dyDescent="0.2">
      <c r="A770" s="16">
        <v>769</v>
      </c>
      <c r="B770" s="37">
        <v>1</v>
      </c>
      <c r="C770" s="16" t="s">
        <v>2157</v>
      </c>
      <c r="D770" s="16" t="s">
        <v>2157</v>
      </c>
      <c r="E770" s="16">
        <v>2</v>
      </c>
      <c r="F770" s="16" t="s">
        <v>3925</v>
      </c>
      <c r="G770" s="16" t="s">
        <v>378</v>
      </c>
      <c r="H770" s="16" t="s">
        <v>2156</v>
      </c>
      <c r="I770" s="16" t="s">
        <v>379</v>
      </c>
      <c r="J770" s="16">
        <v>0</v>
      </c>
      <c r="K770" s="16">
        <v>4448222</v>
      </c>
      <c r="L770" s="16">
        <v>1</v>
      </c>
      <c r="M770" s="16">
        <v>0</v>
      </c>
      <c r="N770">
        <f t="array" aca="1" ref="N770" ca="1">MATCH(TRUE,EXACT(I770,OFFSET(rngParamTypes,0,6,,1)),0)</f>
        <v>154</v>
      </c>
      <c r="O770" t="str">
        <f ca="1">IF((INDEX(rngParamTypes,$N770,7)=I770),"",1)</f>
        <v/>
      </c>
      <c r="P770">
        <f ca="1">INDEX(rngParamTypes,$N770,9)</f>
        <v>1</v>
      </c>
      <c r="Q770">
        <f ca="1">INDEX(rngParamTypes,$N770,10)</f>
        <v>1</v>
      </c>
      <c r="R770">
        <f ca="1">INDEX(rngParamTypes,$N770,11)</f>
        <v>-2</v>
      </c>
      <c r="S770">
        <f ca="1">INDEX(rngParamTypes,$N770,12)</f>
        <v>0</v>
      </c>
      <c r="T770">
        <f ca="1">INDEX(rngParamTypes,$N770,13)</f>
        <v>0</v>
      </c>
      <c r="U770">
        <f ca="1">INDEX(rngParamTypes,$N770,14)</f>
        <v>0</v>
      </c>
      <c r="V770">
        <f ca="1">INDEX(rngParamTypes,$N770,15)</f>
        <v>0</v>
      </c>
      <c r="W770">
        <f ca="1">INDEX(rngParamTypes,$N770,16)</f>
        <v>0</v>
      </c>
      <c r="X770">
        <f ca="1">INDEX(rngParamTypes,$N770,17)</f>
        <v>0</v>
      </c>
      <c r="Y770">
        <f ca="1">INDEX(rngParamTypes,$N770,18)</f>
        <v>0</v>
      </c>
    </row>
    <row r="771" spans="1:25" x14ac:dyDescent="0.2">
      <c r="A771" s="16">
        <v>770</v>
      </c>
      <c r="B771" s="37">
        <v>1</v>
      </c>
      <c r="C771" s="16" t="s">
        <v>2159</v>
      </c>
      <c r="D771" s="16" t="s">
        <v>2159</v>
      </c>
      <c r="E771" s="16">
        <v>2</v>
      </c>
      <c r="F771" s="16" t="s">
        <v>3926</v>
      </c>
      <c r="G771" s="16" t="s">
        <v>299</v>
      </c>
      <c r="H771" s="16" t="s">
        <v>2158</v>
      </c>
      <c r="I771" s="16" t="s">
        <v>300</v>
      </c>
      <c r="J771" s="16">
        <v>0</v>
      </c>
      <c r="K771" s="16">
        <v>9.8066500000000001E-3</v>
      </c>
      <c r="L771" s="16">
        <v>1</v>
      </c>
      <c r="M771" s="16">
        <v>0</v>
      </c>
      <c r="N771">
        <f t="array" aca="1" ref="N771" ca="1">MATCH(TRUE,EXACT(I771,OFFSET(rngParamTypes,0,6,,1)),0)</f>
        <v>124</v>
      </c>
      <c r="O771" t="str">
        <f ca="1">IF((INDEX(rngParamTypes,$N771,7)=I771),"",1)</f>
        <v/>
      </c>
      <c r="P771">
        <f ca="1">INDEX(rngParamTypes,$N771,9)</f>
        <v>0</v>
      </c>
      <c r="Q771">
        <f ca="1">INDEX(rngParamTypes,$N771,10)</f>
        <v>1</v>
      </c>
      <c r="R771">
        <f ca="1">INDEX(rngParamTypes,$N771,11)</f>
        <v>-2</v>
      </c>
      <c r="S771">
        <f ca="1">INDEX(rngParamTypes,$N771,12)</f>
        <v>0</v>
      </c>
      <c r="T771">
        <f ca="1">INDEX(rngParamTypes,$N771,13)</f>
        <v>0</v>
      </c>
      <c r="U771">
        <f ca="1">INDEX(rngParamTypes,$N771,14)</f>
        <v>0</v>
      </c>
      <c r="V771">
        <f ca="1">INDEX(rngParamTypes,$N771,15)</f>
        <v>0</v>
      </c>
      <c r="W771">
        <f ca="1">INDEX(rngParamTypes,$N771,16)</f>
        <v>0</v>
      </c>
      <c r="X771">
        <f ca="1">INDEX(rngParamTypes,$N771,17)</f>
        <v>0</v>
      </c>
      <c r="Y771">
        <f ca="1">INDEX(rngParamTypes,$N771,18)</f>
        <v>0</v>
      </c>
    </row>
    <row r="772" spans="1:25" x14ac:dyDescent="0.2">
      <c r="A772" s="16">
        <v>771</v>
      </c>
      <c r="B772" s="37">
        <v>1</v>
      </c>
      <c r="C772" s="16" t="s">
        <v>2161</v>
      </c>
      <c r="D772" s="16" t="s">
        <v>2161</v>
      </c>
      <c r="E772" s="16"/>
      <c r="F772" s="16" t="s">
        <v>3927</v>
      </c>
      <c r="G772" s="16" t="s">
        <v>148</v>
      </c>
      <c r="H772" s="16" t="s">
        <v>2160</v>
      </c>
      <c r="I772" s="16" t="s">
        <v>149</v>
      </c>
      <c r="J772" s="16">
        <v>0</v>
      </c>
      <c r="K772" s="16">
        <v>1E-3</v>
      </c>
      <c r="L772" s="16">
        <v>1</v>
      </c>
      <c r="M772" s="16">
        <v>0</v>
      </c>
      <c r="N772">
        <f t="array" aca="1" ref="N772" ca="1">MATCH(TRUE,EXACT(I772,OFFSET(rngParamTypes,0,6,,1)),0)</f>
        <v>51</v>
      </c>
      <c r="O772" t="str">
        <f ca="1">IF((INDEX(rngParamTypes,$N772,7)=I772),"",1)</f>
        <v/>
      </c>
      <c r="P772">
        <f ca="1">INDEX(rngParamTypes,$N772,9)</f>
        <v>0</v>
      </c>
      <c r="Q772">
        <f ca="1">INDEX(rngParamTypes,$N772,10)</f>
        <v>2</v>
      </c>
      <c r="R772">
        <f ca="1">INDEX(rngParamTypes,$N772,11)</f>
        <v>-2</v>
      </c>
      <c r="S772">
        <f ca="1">INDEX(rngParamTypes,$N772,12)</f>
        <v>0</v>
      </c>
      <c r="T772">
        <f ca="1">INDEX(rngParamTypes,$N772,13)</f>
        <v>0</v>
      </c>
      <c r="U772">
        <f ca="1">INDEX(rngParamTypes,$N772,14)</f>
        <v>0</v>
      </c>
      <c r="V772">
        <f ca="1">INDEX(rngParamTypes,$N772,15)</f>
        <v>0</v>
      </c>
      <c r="W772">
        <f ca="1">INDEX(rngParamTypes,$N772,16)</f>
        <v>0</v>
      </c>
      <c r="X772">
        <f ca="1">INDEX(rngParamTypes,$N772,17)</f>
        <v>0</v>
      </c>
      <c r="Y772">
        <f ca="1">INDEX(rngParamTypes,$N772,18)</f>
        <v>0</v>
      </c>
    </row>
    <row r="773" spans="1:25" x14ac:dyDescent="0.2">
      <c r="A773" s="16">
        <v>772</v>
      </c>
      <c r="B773" s="37">
        <v>1</v>
      </c>
      <c r="C773" s="16" t="s">
        <v>2163</v>
      </c>
      <c r="D773" s="16" t="s">
        <v>2163</v>
      </c>
      <c r="E773" s="16"/>
      <c r="F773" s="16" t="s">
        <v>3928</v>
      </c>
      <c r="G773" s="16" t="s">
        <v>3929</v>
      </c>
      <c r="H773" s="16" t="s">
        <v>2162</v>
      </c>
      <c r="I773" s="16" t="s">
        <v>154</v>
      </c>
      <c r="J773" s="16">
        <v>0</v>
      </c>
      <c r="K773" s="16">
        <v>1E-3</v>
      </c>
      <c r="L773" s="16">
        <v>1</v>
      </c>
      <c r="M773" s="16">
        <v>0</v>
      </c>
      <c r="N773">
        <f t="array" aca="1" ref="N773" ca="1">MATCH(TRUE,EXACT(I773,OFFSET(rngParamTypes,0,6,,1)),0)</f>
        <v>52</v>
      </c>
      <c r="O773" t="str">
        <f ca="1">IF((INDEX(rngParamTypes,$N773,7)=I773),"",1)</f>
        <v/>
      </c>
      <c r="P773">
        <f ca="1">INDEX(rngParamTypes,$N773,9)</f>
        <v>0</v>
      </c>
      <c r="Q773">
        <f ca="1">INDEX(rngParamTypes,$N773,10)</f>
        <v>0</v>
      </c>
      <c r="R773">
        <f ca="1">INDEX(rngParamTypes,$N773,11)</f>
        <v>1</v>
      </c>
      <c r="S773">
        <f ca="1">INDEX(rngParamTypes,$N773,12)</f>
        <v>0</v>
      </c>
      <c r="T773">
        <f ca="1">INDEX(rngParamTypes,$N773,13)</f>
        <v>0</v>
      </c>
      <c r="U773">
        <f ca="1">INDEX(rngParamTypes,$N773,14)</f>
        <v>0</v>
      </c>
      <c r="V773">
        <f ca="1">INDEX(rngParamTypes,$N773,15)</f>
        <v>0</v>
      </c>
      <c r="W773">
        <f ca="1">INDEX(rngParamTypes,$N773,16)</f>
        <v>0</v>
      </c>
      <c r="X773">
        <f ca="1">INDEX(rngParamTypes,$N773,17)</f>
        <v>0</v>
      </c>
      <c r="Y773">
        <f ca="1">INDEX(rngParamTypes,$N773,18)</f>
        <v>0</v>
      </c>
    </row>
    <row r="774" spans="1:25" x14ac:dyDescent="0.2">
      <c r="A774" s="16">
        <v>773</v>
      </c>
      <c r="B774" s="37">
        <v>1</v>
      </c>
      <c r="C774" s="16" t="s">
        <v>2165</v>
      </c>
      <c r="D774" s="16" t="s">
        <v>2165</v>
      </c>
      <c r="E774" s="16"/>
      <c r="F774" s="16" t="s">
        <v>3930</v>
      </c>
      <c r="G774" s="16" t="s">
        <v>3621</v>
      </c>
      <c r="H774" s="16" t="s">
        <v>2164</v>
      </c>
      <c r="I774" s="16" t="s">
        <v>466</v>
      </c>
      <c r="J774" s="16">
        <v>0</v>
      </c>
      <c r="K774" s="16">
        <v>1</v>
      </c>
      <c r="L774" s="16">
        <v>1</v>
      </c>
      <c r="M774" s="16">
        <v>0</v>
      </c>
      <c r="N774">
        <f t="array" aca="1" ref="N774" ca="1">MATCH(TRUE,EXACT(I774,OFFSET(rngParamTypes,0,6,,1)),0)</f>
        <v>187</v>
      </c>
      <c r="O774" t="str">
        <f ca="1">IF((INDEX(rngParamTypes,$N774,7)=I774),"",1)</f>
        <v/>
      </c>
      <c r="P774">
        <f ca="1">INDEX(rngParamTypes,$N774,9)</f>
        <v>-1</v>
      </c>
      <c r="Q774">
        <f ca="1">INDEX(rngParamTypes,$N774,10)</f>
        <v>-2</v>
      </c>
      <c r="R774">
        <f ca="1">INDEX(rngParamTypes,$N774,11)</f>
        <v>3</v>
      </c>
      <c r="S774">
        <f ca="1">INDEX(rngParamTypes,$N774,12)</f>
        <v>2</v>
      </c>
      <c r="T774">
        <f ca="1">INDEX(rngParamTypes,$N774,13)</f>
        <v>0</v>
      </c>
      <c r="U774">
        <f ca="1">INDEX(rngParamTypes,$N774,14)</f>
        <v>0</v>
      </c>
      <c r="V774">
        <f ca="1">INDEX(rngParamTypes,$N774,15)</f>
        <v>0</v>
      </c>
      <c r="W774">
        <f ca="1">INDEX(rngParamTypes,$N774,16)</f>
        <v>0</v>
      </c>
      <c r="X774">
        <f ca="1">INDEX(rngParamTypes,$N774,17)</f>
        <v>0</v>
      </c>
      <c r="Y774">
        <f ca="1">INDEX(rngParamTypes,$N774,18)</f>
        <v>0</v>
      </c>
    </row>
    <row r="775" spans="1:25" x14ac:dyDescent="0.2">
      <c r="A775" s="16">
        <v>774</v>
      </c>
      <c r="B775" s="37">
        <v>1</v>
      </c>
      <c r="C775" s="16" t="s">
        <v>2167</v>
      </c>
      <c r="D775" s="16" t="s">
        <v>2167</v>
      </c>
      <c r="E775" s="16"/>
      <c r="F775" s="16" t="s">
        <v>3931</v>
      </c>
      <c r="G775" s="16" t="s">
        <v>473</v>
      </c>
      <c r="H775" s="16" t="s">
        <v>2166</v>
      </c>
      <c r="I775" s="16" t="s">
        <v>474</v>
      </c>
      <c r="J775" s="16">
        <v>0</v>
      </c>
      <c r="K775" s="16">
        <v>1</v>
      </c>
      <c r="L775" s="16">
        <v>1</v>
      </c>
      <c r="M775" s="16">
        <v>0</v>
      </c>
      <c r="N775">
        <f t="array" aca="1" ref="N775" ca="1">MATCH(TRUE,EXACT(I775,OFFSET(rngParamTypes,0,6,,1)),0)</f>
        <v>191</v>
      </c>
      <c r="O775" t="str">
        <f ca="1">IF((INDEX(rngParamTypes,$N775,7)=I775),"",1)</f>
        <v/>
      </c>
      <c r="P775">
        <f ca="1">INDEX(rngParamTypes,$N775,9)</f>
        <v>-1</v>
      </c>
      <c r="Q775">
        <f ca="1">INDEX(rngParamTypes,$N775,10)</f>
        <v>-3</v>
      </c>
      <c r="R775">
        <f ca="1">INDEX(rngParamTypes,$N775,11)</f>
        <v>3</v>
      </c>
      <c r="S775">
        <f ca="1">INDEX(rngParamTypes,$N775,12)</f>
        <v>2</v>
      </c>
      <c r="T775">
        <f ca="1">INDEX(rngParamTypes,$N775,13)</f>
        <v>0</v>
      </c>
      <c r="U775">
        <f ca="1">INDEX(rngParamTypes,$N775,14)</f>
        <v>0</v>
      </c>
      <c r="V775">
        <f ca="1">INDEX(rngParamTypes,$N775,15)</f>
        <v>0</v>
      </c>
      <c r="W775">
        <f ca="1">INDEX(rngParamTypes,$N775,16)</f>
        <v>0</v>
      </c>
      <c r="X775">
        <f ca="1">INDEX(rngParamTypes,$N775,17)</f>
        <v>0</v>
      </c>
      <c r="Y775">
        <f ca="1">INDEX(rngParamTypes,$N775,18)</f>
        <v>0</v>
      </c>
    </row>
    <row r="776" spans="1:25" x14ac:dyDescent="0.2">
      <c r="A776" s="16">
        <v>775</v>
      </c>
      <c r="B776" s="37">
        <v>1</v>
      </c>
      <c r="C776" s="16" t="s">
        <v>2169</v>
      </c>
      <c r="D776" s="16" t="s">
        <v>2169</v>
      </c>
      <c r="E776" s="16"/>
      <c r="F776" s="16" t="s">
        <v>3932</v>
      </c>
      <c r="G776" s="16" t="s">
        <v>37</v>
      </c>
      <c r="H776" s="16" t="s">
        <v>2168</v>
      </c>
      <c r="I776" s="16" t="s">
        <v>160</v>
      </c>
      <c r="J776" s="16">
        <v>0</v>
      </c>
      <c r="K776" s="16">
        <v>1000000</v>
      </c>
      <c r="L776" s="16">
        <v>1</v>
      </c>
      <c r="M776" s="16">
        <v>0</v>
      </c>
      <c r="N776">
        <f t="array" aca="1" ref="N776" ca="1">MATCH(TRUE,EXACT(I776,OFFSET(rngParamTypes,0,6,,1)),0)</f>
        <v>55</v>
      </c>
      <c r="O776" t="str">
        <f ca="1">IF((INDEX(rngParamTypes,$N776,7)=I776),"",1)</f>
        <v/>
      </c>
      <c r="P776">
        <f ca="1">INDEX(rngParamTypes,$N776,9)</f>
        <v>0</v>
      </c>
      <c r="Q776">
        <f ca="1">INDEX(rngParamTypes,$N776,10)</f>
        <v>0</v>
      </c>
      <c r="R776">
        <f ca="1">INDEX(rngParamTypes,$N776,11)</f>
        <v>-1</v>
      </c>
      <c r="S776">
        <f ca="1">INDEX(rngParamTypes,$N776,12)</f>
        <v>0</v>
      </c>
      <c r="T776">
        <f ca="1">INDEX(rngParamTypes,$N776,13)</f>
        <v>0</v>
      </c>
      <c r="U776">
        <f ca="1">INDEX(rngParamTypes,$N776,14)</f>
        <v>0</v>
      </c>
      <c r="V776">
        <f ca="1">INDEX(rngParamTypes,$N776,15)</f>
        <v>0</v>
      </c>
      <c r="W776">
        <f ca="1">INDEX(rngParamTypes,$N776,16)</f>
        <v>0</v>
      </c>
      <c r="X776">
        <f ca="1">INDEX(rngParamTypes,$N776,17)</f>
        <v>0</v>
      </c>
      <c r="Y776">
        <f ca="1">INDEX(rngParamTypes,$N776,18)</f>
        <v>0</v>
      </c>
    </row>
    <row r="777" spans="1:25" x14ac:dyDescent="0.2">
      <c r="A777" s="16">
        <v>776</v>
      </c>
      <c r="B777" s="37">
        <v>1</v>
      </c>
      <c r="C777" s="16" t="s">
        <v>2171</v>
      </c>
      <c r="D777" s="16" t="s">
        <v>2171</v>
      </c>
      <c r="E777" s="16"/>
      <c r="F777" s="16" t="s">
        <v>3933</v>
      </c>
      <c r="G777" s="16" t="s">
        <v>37</v>
      </c>
      <c r="H777" s="16" t="s">
        <v>2170</v>
      </c>
      <c r="I777" s="16" t="s">
        <v>160</v>
      </c>
      <c r="J777" s="16">
        <v>0</v>
      </c>
      <c r="K777" s="16">
        <v>1E-3</v>
      </c>
      <c r="L777" s="16">
        <v>1</v>
      </c>
      <c r="M777" s="16">
        <v>0</v>
      </c>
      <c r="N777">
        <f t="array" aca="1" ref="N777" ca="1">MATCH(TRUE,EXACT(I777,OFFSET(rngParamTypes,0,6,,1)),0)</f>
        <v>55</v>
      </c>
      <c r="O777" t="str">
        <f ca="1">IF((INDEX(rngParamTypes,$N777,7)=I777),"",1)</f>
        <v/>
      </c>
      <c r="P777">
        <f ca="1">INDEX(rngParamTypes,$N777,9)</f>
        <v>0</v>
      </c>
      <c r="Q777">
        <f ca="1">INDEX(rngParamTypes,$N777,10)</f>
        <v>0</v>
      </c>
      <c r="R777">
        <f ca="1">INDEX(rngParamTypes,$N777,11)</f>
        <v>-1</v>
      </c>
      <c r="S777">
        <f ca="1">INDEX(rngParamTypes,$N777,12)</f>
        <v>0</v>
      </c>
      <c r="T777">
        <f ca="1">INDEX(rngParamTypes,$N777,13)</f>
        <v>0</v>
      </c>
      <c r="U777">
        <f ca="1">INDEX(rngParamTypes,$N777,14)</f>
        <v>0</v>
      </c>
      <c r="V777">
        <f ca="1">INDEX(rngParamTypes,$N777,15)</f>
        <v>0</v>
      </c>
      <c r="W777">
        <f ca="1">INDEX(rngParamTypes,$N777,16)</f>
        <v>0</v>
      </c>
      <c r="X777">
        <f ca="1">INDEX(rngParamTypes,$N777,17)</f>
        <v>0</v>
      </c>
      <c r="Y777">
        <f ca="1">INDEX(rngParamTypes,$N777,18)</f>
        <v>0</v>
      </c>
    </row>
    <row r="778" spans="1:25" x14ac:dyDescent="0.2">
      <c r="A778" s="16">
        <v>777</v>
      </c>
      <c r="B778" s="37">
        <v>1</v>
      </c>
      <c r="C778" s="16" t="s">
        <v>2173</v>
      </c>
      <c r="D778" s="16" t="s">
        <v>2173</v>
      </c>
      <c r="E778" s="16">
        <v>2</v>
      </c>
      <c r="F778" s="16" t="s">
        <v>3934</v>
      </c>
      <c r="G778" s="16" t="s">
        <v>3935</v>
      </c>
      <c r="H778" s="16" t="s">
        <v>2172</v>
      </c>
      <c r="I778" s="16" t="s">
        <v>290</v>
      </c>
      <c r="J778" s="16">
        <v>0</v>
      </c>
      <c r="K778" s="16">
        <v>1609.3440000000001</v>
      </c>
      <c r="L778" s="16">
        <v>1</v>
      </c>
      <c r="M778" s="16">
        <v>0</v>
      </c>
      <c r="N778">
        <f t="array" aca="1" ref="N778" ca="1">MATCH(TRUE,EXACT(I778,OFFSET(rngParamTypes,0,6,,1)),0)</f>
        <v>109</v>
      </c>
      <c r="O778" t="str">
        <f ca="1">IF((INDEX(rngParamTypes,$N778,7)=I778),"",1)</f>
        <v/>
      </c>
      <c r="P778">
        <f ca="1">INDEX(rngParamTypes,$N778,9)</f>
        <v>0</v>
      </c>
      <c r="Q778">
        <f ca="1">INDEX(rngParamTypes,$N778,10)</f>
        <v>1</v>
      </c>
      <c r="R778">
        <f ca="1">INDEX(rngParamTypes,$N778,11)</f>
        <v>0</v>
      </c>
      <c r="S778">
        <f ca="1">INDEX(rngParamTypes,$N778,12)</f>
        <v>0</v>
      </c>
      <c r="T778">
        <f ca="1">INDEX(rngParamTypes,$N778,13)</f>
        <v>0</v>
      </c>
      <c r="U778">
        <f ca="1">INDEX(rngParamTypes,$N778,14)</f>
        <v>0</v>
      </c>
      <c r="V778">
        <f ca="1">INDEX(rngParamTypes,$N778,15)</f>
        <v>0</v>
      </c>
      <c r="W778">
        <f ca="1">INDEX(rngParamTypes,$N778,16)</f>
        <v>0</v>
      </c>
      <c r="X778">
        <f ca="1">INDEX(rngParamTypes,$N778,17)</f>
        <v>0</v>
      </c>
      <c r="Y778">
        <f ca="1">INDEX(rngParamTypes,$N778,18)</f>
        <v>0</v>
      </c>
    </row>
    <row r="779" spans="1:25" x14ac:dyDescent="0.2">
      <c r="A779" s="16">
        <v>778</v>
      </c>
      <c r="B779" s="37">
        <v>1</v>
      </c>
      <c r="C779" s="16" t="s">
        <v>2175</v>
      </c>
      <c r="D779" s="16" t="s">
        <v>2175</v>
      </c>
      <c r="E779" s="16"/>
      <c r="F779" s="16" t="s">
        <v>3936</v>
      </c>
      <c r="G779" s="16" t="s">
        <v>1208</v>
      </c>
      <c r="H779" s="16" t="s">
        <v>2174</v>
      </c>
      <c r="I779" s="16" t="s">
        <v>23</v>
      </c>
      <c r="J779" s="16">
        <v>0</v>
      </c>
      <c r="K779" s="16">
        <v>1609.3440000000001</v>
      </c>
      <c r="L779" s="16">
        <v>4.5460919999999998E-3</v>
      </c>
      <c r="M779" s="16">
        <v>0</v>
      </c>
      <c r="N779">
        <f t="array" aca="1" ref="N779" ca="1">MATCH(TRUE,EXACT(I779,OFFSET(rngParamTypes,0,6,,1)),0)</f>
        <v>7</v>
      </c>
      <c r="O779" t="str">
        <f ca="1">IF((INDEX(rngParamTypes,$N779,7)=I779),"",1)</f>
        <v/>
      </c>
      <c r="P779">
        <f ca="1">INDEX(rngParamTypes,$N779,9)</f>
        <v>0</v>
      </c>
      <c r="Q779">
        <f ca="1">INDEX(rngParamTypes,$N779,10)</f>
        <v>-2</v>
      </c>
      <c r="R779">
        <f ca="1">INDEX(rngParamTypes,$N779,11)</f>
        <v>0</v>
      </c>
      <c r="S779">
        <f ca="1">INDEX(rngParamTypes,$N779,12)</f>
        <v>0</v>
      </c>
      <c r="T779">
        <f ca="1">INDEX(rngParamTypes,$N779,13)</f>
        <v>0</v>
      </c>
      <c r="U779">
        <f ca="1">INDEX(rngParamTypes,$N779,14)</f>
        <v>0</v>
      </c>
      <c r="V779">
        <f ca="1">INDEX(rngParamTypes,$N779,15)</f>
        <v>0</v>
      </c>
      <c r="W779">
        <f ca="1">INDEX(rngParamTypes,$N779,16)</f>
        <v>0</v>
      </c>
      <c r="X779">
        <f ca="1">INDEX(rngParamTypes,$N779,17)</f>
        <v>0</v>
      </c>
      <c r="Y779">
        <f ca="1">INDEX(rngParamTypes,$N779,18)</f>
        <v>0</v>
      </c>
    </row>
    <row r="780" spans="1:25" x14ac:dyDescent="0.2">
      <c r="A780" s="16">
        <v>779</v>
      </c>
      <c r="B780" s="37">
        <v>1</v>
      </c>
      <c r="C780" s="16" t="s">
        <v>2177</v>
      </c>
      <c r="D780" s="16" t="s">
        <v>2177</v>
      </c>
      <c r="E780" s="16"/>
      <c r="F780" s="16" t="s">
        <v>3937</v>
      </c>
      <c r="G780" s="16" t="s">
        <v>1208</v>
      </c>
      <c r="H780" s="16" t="s">
        <v>2176</v>
      </c>
      <c r="I780" s="16" t="s">
        <v>23</v>
      </c>
      <c r="J780" s="16">
        <v>0</v>
      </c>
      <c r="K780" s="16">
        <v>1609.3440000000001</v>
      </c>
      <c r="L780" s="16">
        <v>3.7854120000000002E-3</v>
      </c>
      <c r="M780" s="16">
        <v>0</v>
      </c>
      <c r="N780">
        <f t="array" aca="1" ref="N780" ca="1">MATCH(TRUE,EXACT(I780,OFFSET(rngParamTypes,0,6,,1)),0)</f>
        <v>7</v>
      </c>
      <c r="O780" t="str">
        <f ca="1">IF((INDEX(rngParamTypes,$N780,7)=I780),"",1)</f>
        <v/>
      </c>
      <c r="P780">
        <f ca="1">INDEX(rngParamTypes,$N780,9)</f>
        <v>0</v>
      </c>
      <c r="Q780">
        <f ca="1">INDEX(rngParamTypes,$N780,10)</f>
        <v>-2</v>
      </c>
      <c r="R780">
        <f ca="1">INDEX(rngParamTypes,$N780,11)</f>
        <v>0</v>
      </c>
      <c r="S780">
        <f ca="1">INDEX(rngParamTypes,$N780,12)</f>
        <v>0</v>
      </c>
      <c r="T780">
        <f ca="1">INDEX(rngParamTypes,$N780,13)</f>
        <v>0</v>
      </c>
      <c r="U780">
        <f ca="1">INDEX(rngParamTypes,$N780,14)</f>
        <v>0</v>
      </c>
      <c r="V780">
        <f ca="1">INDEX(rngParamTypes,$N780,15)</f>
        <v>0</v>
      </c>
      <c r="W780">
        <f ca="1">INDEX(rngParamTypes,$N780,16)</f>
        <v>0</v>
      </c>
      <c r="X780">
        <f ca="1">INDEX(rngParamTypes,$N780,17)</f>
        <v>0</v>
      </c>
      <c r="Y780">
        <f ca="1">INDEX(rngParamTypes,$N780,18)</f>
        <v>0</v>
      </c>
    </row>
    <row r="781" spans="1:25" x14ac:dyDescent="0.2">
      <c r="A781" s="16">
        <v>780</v>
      </c>
      <c r="B781" s="37">
        <v>1</v>
      </c>
      <c r="C781" s="16" t="s">
        <v>2179</v>
      </c>
      <c r="D781" s="16" t="s">
        <v>2179</v>
      </c>
      <c r="E781" s="16">
        <v>2</v>
      </c>
      <c r="F781" s="16" t="s">
        <v>3938</v>
      </c>
      <c r="G781" s="16" t="s">
        <v>296</v>
      </c>
      <c r="H781" s="16" t="s">
        <v>2178</v>
      </c>
      <c r="I781" s="16" t="s">
        <v>297</v>
      </c>
      <c r="J781" s="16">
        <v>0</v>
      </c>
      <c r="K781" s="16">
        <v>1609.3440000000001</v>
      </c>
      <c r="L781" s="16">
        <v>3600</v>
      </c>
      <c r="M781" s="16">
        <v>0</v>
      </c>
      <c r="N781">
        <f t="array" aca="1" ref="N781" ca="1">MATCH(TRUE,EXACT(I781,OFFSET(rngParamTypes,0,6,,1)),0)</f>
        <v>123</v>
      </c>
      <c r="O781" t="str">
        <f ca="1">IF((INDEX(rngParamTypes,$N781,7)=I781),"",1)</f>
        <v/>
      </c>
      <c r="P781">
        <f ca="1">INDEX(rngParamTypes,$N781,9)</f>
        <v>0</v>
      </c>
      <c r="Q781">
        <f ca="1">INDEX(rngParamTypes,$N781,10)</f>
        <v>1</v>
      </c>
      <c r="R781">
        <f ca="1">INDEX(rngParamTypes,$N781,11)</f>
        <v>-1</v>
      </c>
      <c r="S781">
        <f ca="1">INDEX(rngParamTypes,$N781,12)</f>
        <v>0</v>
      </c>
      <c r="T781">
        <f ca="1">INDEX(rngParamTypes,$N781,13)</f>
        <v>0</v>
      </c>
      <c r="U781">
        <f ca="1">INDEX(rngParamTypes,$N781,14)</f>
        <v>0</v>
      </c>
      <c r="V781">
        <f ca="1">INDEX(rngParamTypes,$N781,15)</f>
        <v>0</v>
      </c>
      <c r="W781">
        <f ca="1">INDEX(rngParamTypes,$N781,16)</f>
        <v>0</v>
      </c>
      <c r="X781">
        <f ca="1">INDEX(rngParamTypes,$N781,17)</f>
        <v>0</v>
      </c>
      <c r="Y781">
        <f ca="1">INDEX(rngParamTypes,$N781,18)</f>
        <v>0</v>
      </c>
    </row>
    <row r="782" spans="1:25" x14ac:dyDescent="0.2">
      <c r="A782" s="16">
        <v>781</v>
      </c>
      <c r="B782" s="37">
        <v>1</v>
      </c>
      <c r="C782" s="16" t="s">
        <v>2181</v>
      </c>
      <c r="D782" s="16" t="s">
        <v>2181</v>
      </c>
      <c r="E782" s="16"/>
      <c r="F782" s="16" t="s">
        <v>3939</v>
      </c>
      <c r="G782" s="16" t="s">
        <v>3509</v>
      </c>
      <c r="H782" s="16" t="s">
        <v>2180</v>
      </c>
      <c r="I782" s="16" t="s">
        <v>131</v>
      </c>
      <c r="J782" s="16">
        <v>0</v>
      </c>
      <c r="K782" s="16">
        <v>63360</v>
      </c>
      <c r="L782" s="16">
        <v>1</v>
      </c>
      <c r="M782" s="16">
        <v>0</v>
      </c>
      <c r="N782">
        <f t="array" aca="1" ref="N782" ca="1">MATCH(TRUE,EXACT(I782,OFFSET(rngParamTypes,0,6,,1)),0)</f>
        <v>42</v>
      </c>
      <c r="O782" t="str">
        <f ca="1">IF((INDEX(rngParamTypes,$N782,7)=I782),"",1)</f>
        <v/>
      </c>
      <c r="P782">
        <f ca="1">INDEX(rngParamTypes,$N782,9)</f>
        <v>0</v>
      </c>
      <c r="Q782">
        <f ca="1">INDEX(rngParamTypes,$N782,10)</f>
        <v>0</v>
      </c>
      <c r="R782">
        <f ca="1">INDEX(rngParamTypes,$N782,11)</f>
        <v>0</v>
      </c>
      <c r="S782">
        <f ca="1">INDEX(rngParamTypes,$N782,12)</f>
        <v>0</v>
      </c>
      <c r="T782">
        <f ca="1">INDEX(rngParamTypes,$N782,13)</f>
        <v>0</v>
      </c>
      <c r="U782">
        <f ca="1">INDEX(rngParamTypes,$N782,14)</f>
        <v>0</v>
      </c>
      <c r="V782">
        <f ca="1">INDEX(rngParamTypes,$N782,15)</f>
        <v>0</v>
      </c>
      <c r="W782">
        <f ca="1">INDEX(rngParamTypes,$N782,16)</f>
        <v>0</v>
      </c>
      <c r="X782">
        <f ca="1">INDEX(rngParamTypes,$N782,17)</f>
        <v>0</v>
      </c>
      <c r="Y782">
        <f ca="1">INDEX(rngParamTypes,$N782,18)</f>
        <v>0</v>
      </c>
    </row>
    <row r="783" spans="1:25" x14ac:dyDescent="0.2">
      <c r="A783" s="16">
        <v>782</v>
      </c>
      <c r="B783" s="37">
        <v>1</v>
      </c>
      <c r="C783" s="16" t="s">
        <v>2183</v>
      </c>
      <c r="D783" s="16" t="s">
        <v>2183</v>
      </c>
      <c r="E783" s="16">
        <v>2</v>
      </c>
      <c r="F783" s="16" t="s">
        <v>3940</v>
      </c>
      <c r="G783" s="16" t="s">
        <v>302</v>
      </c>
      <c r="H783" s="16" t="s">
        <v>2182</v>
      </c>
      <c r="I783" s="16" t="s">
        <v>303</v>
      </c>
      <c r="J783" s="16">
        <v>0</v>
      </c>
      <c r="K783" s="16">
        <v>2589988</v>
      </c>
      <c r="L783" s="16">
        <v>1</v>
      </c>
      <c r="M783" s="16">
        <v>0</v>
      </c>
      <c r="N783">
        <f t="array" aca="1" ref="N783" ca="1">MATCH(TRUE,EXACT(I783,OFFSET(rngParamTypes,0,6,,1)),0)</f>
        <v>125</v>
      </c>
      <c r="O783" t="str">
        <f ca="1">IF((INDEX(rngParamTypes,$N783,7)=I783),"",1)</f>
        <v/>
      </c>
      <c r="P783">
        <f ca="1">INDEX(rngParamTypes,$N783,9)</f>
        <v>0</v>
      </c>
      <c r="Q783">
        <f ca="1">INDEX(rngParamTypes,$N783,10)</f>
        <v>2</v>
      </c>
      <c r="R783">
        <f ca="1">INDEX(rngParamTypes,$N783,11)</f>
        <v>0</v>
      </c>
      <c r="S783">
        <f ca="1">INDEX(rngParamTypes,$N783,12)</f>
        <v>0</v>
      </c>
      <c r="T783">
        <f ca="1">INDEX(rngParamTypes,$N783,13)</f>
        <v>0</v>
      </c>
      <c r="U783">
        <f ca="1">INDEX(rngParamTypes,$N783,14)</f>
        <v>0</v>
      </c>
      <c r="V783">
        <f ca="1">INDEX(rngParamTypes,$N783,15)</f>
        <v>0</v>
      </c>
      <c r="W783">
        <f ca="1">INDEX(rngParamTypes,$N783,16)</f>
        <v>0</v>
      </c>
      <c r="X783">
        <f ca="1">INDEX(rngParamTypes,$N783,17)</f>
        <v>0</v>
      </c>
      <c r="Y783">
        <f ca="1">INDEX(rngParamTypes,$N783,18)</f>
        <v>0</v>
      </c>
    </row>
    <row r="784" spans="1:25" x14ac:dyDescent="0.2">
      <c r="A784" s="16">
        <v>783</v>
      </c>
      <c r="B784" s="37">
        <v>1</v>
      </c>
      <c r="C784" s="16" t="s">
        <v>991</v>
      </c>
      <c r="D784" s="16" t="s">
        <v>991</v>
      </c>
      <c r="E784" s="16">
        <v>2</v>
      </c>
      <c r="F784" s="16" t="s">
        <v>3941</v>
      </c>
      <c r="G784" s="16" t="s">
        <v>321</v>
      </c>
      <c r="H784" s="16" t="s">
        <v>989</v>
      </c>
      <c r="I784" s="16" t="s">
        <v>322</v>
      </c>
      <c r="J784" s="16">
        <v>0</v>
      </c>
      <c r="K784" s="16">
        <v>4168182000</v>
      </c>
      <c r="L784" s="16">
        <v>1</v>
      </c>
      <c r="M784" s="16">
        <v>0</v>
      </c>
      <c r="N784">
        <f t="array" aca="1" ref="N784" ca="1">MATCH(TRUE,EXACT(I784,OFFSET(rngParamTypes,0,6,,1)),0)</f>
        <v>134</v>
      </c>
      <c r="O784" t="str">
        <f ca="1">IF((INDEX(rngParamTypes,$N784,7)=I784),"",1)</f>
        <v/>
      </c>
      <c r="P784">
        <f ca="1">INDEX(rngParamTypes,$N784,9)</f>
        <v>0</v>
      </c>
      <c r="Q784">
        <f ca="1">INDEX(rngParamTypes,$N784,10)</f>
        <v>3</v>
      </c>
      <c r="R784">
        <f ca="1">INDEX(rngParamTypes,$N784,11)</f>
        <v>0</v>
      </c>
      <c r="S784">
        <f ca="1">INDEX(rngParamTypes,$N784,12)</f>
        <v>0</v>
      </c>
      <c r="T784">
        <f ca="1">INDEX(rngParamTypes,$N784,13)</f>
        <v>0</v>
      </c>
      <c r="U784">
        <f ca="1">INDEX(rngParamTypes,$N784,14)</f>
        <v>0</v>
      </c>
      <c r="V784">
        <f ca="1">INDEX(rngParamTypes,$N784,15)</f>
        <v>0</v>
      </c>
      <c r="W784">
        <f ca="1">INDEX(rngParamTypes,$N784,16)</f>
        <v>0</v>
      </c>
      <c r="X784">
        <f ca="1">INDEX(rngParamTypes,$N784,17)</f>
        <v>0</v>
      </c>
      <c r="Y784">
        <f ca="1">INDEX(rngParamTypes,$N784,18)</f>
        <v>0</v>
      </c>
    </row>
    <row r="785" spans="1:25" x14ac:dyDescent="0.2">
      <c r="A785" s="16">
        <v>784</v>
      </c>
      <c r="B785" s="37">
        <v>1</v>
      </c>
      <c r="C785" s="16" t="s">
        <v>2185</v>
      </c>
      <c r="D785" s="16" t="s">
        <v>2185</v>
      </c>
      <c r="E785" s="16">
        <v>2</v>
      </c>
      <c r="F785" s="16" t="s">
        <v>3942</v>
      </c>
      <c r="G785" s="16" t="s">
        <v>3943</v>
      </c>
      <c r="H785" s="16" t="s">
        <v>2184</v>
      </c>
      <c r="I785" s="16" t="s">
        <v>290</v>
      </c>
      <c r="J785" s="16">
        <v>0</v>
      </c>
      <c r="K785" s="16">
        <v>2.5400000000000001E-5</v>
      </c>
      <c r="L785" s="16">
        <v>1</v>
      </c>
      <c r="M785" s="16">
        <v>0</v>
      </c>
      <c r="N785">
        <f t="array" aca="1" ref="N785" ca="1">MATCH(TRUE,EXACT(I785,OFFSET(rngParamTypes,0,6,,1)),0)</f>
        <v>109</v>
      </c>
      <c r="O785" t="str">
        <f ca="1">IF((INDEX(rngParamTypes,$N785,7)=I785),"",1)</f>
        <v/>
      </c>
      <c r="P785">
        <f ca="1">INDEX(rngParamTypes,$N785,9)</f>
        <v>0</v>
      </c>
      <c r="Q785">
        <f ca="1">INDEX(rngParamTypes,$N785,10)</f>
        <v>1</v>
      </c>
      <c r="R785">
        <f ca="1">INDEX(rngParamTypes,$N785,11)</f>
        <v>0</v>
      </c>
      <c r="S785">
        <f ca="1">INDEX(rngParamTypes,$N785,12)</f>
        <v>0</v>
      </c>
      <c r="T785">
        <f ca="1">INDEX(rngParamTypes,$N785,13)</f>
        <v>0</v>
      </c>
      <c r="U785">
        <f ca="1">INDEX(rngParamTypes,$N785,14)</f>
        <v>0</v>
      </c>
      <c r="V785">
        <f ca="1">INDEX(rngParamTypes,$N785,15)</f>
        <v>0</v>
      </c>
      <c r="W785">
        <f ca="1">INDEX(rngParamTypes,$N785,16)</f>
        <v>0</v>
      </c>
      <c r="X785">
        <f ca="1">INDEX(rngParamTypes,$N785,17)</f>
        <v>0</v>
      </c>
      <c r="Y785">
        <f ca="1">INDEX(rngParamTypes,$N785,18)</f>
        <v>0</v>
      </c>
    </row>
    <row r="786" spans="1:25" x14ac:dyDescent="0.2">
      <c r="A786" s="16">
        <v>785</v>
      </c>
      <c r="B786" s="37">
        <v>1</v>
      </c>
      <c r="C786" s="16" t="s">
        <v>2187</v>
      </c>
      <c r="D786" s="16" t="s">
        <v>2187</v>
      </c>
      <c r="E786" s="16">
        <v>2</v>
      </c>
      <c r="F786" s="16" t="s">
        <v>3944</v>
      </c>
      <c r="G786" s="16" t="s">
        <v>296</v>
      </c>
      <c r="H786" s="16" t="s">
        <v>2186</v>
      </c>
      <c r="I786" s="16" t="s">
        <v>297</v>
      </c>
      <c r="J786" s="16">
        <v>0</v>
      </c>
      <c r="K786" s="16">
        <v>2.5400000000000001E-5</v>
      </c>
      <c r="L786" s="16">
        <v>31558150</v>
      </c>
      <c r="M786" s="16">
        <v>0</v>
      </c>
      <c r="N786">
        <f t="array" aca="1" ref="N786" ca="1">MATCH(TRUE,EXACT(I786,OFFSET(rngParamTypes,0,6,,1)),0)</f>
        <v>123</v>
      </c>
      <c r="O786" t="str">
        <f ca="1">IF((INDEX(rngParamTypes,$N786,7)=I786),"",1)</f>
        <v/>
      </c>
      <c r="P786">
        <f ca="1">INDEX(rngParamTypes,$N786,9)</f>
        <v>0</v>
      </c>
      <c r="Q786">
        <f ca="1">INDEX(rngParamTypes,$N786,10)</f>
        <v>1</v>
      </c>
      <c r="R786">
        <f ca="1">INDEX(rngParamTypes,$N786,11)</f>
        <v>-1</v>
      </c>
      <c r="S786">
        <f ca="1">INDEX(rngParamTypes,$N786,12)</f>
        <v>0</v>
      </c>
      <c r="T786">
        <f ca="1">INDEX(rngParamTypes,$N786,13)</f>
        <v>0</v>
      </c>
      <c r="U786">
        <f ca="1">INDEX(rngParamTypes,$N786,14)</f>
        <v>0</v>
      </c>
      <c r="V786">
        <f ca="1">INDEX(rngParamTypes,$N786,15)</f>
        <v>0</v>
      </c>
      <c r="W786">
        <f ca="1">INDEX(rngParamTypes,$N786,16)</f>
        <v>0</v>
      </c>
      <c r="X786">
        <f ca="1">INDEX(rngParamTypes,$N786,17)</f>
        <v>0</v>
      </c>
      <c r="Y786">
        <f ca="1">INDEX(rngParamTypes,$N786,18)</f>
        <v>0</v>
      </c>
    </row>
    <row r="787" spans="1:25" x14ac:dyDescent="0.2">
      <c r="A787" s="16">
        <v>786</v>
      </c>
      <c r="B787" s="37">
        <v>1</v>
      </c>
      <c r="C787" s="16" t="s">
        <v>2189</v>
      </c>
      <c r="D787" s="16" t="s">
        <v>2189</v>
      </c>
      <c r="E787" s="16">
        <v>2</v>
      </c>
      <c r="F787" s="16" t="s">
        <v>3945</v>
      </c>
      <c r="G787" s="16" t="s">
        <v>443</v>
      </c>
      <c r="H787" s="16" t="s">
        <v>2188</v>
      </c>
      <c r="I787" s="16" t="s">
        <v>444</v>
      </c>
      <c r="J787" s="16">
        <v>0</v>
      </c>
      <c r="K787" s="16">
        <v>3.1415926535898002</v>
      </c>
      <c r="L787" s="16">
        <v>3200</v>
      </c>
      <c r="M787" s="16">
        <v>0</v>
      </c>
      <c r="N787">
        <f t="array" aca="1" ref="N787" ca="1">MATCH(TRUE,EXACT(I787,OFFSET(rngParamTypes,0,6,,1)),0)</f>
        <v>178</v>
      </c>
      <c r="O787" t="str">
        <f ca="1">IF((INDEX(rngParamTypes,$N787,7)=I787),"",1)</f>
        <v/>
      </c>
      <c r="P787">
        <f ca="1">INDEX(rngParamTypes,$N787,9)</f>
        <v>0</v>
      </c>
      <c r="Q787">
        <f ca="1">INDEX(rngParamTypes,$N787,10)</f>
        <v>0</v>
      </c>
      <c r="R787">
        <f ca="1">INDEX(rngParamTypes,$N787,11)</f>
        <v>0</v>
      </c>
      <c r="S787">
        <f ca="1">INDEX(rngParamTypes,$N787,12)</f>
        <v>0</v>
      </c>
      <c r="T787">
        <f ca="1">INDEX(rngParamTypes,$N787,13)</f>
        <v>0</v>
      </c>
      <c r="U787">
        <f ca="1">INDEX(rngParamTypes,$N787,14)</f>
        <v>0</v>
      </c>
      <c r="V787">
        <f ca="1">INDEX(rngParamTypes,$N787,15)</f>
        <v>0</v>
      </c>
      <c r="W787">
        <f ca="1">INDEX(rngParamTypes,$N787,16)</f>
        <v>1</v>
      </c>
      <c r="X787">
        <f ca="1">INDEX(rngParamTypes,$N787,17)</f>
        <v>0</v>
      </c>
      <c r="Y787">
        <f ca="1">INDEX(rngParamTypes,$N787,18)</f>
        <v>0</v>
      </c>
    </row>
    <row r="788" spans="1:25" x14ac:dyDescent="0.2">
      <c r="A788" s="16">
        <v>787</v>
      </c>
      <c r="B788" s="37">
        <v>1</v>
      </c>
      <c r="C788" s="16" t="s">
        <v>2191</v>
      </c>
      <c r="D788" s="16" t="s">
        <v>2191</v>
      </c>
      <c r="E788" s="16">
        <v>2</v>
      </c>
      <c r="F788" s="16" t="s">
        <v>3946</v>
      </c>
      <c r="G788" s="16" t="s">
        <v>469</v>
      </c>
      <c r="H788" s="16" t="s">
        <v>2190</v>
      </c>
      <c r="I788" s="16" t="s">
        <v>470</v>
      </c>
      <c r="J788" s="16">
        <v>0</v>
      </c>
      <c r="K788" s="16">
        <v>60</v>
      </c>
      <c r="L788" s="16">
        <v>1</v>
      </c>
      <c r="M788" s="16">
        <v>0</v>
      </c>
      <c r="N788">
        <f t="array" aca="1" ref="N788" ca="1">MATCH(TRUE,EXACT(I788,OFFSET(rngParamTypes,0,6,,1)),0)</f>
        <v>190</v>
      </c>
      <c r="O788" t="str">
        <f ca="1">IF((INDEX(rngParamTypes,$N788,7)=I788),"",1)</f>
        <v/>
      </c>
      <c r="P788">
        <f ca="1">INDEX(rngParamTypes,$N788,9)</f>
        <v>0</v>
      </c>
      <c r="Q788">
        <f ca="1">INDEX(rngParamTypes,$N788,10)</f>
        <v>0</v>
      </c>
      <c r="R788">
        <f ca="1">INDEX(rngParamTypes,$N788,11)</f>
        <v>1</v>
      </c>
      <c r="S788">
        <f ca="1">INDEX(rngParamTypes,$N788,12)</f>
        <v>0</v>
      </c>
      <c r="T788">
        <f ca="1">INDEX(rngParamTypes,$N788,13)</f>
        <v>0</v>
      </c>
      <c r="U788">
        <f ca="1">INDEX(rngParamTypes,$N788,14)</f>
        <v>0</v>
      </c>
      <c r="V788">
        <f ca="1">INDEX(rngParamTypes,$N788,15)</f>
        <v>0</v>
      </c>
      <c r="W788">
        <f ca="1">INDEX(rngParamTypes,$N788,16)</f>
        <v>0</v>
      </c>
      <c r="X788">
        <f ca="1">INDEX(rngParamTypes,$N788,17)</f>
        <v>0</v>
      </c>
      <c r="Y788">
        <f ca="1">INDEX(rngParamTypes,$N788,18)</f>
        <v>0</v>
      </c>
    </row>
    <row r="789" spans="1:25" x14ac:dyDescent="0.2">
      <c r="A789" s="16">
        <v>788</v>
      </c>
      <c r="B789" s="37">
        <v>1</v>
      </c>
      <c r="C789" s="16" t="s">
        <v>2193</v>
      </c>
      <c r="D789" s="16" t="s">
        <v>2193</v>
      </c>
      <c r="E789" s="16"/>
      <c r="F789" s="16" t="s">
        <v>3947</v>
      </c>
      <c r="G789" s="16" t="s">
        <v>476</v>
      </c>
      <c r="H789" s="16" t="s">
        <v>2192</v>
      </c>
      <c r="I789" s="16" t="s">
        <v>479</v>
      </c>
      <c r="J789" s="16">
        <v>0</v>
      </c>
      <c r="K789" s="16">
        <v>60</v>
      </c>
      <c r="L789" s="16">
        <v>0.30480000000000002</v>
      </c>
      <c r="M789" s="16">
        <v>0</v>
      </c>
      <c r="N789">
        <f t="array" aca="1" ref="N789" ca="1">MATCH(TRUE,EXACT(I789,OFFSET(rngParamTypes,0,6,,1)),0)</f>
        <v>192</v>
      </c>
      <c r="O789" t="str">
        <f ca="1">IF((INDEX(rngParamTypes,$N789,7)=I789),"",1)</f>
        <v/>
      </c>
      <c r="P789">
        <f ca="1">INDEX(rngParamTypes,$N789,9)</f>
        <v>0</v>
      </c>
      <c r="Q789">
        <f ca="1">INDEX(rngParamTypes,$N789,10)</f>
        <v>-1</v>
      </c>
      <c r="R789">
        <f ca="1">INDEX(rngParamTypes,$N789,11)</f>
        <v>1</v>
      </c>
      <c r="S789">
        <f ca="1">INDEX(rngParamTypes,$N789,12)</f>
        <v>0</v>
      </c>
      <c r="T789">
        <f ca="1">INDEX(rngParamTypes,$N789,13)</f>
        <v>0</v>
      </c>
      <c r="U789">
        <f ca="1">INDEX(rngParamTypes,$N789,14)</f>
        <v>0</v>
      </c>
      <c r="V789">
        <f ca="1">INDEX(rngParamTypes,$N789,15)</f>
        <v>0</v>
      </c>
      <c r="W789">
        <f ca="1">INDEX(rngParamTypes,$N789,16)</f>
        <v>0</v>
      </c>
      <c r="X789">
        <f ca="1">INDEX(rngParamTypes,$N789,17)</f>
        <v>0</v>
      </c>
      <c r="Y789">
        <f ca="1">INDEX(rngParamTypes,$N789,18)</f>
        <v>0</v>
      </c>
    </row>
    <row r="790" spans="1:25" x14ac:dyDescent="0.2">
      <c r="A790" s="16">
        <v>789</v>
      </c>
      <c r="B790" s="37">
        <v>1</v>
      </c>
      <c r="C790" s="16" t="s">
        <v>2195</v>
      </c>
      <c r="D790" s="16" t="s">
        <v>2195</v>
      </c>
      <c r="E790" s="16"/>
      <c r="F790" s="16" t="s">
        <v>3948</v>
      </c>
      <c r="G790" s="16" t="s">
        <v>476</v>
      </c>
      <c r="H790" s="16" t="s">
        <v>2194</v>
      </c>
      <c r="I790" s="16" t="s">
        <v>479</v>
      </c>
      <c r="J790" s="16">
        <v>0</v>
      </c>
      <c r="K790" s="16">
        <v>60</v>
      </c>
      <c r="L790" s="16">
        <v>1</v>
      </c>
      <c r="M790" s="16">
        <v>0</v>
      </c>
      <c r="N790">
        <f t="array" aca="1" ref="N790" ca="1">MATCH(TRUE,EXACT(I790,OFFSET(rngParamTypes,0,6,,1)),0)</f>
        <v>192</v>
      </c>
      <c r="O790" t="str">
        <f ca="1">IF((INDEX(rngParamTypes,$N790,7)=I790),"",1)</f>
        <v/>
      </c>
      <c r="P790">
        <f ca="1">INDEX(rngParamTypes,$N790,9)</f>
        <v>0</v>
      </c>
      <c r="Q790">
        <f ca="1">INDEX(rngParamTypes,$N790,10)</f>
        <v>-1</v>
      </c>
      <c r="R790">
        <f ca="1">INDEX(rngParamTypes,$N790,11)</f>
        <v>1</v>
      </c>
      <c r="S790">
        <f ca="1">INDEX(rngParamTypes,$N790,12)</f>
        <v>0</v>
      </c>
      <c r="T790">
        <f ca="1">INDEX(rngParamTypes,$N790,13)</f>
        <v>0</v>
      </c>
      <c r="U790">
        <f ca="1">INDEX(rngParamTypes,$N790,14)</f>
        <v>0</v>
      </c>
      <c r="V790">
        <f ca="1">INDEX(rngParamTypes,$N790,15)</f>
        <v>0</v>
      </c>
      <c r="W790">
        <f ca="1">INDEX(rngParamTypes,$N790,16)</f>
        <v>0</v>
      </c>
      <c r="X790">
        <f ca="1">INDEX(rngParamTypes,$N790,17)</f>
        <v>0</v>
      </c>
      <c r="Y790">
        <f ca="1">INDEX(rngParamTypes,$N790,18)</f>
        <v>0</v>
      </c>
    </row>
    <row r="791" spans="1:25" x14ac:dyDescent="0.2">
      <c r="A791" s="16">
        <v>790</v>
      </c>
      <c r="B791" s="37">
        <v>1</v>
      </c>
      <c r="C791" s="16" t="s">
        <v>2197</v>
      </c>
      <c r="D791" s="16" t="s">
        <v>2197</v>
      </c>
      <c r="E791" s="16">
        <v>2</v>
      </c>
      <c r="F791" s="16" t="s">
        <v>3949</v>
      </c>
      <c r="G791" s="16" t="s">
        <v>443</v>
      </c>
      <c r="H791" s="16" t="s">
        <v>2196</v>
      </c>
      <c r="I791" s="16" t="s">
        <v>444</v>
      </c>
      <c r="J791" s="16">
        <v>0</v>
      </c>
      <c r="K791" s="16">
        <v>2.9088821000000003E-4</v>
      </c>
      <c r="L791" s="16">
        <v>1</v>
      </c>
      <c r="M791" s="16">
        <v>0</v>
      </c>
      <c r="N791">
        <f t="array" aca="1" ref="N791" ca="1">MATCH(TRUE,EXACT(I791,OFFSET(rngParamTypes,0,6,,1)),0)</f>
        <v>178</v>
      </c>
      <c r="O791" t="str">
        <f ca="1">IF((INDEX(rngParamTypes,$N791,7)=I791),"",1)</f>
        <v/>
      </c>
      <c r="P791">
        <f ca="1">INDEX(rngParamTypes,$N791,9)</f>
        <v>0</v>
      </c>
      <c r="Q791">
        <f ca="1">INDEX(rngParamTypes,$N791,10)</f>
        <v>0</v>
      </c>
      <c r="R791">
        <f ca="1">INDEX(rngParamTypes,$N791,11)</f>
        <v>0</v>
      </c>
      <c r="S791">
        <f ca="1">INDEX(rngParamTypes,$N791,12)</f>
        <v>0</v>
      </c>
      <c r="T791">
        <f ca="1">INDEX(rngParamTypes,$N791,13)</f>
        <v>0</v>
      </c>
      <c r="U791">
        <f ca="1">INDEX(rngParamTypes,$N791,14)</f>
        <v>0</v>
      </c>
      <c r="V791">
        <f ca="1">INDEX(rngParamTypes,$N791,15)</f>
        <v>0</v>
      </c>
      <c r="W791">
        <f ca="1">INDEX(rngParamTypes,$N791,16)</f>
        <v>1</v>
      </c>
      <c r="X791">
        <f ca="1">INDEX(rngParamTypes,$N791,17)</f>
        <v>0</v>
      </c>
      <c r="Y791">
        <f ca="1">INDEX(rngParamTypes,$N791,18)</f>
        <v>0</v>
      </c>
    </row>
    <row r="792" spans="1:25" x14ac:dyDescent="0.2">
      <c r="A792" s="16">
        <v>791</v>
      </c>
      <c r="B792" s="37">
        <v>1</v>
      </c>
      <c r="C792" s="16" t="s">
        <v>2199</v>
      </c>
      <c r="D792" s="16" t="s">
        <v>2199</v>
      </c>
      <c r="E792" s="16">
        <v>2</v>
      </c>
      <c r="F792" s="16" t="s">
        <v>3950</v>
      </c>
      <c r="G792" s="16" t="s">
        <v>3540</v>
      </c>
      <c r="H792" s="16" t="s">
        <v>2198</v>
      </c>
      <c r="I792" s="16" t="s">
        <v>290</v>
      </c>
      <c r="J792" s="16">
        <v>0</v>
      </c>
      <c r="K792" s="16">
        <v>1609.347</v>
      </c>
      <c r="L792" s="16">
        <v>1</v>
      </c>
      <c r="M792" s="16">
        <v>0</v>
      </c>
      <c r="N792">
        <f t="array" aca="1" ref="N792" ca="1">MATCH(TRUE,EXACT(I792,OFFSET(rngParamTypes,0,6,,1)),0)</f>
        <v>109</v>
      </c>
      <c r="O792" t="str">
        <f ca="1">IF((INDEX(rngParamTypes,$N792,7)=I792),"",1)</f>
        <v/>
      </c>
      <c r="P792">
        <f ca="1">INDEX(rngParamTypes,$N792,9)</f>
        <v>0</v>
      </c>
      <c r="Q792">
        <f ca="1">INDEX(rngParamTypes,$N792,10)</f>
        <v>1</v>
      </c>
      <c r="R792">
        <f ca="1">INDEX(rngParamTypes,$N792,11)</f>
        <v>0</v>
      </c>
      <c r="S792">
        <f ca="1">INDEX(rngParamTypes,$N792,12)</f>
        <v>0</v>
      </c>
      <c r="T792">
        <f ca="1">INDEX(rngParamTypes,$N792,13)</f>
        <v>0</v>
      </c>
      <c r="U792">
        <f ca="1">INDEX(rngParamTypes,$N792,14)</f>
        <v>0</v>
      </c>
      <c r="V792">
        <f ca="1">INDEX(rngParamTypes,$N792,15)</f>
        <v>0</v>
      </c>
      <c r="W792">
        <f ca="1">INDEX(rngParamTypes,$N792,16)</f>
        <v>0</v>
      </c>
      <c r="X792">
        <f ca="1">INDEX(rngParamTypes,$N792,17)</f>
        <v>0</v>
      </c>
      <c r="Y792">
        <f ca="1">INDEX(rngParamTypes,$N792,18)</f>
        <v>0</v>
      </c>
    </row>
    <row r="793" spans="1:25" x14ac:dyDescent="0.2">
      <c r="A793" s="16">
        <v>792</v>
      </c>
      <c r="B793" s="37">
        <v>1</v>
      </c>
      <c r="C793" s="16" t="s">
        <v>2201</v>
      </c>
      <c r="D793" s="16" t="s">
        <v>2201</v>
      </c>
      <c r="E793" s="16">
        <v>2</v>
      </c>
      <c r="F793" s="16" t="s">
        <v>3951</v>
      </c>
      <c r="G793" s="16" t="s">
        <v>302</v>
      </c>
      <c r="H793" s="16" t="s">
        <v>2200</v>
      </c>
      <c r="I793" s="16" t="s">
        <v>303</v>
      </c>
      <c r="J793" s="16">
        <v>0</v>
      </c>
      <c r="K793" s="16">
        <v>2589998</v>
      </c>
      <c r="L793" s="16">
        <v>1</v>
      </c>
      <c r="M793" s="16">
        <v>0</v>
      </c>
      <c r="N793">
        <f t="array" aca="1" ref="N793" ca="1">MATCH(TRUE,EXACT(I793,OFFSET(rngParamTypes,0,6,,1)),0)</f>
        <v>125</v>
      </c>
      <c r="O793" t="str">
        <f ca="1">IF((INDEX(rngParamTypes,$N793,7)=I793),"",1)</f>
        <v/>
      </c>
      <c r="P793">
        <f ca="1">INDEX(rngParamTypes,$N793,9)</f>
        <v>0</v>
      </c>
      <c r="Q793">
        <f ca="1">INDEX(rngParamTypes,$N793,10)</f>
        <v>2</v>
      </c>
      <c r="R793">
        <f ca="1">INDEX(rngParamTypes,$N793,11)</f>
        <v>0</v>
      </c>
      <c r="S793">
        <f ca="1">INDEX(rngParamTypes,$N793,12)</f>
        <v>0</v>
      </c>
      <c r="T793">
        <f ca="1">INDEX(rngParamTypes,$N793,13)</f>
        <v>0</v>
      </c>
      <c r="U793">
        <f ca="1">INDEX(rngParamTypes,$N793,14)</f>
        <v>0</v>
      </c>
      <c r="V793">
        <f ca="1">INDEX(rngParamTypes,$N793,15)</f>
        <v>0</v>
      </c>
      <c r="W793">
        <f ca="1">INDEX(rngParamTypes,$N793,16)</f>
        <v>0</v>
      </c>
      <c r="X793">
        <f ca="1">INDEX(rngParamTypes,$N793,17)</f>
        <v>0</v>
      </c>
      <c r="Y793">
        <f ca="1">INDEX(rngParamTypes,$N793,18)</f>
        <v>0</v>
      </c>
    </row>
    <row r="794" spans="1:25" x14ac:dyDescent="0.2">
      <c r="A794" s="16">
        <v>793</v>
      </c>
      <c r="B794" s="37">
        <v>1</v>
      </c>
      <c r="C794" s="16" t="s">
        <v>2203</v>
      </c>
      <c r="D794" s="16" t="s">
        <v>2203</v>
      </c>
      <c r="E794" s="16">
        <v>2</v>
      </c>
      <c r="F794" s="16" t="s">
        <v>3952</v>
      </c>
      <c r="G794" s="16" t="s">
        <v>3267</v>
      </c>
      <c r="H794" s="16" t="s">
        <v>2202</v>
      </c>
      <c r="I794" s="16" t="s">
        <v>168</v>
      </c>
      <c r="J794" s="16">
        <v>0</v>
      </c>
      <c r="K794" s="16">
        <v>1000000</v>
      </c>
      <c r="L794" s="16">
        <v>1</v>
      </c>
      <c r="M794" s="16">
        <v>0</v>
      </c>
      <c r="N794">
        <f t="array" aca="1" ref="N794" ca="1">MATCH(TRUE,EXACT(I794,OFFSET(rngParamTypes,0,6,,1)),0)</f>
        <v>56</v>
      </c>
      <c r="O794" t="str">
        <f ca="1">IF((INDEX(rngParamTypes,$N794,7)=I794),"",1)</f>
        <v/>
      </c>
      <c r="P794">
        <f ca="1">INDEX(rngParamTypes,$N794,9)</f>
        <v>1</v>
      </c>
      <c r="Q794">
        <f ca="1">INDEX(rngParamTypes,$N794,10)</f>
        <v>2</v>
      </c>
      <c r="R794">
        <f ca="1">INDEX(rngParamTypes,$N794,11)</f>
        <v>-2</v>
      </c>
      <c r="S794">
        <f ca="1">INDEX(rngParamTypes,$N794,12)</f>
        <v>0</v>
      </c>
      <c r="T794">
        <f ca="1">INDEX(rngParamTypes,$N794,13)</f>
        <v>0</v>
      </c>
      <c r="U794">
        <f ca="1">INDEX(rngParamTypes,$N794,14)</f>
        <v>0</v>
      </c>
      <c r="V794">
        <f ca="1">INDEX(rngParamTypes,$N794,15)</f>
        <v>0</v>
      </c>
      <c r="W794">
        <f ca="1">INDEX(rngParamTypes,$N794,16)</f>
        <v>0</v>
      </c>
      <c r="X794">
        <f ca="1">INDEX(rngParamTypes,$N794,17)</f>
        <v>0</v>
      </c>
      <c r="Y794">
        <f ca="1">INDEX(rngParamTypes,$N794,18)</f>
        <v>0</v>
      </c>
    </row>
    <row r="795" spans="1:25" x14ac:dyDescent="0.2">
      <c r="A795" s="16">
        <v>794</v>
      </c>
      <c r="B795" s="37">
        <v>1</v>
      </c>
      <c r="C795" s="16" t="s">
        <v>2205</v>
      </c>
      <c r="D795" s="16" t="s">
        <v>2205</v>
      </c>
      <c r="E795" s="16">
        <v>2</v>
      </c>
      <c r="F795" s="16" t="s">
        <v>3953</v>
      </c>
      <c r="G795" s="16" t="s">
        <v>3267</v>
      </c>
      <c r="H795" s="16" t="s">
        <v>2204</v>
      </c>
      <c r="I795" s="16" t="s">
        <v>168</v>
      </c>
      <c r="J795" s="16">
        <v>0</v>
      </c>
      <c r="K795" s="16">
        <v>1E-3</v>
      </c>
      <c r="L795" s="16">
        <v>1</v>
      </c>
      <c r="M795" s="16">
        <v>0</v>
      </c>
      <c r="N795">
        <f t="array" aca="1" ref="N795" ca="1">MATCH(TRUE,EXACT(I795,OFFSET(rngParamTypes,0,6,,1)),0)</f>
        <v>56</v>
      </c>
      <c r="O795" t="str">
        <f ca="1">IF((INDEX(rngParamTypes,$N795,7)=I795),"",1)</f>
        <v/>
      </c>
      <c r="P795">
        <f ca="1">INDEX(rngParamTypes,$N795,9)</f>
        <v>1</v>
      </c>
      <c r="Q795">
        <f ca="1">INDEX(rngParamTypes,$N795,10)</f>
        <v>2</v>
      </c>
      <c r="R795">
        <f ca="1">INDEX(rngParamTypes,$N795,11)</f>
        <v>-2</v>
      </c>
      <c r="S795">
        <f ca="1">INDEX(rngParamTypes,$N795,12)</f>
        <v>0</v>
      </c>
      <c r="T795">
        <f ca="1">INDEX(rngParamTypes,$N795,13)</f>
        <v>0</v>
      </c>
      <c r="U795">
        <f ca="1">INDEX(rngParamTypes,$N795,14)</f>
        <v>0</v>
      </c>
      <c r="V795">
        <f ca="1">INDEX(rngParamTypes,$N795,15)</f>
        <v>0</v>
      </c>
      <c r="W795">
        <f ca="1">INDEX(rngParamTypes,$N795,16)</f>
        <v>0</v>
      </c>
      <c r="X795">
        <f ca="1">INDEX(rngParamTypes,$N795,17)</f>
        <v>0</v>
      </c>
      <c r="Y795">
        <f ca="1">INDEX(rngParamTypes,$N795,18)</f>
        <v>0</v>
      </c>
    </row>
    <row r="796" spans="1:25" x14ac:dyDescent="0.2">
      <c r="A796" s="16">
        <v>795</v>
      </c>
      <c r="B796" s="37">
        <v>1</v>
      </c>
      <c r="C796" s="16" t="s">
        <v>2207</v>
      </c>
      <c r="D796" s="16" t="s">
        <v>2207</v>
      </c>
      <c r="E796" s="16">
        <v>2</v>
      </c>
      <c r="F796" s="16" t="s">
        <v>3954</v>
      </c>
      <c r="G796" s="16" t="s">
        <v>531</v>
      </c>
      <c r="H796" s="16" t="s">
        <v>2206</v>
      </c>
      <c r="I796" s="16" t="s">
        <v>533</v>
      </c>
      <c r="J796" s="16">
        <v>0</v>
      </c>
      <c r="K796" s="16">
        <v>1000000</v>
      </c>
      <c r="L796" s="16">
        <v>31558150</v>
      </c>
      <c r="M796" s="16">
        <v>0</v>
      </c>
      <c r="N796">
        <f t="array" aca="1" ref="N796" ca="1">MATCH(TRUE,EXACT(I796,OFFSET(rngParamTypes,0,6,,1)),0)</f>
        <v>211</v>
      </c>
      <c r="O796" t="str">
        <f ca="1">IF((INDEX(rngParamTypes,$N796,7)=I796),"",1)</f>
        <v/>
      </c>
      <c r="P796">
        <f ca="1">INDEX(rngParamTypes,$N796,9)</f>
        <v>1</v>
      </c>
      <c r="Q796">
        <f ca="1">INDEX(rngParamTypes,$N796,10)</f>
        <v>2</v>
      </c>
      <c r="R796">
        <f ca="1">INDEX(rngParamTypes,$N796,11)</f>
        <v>-3</v>
      </c>
      <c r="S796">
        <f ca="1">INDEX(rngParamTypes,$N796,12)</f>
        <v>0</v>
      </c>
      <c r="T796">
        <f ca="1">INDEX(rngParamTypes,$N796,13)</f>
        <v>0</v>
      </c>
      <c r="U796">
        <f ca="1">INDEX(rngParamTypes,$N796,14)</f>
        <v>0</v>
      </c>
      <c r="V796">
        <f ca="1">INDEX(rngParamTypes,$N796,15)</f>
        <v>0</v>
      </c>
      <c r="W796">
        <f ca="1">INDEX(rngParamTypes,$N796,16)</f>
        <v>0</v>
      </c>
      <c r="X796">
        <f ca="1">INDEX(rngParamTypes,$N796,17)</f>
        <v>0</v>
      </c>
      <c r="Y796">
        <f ca="1">INDEX(rngParamTypes,$N796,18)</f>
        <v>0</v>
      </c>
    </row>
    <row r="797" spans="1:25" x14ac:dyDescent="0.2">
      <c r="A797" s="16">
        <v>796</v>
      </c>
      <c r="B797" s="37">
        <v>1</v>
      </c>
      <c r="C797" s="16" t="s">
        <v>2209</v>
      </c>
      <c r="D797" s="16" t="s">
        <v>2209</v>
      </c>
      <c r="E797" s="16"/>
      <c r="F797" s="16" t="s">
        <v>3955</v>
      </c>
      <c r="G797" s="16" t="s">
        <v>386</v>
      </c>
      <c r="H797" s="16" t="s">
        <v>2208</v>
      </c>
      <c r="I797" s="16" t="s">
        <v>387</v>
      </c>
      <c r="J797" s="16">
        <v>0</v>
      </c>
      <c r="K797" s="16">
        <v>10</v>
      </c>
      <c r="L797" s="16">
        <v>1</v>
      </c>
      <c r="M797" s="16">
        <v>0</v>
      </c>
      <c r="N797">
        <f t="array" aca="1" ref="N797" ca="1">MATCH(TRUE,EXACT(I797,OFFSET(rngParamTypes,0,6,,1)),0)</f>
        <v>156</v>
      </c>
      <c r="O797" t="str">
        <f ca="1">IF((INDEX(rngParamTypes,$N797,7)=I797),"",1)</f>
        <v/>
      </c>
      <c r="P797">
        <f ca="1">INDEX(rngParamTypes,$N797,9)</f>
        <v>1</v>
      </c>
      <c r="Q797">
        <f ca="1">INDEX(rngParamTypes,$N797,10)</f>
        <v>0</v>
      </c>
      <c r="R797">
        <f ca="1">INDEX(rngParamTypes,$N797,11)</f>
        <v>-2</v>
      </c>
      <c r="S797">
        <f ca="1">INDEX(rngParamTypes,$N797,12)</f>
        <v>0</v>
      </c>
      <c r="T797">
        <f ca="1">INDEX(rngParamTypes,$N797,13)</f>
        <v>0</v>
      </c>
      <c r="U797">
        <f ca="1">INDEX(rngParamTypes,$N797,14)</f>
        <v>0</v>
      </c>
      <c r="V797">
        <f ca="1">INDEX(rngParamTypes,$N797,15)</f>
        <v>0</v>
      </c>
      <c r="W797">
        <f ca="1">INDEX(rngParamTypes,$N797,16)</f>
        <v>0</v>
      </c>
      <c r="X797">
        <f ca="1">INDEX(rngParamTypes,$N797,17)</f>
        <v>0</v>
      </c>
      <c r="Y797">
        <f ca="1">INDEX(rngParamTypes,$N797,18)</f>
        <v>0</v>
      </c>
    </row>
    <row r="798" spans="1:25" x14ac:dyDescent="0.2">
      <c r="A798" s="16">
        <v>797</v>
      </c>
      <c r="B798" s="37">
        <v>1</v>
      </c>
      <c r="C798" s="16" t="s">
        <v>2211</v>
      </c>
      <c r="D798" s="16" t="s">
        <v>2211</v>
      </c>
      <c r="E798" s="16">
        <v>2</v>
      </c>
      <c r="F798" s="16" t="s">
        <v>3956</v>
      </c>
      <c r="G798" s="16" t="s">
        <v>174</v>
      </c>
      <c r="H798" s="16" t="s">
        <v>2210</v>
      </c>
      <c r="I798" s="16" t="s">
        <v>175</v>
      </c>
      <c r="J798" s="16">
        <v>0</v>
      </c>
      <c r="K798" s="16">
        <v>1000000</v>
      </c>
      <c r="L798" s="16">
        <v>1</v>
      </c>
      <c r="M798" s="16">
        <v>0</v>
      </c>
      <c r="N798">
        <f t="array" aca="1" ref="N798" ca="1">MATCH(TRUE,EXACT(I798,OFFSET(rngParamTypes,0,6,,1)),0)</f>
        <v>62</v>
      </c>
      <c r="O798" t="str">
        <f ca="1">IF((INDEX(rngParamTypes,$N798,7)=I798),"",1)</f>
        <v/>
      </c>
      <c r="P798">
        <f ca="1">INDEX(rngParamTypes,$N798,9)</f>
        <v>0</v>
      </c>
      <c r="Q798">
        <f ca="1">INDEX(rngParamTypes,$N798,10)</f>
        <v>2</v>
      </c>
      <c r="R798">
        <f ca="1">INDEX(rngParamTypes,$N798,11)</f>
        <v>-2</v>
      </c>
      <c r="S798">
        <f ca="1">INDEX(rngParamTypes,$N798,12)</f>
        <v>0</v>
      </c>
      <c r="T798">
        <f ca="1">INDEX(rngParamTypes,$N798,13)</f>
        <v>0</v>
      </c>
      <c r="U798">
        <f ca="1">INDEX(rngParamTypes,$N798,14)</f>
        <v>0</v>
      </c>
      <c r="V798">
        <f ca="1">INDEX(rngParamTypes,$N798,15)</f>
        <v>0</v>
      </c>
      <c r="W798">
        <f ca="1">INDEX(rngParamTypes,$N798,16)</f>
        <v>0</v>
      </c>
      <c r="X798">
        <f ca="1">INDEX(rngParamTypes,$N798,17)</f>
        <v>0</v>
      </c>
      <c r="Y798">
        <f ca="1">INDEX(rngParamTypes,$N798,18)</f>
        <v>0</v>
      </c>
    </row>
    <row r="799" spans="1:25" x14ac:dyDescent="0.2">
      <c r="A799" s="16">
        <v>798</v>
      </c>
      <c r="B799" s="37">
        <v>1</v>
      </c>
      <c r="C799" s="16" t="s">
        <v>2213</v>
      </c>
      <c r="D799" s="16" t="s">
        <v>2213</v>
      </c>
      <c r="E799" s="16"/>
      <c r="F799" s="16" t="s">
        <v>3957</v>
      </c>
      <c r="G799" s="16" t="s">
        <v>1572</v>
      </c>
      <c r="H799" s="16" t="s">
        <v>2212</v>
      </c>
      <c r="I799" s="16" t="s">
        <v>379</v>
      </c>
      <c r="J799" s="16">
        <v>0</v>
      </c>
      <c r="K799" s="16">
        <v>1000000</v>
      </c>
      <c r="L799" s="16">
        <v>1</v>
      </c>
      <c r="M799" s="16">
        <v>0</v>
      </c>
      <c r="N799">
        <f t="array" aca="1" ref="N799" ca="1">MATCH(TRUE,EXACT(I799,OFFSET(rngParamTypes,0,6,,1)),0)</f>
        <v>154</v>
      </c>
      <c r="O799" t="str">
        <f ca="1">IF((INDEX(rngParamTypes,$N799,7)=I799),"",1)</f>
        <v/>
      </c>
      <c r="P799">
        <f ca="1">INDEX(rngParamTypes,$N799,9)</f>
        <v>1</v>
      </c>
      <c r="Q799">
        <f ca="1">INDEX(rngParamTypes,$N799,10)</f>
        <v>1</v>
      </c>
      <c r="R799">
        <f ca="1">INDEX(rngParamTypes,$N799,11)</f>
        <v>-2</v>
      </c>
      <c r="S799">
        <f ca="1">INDEX(rngParamTypes,$N799,12)</f>
        <v>0</v>
      </c>
      <c r="T799">
        <f ca="1">INDEX(rngParamTypes,$N799,13)</f>
        <v>0</v>
      </c>
      <c r="U799">
        <f ca="1">INDEX(rngParamTypes,$N799,14)</f>
        <v>0</v>
      </c>
      <c r="V799">
        <f ca="1">INDEX(rngParamTypes,$N799,15)</f>
        <v>0</v>
      </c>
      <c r="W799">
        <f ca="1">INDEX(rngParamTypes,$N799,16)</f>
        <v>0</v>
      </c>
      <c r="X799">
        <f ca="1">INDEX(rngParamTypes,$N799,17)</f>
        <v>0</v>
      </c>
      <c r="Y799">
        <f ca="1">INDEX(rngParamTypes,$N799,18)</f>
        <v>0</v>
      </c>
    </row>
    <row r="800" spans="1:25" x14ac:dyDescent="0.2">
      <c r="A800" s="16">
        <v>799</v>
      </c>
      <c r="B800" s="37">
        <v>1</v>
      </c>
      <c r="C800" s="16" t="s">
        <v>2215</v>
      </c>
      <c r="D800" s="16" t="s">
        <v>2215</v>
      </c>
      <c r="E800" s="16"/>
      <c r="F800" s="16" t="s">
        <v>3958</v>
      </c>
      <c r="G800" s="16" t="s">
        <v>386</v>
      </c>
      <c r="H800" s="16" t="s">
        <v>2214</v>
      </c>
      <c r="I800" s="16" t="s">
        <v>387</v>
      </c>
      <c r="J800" s="16">
        <v>0</v>
      </c>
      <c r="K800" s="16">
        <v>1E-3</v>
      </c>
      <c r="L800" s="16">
        <v>1</v>
      </c>
      <c r="M800" s="16">
        <v>0</v>
      </c>
      <c r="N800">
        <f t="array" aca="1" ref="N800" ca="1">MATCH(TRUE,EXACT(I800,OFFSET(rngParamTypes,0,6,,1)),0)</f>
        <v>156</v>
      </c>
      <c r="O800" t="str">
        <f ca="1">IF((INDEX(rngParamTypes,$N800,7)=I800),"",1)</f>
        <v/>
      </c>
      <c r="P800">
        <f ca="1">INDEX(rngParamTypes,$N800,9)</f>
        <v>1</v>
      </c>
      <c r="Q800">
        <f ca="1">INDEX(rngParamTypes,$N800,10)</f>
        <v>0</v>
      </c>
      <c r="R800">
        <f ca="1">INDEX(rngParamTypes,$N800,11)</f>
        <v>-2</v>
      </c>
      <c r="S800">
        <f ca="1">INDEX(rngParamTypes,$N800,12)</f>
        <v>0</v>
      </c>
      <c r="T800">
        <f ca="1">INDEX(rngParamTypes,$N800,13)</f>
        <v>0</v>
      </c>
      <c r="U800">
        <f ca="1">INDEX(rngParamTypes,$N800,14)</f>
        <v>0</v>
      </c>
      <c r="V800">
        <f ca="1">INDEX(rngParamTypes,$N800,15)</f>
        <v>0</v>
      </c>
      <c r="W800">
        <f ca="1">INDEX(rngParamTypes,$N800,16)</f>
        <v>0</v>
      </c>
      <c r="X800">
        <f ca="1">INDEX(rngParamTypes,$N800,17)</f>
        <v>0</v>
      </c>
      <c r="Y800">
        <f ca="1">INDEX(rngParamTypes,$N800,18)</f>
        <v>0</v>
      </c>
    </row>
    <row r="801" spans="1:25" x14ac:dyDescent="0.2">
      <c r="A801" s="16">
        <v>800</v>
      </c>
      <c r="B801" s="37">
        <v>1</v>
      </c>
      <c r="C801" s="16" t="s">
        <v>2217</v>
      </c>
      <c r="D801" s="16" t="s">
        <v>2217</v>
      </c>
      <c r="E801" s="16"/>
      <c r="F801" s="16" t="s">
        <v>3959</v>
      </c>
      <c r="G801" s="16" t="s">
        <v>3314</v>
      </c>
      <c r="H801" s="16" t="s">
        <v>2216</v>
      </c>
      <c r="I801" s="16" t="s">
        <v>190</v>
      </c>
      <c r="J801" s="16">
        <v>0</v>
      </c>
      <c r="K801" s="16">
        <v>1000000</v>
      </c>
      <c r="L801" s="16">
        <v>1</v>
      </c>
      <c r="M801" s="16">
        <v>0</v>
      </c>
      <c r="N801">
        <f t="array" aca="1" ref="N801" ca="1">MATCH(TRUE,EXACT(I801,OFFSET(rngParamTypes,0,6,,1)),0)</f>
        <v>65</v>
      </c>
      <c r="O801" t="str">
        <f ca="1">IF((INDEX(rngParamTypes,$N801,7)=I801),"",1)</f>
        <v/>
      </c>
      <c r="P801">
        <f ca="1">INDEX(rngParamTypes,$N801,9)</f>
        <v>1</v>
      </c>
      <c r="Q801">
        <f ca="1">INDEX(rngParamTypes,$N801,10)</f>
        <v>-1</v>
      </c>
      <c r="R801">
        <f ca="1">INDEX(rngParamTypes,$N801,11)</f>
        <v>-2</v>
      </c>
      <c r="S801">
        <f ca="1">INDEX(rngParamTypes,$N801,12)</f>
        <v>0</v>
      </c>
      <c r="T801">
        <f ca="1">INDEX(rngParamTypes,$N801,13)</f>
        <v>0</v>
      </c>
      <c r="U801">
        <f ca="1">INDEX(rngParamTypes,$N801,14)</f>
        <v>0</v>
      </c>
      <c r="V801">
        <f ca="1">INDEX(rngParamTypes,$N801,15)</f>
        <v>0</v>
      </c>
      <c r="W801">
        <f ca="1">INDEX(rngParamTypes,$N801,16)</f>
        <v>0</v>
      </c>
      <c r="X801">
        <f ca="1">INDEX(rngParamTypes,$N801,17)</f>
        <v>0</v>
      </c>
      <c r="Y801">
        <f ca="1">INDEX(rngParamTypes,$N801,18)</f>
        <v>0</v>
      </c>
    </row>
    <row r="802" spans="1:25" x14ac:dyDescent="0.2">
      <c r="A802" s="16">
        <v>801</v>
      </c>
      <c r="B802" s="37">
        <v>1</v>
      </c>
      <c r="C802" s="16" t="s">
        <v>2219</v>
      </c>
      <c r="D802" s="16" t="s">
        <v>2219</v>
      </c>
      <c r="E802" s="16"/>
      <c r="F802" s="16" t="s">
        <v>3960</v>
      </c>
      <c r="G802" s="16" t="s">
        <v>3334</v>
      </c>
      <c r="H802" s="16" t="s">
        <v>2218</v>
      </c>
      <c r="I802" s="16" t="s">
        <v>195</v>
      </c>
      <c r="J802" s="16">
        <v>0</v>
      </c>
      <c r="K802" s="16">
        <v>1000</v>
      </c>
      <c r="L802" s="16">
        <v>1</v>
      </c>
      <c r="M802" s="16">
        <v>0</v>
      </c>
      <c r="N802">
        <f t="array" aca="1" ref="N802" ca="1">MATCH(TRUE,EXACT(I802,OFFSET(rngParamTypes,0,6,,1)),0)</f>
        <v>74</v>
      </c>
      <c r="O802" t="str">
        <f ca="1">IF((INDEX(rngParamTypes,$N802,7)=I802),"",1)</f>
        <v/>
      </c>
      <c r="P802">
        <f ca="1">INDEX(rngParamTypes,$N802,9)</f>
        <v>1</v>
      </c>
      <c r="Q802">
        <f ca="1">INDEX(rngParamTypes,$N802,10)</f>
        <v>2</v>
      </c>
      <c r="R802">
        <f ca="1">INDEX(rngParamTypes,$N802,11)</f>
        <v>-2</v>
      </c>
      <c r="S802">
        <f ca="1">INDEX(rngParamTypes,$N802,12)</f>
        <v>0</v>
      </c>
      <c r="T802">
        <f ca="1">INDEX(rngParamTypes,$N802,13)</f>
        <v>0</v>
      </c>
      <c r="U802">
        <f ca="1">INDEX(rngParamTypes,$N802,14)</f>
        <v>-1</v>
      </c>
      <c r="V802">
        <f ca="1">INDEX(rngParamTypes,$N802,15)</f>
        <v>0</v>
      </c>
      <c r="W802">
        <f ca="1">INDEX(rngParamTypes,$N802,16)</f>
        <v>0</v>
      </c>
      <c r="X802">
        <f ca="1">INDEX(rngParamTypes,$N802,17)</f>
        <v>0</v>
      </c>
      <c r="Y802">
        <f ca="1">INDEX(rngParamTypes,$N802,18)</f>
        <v>0</v>
      </c>
    </row>
    <row r="803" spans="1:25" x14ac:dyDescent="0.2">
      <c r="A803" s="16">
        <v>802</v>
      </c>
      <c r="B803" s="37">
        <v>1</v>
      </c>
      <c r="C803" s="16" t="s">
        <v>2221</v>
      </c>
      <c r="D803" s="16" t="s">
        <v>2221</v>
      </c>
      <c r="E803" s="16"/>
      <c r="F803" s="16" t="s">
        <v>4324</v>
      </c>
      <c r="G803" s="16" t="s">
        <v>3334</v>
      </c>
      <c r="H803" s="16" t="s">
        <v>2218</v>
      </c>
      <c r="I803" s="16" t="s">
        <v>195</v>
      </c>
      <c r="J803" s="16">
        <v>0</v>
      </c>
      <c r="K803" s="16">
        <v>1000000</v>
      </c>
      <c r="L803" s="16">
        <v>1</v>
      </c>
      <c r="M803" s="16">
        <v>0</v>
      </c>
      <c r="N803">
        <f t="array" aca="1" ref="N803" ca="1">MATCH(TRUE,EXACT(I803,OFFSET(rngParamTypes,0,6,,1)),0)</f>
        <v>74</v>
      </c>
      <c r="O803" t="str">
        <f ca="1">IF((INDEX(rngParamTypes,$N803,7)=I803),"",1)</f>
        <v/>
      </c>
      <c r="P803">
        <f ca="1">INDEX(rngParamTypes,$N803,9)</f>
        <v>1</v>
      </c>
      <c r="Q803">
        <f ca="1">INDEX(rngParamTypes,$N803,10)</f>
        <v>2</v>
      </c>
      <c r="R803">
        <f ca="1">INDEX(rngParamTypes,$N803,11)</f>
        <v>-2</v>
      </c>
      <c r="S803">
        <f ca="1">INDEX(rngParamTypes,$N803,12)</f>
        <v>0</v>
      </c>
      <c r="T803">
        <f ca="1">INDEX(rngParamTypes,$N803,13)</f>
        <v>0</v>
      </c>
      <c r="U803">
        <f ca="1">INDEX(rngParamTypes,$N803,14)</f>
        <v>-1</v>
      </c>
      <c r="V803">
        <f ca="1">INDEX(rngParamTypes,$N803,15)</f>
        <v>0</v>
      </c>
      <c r="W803">
        <f ca="1">INDEX(rngParamTypes,$N803,16)</f>
        <v>0</v>
      </c>
      <c r="X803">
        <f ca="1">INDEX(rngParamTypes,$N803,17)</f>
        <v>0</v>
      </c>
      <c r="Y803">
        <f ca="1">INDEX(rngParamTypes,$N803,18)</f>
        <v>0</v>
      </c>
    </row>
    <row r="804" spans="1:25" x14ac:dyDescent="0.2">
      <c r="A804" s="16">
        <v>803</v>
      </c>
      <c r="B804" s="37">
        <v>1</v>
      </c>
      <c r="C804" s="16" t="s">
        <v>2223</v>
      </c>
      <c r="D804" s="16" t="s">
        <v>2223</v>
      </c>
      <c r="E804" s="16">
        <v>2</v>
      </c>
      <c r="F804" s="16" t="s">
        <v>3961</v>
      </c>
      <c r="G804" s="16" t="s">
        <v>211</v>
      </c>
      <c r="H804" s="16" t="s">
        <v>2222</v>
      </c>
      <c r="I804" s="16" t="s">
        <v>212</v>
      </c>
      <c r="J804" s="16">
        <v>0</v>
      </c>
      <c r="K804" s="16">
        <v>1E-3</v>
      </c>
      <c r="L804" s="16">
        <v>1</v>
      </c>
      <c r="M804" s="16">
        <v>0</v>
      </c>
      <c r="N804">
        <f t="array" aca="1" ref="N804" ca="1">MATCH(TRUE,EXACT(I804,OFFSET(rngParamTypes,0,6,,1)),0)</f>
        <v>84</v>
      </c>
      <c r="O804" t="str">
        <f ca="1">IF((INDEX(rngParamTypes,$N804,7)=I804),"",1)</f>
        <v/>
      </c>
      <c r="P804">
        <f ca="1">INDEX(rngParamTypes,$N804,9)</f>
        <v>0</v>
      </c>
      <c r="Q804">
        <f ca="1">INDEX(rngParamTypes,$N804,10)</f>
        <v>-1</v>
      </c>
      <c r="R804">
        <f ca="1">INDEX(rngParamTypes,$N804,11)</f>
        <v>0</v>
      </c>
      <c r="S804">
        <f ca="1">INDEX(rngParamTypes,$N804,12)</f>
        <v>0</v>
      </c>
      <c r="T804">
        <f ca="1">INDEX(rngParamTypes,$N804,13)</f>
        <v>1</v>
      </c>
      <c r="U804">
        <f ca="1">INDEX(rngParamTypes,$N804,14)</f>
        <v>0</v>
      </c>
      <c r="V804">
        <f ca="1">INDEX(rngParamTypes,$N804,15)</f>
        <v>0</v>
      </c>
      <c r="W804">
        <f ca="1">INDEX(rngParamTypes,$N804,16)</f>
        <v>0</v>
      </c>
      <c r="X804">
        <f ca="1">INDEX(rngParamTypes,$N804,17)</f>
        <v>0</v>
      </c>
      <c r="Y804">
        <f ca="1">INDEX(rngParamTypes,$N804,18)</f>
        <v>0</v>
      </c>
    </row>
    <row r="805" spans="1:25" x14ac:dyDescent="0.2">
      <c r="A805" s="16">
        <v>804</v>
      </c>
      <c r="B805" s="37">
        <v>1</v>
      </c>
      <c r="C805" s="16" t="s">
        <v>2225</v>
      </c>
      <c r="D805" s="16" t="s">
        <v>2225</v>
      </c>
      <c r="E805" s="16">
        <v>2</v>
      </c>
      <c r="F805" s="16" t="s">
        <v>3962</v>
      </c>
      <c r="G805" s="16" t="s">
        <v>321</v>
      </c>
      <c r="H805" s="16" t="s">
        <v>2224</v>
      </c>
      <c r="I805" s="16" t="s">
        <v>322</v>
      </c>
      <c r="J805" s="16">
        <v>0</v>
      </c>
      <c r="K805" s="16">
        <v>9.9999999999999995E-7</v>
      </c>
      <c r="L805" s="16">
        <v>1</v>
      </c>
      <c r="M805" s="16">
        <v>0</v>
      </c>
      <c r="N805">
        <f t="array" aca="1" ref="N805" ca="1">MATCH(TRUE,EXACT(I805,OFFSET(rngParamTypes,0,6,,1)),0)</f>
        <v>134</v>
      </c>
      <c r="O805" t="str">
        <f ca="1">IF((INDEX(rngParamTypes,$N805,7)=I805),"",1)</f>
        <v/>
      </c>
      <c r="P805">
        <f ca="1">INDEX(rngParamTypes,$N805,9)</f>
        <v>0</v>
      </c>
      <c r="Q805">
        <f ca="1">INDEX(rngParamTypes,$N805,10)</f>
        <v>3</v>
      </c>
      <c r="R805">
        <f ca="1">INDEX(rngParamTypes,$N805,11)</f>
        <v>0</v>
      </c>
      <c r="S805">
        <f ca="1">INDEX(rngParamTypes,$N805,12)</f>
        <v>0</v>
      </c>
      <c r="T805">
        <f ca="1">INDEX(rngParamTypes,$N805,13)</f>
        <v>0</v>
      </c>
      <c r="U805">
        <f ca="1">INDEX(rngParamTypes,$N805,14)</f>
        <v>0</v>
      </c>
      <c r="V805">
        <f ca="1">INDEX(rngParamTypes,$N805,15)</f>
        <v>0</v>
      </c>
      <c r="W805">
        <f ca="1">INDEX(rngParamTypes,$N805,16)</f>
        <v>0</v>
      </c>
      <c r="X805">
        <f ca="1">INDEX(rngParamTypes,$N805,17)</f>
        <v>0</v>
      </c>
      <c r="Y805">
        <f ca="1">INDEX(rngParamTypes,$N805,18)</f>
        <v>0</v>
      </c>
    </row>
    <row r="806" spans="1:25" x14ac:dyDescent="0.2">
      <c r="A806" s="16">
        <v>805</v>
      </c>
      <c r="B806" s="37">
        <v>1</v>
      </c>
      <c r="C806" s="16" t="s">
        <v>2227</v>
      </c>
      <c r="D806" s="16" t="s">
        <v>2227</v>
      </c>
      <c r="E806" s="16"/>
      <c r="F806" s="16" t="s">
        <v>3963</v>
      </c>
      <c r="G806" s="16" t="s">
        <v>659</v>
      </c>
      <c r="H806" s="16" t="s">
        <v>2226</v>
      </c>
      <c r="I806" s="16" t="s">
        <v>131</v>
      </c>
      <c r="J806" s="16">
        <v>0</v>
      </c>
      <c r="K806" s="16">
        <v>2.1996919999999999E-4</v>
      </c>
      <c r="L806" s="16">
        <v>1</v>
      </c>
      <c r="M806" s="16">
        <v>0</v>
      </c>
      <c r="N806">
        <f t="array" aca="1" ref="N806" ca="1">MATCH(TRUE,EXACT(I806,OFFSET(rngParamTypes,0,6,,1)),0)</f>
        <v>42</v>
      </c>
      <c r="O806" t="str">
        <f ca="1">IF((INDEX(rngParamTypes,$N806,7)=I806),"",1)</f>
        <v/>
      </c>
      <c r="P806">
        <f ca="1">INDEX(rngParamTypes,$N806,9)</f>
        <v>0</v>
      </c>
      <c r="Q806">
        <f ca="1">INDEX(rngParamTypes,$N806,10)</f>
        <v>0</v>
      </c>
      <c r="R806">
        <f ca="1">INDEX(rngParamTypes,$N806,11)</f>
        <v>0</v>
      </c>
      <c r="S806">
        <f ca="1">INDEX(rngParamTypes,$N806,12)</f>
        <v>0</v>
      </c>
      <c r="T806">
        <f ca="1">INDEX(rngParamTypes,$N806,13)</f>
        <v>0</v>
      </c>
      <c r="U806">
        <f ca="1">INDEX(rngParamTypes,$N806,14)</f>
        <v>0</v>
      </c>
      <c r="V806">
        <f ca="1">INDEX(rngParamTypes,$N806,15)</f>
        <v>0</v>
      </c>
      <c r="W806">
        <f ca="1">INDEX(rngParamTypes,$N806,16)</f>
        <v>0</v>
      </c>
      <c r="X806">
        <f ca="1">INDEX(rngParamTypes,$N806,17)</f>
        <v>0</v>
      </c>
      <c r="Y806">
        <f ca="1">INDEX(rngParamTypes,$N806,18)</f>
        <v>0</v>
      </c>
    </row>
    <row r="807" spans="1:25" x14ac:dyDescent="0.2">
      <c r="A807" s="16">
        <v>806</v>
      </c>
      <c r="B807" s="37">
        <v>1</v>
      </c>
      <c r="C807" s="16" t="s">
        <v>2229</v>
      </c>
      <c r="D807" s="16" t="s">
        <v>2229</v>
      </c>
      <c r="E807" s="16"/>
      <c r="F807" s="16" t="s">
        <v>3964</v>
      </c>
      <c r="G807" s="16" t="s">
        <v>659</v>
      </c>
      <c r="H807" s="16" t="s">
        <v>2228</v>
      </c>
      <c r="I807" s="16" t="s">
        <v>131</v>
      </c>
      <c r="J807" s="16">
        <v>0</v>
      </c>
      <c r="K807" s="16">
        <v>2.6417200000000002E-4</v>
      </c>
      <c r="L807" s="16">
        <v>1</v>
      </c>
      <c r="M807" s="16">
        <v>0</v>
      </c>
      <c r="N807">
        <f t="array" aca="1" ref="N807" ca="1">MATCH(TRUE,EXACT(I807,OFFSET(rngParamTypes,0,6,,1)),0)</f>
        <v>42</v>
      </c>
      <c r="O807" t="str">
        <f ca="1">IF((INDEX(rngParamTypes,$N807,7)=I807),"",1)</f>
        <v/>
      </c>
      <c r="P807">
        <f ca="1">INDEX(rngParamTypes,$N807,9)</f>
        <v>0</v>
      </c>
      <c r="Q807">
        <f ca="1">INDEX(rngParamTypes,$N807,10)</f>
        <v>0</v>
      </c>
      <c r="R807">
        <f ca="1">INDEX(rngParamTypes,$N807,11)</f>
        <v>0</v>
      </c>
      <c r="S807">
        <f ca="1">INDEX(rngParamTypes,$N807,12)</f>
        <v>0</v>
      </c>
      <c r="T807">
        <f ca="1">INDEX(rngParamTypes,$N807,13)</f>
        <v>0</v>
      </c>
      <c r="U807">
        <f ca="1">INDEX(rngParamTypes,$N807,14)</f>
        <v>0</v>
      </c>
      <c r="V807">
        <f ca="1">INDEX(rngParamTypes,$N807,15)</f>
        <v>0</v>
      </c>
      <c r="W807">
        <f ca="1">INDEX(rngParamTypes,$N807,16)</f>
        <v>0</v>
      </c>
      <c r="X807">
        <f ca="1">INDEX(rngParamTypes,$N807,17)</f>
        <v>0</v>
      </c>
      <c r="Y807">
        <f ca="1">INDEX(rngParamTypes,$N807,18)</f>
        <v>0</v>
      </c>
    </row>
    <row r="808" spans="1:25" x14ac:dyDescent="0.2">
      <c r="A808" s="16">
        <v>807</v>
      </c>
      <c r="B808" s="37">
        <v>1</v>
      </c>
      <c r="C808" s="16" t="s">
        <v>2231</v>
      </c>
      <c r="D808" s="16" t="s">
        <v>2231</v>
      </c>
      <c r="E808" s="16"/>
      <c r="F808" s="16" t="s">
        <v>3965</v>
      </c>
      <c r="G808" s="16" t="s">
        <v>659</v>
      </c>
      <c r="H808" s="16" t="s">
        <v>2230</v>
      </c>
      <c r="I808" s="16" t="s">
        <v>131</v>
      </c>
      <c r="J808" s="16">
        <v>0</v>
      </c>
      <c r="K808" s="16">
        <v>1</v>
      </c>
      <c r="L808" s="16">
        <v>1</v>
      </c>
      <c r="M808" s="16">
        <v>0</v>
      </c>
      <c r="N808">
        <f t="array" aca="1" ref="N808" ca="1">MATCH(TRUE,EXACT(I808,OFFSET(rngParamTypes,0,6,,1)),0)</f>
        <v>42</v>
      </c>
      <c r="O808" t="str">
        <f ca="1">IF((INDEX(rngParamTypes,$N808,7)=I808),"",1)</f>
        <v/>
      </c>
      <c r="P808">
        <f ca="1">INDEX(rngParamTypes,$N808,9)</f>
        <v>0</v>
      </c>
      <c r="Q808">
        <f ca="1">INDEX(rngParamTypes,$N808,10)</f>
        <v>0</v>
      </c>
      <c r="R808">
        <f ca="1">INDEX(rngParamTypes,$N808,11)</f>
        <v>0</v>
      </c>
      <c r="S808">
        <f ca="1">INDEX(rngParamTypes,$N808,12)</f>
        <v>0</v>
      </c>
      <c r="T808">
        <f ca="1">INDEX(rngParamTypes,$N808,13)</f>
        <v>0</v>
      </c>
      <c r="U808">
        <f ca="1">INDEX(rngParamTypes,$N808,14)</f>
        <v>0</v>
      </c>
      <c r="V808">
        <f ca="1">INDEX(rngParamTypes,$N808,15)</f>
        <v>0</v>
      </c>
      <c r="W808">
        <f ca="1">INDEX(rngParamTypes,$N808,16)</f>
        <v>0</v>
      </c>
      <c r="X808">
        <f ca="1">INDEX(rngParamTypes,$N808,17)</f>
        <v>0</v>
      </c>
      <c r="Y808">
        <f ca="1">INDEX(rngParamTypes,$N808,18)</f>
        <v>0</v>
      </c>
    </row>
    <row r="809" spans="1:25" x14ac:dyDescent="0.2">
      <c r="A809" s="16">
        <v>808</v>
      </c>
      <c r="B809" s="37">
        <v>1</v>
      </c>
      <c r="C809" s="16" t="s">
        <v>2232</v>
      </c>
      <c r="D809" s="16" t="s">
        <v>2232</v>
      </c>
      <c r="E809" s="16">
        <v>2</v>
      </c>
      <c r="F809" s="16" t="s">
        <v>3966</v>
      </c>
      <c r="G809" s="16" t="s">
        <v>257</v>
      </c>
      <c r="H809" s="16" t="s">
        <v>1877</v>
      </c>
      <c r="I809" s="16" t="s">
        <v>258</v>
      </c>
      <c r="J809" s="16">
        <v>0</v>
      </c>
      <c r="K809" s="16">
        <v>453592.4</v>
      </c>
      <c r="L809" s="16">
        <v>31558150</v>
      </c>
      <c r="M809" s="16">
        <v>0</v>
      </c>
      <c r="N809">
        <f t="array" aca="1" ref="N809" ca="1">MATCH(TRUE,EXACT(I809,OFFSET(rngParamTypes,0,6,,1)),0)</f>
        <v>103</v>
      </c>
      <c r="O809" t="str">
        <f ca="1">IF((INDEX(rngParamTypes,$N809,7)=I809),"",1)</f>
        <v/>
      </c>
      <c r="P809">
        <f ca="1">INDEX(rngParamTypes,$N809,9)</f>
        <v>1</v>
      </c>
      <c r="Q809">
        <f ca="1">INDEX(rngParamTypes,$N809,10)</f>
        <v>0</v>
      </c>
      <c r="R809">
        <f ca="1">INDEX(rngParamTypes,$N809,11)</f>
        <v>-1</v>
      </c>
      <c r="S809">
        <f ca="1">INDEX(rngParamTypes,$N809,12)</f>
        <v>0</v>
      </c>
      <c r="T809">
        <f ca="1">INDEX(rngParamTypes,$N809,13)</f>
        <v>0</v>
      </c>
      <c r="U809">
        <f ca="1">INDEX(rngParamTypes,$N809,14)</f>
        <v>0</v>
      </c>
      <c r="V809">
        <f ca="1">INDEX(rngParamTypes,$N809,15)</f>
        <v>0</v>
      </c>
      <c r="W809">
        <f ca="1">INDEX(rngParamTypes,$N809,16)</f>
        <v>0</v>
      </c>
      <c r="X809">
        <f ca="1">INDEX(rngParamTypes,$N809,17)</f>
        <v>0</v>
      </c>
      <c r="Y809">
        <f ca="1">INDEX(rngParamTypes,$N809,18)</f>
        <v>0</v>
      </c>
    </row>
    <row r="810" spans="1:25" x14ac:dyDescent="0.2">
      <c r="A810" s="16">
        <v>809</v>
      </c>
      <c r="B810" s="37">
        <v>1</v>
      </c>
      <c r="C810" s="16" t="s">
        <v>2234</v>
      </c>
      <c r="D810" s="16" t="s">
        <v>2234</v>
      </c>
      <c r="E810" s="16">
        <v>2</v>
      </c>
      <c r="F810" s="16" t="s">
        <v>3967</v>
      </c>
      <c r="G810" s="16" t="s">
        <v>277</v>
      </c>
      <c r="H810" s="16" t="s">
        <v>2233</v>
      </c>
      <c r="I810" s="16" t="s">
        <v>290</v>
      </c>
      <c r="J810" s="16">
        <v>0</v>
      </c>
      <c r="K810" s="16">
        <v>1E-3</v>
      </c>
      <c r="L810" s="16">
        <v>1</v>
      </c>
      <c r="M810" s="16">
        <v>0</v>
      </c>
      <c r="N810">
        <f t="array" aca="1" ref="N810" ca="1">MATCH(TRUE,EXACT(I810,OFFSET(rngParamTypes,0,6,,1)),0)</f>
        <v>109</v>
      </c>
      <c r="O810" t="str">
        <f ca="1">IF((INDEX(rngParamTypes,$N810,7)=I810),"",1)</f>
        <v/>
      </c>
      <c r="P810">
        <f ca="1">INDEX(rngParamTypes,$N810,9)</f>
        <v>0</v>
      </c>
      <c r="Q810">
        <f ca="1">INDEX(rngParamTypes,$N810,10)</f>
        <v>1</v>
      </c>
      <c r="R810">
        <f ca="1">INDEX(rngParamTypes,$N810,11)</f>
        <v>0</v>
      </c>
      <c r="S810">
        <f ca="1">INDEX(rngParamTypes,$N810,12)</f>
        <v>0</v>
      </c>
      <c r="T810">
        <f ca="1">INDEX(rngParamTypes,$N810,13)</f>
        <v>0</v>
      </c>
      <c r="U810">
        <f ca="1">INDEX(rngParamTypes,$N810,14)</f>
        <v>0</v>
      </c>
      <c r="V810">
        <f ca="1">INDEX(rngParamTypes,$N810,15)</f>
        <v>0</v>
      </c>
      <c r="W810">
        <f ca="1">INDEX(rngParamTypes,$N810,16)</f>
        <v>0</v>
      </c>
      <c r="X810">
        <f ca="1">INDEX(rngParamTypes,$N810,17)</f>
        <v>0</v>
      </c>
      <c r="Y810">
        <f ca="1">INDEX(rngParamTypes,$N810,18)</f>
        <v>0</v>
      </c>
    </row>
    <row r="811" spans="1:25" x14ac:dyDescent="0.2">
      <c r="A811" s="16">
        <v>810</v>
      </c>
      <c r="B811" s="37">
        <v>1</v>
      </c>
      <c r="C811" s="16" t="s">
        <v>2236</v>
      </c>
      <c r="D811" s="16" t="s">
        <v>2236</v>
      </c>
      <c r="E811" s="16">
        <v>2</v>
      </c>
      <c r="F811" s="16" t="s">
        <v>3968</v>
      </c>
      <c r="G811" s="16" t="s">
        <v>277</v>
      </c>
      <c r="H811" s="16" t="s">
        <v>2235</v>
      </c>
      <c r="I811" s="16" t="s">
        <v>290</v>
      </c>
      <c r="J811" s="16">
        <v>0</v>
      </c>
      <c r="K811" s="16">
        <v>1E-3</v>
      </c>
      <c r="L811" s="16">
        <v>1</v>
      </c>
      <c r="M811" s="16">
        <v>0</v>
      </c>
      <c r="N811">
        <f t="array" aca="1" ref="N811" ca="1">MATCH(TRUE,EXACT(I811,OFFSET(rngParamTypes,0,6,,1)),0)</f>
        <v>109</v>
      </c>
      <c r="O811" t="str">
        <f ca="1">IF((INDEX(rngParamTypes,$N811,7)=I811),"",1)</f>
        <v/>
      </c>
      <c r="P811">
        <f ca="1">INDEX(rngParamTypes,$N811,9)</f>
        <v>0</v>
      </c>
      <c r="Q811">
        <f ca="1">INDEX(rngParamTypes,$N811,10)</f>
        <v>1</v>
      </c>
      <c r="R811">
        <f ca="1">INDEX(rngParamTypes,$N811,11)</f>
        <v>0</v>
      </c>
      <c r="S811">
        <f ca="1">INDEX(rngParamTypes,$N811,12)</f>
        <v>0</v>
      </c>
      <c r="T811">
        <f ca="1">INDEX(rngParamTypes,$N811,13)</f>
        <v>0</v>
      </c>
      <c r="U811">
        <f ca="1">INDEX(rngParamTypes,$N811,14)</f>
        <v>0</v>
      </c>
      <c r="V811">
        <f ca="1">INDEX(rngParamTypes,$N811,15)</f>
        <v>0</v>
      </c>
      <c r="W811">
        <f ca="1">INDEX(rngParamTypes,$N811,16)</f>
        <v>0</v>
      </c>
      <c r="X811">
        <f ca="1">INDEX(rngParamTypes,$N811,17)</f>
        <v>0</v>
      </c>
      <c r="Y811">
        <f ca="1">INDEX(rngParamTypes,$N811,18)</f>
        <v>0</v>
      </c>
    </row>
    <row r="812" spans="1:25" x14ac:dyDescent="0.2">
      <c r="A812" s="16">
        <v>811</v>
      </c>
      <c r="B812" s="37">
        <v>1</v>
      </c>
      <c r="C812" s="16" t="s">
        <v>2238</v>
      </c>
      <c r="D812" s="16" t="s">
        <v>2238</v>
      </c>
      <c r="E812" s="16">
        <v>2</v>
      </c>
      <c r="F812" s="16" t="s">
        <v>3969</v>
      </c>
      <c r="G812" s="16" t="s">
        <v>296</v>
      </c>
      <c r="H812" s="16" t="s">
        <v>2237</v>
      </c>
      <c r="I812" s="16" t="s">
        <v>297</v>
      </c>
      <c r="J812" s="16">
        <v>0</v>
      </c>
      <c r="K812" s="16">
        <v>1E-3</v>
      </c>
      <c r="L812" s="16">
        <v>31558150</v>
      </c>
      <c r="M812" s="16">
        <v>0</v>
      </c>
      <c r="N812">
        <f t="array" aca="1" ref="N812" ca="1">MATCH(TRUE,EXACT(I812,OFFSET(rngParamTypes,0,6,,1)),0)</f>
        <v>123</v>
      </c>
      <c r="O812" t="str">
        <f ca="1">IF((INDEX(rngParamTypes,$N812,7)=I812),"",1)</f>
        <v/>
      </c>
      <c r="P812">
        <f ca="1">INDEX(rngParamTypes,$N812,9)</f>
        <v>0</v>
      </c>
      <c r="Q812">
        <f ca="1">INDEX(rngParamTypes,$N812,10)</f>
        <v>1</v>
      </c>
      <c r="R812">
        <f ca="1">INDEX(rngParamTypes,$N812,11)</f>
        <v>-1</v>
      </c>
      <c r="S812">
        <f ca="1">INDEX(rngParamTypes,$N812,12)</f>
        <v>0</v>
      </c>
      <c r="T812">
        <f ca="1">INDEX(rngParamTypes,$N812,13)</f>
        <v>0</v>
      </c>
      <c r="U812">
        <f ca="1">INDEX(rngParamTypes,$N812,14)</f>
        <v>0</v>
      </c>
      <c r="V812">
        <f ca="1">INDEX(rngParamTypes,$N812,15)</f>
        <v>0</v>
      </c>
      <c r="W812">
        <f ca="1">INDEX(rngParamTypes,$N812,16)</f>
        <v>0</v>
      </c>
      <c r="X812">
        <f ca="1">INDEX(rngParamTypes,$N812,17)</f>
        <v>0</v>
      </c>
      <c r="Y812">
        <f ca="1">INDEX(rngParamTypes,$N812,18)</f>
        <v>0</v>
      </c>
    </row>
    <row r="813" spans="1:25" x14ac:dyDescent="0.2">
      <c r="A813" s="16">
        <v>812</v>
      </c>
      <c r="B813" s="37">
        <v>1</v>
      </c>
      <c r="C813" s="16" t="s">
        <v>2240</v>
      </c>
      <c r="D813" s="16" t="s">
        <v>2240</v>
      </c>
      <c r="E813" s="16"/>
      <c r="F813" s="16" t="s">
        <v>3970</v>
      </c>
      <c r="G813" s="16" t="s">
        <v>12</v>
      </c>
      <c r="H813" s="16" t="s">
        <v>2239</v>
      </c>
      <c r="I813" s="16" t="s">
        <v>13</v>
      </c>
      <c r="J813" s="16">
        <v>0</v>
      </c>
      <c r="K813" s="16">
        <v>1</v>
      </c>
      <c r="L813" s="16">
        <v>1</v>
      </c>
      <c r="M813" s="16">
        <v>0</v>
      </c>
      <c r="N813">
        <f t="array" aca="1" ref="N813" ca="1">MATCH(TRUE,EXACT(I813,OFFSET(rngParamTypes,0,6,,1)),0)</f>
        <v>2</v>
      </c>
      <c r="O813" t="str">
        <f ca="1">IF((INDEX(rngParamTypes,$N813,7)=I813),"",1)</f>
        <v/>
      </c>
      <c r="P813">
        <f ca="1">INDEX(rngParamTypes,$N813,9)</f>
        <v>0</v>
      </c>
      <c r="Q813">
        <f ca="1">INDEX(rngParamTypes,$N813,10)</f>
        <v>0</v>
      </c>
      <c r="R813">
        <f ca="1">INDEX(rngParamTypes,$N813,11)</f>
        <v>0</v>
      </c>
      <c r="S813">
        <f ca="1">INDEX(rngParamTypes,$N813,12)</f>
        <v>0</v>
      </c>
      <c r="T813">
        <f ca="1">INDEX(rngParamTypes,$N813,13)</f>
        <v>-1</v>
      </c>
      <c r="U813">
        <f ca="1">INDEX(rngParamTypes,$N813,14)</f>
        <v>0</v>
      </c>
      <c r="V813">
        <f ca="1">INDEX(rngParamTypes,$N813,15)</f>
        <v>0</v>
      </c>
      <c r="W813">
        <f ca="1">INDEX(rngParamTypes,$N813,16)</f>
        <v>0</v>
      </c>
      <c r="X813">
        <f ca="1">INDEX(rngParamTypes,$N813,17)</f>
        <v>0</v>
      </c>
      <c r="Y813">
        <f ca="1">INDEX(rngParamTypes,$N813,18)</f>
        <v>0</v>
      </c>
    </row>
    <row r="814" spans="1:25" x14ac:dyDescent="0.2">
      <c r="A814" s="16">
        <v>813</v>
      </c>
      <c r="B814" s="37">
        <v>1</v>
      </c>
      <c r="C814" s="16" t="s">
        <v>2242</v>
      </c>
      <c r="D814" s="16" t="s">
        <v>2242</v>
      </c>
      <c r="E814" s="16">
        <v>2</v>
      </c>
      <c r="F814" s="16" t="s">
        <v>3971</v>
      </c>
      <c r="G814" s="16" t="s">
        <v>296</v>
      </c>
      <c r="H814" s="16" t="s">
        <v>2241</v>
      </c>
      <c r="I814" s="16" t="s">
        <v>297</v>
      </c>
      <c r="J814" s="16">
        <v>0</v>
      </c>
      <c r="K814" s="16">
        <v>1E-3</v>
      </c>
      <c r="L814" s="16">
        <v>1</v>
      </c>
      <c r="M814" s="16">
        <v>0</v>
      </c>
      <c r="N814">
        <f t="array" aca="1" ref="N814" ca="1">MATCH(TRUE,EXACT(I814,OFFSET(rngParamTypes,0,6,,1)),0)</f>
        <v>123</v>
      </c>
      <c r="O814" t="str">
        <f ca="1">IF((INDEX(rngParamTypes,$N814,7)=I814),"",1)</f>
        <v/>
      </c>
      <c r="P814">
        <f ca="1">INDEX(rngParamTypes,$N814,9)</f>
        <v>0</v>
      </c>
      <c r="Q814">
        <f ca="1">INDEX(rngParamTypes,$N814,10)</f>
        <v>1</v>
      </c>
      <c r="R814">
        <f ca="1">INDEX(rngParamTypes,$N814,11)</f>
        <v>-1</v>
      </c>
      <c r="S814">
        <f ca="1">INDEX(rngParamTypes,$N814,12)</f>
        <v>0</v>
      </c>
      <c r="T814">
        <f ca="1">INDEX(rngParamTypes,$N814,13)</f>
        <v>0</v>
      </c>
      <c r="U814">
        <f ca="1">INDEX(rngParamTypes,$N814,14)</f>
        <v>0</v>
      </c>
      <c r="V814">
        <f ca="1">INDEX(rngParamTypes,$N814,15)</f>
        <v>0</v>
      </c>
      <c r="W814">
        <f ca="1">INDEX(rngParamTypes,$N814,16)</f>
        <v>0</v>
      </c>
      <c r="X814">
        <f ca="1">INDEX(rngParamTypes,$N814,17)</f>
        <v>0</v>
      </c>
      <c r="Y814">
        <f ca="1">INDEX(rngParamTypes,$N814,18)</f>
        <v>0</v>
      </c>
    </row>
    <row r="815" spans="1:25" x14ac:dyDescent="0.2">
      <c r="A815" s="16">
        <v>814</v>
      </c>
      <c r="B815" s="37">
        <v>1</v>
      </c>
      <c r="C815" s="16" t="s">
        <v>2244</v>
      </c>
      <c r="D815" s="16" t="s">
        <v>2244</v>
      </c>
      <c r="E815" s="16">
        <v>2</v>
      </c>
      <c r="F815" s="16" t="s">
        <v>3972</v>
      </c>
      <c r="G815" s="16" t="s">
        <v>302</v>
      </c>
      <c r="H815" s="16" t="s">
        <v>2243</v>
      </c>
      <c r="I815" s="16" t="s">
        <v>303</v>
      </c>
      <c r="J815" s="16">
        <v>0</v>
      </c>
      <c r="K815" s="16">
        <v>9.9999999999999995E-7</v>
      </c>
      <c r="L815" s="16">
        <v>1</v>
      </c>
      <c r="M815" s="16">
        <v>0</v>
      </c>
      <c r="N815">
        <f t="array" aca="1" ref="N815" ca="1">MATCH(TRUE,EXACT(I815,OFFSET(rngParamTypes,0,6,,1)),0)</f>
        <v>125</v>
      </c>
      <c r="O815" t="str">
        <f ca="1">IF((INDEX(rngParamTypes,$N815,7)=I815),"",1)</f>
        <v/>
      </c>
      <c r="P815">
        <f ca="1">INDEX(rngParamTypes,$N815,9)</f>
        <v>0</v>
      </c>
      <c r="Q815">
        <f ca="1">INDEX(rngParamTypes,$N815,10)</f>
        <v>2</v>
      </c>
      <c r="R815">
        <f ca="1">INDEX(rngParamTypes,$N815,11)</f>
        <v>0</v>
      </c>
      <c r="S815">
        <f ca="1">INDEX(rngParamTypes,$N815,12)</f>
        <v>0</v>
      </c>
      <c r="T815">
        <f ca="1">INDEX(rngParamTypes,$N815,13)</f>
        <v>0</v>
      </c>
      <c r="U815">
        <f ca="1">INDEX(rngParamTypes,$N815,14)</f>
        <v>0</v>
      </c>
      <c r="V815">
        <f ca="1">INDEX(rngParamTypes,$N815,15)</f>
        <v>0</v>
      </c>
      <c r="W815">
        <f ca="1">INDEX(rngParamTypes,$N815,16)</f>
        <v>0</v>
      </c>
      <c r="X815">
        <f ca="1">INDEX(rngParamTypes,$N815,17)</f>
        <v>0</v>
      </c>
      <c r="Y815">
        <f ca="1">INDEX(rngParamTypes,$N815,18)</f>
        <v>0</v>
      </c>
    </row>
    <row r="816" spans="1:25" x14ac:dyDescent="0.2">
      <c r="A816" s="16">
        <v>815</v>
      </c>
      <c r="B816" s="37">
        <v>1</v>
      </c>
      <c r="C816" s="16" t="s">
        <v>2246</v>
      </c>
      <c r="D816" s="16" t="s">
        <v>2246</v>
      </c>
      <c r="E816" s="16"/>
      <c r="F816" s="16" t="s">
        <v>3973</v>
      </c>
      <c r="G816" s="16" t="s">
        <v>3652</v>
      </c>
      <c r="H816" s="16" t="s">
        <v>2245</v>
      </c>
      <c r="I816" s="16" t="s">
        <v>131</v>
      </c>
      <c r="J816" s="16">
        <v>0</v>
      </c>
      <c r="K816" s="16">
        <v>1</v>
      </c>
      <c r="L816" s="16">
        <v>1</v>
      </c>
      <c r="M816" s="16">
        <v>0</v>
      </c>
      <c r="N816">
        <f t="array" aca="1" ref="N816" ca="1">MATCH(TRUE,EXACT(I816,OFFSET(rngParamTypes,0,6,,1)),0)</f>
        <v>42</v>
      </c>
      <c r="O816" t="str">
        <f ca="1">IF((INDEX(rngParamTypes,$N816,7)=I816),"",1)</f>
        <v/>
      </c>
      <c r="P816">
        <f ca="1">INDEX(rngParamTypes,$N816,9)</f>
        <v>0</v>
      </c>
      <c r="Q816">
        <f ca="1">INDEX(rngParamTypes,$N816,10)</f>
        <v>0</v>
      </c>
      <c r="R816">
        <f ca="1">INDEX(rngParamTypes,$N816,11)</f>
        <v>0</v>
      </c>
      <c r="S816">
        <f ca="1">INDEX(rngParamTypes,$N816,12)</f>
        <v>0</v>
      </c>
      <c r="T816">
        <f ca="1">INDEX(rngParamTypes,$N816,13)</f>
        <v>0</v>
      </c>
      <c r="U816">
        <f ca="1">INDEX(rngParamTypes,$N816,14)</f>
        <v>0</v>
      </c>
      <c r="V816">
        <f ca="1">INDEX(rngParamTypes,$N816,15)</f>
        <v>0</v>
      </c>
      <c r="W816">
        <f ca="1">INDEX(rngParamTypes,$N816,16)</f>
        <v>0</v>
      </c>
      <c r="X816">
        <f ca="1">INDEX(rngParamTypes,$N816,17)</f>
        <v>0</v>
      </c>
      <c r="Y816">
        <f ca="1">INDEX(rngParamTypes,$N816,18)</f>
        <v>0</v>
      </c>
    </row>
    <row r="817" spans="1:25" x14ac:dyDescent="0.2">
      <c r="A817" s="16">
        <v>816</v>
      </c>
      <c r="B817" s="37">
        <v>1</v>
      </c>
      <c r="C817" s="16" t="s">
        <v>2248</v>
      </c>
      <c r="D817" s="16" t="s">
        <v>2248</v>
      </c>
      <c r="E817" s="16">
        <v>2</v>
      </c>
      <c r="F817" s="16" t="s">
        <v>3974</v>
      </c>
      <c r="G817" s="16" t="s">
        <v>3387</v>
      </c>
      <c r="H817" s="16" t="s">
        <v>2247</v>
      </c>
      <c r="I817" s="16" t="s">
        <v>319</v>
      </c>
      <c r="J817" s="16">
        <v>0</v>
      </c>
      <c r="K817" s="16">
        <v>9.9999999999999995E-7</v>
      </c>
      <c r="L817" s="16">
        <v>1</v>
      </c>
      <c r="M817" s="16">
        <v>0</v>
      </c>
      <c r="N817">
        <f t="array" aca="1" ref="N817" ca="1">MATCH(TRUE,EXACT(I817,OFFSET(rngParamTypes,0,6,,1)),0)</f>
        <v>130</v>
      </c>
      <c r="O817" t="str">
        <f ca="1">IF((INDEX(rngParamTypes,$N817,7)=I817),"",1)</f>
        <v/>
      </c>
      <c r="P817">
        <f ca="1">INDEX(rngParamTypes,$N817,9)</f>
        <v>0</v>
      </c>
      <c r="Q817">
        <f ca="1">INDEX(rngParamTypes,$N817,10)</f>
        <v>2</v>
      </c>
      <c r="R817">
        <f ca="1">INDEX(rngParamTypes,$N817,11)</f>
        <v>-1</v>
      </c>
      <c r="S817">
        <f ca="1">INDEX(rngParamTypes,$N817,12)</f>
        <v>0</v>
      </c>
      <c r="T817">
        <f ca="1">INDEX(rngParamTypes,$N817,13)</f>
        <v>0</v>
      </c>
      <c r="U817">
        <f ca="1">INDEX(rngParamTypes,$N817,14)</f>
        <v>0</v>
      </c>
      <c r="V817">
        <f ca="1">INDEX(rngParamTypes,$N817,15)</f>
        <v>0</v>
      </c>
      <c r="W817">
        <f ca="1">INDEX(rngParamTypes,$N817,16)</f>
        <v>0</v>
      </c>
      <c r="X817">
        <f ca="1">INDEX(rngParamTypes,$N817,17)</f>
        <v>0</v>
      </c>
      <c r="Y817">
        <f ca="1">INDEX(rngParamTypes,$N817,18)</f>
        <v>0</v>
      </c>
    </row>
    <row r="818" spans="1:25" x14ac:dyDescent="0.2">
      <c r="A818" s="16">
        <v>817</v>
      </c>
      <c r="B818" s="37">
        <v>1</v>
      </c>
      <c r="C818" s="16" t="s">
        <v>2250</v>
      </c>
      <c r="D818" s="16" t="s">
        <v>2250</v>
      </c>
      <c r="E818" s="16">
        <v>2</v>
      </c>
      <c r="F818" s="16" t="s">
        <v>3975</v>
      </c>
      <c r="G818" s="16" t="s">
        <v>321</v>
      </c>
      <c r="H818" s="16" t="s">
        <v>2249</v>
      </c>
      <c r="I818" s="16" t="s">
        <v>322</v>
      </c>
      <c r="J818" s="16">
        <v>0</v>
      </c>
      <c r="K818" s="16">
        <v>1.0000000000000001E-9</v>
      </c>
      <c r="L818" s="16">
        <v>1</v>
      </c>
      <c r="M818" s="16">
        <v>0</v>
      </c>
      <c r="N818">
        <f t="array" aca="1" ref="N818" ca="1">MATCH(TRUE,EXACT(I818,OFFSET(rngParamTypes,0,6,,1)),0)</f>
        <v>134</v>
      </c>
      <c r="O818" t="str">
        <f ca="1">IF((INDEX(rngParamTypes,$N818,7)=I818),"",1)</f>
        <v/>
      </c>
      <c r="P818">
        <f ca="1">INDEX(rngParamTypes,$N818,9)</f>
        <v>0</v>
      </c>
      <c r="Q818">
        <f ca="1">INDEX(rngParamTypes,$N818,10)</f>
        <v>3</v>
      </c>
      <c r="R818">
        <f ca="1">INDEX(rngParamTypes,$N818,11)</f>
        <v>0</v>
      </c>
      <c r="S818">
        <f ca="1">INDEX(rngParamTypes,$N818,12)</f>
        <v>0</v>
      </c>
      <c r="T818">
        <f ca="1">INDEX(rngParamTypes,$N818,13)</f>
        <v>0</v>
      </c>
      <c r="U818">
        <f ca="1">INDEX(rngParamTypes,$N818,14)</f>
        <v>0</v>
      </c>
      <c r="V818">
        <f ca="1">INDEX(rngParamTypes,$N818,15)</f>
        <v>0</v>
      </c>
      <c r="W818">
        <f ca="1">INDEX(rngParamTypes,$N818,16)</f>
        <v>0</v>
      </c>
      <c r="X818">
        <f ca="1">INDEX(rngParamTypes,$N818,17)</f>
        <v>0</v>
      </c>
      <c r="Y818">
        <f ca="1">INDEX(rngParamTypes,$N818,18)</f>
        <v>0</v>
      </c>
    </row>
    <row r="819" spans="1:25" x14ac:dyDescent="0.2">
      <c r="A819" s="16">
        <v>818</v>
      </c>
      <c r="B819" s="37">
        <v>1</v>
      </c>
      <c r="C819" s="16" t="s">
        <v>2252</v>
      </c>
      <c r="D819" s="16" t="s">
        <v>2252</v>
      </c>
      <c r="E819" s="16"/>
      <c r="F819" s="16" t="s">
        <v>3976</v>
      </c>
      <c r="G819" s="16" t="s">
        <v>324</v>
      </c>
      <c r="H819" s="16" t="s">
        <v>2251</v>
      </c>
      <c r="I819" s="16" t="s">
        <v>325</v>
      </c>
      <c r="J819" s="16">
        <v>0</v>
      </c>
      <c r="K819" s="16">
        <v>1.0000000000000001E-9</v>
      </c>
      <c r="L819" s="16">
        <v>1</v>
      </c>
      <c r="M819" s="16">
        <v>0</v>
      </c>
      <c r="N819">
        <f t="array" aca="1" ref="N819" ca="1">MATCH(TRUE,EXACT(I819,OFFSET(rngParamTypes,0,6,,1)),0)</f>
        <v>135</v>
      </c>
      <c r="O819" t="str">
        <f ca="1">IF((INDEX(rngParamTypes,$N819,7)=I819),"",1)</f>
        <v/>
      </c>
      <c r="P819">
        <f ca="1">INDEX(rngParamTypes,$N819,9)</f>
        <v>-1</v>
      </c>
      <c r="Q819">
        <f ca="1">INDEX(rngParamTypes,$N819,10)</f>
        <v>1</v>
      </c>
      <c r="R819">
        <f ca="1">INDEX(rngParamTypes,$N819,11)</f>
        <v>2</v>
      </c>
      <c r="S819">
        <f ca="1">INDEX(rngParamTypes,$N819,12)</f>
        <v>0</v>
      </c>
      <c r="T819">
        <f ca="1">INDEX(rngParamTypes,$N819,13)</f>
        <v>0</v>
      </c>
      <c r="U819">
        <f ca="1">INDEX(rngParamTypes,$N819,14)</f>
        <v>0</v>
      </c>
      <c r="V819">
        <f ca="1">INDEX(rngParamTypes,$N819,15)</f>
        <v>0</v>
      </c>
      <c r="W819">
        <f ca="1">INDEX(rngParamTypes,$N819,16)</f>
        <v>0</v>
      </c>
      <c r="X819">
        <f ca="1">INDEX(rngParamTypes,$N819,17)</f>
        <v>0</v>
      </c>
      <c r="Y819">
        <f ca="1">INDEX(rngParamTypes,$N819,18)</f>
        <v>0</v>
      </c>
    </row>
    <row r="820" spans="1:25" x14ac:dyDescent="0.2">
      <c r="A820" s="16">
        <v>819</v>
      </c>
      <c r="B820" s="37">
        <v>1</v>
      </c>
      <c r="C820" s="16" t="s">
        <v>2254</v>
      </c>
      <c r="D820" s="16" t="s">
        <v>2254</v>
      </c>
      <c r="E820" s="16">
        <v>2</v>
      </c>
      <c r="F820" s="16" t="s">
        <v>3977</v>
      </c>
      <c r="G820" s="16" t="s">
        <v>321</v>
      </c>
      <c r="H820" s="16" t="s">
        <v>2253</v>
      </c>
      <c r="I820" s="16" t="s">
        <v>322</v>
      </c>
      <c r="J820" s="16">
        <v>0</v>
      </c>
      <c r="K820" s="16">
        <v>158987.29999999999</v>
      </c>
      <c r="L820" s="16">
        <v>1</v>
      </c>
      <c r="M820" s="16">
        <v>0</v>
      </c>
      <c r="N820">
        <f t="array" aca="1" ref="N820" ca="1">MATCH(TRUE,EXACT(I820,OFFSET(rngParamTypes,0,6,,1)),0)</f>
        <v>134</v>
      </c>
      <c r="O820" t="str">
        <f ca="1">IF((INDEX(rngParamTypes,$N820,7)=I820),"",1)</f>
        <v/>
      </c>
      <c r="P820">
        <f ca="1">INDEX(rngParamTypes,$N820,9)</f>
        <v>0</v>
      </c>
      <c r="Q820">
        <f ca="1">INDEX(rngParamTypes,$N820,10)</f>
        <v>3</v>
      </c>
      <c r="R820">
        <f ca="1">INDEX(rngParamTypes,$N820,11)</f>
        <v>0</v>
      </c>
      <c r="S820">
        <f ca="1">INDEX(rngParamTypes,$N820,12)</f>
        <v>0</v>
      </c>
      <c r="T820">
        <f ca="1">INDEX(rngParamTypes,$N820,13)</f>
        <v>0</v>
      </c>
      <c r="U820">
        <f ca="1">INDEX(rngParamTypes,$N820,14)</f>
        <v>0</v>
      </c>
      <c r="V820">
        <f ca="1">INDEX(rngParamTypes,$N820,15)</f>
        <v>0</v>
      </c>
      <c r="W820">
        <f ca="1">INDEX(rngParamTypes,$N820,16)</f>
        <v>0</v>
      </c>
      <c r="X820">
        <f ca="1">INDEX(rngParamTypes,$N820,17)</f>
        <v>0</v>
      </c>
      <c r="Y820">
        <f ca="1">INDEX(rngParamTypes,$N820,18)</f>
        <v>0</v>
      </c>
    </row>
    <row r="821" spans="1:25" x14ac:dyDescent="0.2">
      <c r="A821" s="16">
        <v>820</v>
      </c>
      <c r="B821" s="37">
        <v>1</v>
      </c>
      <c r="C821" s="16" t="s">
        <v>2256</v>
      </c>
      <c r="D821" s="16" t="s">
        <v>2256</v>
      </c>
      <c r="E821" s="16"/>
      <c r="F821" s="16" t="s">
        <v>3978</v>
      </c>
      <c r="G821" s="16" t="s">
        <v>659</v>
      </c>
      <c r="H821" s="16" t="s">
        <v>2255</v>
      </c>
      <c r="I821" s="16" t="s">
        <v>131</v>
      </c>
      <c r="J821" s="16">
        <v>0</v>
      </c>
      <c r="K821" s="16">
        <v>158987.29999999999</v>
      </c>
      <c r="L821" s="16">
        <v>1233.489</v>
      </c>
      <c r="M821" s="16">
        <v>0</v>
      </c>
      <c r="N821">
        <f t="array" aca="1" ref="N821" ca="1">MATCH(TRUE,EXACT(I821,OFFSET(rngParamTypes,0,6,,1)),0)</f>
        <v>42</v>
      </c>
      <c r="O821" t="str">
        <f ca="1">IF((INDEX(rngParamTypes,$N821,7)=I821),"",1)</f>
        <v/>
      </c>
      <c r="P821">
        <f ca="1">INDEX(rngParamTypes,$N821,9)</f>
        <v>0</v>
      </c>
      <c r="Q821">
        <f ca="1">INDEX(rngParamTypes,$N821,10)</f>
        <v>0</v>
      </c>
      <c r="R821">
        <f ca="1">INDEX(rngParamTypes,$N821,11)</f>
        <v>0</v>
      </c>
      <c r="S821">
        <f ca="1">INDEX(rngParamTypes,$N821,12)</f>
        <v>0</v>
      </c>
      <c r="T821">
        <f ca="1">INDEX(rngParamTypes,$N821,13)</f>
        <v>0</v>
      </c>
      <c r="U821">
        <f ca="1">INDEX(rngParamTypes,$N821,14)</f>
        <v>0</v>
      </c>
      <c r="V821">
        <f ca="1">INDEX(rngParamTypes,$N821,15)</f>
        <v>0</v>
      </c>
      <c r="W821">
        <f ca="1">INDEX(rngParamTypes,$N821,16)</f>
        <v>0</v>
      </c>
      <c r="X821">
        <f ca="1">INDEX(rngParamTypes,$N821,17)</f>
        <v>0</v>
      </c>
      <c r="Y821">
        <f ca="1">INDEX(rngParamTypes,$N821,18)</f>
        <v>0</v>
      </c>
    </row>
    <row r="822" spans="1:25" x14ac:dyDescent="0.2">
      <c r="A822" s="16">
        <v>821</v>
      </c>
      <c r="B822" s="37">
        <v>1</v>
      </c>
      <c r="C822" s="16" t="s">
        <v>2257</v>
      </c>
      <c r="D822" s="16" t="s">
        <v>2257</v>
      </c>
      <c r="E822" s="16">
        <v>2</v>
      </c>
      <c r="F822" s="16" t="s">
        <v>3979</v>
      </c>
      <c r="G822" s="16" t="s">
        <v>321</v>
      </c>
      <c r="H822" s="16" t="s">
        <v>1946</v>
      </c>
      <c r="I822" s="16" t="s">
        <v>322</v>
      </c>
      <c r="J822" s="16">
        <v>0</v>
      </c>
      <c r="K822" s="16">
        <v>28316.85</v>
      </c>
      <c r="L822" s="16">
        <v>1</v>
      </c>
      <c r="M822" s="16">
        <v>0</v>
      </c>
      <c r="N822">
        <f t="array" aca="1" ref="N822" ca="1">MATCH(TRUE,EXACT(I822,OFFSET(rngParamTypes,0,6,,1)),0)</f>
        <v>134</v>
      </c>
      <c r="O822" t="str">
        <f ca="1">IF((INDEX(rngParamTypes,$N822,7)=I822),"",1)</f>
        <v/>
      </c>
      <c r="P822">
        <f ca="1">INDEX(rngParamTypes,$N822,9)</f>
        <v>0</v>
      </c>
      <c r="Q822">
        <f ca="1">INDEX(rngParamTypes,$N822,10)</f>
        <v>3</v>
      </c>
      <c r="R822">
        <f ca="1">INDEX(rngParamTypes,$N822,11)</f>
        <v>0</v>
      </c>
      <c r="S822">
        <f ca="1">INDEX(rngParamTypes,$N822,12)</f>
        <v>0</v>
      </c>
      <c r="T822">
        <f ca="1">INDEX(rngParamTypes,$N822,13)</f>
        <v>0</v>
      </c>
      <c r="U822">
        <f ca="1">INDEX(rngParamTypes,$N822,14)</f>
        <v>0</v>
      </c>
      <c r="V822">
        <f ca="1">INDEX(rngParamTypes,$N822,15)</f>
        <v>0</v>
      </c>
      <c r="W822">
        <f ca="1">INDEX(rngParamTypes,$N822,16)</f>
        <v>0</v>
      </c>
      <c r="X822">
        <f ca="1">INDEX(rngParamTypes,$N822,17)</f>
        <v>0</v>
      </c>
      <c r="Y822">
        <f ca="1">INDEX(rngParamTypes,$N822,18)</f>
        <v>0</v>
      </c>
    </row>
    <row r="823" spans="1:25" x14ac:dyDescent="0.2">
      <c r="A823" s="16">
        <v>822</v>
      </c>
      <c r="B823" s="37">
        <v>1</v>
      </c>
      <c r="C823" s="16" t="s">
        <v>2259</v>
      </c>
      <c r="D823" s="16" t="s">
        <v>2259</v>
      </c>
      <c r="E823" s="16">
        <v>2</v>
      </c>
      <c r="F823" s="16" t="s">
        <v>4325</v>
      </c>
      <c r="G823" s="16" t="s">
        <v>3270</v>
      </c>
      <c r="H823" s="16" t="s">
        <v>2258</v>
      </c>
      <c r="I823" s="16" t="s">
        <v>416</v>
      </c>
      <c r="J823" s="16">
        <v>0</v>
      </c>
      <c r="K823" s="16">
        <v>133.32239999999999</v>
      </c>
      <c r="L823" s="16">
        <v>1</v>
      </c>
      <c r="M823" s="16">
        <v>0</v>
      </c>
      <c r="N823">
        <f t="array" aca="1" ref="N823" ca="1">MATCH(TRUE,EXACT(I823,OFFSET(rngParamTypes,0,6,,1)),0)</f>
        <v>167</v>
      </c>
      <c r="O823" t="str">
        <f ca="1">IF((INDEX(rngParamTypes,$N823,7)=I823),"",1)</f>
        <v/>
      </c>
      <c r="P823">
        <f ca="1">INDEX(rngParamTypes,$N823,9)</f>
        <v>1</v>
      </c>
      <c r="Q823">
        <f ca="1">INDEX(rngParamTypes,$N823,10)</f>
        <v>-1</v>
      </c>
      <c r="R823">
        <f ca="1">INDEX(rngParamTypes,$N823,11)</f>
        <v>-2</v>
      </c>
      <c r="S823">
        <f ca="1">INDEX(rngParamTypes,$N823,12)</f>
        <v>0</v>
      </c>
      <c r="T823">
        <f ca="1">INDEX(rngParamTypes,$N823,13)</f>
        <v>0</v>
      </c>
      <c r="U823">
        <f ca="1">INDEX(rngParamTypes,$N823,14)</f>
        <v>0</v>
      </c>
      <c r="V823">
        <f ca="1">INDEX(rngParamTypes,$N823,15)</f>
        <v>0</v>
      </c>
      <c r="W823">
        <f ca="1">INDEX(rngParamTypes,$N823,16)</f>
        <v>0</v>
      </c>
      <c r="X823">
        <f ca="1">INDEX(rngParamTypes,$N823,17)</f>
        <v>0</v>
      </c>
      <c r="Y823">
        <f ca="1">INDEX(rngParamTypes,$N823,18)</f>
        <v>0</v>
      </c>
    </row>
    <row r="824" spans="1:25" x14ac:dyDescent="0.2">
      <c r="A824" s="16">
        <v>823</v>
      </c>
      <c r="B824" s="37">
        <v>1</v>
      </c>
      <c r="C824" s="16" t="s">
        <v>2261</v>
      </c>
      <c r="D824" s="16" t="s">
        <v>2261</v>
      </c>
      <c r="E824" s="16"/>
      <c r="F824" s="16" t="s">
        <v>3980</v>
      </c>
      <c r="G824" s="16" t="s">
        <v>473</v>
      </c>
      <c r="H824" s="16" t="s">
        <v>2260</v>
      </c>
      <c r="I824" s="16" t="s">
        <v>474</v>
      </c>
      <c r="J824" s="16">
        <v>0</v>
      </c>
      <c r="K824" s="16">
        <v>1E-3</v>
      </c>
      <c r="L824" s="16">
        <v>1</v>
      </c>
      <c r="M824" s="16">
        <v>0</v>
      </c>
      <c r="N824">
        <f t="array" aca="1" ref="N824" ca="1">MATCH(TRUE,EXACT(I824,OFFSET(rngParamTypes,0,6,,1)),0)</f>
        <v>191</v>
      </c>
      <c r="O824" t="str">
        <f ca="1">IF((INDEX(rngParamTypes,$N824,7)=I824),"",1)</f>
        <v/>
      </c>
      <c r="P824">
        <f ca="1">INDEX(rngParamTypes,$N824,9)</f>
        <v>-1</v>
      </c>
      <c r="Q824">
        <f ca="1">INDEX(rngParamTypes,$N824,10)</f>
        <v>-3</v>
      </c>
      <c r="R824">
        <f ca="1">INDEX(rngParamTypes,$N824,11)</f>
        <v>3</v>
      </c>
      <c r="S824">
        <f ca="1">INDEX(rngParamTypes,$N824,12)</f>
        <v>2</v>
      </c>
      <c r="T824">
        <f ca="1">INDEX(rngParamTypes,$N824,13)</f>
        <v>0</v>
      </c>
      <c r="U824">
        <f ca="1">INDEX(rngParamTypes,$N824,14)</f>
        <v>0</v>
      </c>
      <c r="V824">
        <f ca="1">INDEX(rngParamTypes,$N824,15)</f>
        <v>0</v>
      </c>
      <c r="W824">
        <f ca="1">INDEX(rngParamTypes,$N824,16)</f>
        <v>0</v>
      </c>
      <c r="X824">
        <f ca="1">INDEX(rngParamTypes,$N824,17)</f>
        <v>0</v>
      </c>
      <c r="Y824">
        <f ca="1">INDEX(rngParamTypes,$N824,18)</f>
        <v>0</v>
      </c>
    </row>
    <row r="825" spans="1:25" x14ac:dyDescent="0.2">
      <c r="A825" s="16">
        <v>824</v>
      </c>
      <c r="B825" s="37">
        <v>1</v>
      </c>
      <c r="C825" s="16" t="s">
        <v>2263</v>
      </c>
      <c r="D825" s="16" t="s">
        <v>2263</v>
      </c>
      <c r="E825" s="16">
        <v>2</v>
      </c>
      <c r="F825" s="16" t="s">
        <v>3981</v>
      </c>
      <c r="G825" s="16" t="s">
        <v>361</v>
      </c>
      <c r="H825" s="16" t="s">
        <v>2262</v>
      </c>
      <c r="I825" s="16" t="s">
        <v>362</v>
      </c>
      <c r="J825" s="16">
        <v>0</v>
      </c>
      <c r="K825" s="16">
        <v>1E-3</v>
      </c>
      <c r="L825" s="16">
        <v>1</v>
      </c>
      <c r="M825" s="16">
        <v>0</v>
      </c>
      <c r="N825">
        <f t="array" aca="1" ref="N825" ca="1">MATCH(TRUE,EXACT(I825,OFFSET(rngParamTypes,0,6,,1)),0)</f>
        <v>148</v>
      </c>
      <c r="O825" t="str">
        <f ca="1">IF((INDEX(rngParamTypes,$N825,7)=I825),"",1)</f>
        <v/>
      </c>
      <c r="P825">
        <f ca="1">INDEX(rngParamTypes,$N825,9)</f>
        <v>0</v>
      </c>
      <c r="Q825">
        <f ca="1">INDEX(rngParamTypes,$N825,10)</f>
        <v>0</v>
      </c>
      <c r="R825">
        <f ca="1">INDEX(rngParamTypes,$N825,11)</f>
        <v>0</v>
      </c>
      <c r="S825">
        <f ca="1">INDEX(rngParamTypes,$N825,12)</f>
        <v>0</v>
      </c>
      <c r="T825">
        <f ca="1">INDEX(rngParamTypes,$N825,13)</f>
        <v>0</v>
      </c>
      <c r="U825">
        <f ca="1">INDEX(rngParamTypes,$N825,14)</f>
        <v>1</v>
      </c>
      <c r="V825">
        <f ca="1">INDEX(rngParamTypes,$N825,15)</f>
        <v>0</v>
      </c>
      <c r="W825">
        <f ca="1">INDEX(rngParamTypes,$N825,16)</f>
        <v>0</v>
      </c>
      <c r="X825">
        <f ca="1">INDEX(rngParamTypes,$N825,17)</f>
        <v>0</v>
      </c>
      <c r="Y825">
        <f ca="1">INDEX(rngParamTypes,$N825,18)</f>
        <v>0</v>
      </c>
    </row>
    <row r="826" spans="1:25" x14ac:dyDescent="0.2">
      <c r="A826" s="16">
        <v>825</v>
      </c>
      <c r="B826" s="37">
        <v>1</v>
      </c>
      <c r="C826" s="16" t="s">
        <v>2265</v>
      </c>
      <c r="D826" s="16" t="s">
        <v>2265</v>
      </c>
      <c r="E826" s="16"/>
      <c r="F826" s="16" t="s">
        <v>4326</v>
      </c>
      <c r="G826" s="16" t="s">
        <v>484</v>
      </c>
      <c r="H826" s="16" t="s">
        <v>2264</v>
      </c>
      <c r="I826" s="16" t="s">
        <v>494</v>
      </c>
      <c r="J826" s="16">
        <v>0</v>
      </c>
      <c r="K826" s="16">
        <v>28262.357</v>
      </c>
      <c r="L826" s="16">
        <v>1</v>
      </c>
      <c r="M826" s="16">
        <v>0</v>
      </c>
      <c r="N826">
        <f t="array" aca="1" ref="N826" ca="1">MATCH(TRUE,EXACT(I826,OFFSET(rngParamTypes,0,6,,1)),0)</f>
        <v>199</v>
      </c>
      <c r="O826" t="str">
        <f ca="1">IF((INDEX(rngParamTypes,$N826,7)=I826),"",1)</f>
        <v/>
      </c>
      <c r="P826">
        <f ca="1">INDEX(rngParamTypes,$N826,9)</f>
        <v>0</v>
      </c>
      <c r="Q826">
        <f ca="1">INDEX(rngParamTypes,$N826,10)</f>
        <v>3</v>
      </c>
      <c r="R826">
        <f ca="1">INDEX(rngParamTypes,$N826,11)</f>
        <v>0</v>
      </c>
      <c r="S826">
        <f ca="1">INDEX(rngParamTypes,$N826,12)</f>
        <v>0</v>
      </c>
      <c r="T826">
        <f ca="1">INDEX(rngParamTypes,$N826,13)</f>
        <v>0</v>
      </c>
      <c r="U826">
        <f ca="1">INDEX(rngParamTypes,$N826,14)</f>
        <v>0</v>
      </c>
      <c r="V826">
        <f ca="1">INDEX(rngParamTypes,$N826,15)</f>
        <v>0</v>
      </c>
      <c r="W826">
        <f ca="1">INDEX(rngParamTypes,$N826,16)</f>
        <v>0</v>
      </c>
      <c r="X826">
        <f ca="1">INDEX(rngParamTypes,$N826,17)</f>
        <v>0</v>
      </c>
      <c r="Y826">
        <f ca="1">INDEX(rngParamTypes,$N826,18)</f>
        <v>0</v>
      </c>
    </row>
    <row r="827" spans="1:25" x14ac:dyDescent="0.2">
      <c r="A827" s="16">
        <v>826</v>
      </c>
      <c r="B827" s="37">
        <v>1</v>
      </c>
      <c r="C827" s="16" t="s">
        <v>2267</v>
      </c>
      <c r="D827" s="16" t="s">
        <v>2267</v>
      </c>
      <c r="E827" s="16"/>
      <c r="F827" s="16" t="s">
        <v>4327</v>
      </c>
      <c r="G827" s="16" t="s">
        <v>501</v>
      </c>
      <c r="H827" s="16" t="s">
        <v>2266</v>
      </c>
      <c r="I827" s="16" t="s">
        <v>502</v>
      </c>
      <c r="J827" s="16">
        <v>0</v>
      </c>
      <c r="K827" s="16">
        <v>28262.357</v>
      </c>
      <c r="L827" s="16">
        <v>86400</v>
      </c>
      <c r="M827" s="16">
        <v>0</v>
      </c>
      <c r="N827">
        <f t="array" aca="1" ref="N827" ca="1">MATCH(TRUE,EXACT(I827,OFFSET(rngParamTypes,0,6,,1)),0)</f>
        <v>202</v>
      </c>
      <c r="O827" t="str">
        <f ca="1">IF((INDEX(rngParamTypes,$N827,7)=I827),"",1)</f>
        <v/>
      </c>
      <c r="P827">
        <f ca="1">INDEX(rngParamTypes,$N827,9)</f>
        <v>0</v>
      </c>
      <c r="Q827">
        <f ca="1">INDEX(rngParamTypes,$N827,10)</f>
        <v>3</v>
      </c>
      <c r="R827">
        <f ca="1">INDEX(rngParamTypes,$N827,11)</f>
        <v>-1</v>
      </c>
      <c r="S827">
        <f ca="1">INDEX(rngParamTypes,$N827,12)</f>
        <v>0</v>
      </c>
      <c r="T827">
        <f ca="1">INDEX(rngParamTypes,$N827,13)</f>
        <v>0</v>
      </c>
      <c r="U827">
        <f ca="1">INDEX(rngParamTypes,$N827,14)</f>
        <v>0</v>
      </c>
      <c r="V827">
        <f ca="1">INDEX(rngParamTypes,$N827,15)</f>
        <v>0</v>
      </c>
      <c r="W827">
        <f ca="1">INDEX(rngParamTypes,$N827,16)</f>
        <v>0</v>
      </c>
      <c r="X827">
        <f ca="1">INDEX(rngParamTypes,$N827,17)</f>
        <v>0</v>
      </c>
      <c r="Y827">
        <f ca="1">INDEX(rngParamTypes,$N827,18)</f>
        <v>0</v>
      </c>
    </row>
    <row r="828" spans="1:25" x14ac:dyDescent="0.2">
      <c r="A828" s="16">
        <v>827</v>
      </c>
      <c r="B828" s="37">
        <v>1</v>
      </c>
      <c r="C828" s="16" t="s">
        <v>2269</v>
      </c>
      <c r="D828" s="16" t="s">
        <v>2269</v>
      </c>
      <c r="E828" s="16"/>
      <c r="F828" s="16" t="s">
        <v>4328</v>
      </c>
      <c r="G828" s="16" t="s">
        <v>659</v>
      </c>
      <c r="H828" s="16" t="s">
        <v>2268</v>
      </c>
      <c r="I828" s="16" t="s">
        <v>131</v>
      </c>
      <c r="J828" s="16">
        <v>0</v>
      </c>
      <c r="K828" s="16">
        <v>28262.357</v>
      </c>
      <c r="L828" s="16">
        <v>0.1589873</v>
      </c>
      <c r="M828" s="16">
        <v>0</v>
      </c>
      <c r="N828">
        <f t="array" aca="1" ref="N828" ca="1">MATCH(TRUE,EXACT(I828,OFFSET(rngParamTypes,0,6,,1)),0)</f>
        <v>42</v>
      </c>
      <c r="O828" t="str">
        <f ca="1">IF((INDEX(rngParamTypes,$N828,7)=I828),"",1)</f>
        <v/>
      </c>
      <c r="P828">
        <f ca="1">INDEX(rngParamTypes,$N828,9)</f>
        <v>0</v>
      </c>
      <c r="Q828">
        <f ca="1">INDEX(rngParamTypes,$N828,10)</f>
        <v>0</v>
      </c>
      <c r="R828">
        <f ca="1">INDEX(rngParamTypes,$N828,11)</f>
        <v>0</v>
      </c>
      <c r="S828">
        <f ca="1">INDEX(rngParamTypes,$N828,12)</f>
        <v>0</v>
      </c>
      <c r="T828">
        <f ca="1">INDEX(rngParamTypes,$N828,13)</f>
        <v>0</v>
      </c>
      <c r="U828">
        <f ca="1">INDEX(rngParamTypes,$N828,14)</f>
        <v>0</v>
      </c>
      <c r="V828">
        <f ca="1">INDEX(rngParamTypes,$N828,15)</f>
        <v>0</v>
      </c>
      <c r="W828">
        <f ca="1">INDEX(rngParamTypes,$N828,16)</f>
        <v>0</v>
      </c>
      <c r="X828">
        <f ca="1">INDEX(rngParamTypes,$N828,17)</f>
        <v>0</v>
      </c>
      <c r="Y828">
        <f ca="1">INDEX(rngParamTypes,$N828,18)</f>
        <v>0</v>
      </c>
    </row>
    <row r="829" spans="1:25" x14ac:dyDescent="0.2">
      <c r="A829" s="16">
        <v>828</v>
      </c>
      <c r="B829" s="37">
        <v>1</v>
      </c>
      <c r="C829" s="16" t="s">
        <v>2271</v>
      </c>
      <c r="D829" s="16" t="s">
        <v>2271</v>
      </c>
      <c r="E829" s="16"/>
      <c r="F829" s="16" t="s">
        <v>4329</v>
      </c>
      <c r="G829" s="16" t="s">
        <v>484</v>
      </c>
      <c r="H829" s="16" t="s">
        <v>2270</v>
      </c>
      <c r="I829" s="16" t="s">
        <v>494</v>
      </c>
      <c r="J829" s="16">
        <v>0</v>
      </c>
      <c r="K829" s="16">
        <v>1000000</v>
      </c>
      <c r="L829" s="16">
        <v>1</v>
      </c>
      <c r="M829" s="16">
        <v>0</v>
      </c>
      <c r="N829">
        <f t="array" aca="1" ref="N829" ca="1">MATCH(TRUE,EXACT(I829,OFFSET(rngParamTypes,0,6,,1)),0)</f>
        <v>199</v>
      </c>
      <c r="O829" t="str">
        <f ca="1">IF((INDEX(rngParamTypes,$N829,7)=I829),"",1)</f>
        <v/>
      </c>
      <c r="P829">
        <f ca="1">INDEX(rngParamTypes,$N829,9)</f>
        <v>0</v>
      </c>
      <c r="Q829">
        <f ca="1">INDEX(rngParamTypes,$N829,10)</f>
        <v>3</v>
      </c>
      <c r="R829">
        <f ca="1">INDEX(rngParamTypes,$N829,11)</f>
        <v>0</v>
      </c>
      <c r="S829">
        <f ca="1">INDEX(rngParamTypes,$N829,12)</f>
        <v>0</v>
      </c>
      <c r="T829">
        <f ca="1">INDEX(rngParamTypes,$N829,13)</f>
        <v>0</v>
      </c>
      <c r="U829">
        <f ca="1">INDEX(rngParamTypes,$N829,14)</f>
        <v>0</v>
      </c>
      <c r="V829">
        <f ca="1">INDEX(rngParamTypes,$N829,15)</f>
        <v>0</v>
      </c>
      <c r="W829">
        <f ca="1">INDEX(rngParamTypes,$N829,16)</f>
        <v>0</v>
      </c>
      <c r="X829">
        <f ca="1">INDEX(rngParamTypes,$N829,17)</f>
        <v>0</v>
      </c>
      <c r="Y829">
        <f ca="1">INDEX(rngParamTypes,$N829,18)</f>
        <v>0</v>
      </c>
    </row>
    <row r="830" spans="1:25" x14ac:dyDescent="0.2">
      <c r="A830" s="16">
        <v>829</v>
      </c>
      <c r="B830" s="37">
        <v>1</v>
      </c>
      <c r="C830" s="16" t="s">
        <v>2273</v>
      </c>
      <c r="D830" s="16" t="s">
        <v>2273</v>
      </c>
      <c r="E830" s="16"/>
      <c r="F830" s="16" t="s">
        <v>4330</v>
      </c>
      <c r="G830" s="16" t="s">
        <v>501</v>
      </c>
      <c r="H830" s="16" t="s">
        <v>2272</v>
      </c>
      <c r="I830" s="16" t="s">
        <v>502</v>
      </c>
      <c r="J830" s="16">
        <v>0</v>
      </c>
      <c r="K830" s="16">
        <v>1000000</v>
      </c>
      <c r="L830" s="16">
        <v>86400</v>
      </c>
      <c r="M830" s="16">
        <v>0</v>
      </c>
      <c r="N830">
        <f t="array" aca="1" ref="N830" ca="1">MATCH(TRUE,EXACT(I830,OFFSET(rngParamTypes,0,6,,1)),0)</f>
        <v>202</v>
      </c>
      <c r="O830" t="str">
        <f ca="1">IF((INDEX(rngParamTypes,$N830,7)=I830),"",1)</f>
        <v/>
      </c>
      <c r="P830">
        <f ca="1">INDEX(rngParamTypes,$N830,9)</f>
        <v>0</v>
      </c>
      <c r="Q830">
        <f ca="1">INDEX(rngParamTypes,$N830,10)</f>
        <v>3</v>
      </c>
      <c r="R830">
        <f ca="1">INDEX(rngParamTypes,$N830,11)</f>
        <v>-1</v>
      </c>
      <c r="S830">
        <f ca="1">INDEX(rngParamTypes,$N830,12)</f>
        <v>0</v>
      </c>
      <c r="T830">
        <f ca="1">INDEX(rngParamTypes,$N830,13)</f>
        <v>0</v>
      </c>
      <c r="U830">
        <f ca="1">INDEX(rngParamTypes,$N830,14)</f>
        <v>0</v>
      </c>
      <c r="V830">
        <f ca="1">INDEX(rngParamTypes,$N830,15)</f>
        <v>0</v>
      </c>
      <c r="W830">
        <f ca="1">INDEX(rngParamTypes,$N830,16)</f>
        <v>0</v>
      </c>
      <c r="X830">
        <f ca="1">INDEX(rngParamTypes,$N830,17)</f>
        <v>0</v>
      </c>
      <c r="Y830">
        <f ca="1">INDEX(rngParamTypes,$N830,18)</f>
        <v>0</v>
      </c>
    </row>
    <row r="831" spans="1:25" x14ac:dyDescent="0.2">
      <c r="A831" s="16">
        <v>830</v>
      </c>
      <c r="B831" s="37">
        <v>1</v>
      </c>
      <c r="C831" s="16" t="s">
        <v>2275</v>
      </c>
      <c r="D831" s="16" t="s">
        <v>2275</v>
      </c>
      <c r="E831" s="16"/>
      <c r="F831" s="16" t="s">
        <v>4331</v>
      </c>
      <c r="G831" s="16" t="s">
        <v>484</v>
      </c>
      <c r="H831" s="16" t="s">
        <v>2274</v>
      </c>
      <c r="I831" s="16" t="s">
        <v>494</v>
      </c>
      <c r="J831" s="16">
        <v>0</v>
      </c>
      <c r="K831" s="16">
        <v>158987.29999999999</v>
      </c>
      <c r="L831" s="16">
        <v>1</v>
      </c>
      <c r="M831" s="16">
        <v>0</v>
      </c>
      <c r="N831">
        <f t="array" aca="1" ref="N831" ca="1">MATCH(TRUE,EXACT(I831,OFFSET(rngParamTypes,0,6,,1)),0)</f>
        <v>199</v>
      </c>
      <c r="O831" t="str">
        <f ca="1">IF((INDEX(rngParamTypes,$N831,7)=I831),"",1)</f>
        <v/>
      </c>
      <c r="P831">
        <f ca="1">INDEX(rngParamTypes,$N831,9)</f>
        <v>0</v>
      </c>
      <c r="Q831">
        <f ca="1">INDEX(rngParamTypes,$N831,10)</f>
        <v>3</v>
      </c>
      <c r="R831">
        <f ca="1">INDEX(rngParamTypes,$N831,11)</f>
        <v>0</v>
      </c>
      <c r="S831">
        <f ca="1">INDEX(rngParamTypes,$N831,12)</f>
        <v>0</v>
      </c>
      <c r="T831">
        <f ca="1">INDEX(rngParamTypes,$N831,13)</f>
        <v>0</v>
      </c>
      <c r="U831">
        <f ca="1">INDEX(rngParamTypes,$N831,14)</f>
        <v>0</v>
      </c>
      <c r="V831">
        <f ca="1">INDEX(rngParamTypes,$N831,15)</f>
        <v>0</v>
      </c>
      <c r="W831">
        <f ca="1">INDEX(rngParamTypes,$N831,16)</f>
        <v>0</v>
      </c>
      <c r="X831">
        <f ca="1">INDEX(rngParamTypes,$N831,17)</f>
        <v>0</v>
      </c>
      <c r="Y831">
        <f ca="1">INDEX(rngParamTypes,$N831,18)</f>
        <v>0</v>
      </c>
    </row>
    <row r="832" spans="1:25" x14ac:dyDescent="0.2">
      <c r="A832" s="16">
        <v>831</v>
      </c>
      <c r="B832" s="37">
        <v>1</v>
      </c>
      <c r="C832" s="16" t="s">
        <v>2277</v>
      </c>
      <c r="D832" s="16" t="s">
        <v>2277</v>
      </c>
      <c r="E832" s="16"/>
      <c r="F832" s="16" t="s">
        <v>4332</v>
      </c>
      <c r="G832" s="16" t="s">
        <v>501</v>
      </c>
      <c r="H832" s="16" t="s">
        <v>2276</v>
      </c>
      <c r="I832" s="16" t="s">
        <v>502</v>
      </c>
      <c r="J832" s="16">
        <v>0</v>
      </c>
      <c r="K832" s="16">
        <v>158987.29999999999</v>
      </c>
      <c r="L832" s="16">
        <v>86400</v>
      </c>
      <c r="M832" s="16">
        <v>0</v>
      </c>
      <c r="N832">
        <f t="array" aca="1" ref="N832" ca="1">MATCH(TRUE,EXACT(I832,OFFSET(rngParamTypes,0,6,,1)),0)</f>
        <v>202</v>
      </c>
      <c r="O832" t="str">
        <f ca="1">IF((INDEX(rngParamTypes,$N832,7)=I832),"",1)</f>
        <v/>
      </c>
      <c r="P832">
        <f ca="1">INDEX(rngParamTypes,$N832,9)</f>
        <v>0</v>
      </c>
      <c r="Q832">
        <f ca="1">INDEX(rngParamTypes,$N832,10)</f>
        <v>3</v>
      </c>
      <c r="R832">
        <f ca="1">INDEX(rngParamTypes,$N832,11)</f>
        <v>-1</v>
      </c>
      <c r="S832">
        <f ca="1">INDEX(rngParamTypes,$N832,12)</f>
        <v>0</v>
      </c>
      <c r="T832">
        <f ca="1">INDEX(rngParamTypes,$N832,13)</f>
        <v>0</v>
      </c>
      <c r="U832">
        <f ca="1">INDEX(rngParamTypes,$N832,14)</f>
        <v>0</v>
      </c>
      <c r="V832">
        <f ca="1">INDEX(rngParamTypes,$N832,15)</f>
        <v>0</v>
      </c>
      <c r="W832">
        <f ca="1">INDEX(rngParamTypes,$N832,16)</f>
        <v>0</v>
      </c>
      <c r="X832">
        <f ca="1">INDEX(rngParamTypes,$N832,17)</f>
        <v>0</v>
      </c>
      <c r="Y832">
        <f ca="1">INDEX(rngParamTypes,$N832,18)</f>
        <v>0</v>
      </c>
    </row>
    <row r="833" spans="1:25" x14ac:dyDescent="0.2">
      <c r="A833" s="16">
        <v>832</v>
      </c>
      <c r="B833" s="37">
        <v>1</v>
      </c>
      <c r="C833" s="16" t="s">
        <v>2279</v>
      </c>
      <c r="D833" s="16" t="s">
        <v>2279</v>
      </c>
      <c r="E833" s="16"/>
      <c r="F833" s="16" t="s">
        <v>3982</v>
      </c>
      <c r="G833" s="16" t="s">
        <v>488</v>
      </c>
      <c r="H833" s="16" t="s">
        <v>2278</v>
      </c>
      <c r="I833" s="16" t="s">
        <v>497</v>
      </c>
      <c r="J833" s="16">
        <v>0</v>
      </c>
      <c r="K833" s="16">
        <v>158987.29999999999</v>
      </c>
      <c r="L833" s="16">
        <v>4046.873</v>
      </c>
      <c r="M833" s="16">
        <v>0</v>
      </c>
      <c r="N833">
        <f t="array" aca="1" ref="N833" ca="1">MATCH(TRUE,EXACT(I833,OFFSET(rngParamTypes,0,6,,1)),0)</f>
        <v>200</v>
      </c>
      <c r="O833" t="str">
        <f ca="1">IF((INDEX(rngParamTypes,$N833,7)=I833),"",1)</f>
        <v/>
      </c>
      <c r="P833">
        <f ca="1">INDEX(rngParamTypes,$N833,9)</f>
        <v>0</v>
      </c>
      <c r="Q833">
        <f ca="1">INDEX(rngParamTypes,$N833,10)</f>
        <v>1</v>
      </c>
      <c r="R833">
        <f ca="1">INDEX(rngParamTypes,$N833,11)</f>
        <v>0</v>
      </c>
      <c r="S833">
        <f ca="1">INDEX(rngParamTypes,$N833,12)</f>
        <v>0</v>
      </c>
      <c r="T833">
        <f ca="1">INDEX(rngParamTypes,$N833,13)</f>
        <v>0</v>
      </c>
      <c r="U833">
        <f ca="1">INDEX(rngParamTypes,$N833,14)</f>
        <v>0</v>
      </c>
      <c r="V833">
        <f ca="1">INDEX(rngParamTypes,$N833,15)</f>
        <v>0</v>
      </c>
      <c r="W833">
        <f ca="1">INDEX(rngParamTypes,$N833,16)</f>
        <v>0</v>
      </c>
      <c r="X833">
        <f ca="1">INDEX(rngParamTypes,$N833,17)</f>
        <v>0</v>
      </c>
      <c r="Y833">
        <f ca="1">INDEX(rngParamTypes,$N833,18)</f>
        <v>0</v>
      </c>
    </row>
    <row r="834" spans="1:25" x14ac:dyDescent="0.2">
      <c r="A834" s="16">
        <v>833</v>
      </c>
      <c r="B834" s="37">
        <v>1</v>
      </c>
      <c r="C834" s="16" t="s">
        <v>2281</v>
      </c>
      <c r="D834" s="16" t="s">
        <v>2281</v>
      </c>
      <c r="E834" s="16"/>
      <c r="F834" s="16" t="s">
        <v>3983</v>
      </c>
      <c r="G834" s="16" t="s">
        <v>491</v>
      </c>
      <c r="H834" s="16" t="s">
        <v>2280</v>
      </c>
      <c r="I834" s="16" t="s">
        <v>499</v>
      </c>
      <c r="J834" s="16">
        <v>0</v>
      </c>
      <c r="K834" s="16">
        <v>158987.29999999999</v>
      </c>
      <c r="L834" s="16">
        <v>1233.489</v>
      </c>
      <c r="M834" s="16">
        <v>0</v>
      </c>
      <c r="N834">
        <f t="array" aca="1" ref="N834" ca="1">MATCH(TRUE,EXACT(I834,OFFSET(rngParamTypes,0,6,,1)),0)</f>
        <v>201</v>
      </c>
      <c r="O834" t="str">
        <f ca="1">IF((INDEX(rngParamTypes,$N834,7)=I834),"",1)</f>
        <v/>
      </c>
      <c r="P834">
        <f ca="1">INDEX(rngParamTypes,$N834,9)</f>
        <v>0</v>
      </c>
      <c r="Q834">
        <f ca="1">INDEX(rngParamTypes,$N834,10)</f>
        <v>0</v>
      </c>
      <c r="R834">
        <f ca="1">INDEX(rngParamTypes,$N834,11)</f>
        <v>0</v>
      </c>
      <c r="S834">
        <f ca="1">INDEX(rngParamTypes,$N834,12)</f>
        <v>0</v>
      </c>
      <c r="T834">
        <f ca="1">INDEX(rngParamTypes,$N834,13)</f>
        <v>0</v>
      </c>
      <c r="U834">
        <f ca="1">INDEX(rngParamTypes,$N834,14)</f>
        <v>0</v>
      </c>
      <c r="V834">
        <f ca="1">INDEX(rngParamTypes,$N834,15)</f>
        <v>0</v>
      </c>
      <c r="W834">
        <f ca="1">INDEX(rngParamTypes,$N834,16)</f>
        <v>0</v>
      </c>
      <c r="X834">
        <f ca="1">INDEX(rngParamTypes,$N834,17)</f>
        <v>0</v>
      </c>
      <c r="Y834">
        <f ca="1">INDEX(rngParamTypes,$N834,18)</f>
        <v>0</v>
      </c>
    </row>
    <row r="835" spans="1:25" x14ac:dyDescent="0.2">
      <c r="A835" s="16">
        <v>834</v>
      </c>
      <c r="B835" s="37">
        <v>1</v>
      </c>
      <c r="C835" s="16" t="s">
        <v>2283</v>
      </c>
      <c r="D835" s="16" t="s">
        <v>2283</v>
      </c>
      <c r="E835" s="16">
        <v>2</v>
      </c>
      <c r="F835" s="16" t="s">
        <v>3984</v>
      </c>
      <c r="G835" s="16" t="s">
        <v>378</v>
      </c>
      <c r="H835" s="16" t="s">
        <v>2282</v>
      </c>
      <c r="I835" s="16" t="s">
        <v>379</v>
      </c>
      <c r="J835" s="16">
        <v>0</v>
      </c>
      <c r="K835" s="16">
        <v>1000000</v>
      </c>
      <c r="L835" s="16">
        <v>1</v>
      </c>
      <c r="M835" s="16">
        <v>0</v>
      </c>
      <c r="N835">
        <f t="array" aca="1" ref="N835" ca="1">MATCH(TRUE,EXACT(I835,OFFSET(rngParamTypes,0,6,,1)),0)</f>
        <v>154</v>
      </c>
      <c r="O835" t="str">
        <f ca="1">IF((INDEX(rngParamTypes,$N835,7)=I835),"",1)</f>
        <v/>
      </c>
      <c r="P835">
        <f ca="1">INDEX(rngParamTypes,$N835,9)</f>
        <v>1</v>
      </c>
      <c r="Q835">
        <f ca="1">INDEX(rngParamTypes,$N835,10)</f>
        <v>1</v>
      </c>
      <c r="R835">
        <f ca="1">INDEX(rngParamTypes,$N835,11)</f>
        <v>-2</v>
      </c>
      <c r="S835">
        <f ca="1">INDEX(rngParamTypes,$N835,12)</f>
        <v>0</v>
      </c>
      <c r="T835">
        <f ca="1">INDEX(rngParamTypes,$N835,13)</f>
        <v>0</v>
      </c>
      <c r="U835">
        <f ca="1">INDEX(rngParamTypes,$N835,14)</f>
        <v>0</v>
      </c>
      <c r="V835">
        <f ca="1">INDEX(rngParamTypes,$N835,15)</f>
        <v>0</v>
      </c>
      <c r="W835">
        <f ca="1">INDEX(rngParamTypes,$N835,16)</f>
        <v>0</v>
      </c>
      <c r="X835">
        <f ca="1">INDEX(rngParamTypes,$N835,17)</f>
        <v>0</v>
      </c>
      <c r="Y835">
        <f ca="1">INDEX(rngParamTypes,$N835,18)</f>
        <v>0</v>
      </c>
    </row>
    <row r="836" spans="1:25" x14ac:dyDescent="0.2">
      <c r="A836" s="16">
        <v>835</v>
      </c>
      <c r="B836" s="37">
        <v>1</v>
      </c>
      <c r="C836" s="16" t="s">
        <v>2285</v>
      </c>
      <c r="D836" s="16" t="s">
        <v>2285</v>
      </c>
      <c r="E836" s="16">
        <v>2</v>
      </c>
      <c r="F836" s="16" t="s">
        <v>3985</v>
      </c>
      <c r="G836" s="16" t="s">
        <v>378</v>
      </c>
      <c r="H836" s="16" t="s">
        <v>2284</v>
      </c>
      <c r="I836" s="16" t="s">
        <v>379</v>
      </c>
      <c r="J836" s="16">
        <v>0</v>
      </c>
      <c r="K836" s="16">
        <v>1E-3</v>
      </c>
      <c r="L836" s="16">
        <v>1</v>
      </c>
      <c r="M836" s="16">
        <v>0</v>
      </c>
      <c r="N836">
        <f t="array" aca="1" ref="N836" ca="1">MATCH(TRUE,EXACT(I836,OFFSET(rngParamTypes,0,6,,1)),0)</f>
        <v>154</v>
      </c>
      <c r="O836" t="str">
        <f ca="1">IF((INDEX(rngParamTypes,$N836,7)=I836),"",1)</f>
        <v/>
      </c>
      <c r="P836">
        <f ca="1">INDEX(rngParamTypes,$N836,9)</f>
        <v>1</v>
      </c>
      <c r="Q836">
        <f ca="1">INDEX(rngParamTypes,$N836,10)</f>
        <v>1</v>
      </c>
      <c r="R836">
        <f ca="1">INDEX(rngParamTypes,$N836,11)</f>
        <v>-2</v>
      </c>
      <c r="S836">
        <f ca="1">INDEX(rngParamTypes,$N836,12)</f>
        <v>0</v>
      </c>
      <c r="T836">
        <f ca="1">INDEX(rngParamTypes,$N836,13)</f>
        <v>0</v>
      </c>
      <c r="U836">
        <f ca="1">INDEX(rngParamTypes,$N836,14)</f>
        <v>0</v>
      </c>
      <c r="V836">
        <f ca="1">INDEX(rngParamTypes,$N836,15)</f>
        <v>0</v>
      </c>
      <c r="W836">
        <f ca="1">INDEX(rngParamTypes,$N836,16)</f>
        <v>0</v>
      </c>
      <c r="X836">
        <f ca="1">INDEX(rngParamTypes,$N836,17)</f>
        <v>0</v>
      </c>
      <c r="Y836">
        <f ca="1">INDEX(rngParamTypes,$N836,18)</f>
        <v>0</v>
      </c>
    </row>
    <row r="837" spans="1:25" x14ac:dyDescent="0.2">
      <c r="A837" s="16">
        <v>836</v>
      </c>
      <c r="B837" s="37">
        <v>1</v>
      </c>
      <c r="C837" s="16" t="s">
        <v>2287</v>
      </c>
      <c r="D837" s="16" t="s">
        <v>2287</v>
      </c>
      <c r="E837" s="16"/>
      <c r="F837" s="16" t="s">
        <v>3986</v>
      </c>
      <c r="G837" s="16" t="s">
        <v>382</v>
      </c>
      <c r="H837" s="16" t="s">
        <v>2286</v>
      </c>
      <c r="I837" s="16" t="s">
        <v>383</v>
      </c>
      <c r="J837" s="16">
        <v>0</v>
      </c>
      <c r="K837" s="16">
        <v>1E-3</v>
      </c>
      <c r="L837" s="16">
        <v>1</v>
      </c>
      <c r="M837" s="16">
        <v>0</v>
      </c>
      <c r="N837">
        <f t="array" aca="1" ref="N837" ca="1">MATCH(TRUE,EXACT(I837,OFFSET(rngParamTypes,0,6,,1)),0)</f>
        <v>155</v>
      </c>
      <c r="O837" t="str">
        <f ca="1">IF((INDEX(rngParamTypes,$N837,7)=I837),"",1)</f>
        <v/>
      </c>
      <c r="P837">
        <f ca="1">INDEX(rngParamTypes,$N837,9)</f>
        <v>1</v>
      </c>
      <c r="Q837">
        <f ca="1">INDEX(rngParamTypes,$N837,10)</f>
        <v>3</v>
      </c>
      <c r="R837">
        <f ca="1">INDEX(rngParamTypes,$N837,11)</f>
        <v>-2</v>
      </c>
      <c r="S837">
        <f ca="1">INDEX(rngParamTypes,$N837,12)</f>
        <v>0</v>
      </c>
      <c r="T837">
        <f ca="1">INDEX(rngParamTypes,$N837,13)</f>
        <v>0</v>
      </c>
      <c r="U837">
        <f ca="1">INDEX(rngParamTypes,$N837,14)</f>
        <v>0</v>
      </c>
      <c r="V837">
        <f ca="1">INDEX(rngParamTypes,$N837,15)</f>
        <v>0</v>
      </c>
      <c r="W837">
        <f ca="1">INDEX(rngParamTypes,$N837,16)</f>
        <v>0</v>
      </c>
      <c r="X837">
        <f ca="1">INDEX(rngParamTypes,$N837,17)</f>
        <v>0</v>
      </c>
      <c r="Y837">
        <f ca="1">INDEX(rngParamTypes,$N837,18)</f>
        <v>0</v>
      </c>
    </row>
    <row r="838" spans="1:25" x14ac:dyDescent="0.2">
      <c r="A838" s="16">
        <v>837</v>
      </c>
      <c r="B838" s="37">
        <v>1</v>
      </c>
      <c r="C838" s="16" t="s">
        <v>2289</v>
      </c>
      <c r="D838" s="16" t="s">
        <v>2289</v>
      </c>
      <c r="E838" s="16"/>
      <c r="F838" s="16" t="s">
        <v>3987</v>
      </c>
      <c r="G838" s="16" t="s">
        <v>385</v>
      </c>
      <c r="H838" s="16" t="s">
        <v>2288</v>
      </c>
      <c r="I838" s="16" t="s">
        <v>387</v>
      </c>
      <c r="J838" s="16">
        <v>0</v>
      </c>
      <c r="K838" s="16">
        <v>9.9999999999999995E-7</v>
      </c>
      <c r="L838" s="16">
        <v>1</v>
      </c>
      <c r="M838" s="16">
        <v>0</v>
      </c>
      <c r="N838">
        <f t="array" aca="1" ref="N838" ca="1">MATCH(TRUE,EXACT(I838,OFFSET(rngParamTypes,0,6,,1)),0)</f>
        <v>156</v>
      </c>
      <c r="O838" t="str">
        <f ca="1">IF((INDEX(rngParamTypes,$N838,7)=I838),"",1)</f>
        <v/>
      </c>
      <c r="P838">
        <f ca="1">INDEX(rngParamTypes,$N838,9)</f>
        <v>1</v>
      </c>
      <c r="Q838">
        <f ca="1">INDEX(rngParamTypes,$N838,10)</f>
        <v>0</v>
      </c>
      <c r="R838">
        <f ca="1">INDEX(rngParamTypes,$N838,11)</f>
        <v>-2</v>
      </c>
      <c r="S838">
        <f ca="1">INDEX(rngParamTypes,$N838,12)</f>
        <v>0</v>
      </c>
      <c r="T838">
        <f ca="1">INDEX(rngParamTypes,$N838,13)</f>
        <v>0</v>
      </c>
      <c r="U838">
        <f ca="1">INDEX(rngParamTypes,$N838,14)</f>
        <v>0</v>
      </c>
      <c r="V838">
        <f ca="1">INDEX(rngParamTypes,$N838,15)</f>
        <v>0</v>
      </c>
      <c r="W838">
        <f ca="1">INDEX(rngParamTypes,$N838,16)</f>
        <v>0</v>
      </c>
      <c r="X838">
        <f ca="1">INDEX(rngParamTypes,$N838,17)</f>
        <v>0</v>
      </c>
      <c r="Y838">
        <f ca="1">INDEX(rngParamTypes,$N838,18)</f>
        <v>0</v>
      </c>
    </row>
    <row r="839" spans="1:25" x14ac:dyDescent="0.2">
      <c r="A839" s="16">
        <v>838</v>
      </c>
      <c r="B839" s="37">
        <v>1</v>
      </c>
      <c r="C839" s="16" t="s">
        <v>1159</v>
      </c>
      <c r="D839" s="16" t="s">
        <v>1159</v>
      </c>
      <c r="E839" s="16"/>
      <c r="F839" s="16" t="s">
        <v>3988</v>
      </c>
      <c r="G839" s="16" t="s">
        <v>385</v>
      </c>
      <c r="H839" s="16" t="s">
        <v>2290</v>
      </c>
      <c r="I839" s="16" t="s">
        <v>387</v>
      </c>
      <c r="J839" s="16">
        <v>0</v>
      </c>
      <c r="K839" s="16">
        <v>1E-3</v>
      </c>
      <c r="L839" s="16">
        <v>1</v>
      </c>
      <c r="M839" s="16">
        <v>0</v>
      </c>
      <c r="N839">
        <f t="array" aca="1" ref="N839" ca="1">MATCH(TRUE,EXACT(I839,OFFSET(rngParamTypes,0,6,,1)),0)</f>
        <v>156</v>
      </c>
      <c r="O839" t="str">
        <f ca="1">IF((INDEX(rngParamTypes,$N839,7)=I839),"",1)</f>
        <v/>
      </c>
      <c r="P839">
        <f ca="1">INDEX(rngParamTypes,$N839,9)</f>
        <v>1</v>
      </c>
      <c r="Q839">
        <f ca="1">INDEX(rngParamTypes,$N839,10)</f>
        <v>0</v>
      </c>
      <c r="R839">
        <f ca="1">INDEX(rngParamTypes,$N839,11)</f>
        <v>-2</v>
      </c>
      <c r="S839">
        <f ca="1">INDEX(rngParamTypes,$N839,12)</f>
        <v>0</v>
      </c>
      <c r="T839">
        <f ca="1">INDEX(rngParamTypes,$N839,13)</f>
        <v>0</v>
      </c>
      <c r="U839">
        <f ca="1">INDEX(rngParamTypes,$N839,14)</f>
        <v>0</v>
      </c>
      <c r="V839">
        <f ca="1">INDEX(rngParamTypes,$N839,15)</f>
        <v>0</v>
      </c>
      <c r="W839">
        <f ca="1">INDEX(rngParamTypes,$N839,16)</f>
        <v>0</v>
      </c>
      <c r="X839">
        <f ca="1">INDEX(rngParamTypes,$N839,17)</f>
        <v>0</v>
      </c>
      <c r="Y839">
        <f ca="1">INDEX(rngParamTypes,$N839,18)</f>
        <v>0</v>
      </c>
    </row>
    <row r="840" spans="1:25" x14ac:dyDescent="0.2">
      <c r="A840" s="16">
        <v>839</v>
      </c>
      <c r="B840" s="37">
        <v>1</v>
      </c>
      <c r="C840" s="16" t="s">
        <v>2292</v>
      </c>
      <c r="D840" s="16" t="s">
        <v>2292</v>
      </c>
      <c r="E840" s="16"/>
      <c r="F840" s="16" t="s">
        <v>3989</v>
      </c>
      <c r="G840" s="16" t="s">
        <v>3610</v>
      </c>
      <c r="H840" s="16" t="s">
        <v>2291</v>
      </c>
      <c r="I840" s="16" t="s">
        <v>403</v>
      </c>
      <c r="J840" s="16">
        <v>0</v>
      </c>
      <c r="K840" s="16">
        <v>1000000</v>
      </c>
      <c r="L840" s="16">
        <v>1</v>
      </c>
      <c r="M840" s="16">
        <v>0</v>
      </c>
      <c r="N840">
        <f t="array" aca="1" ref="N840" ca="1">MATCH(TRUE,EXACT(I840,OFFSET(rngParamTypes,0,6,,1)),0)</f>
        <v>163</v>
      </c>
      <c r="O840" t="str">
        <f ca="1">IF((INDEX(rngParamTypes,$N840,7)=I840),"",1)</f>
        <v/>
      </c>
      <c r="P840">
        <f ca="1">INDEX(rngParamTypes,$N840,9)</f>
        <v>1</v>
      </c>
      <c r="Q840">
        <f ca="1">INDEX(rngParamTypes,$N840,10)</f>
        <v>2</v>
      </c>
      <c r="R840">
        <f ca="1">INDEX(rngParamTypes,$N840,11)</f>
        <v>-3</v>
      </c>
      <c r="S840">
        <f ca="1">INDEX(rngParamTypes,$N840,12)</f>
        <v>-2</v>
      </c>
      <c r="T840">
        <f ca="1">INDEX(rngParamTypes,$N840,13)</f>
        <v>0</v>
      </c>
      <c r="U840">
        <f ca="1">INDEX(rngParamTypes,$N840,14)</f>
        <v>0</v>
      </c>
      <c r="V840">
        <f ca="1">INDEX(rngParamTypes,$N840,15)</f>
        <v>0</v>
      </c>
      <c r="W840">
        <f ca="1">INDEX(rngParamTypes,$N840,16)</f>
        <v>0</v>
      </c>
      <c r="X840">
        <f ca="1">INDEX(rngParamTypes,$N840,17)</f>
        <v>0</v>
      </c>
      <c r="Y840">
        <f ca="1">INDEX(rngParamTypes,$N840,18)</f>
        <v>0</v>
      </c>
    </row>
    <row r="841" spans="1:25" x14ac:dyDescent="0.2">
      <c r="A841" s="16">
        <v>840</v>
      </c>
      <c r="B841" s="37">
        <v>1</v>
      </c>
      <c r="C841" s="16" t="s">
        <v>2294</v>
      </c>
      <c r="D841" s="16" t="s">
        <v>2294</v>
      </c>
      <c r="E841" s="16"/>
      <c r="F841" s="16" t="s">
        <v>3990</v>
      </c>
      <c r="G841" s="16" t="s">
        <v>3610</v>
      </c>
      <c r="H841" s="16" t="s">
        <v>2293</v>
      </c>
      <c r="I841" s="16" t="s">
        <v>403</v>
      </c>
      <c r="J841" s="16">
        <v>0</v>
      </c>
      <c r="K841" s="16">
        <v>1E-3</v>
      </c>
      <c r="L841" s="16">
        <v>1</v>
      </c>
      <c r="M841" s="16">
        <v>0</v>
      </c>
      <c r="N841">
        <f t="array" aca="1" ref="N841" ca="1">MATCH(TRUE,EXACT(I841,OFFSET(rngParamTypes,0,6,,1)),0)</f>
        <v>163</v>
      </c>
      <c r="O841" t="str">
        <f ca="1">IF((INDEX(rngParamTypes,$N841,7)=I841),"",1)</f>
        <v/>
      </c>
      <c r="P841">
        <f ca="1">INDEX(rngParamTypes,$N841,9)</f>
        <v>1</v>
      </c>
      <c r="Q841">
        <f ca="1">INDEX(rngParamTypes,$N841,10)</f>
        <v>2</v>
      </c>
      <c r="R841">
        <f ca="1">INDEX(rngParamTypes,$N841,11)</f>
        <v>-3</v>
      </c>
      <c r="S841">
        <f ca="1">INDEX(rngParamTypes,$N841,12)</f>
        <v>-2</v>
      </c>
      <c r="T841">
        <f ca="1">INDEX(rngParamTypes,$N841,13)</f>
        <v>0</v>
      </c>
      <c r="U841">
        <f ca="1">INDEX(rngParamTypes,$N841,14)</f>
        <v>0</v>
      </c>
      <c r="V841">
        <f ca="1">INDEX(rngParamTypes,$N841,15)</f>
        <v>0</v>
      </c>
      <c r="W841">
        <f ca="1">INDEX(rngParamTypes,$N841,16)</f>
        <v>0</v>
      </c>
      <c r="X841">
        <f ca="1">INDEX(rngParamTypes,$N841,17)</f>
        <v>0</v>
      </c>
      <c r="Y841">
        <f ca="1">INDEX(rngParamTypes,$N841,18)</f>
        <v>0</v>
      </c>
    </row>
    <row r="842" spans="1:25" x14ac:dyDescent="0.2">
      <c r="A842" s="16">
        <v>841</v>
      </c>
      <c r="B842" s="37">
        <v>1</v>
      </c>
      <c r="C842" s="16" t="s">
        <v>2296</v>
      </c>
      <c r="D842" s="16" t="s">
        <v>2296</v>
      </c>
      <c r="E842" s="16">
        <v>2</v>
      </c>
      <c r="F842" s="16" t="s">
        <v>4333</v>
      </c>
      <c r="G842" s="16" t="s">
        <v>361</v>
      </c>
      <c r="H842" s="16" t="s">
        <v>2295</v>
      </c>
      <c r="I842" s="16" t="s">
        <v>362</v>
      </c>
      <c r="J842" s="16">
        <v>0</v>
      </c>
      <c r="K842" s="16">
        <v>1E-3</v>
      </c>
      <c r="L842" s="16">
        <v>1</v>
      </c>
      <c r="M842" s="16">
        <v>0</v>
      </c>
      <c r="N842">
        <f t="array" aca="1" ref="N842" ca="1">MATCH(TRUE,EXACT(I842,OFFSET(rngParamTypes,0,6,,1)),0)</f>
        <v>148</v>
      </c>
      <c r="O842" t="str">
        <f ca="1">IF((INDEX(rngParamTypes,$N842,7)=I842),"",1)</f>
        <v/>
      </c>
      <c r="P842">
        <f ca="1">INDEX(rngParamTypes,$N842,9)</f>
        <v>0</v>
      </c>
      <c r="Q842">
        <f ca="1">INDEX(rngParamTypes,$N842,10)</f>
        <v>0</v>
      </c>
      <c r="R842">
        <f ca="1">INDEX(rngParamTypes,$N842,11)</f>
        <v>0</v>
      </c>
      <c r="S842">
        <f ca="1">INDEX(rngParamTypes,$N842,12)</f>
        <v>0</v>
      </c>
      <c r="T842">
        <f ca="1">INDEX(rngParamTypes,$N842,13)</f>
        <v>0</v>
      </c>
      <c r="U842">
        <f ca="1">INDEX(rngParamTypes,$N842,14)</f>
        <v>1</v>
      </c>
      <c r="V842">
        <f ca="1">INDEX(rngParamTypes,$N842,15)</f>
        <v>0</v>
      </c>
      <c r="W842">
        <f ca="1">INDEX(rngParamTypes,$N842,16)</f>
        <v>0</v>
      </c>
      <c r="X842">
        <f ca="1">INDEX(rngParamTypes,$N842,17)</f>
        <v>0</v>
      </c>
      <c r="Y842">
        <f ca="1">INDEX(rngParamTypes,$N842,18)</f>
        <v>0</v>
      </c>
    </row>
    <row r="843" spans="1:25" x14ac:dyDescent="0.2">
      <c r="A843" s="16">
        <v>842</v>
      </c>
      <c r="B843" s="37">
        <v>1</v>
      </c>
      <c r="C843" s="16" t="s">
        <v>2298</v>
      </c>
      <c r="D843" s="16" t="s">
        <v>2298</v>
      </c>
      <c r="E843" s="16">
        <v>2</v>
      </c>
      <c r="F843" s="16" t="s">
        <v>4334</v>
      </c>
      <c r="G843" s="16" t="s">
        <v>361</v>
      </c>
      <c r="H843" s="16" t="s">
        <v>2297</v>
      </c>
      <c r="I843" s="16" t="s">
        <v>362</v>
      </c>
      <c r="J843" s="16">
        <v>0</v>
      </c>
      <c r="K843" s="16">
        <v>1</v>
      </c>
      <c r="L843" s="16">
        <v>1</v>
      </c>
      <c r="M843" s="16">
        <v>0</v>
      </c>
      <c r="N843">
        <f t="array" aca="1" ref="N843" ca="1">MATCH(TRUE,EXACT(I843,OFFSET(rngParamTypes,0,6,,1)),0)</f>
        <v>148</v>
      </c>
      <c r="O843" t="str">
        <f ca="1">IF((INDEX(rngParamTypes,$N843,7)=I843),"",1)</f>
        <v/>
      </c>
      <c r="P843">
        <f ca="1">INDEX(rngParamTypes,$N843,9)</f>
        <v>0</v>
      </c>
      <c r="Q843">
        <f ca="1">INDEX(rngParamTypes,$N843,10)</f>
        <v>0</v>
      </c>
      <c r="R843">
        <f ca="1">INDEX(rngParamTypes,$N843,11)</f>
        <v>0</v>
      </c>
      <c r="S843">
        <f ca="1">INDEX(rngParamTypes,$N843,12)</f>
        <v>0</v>
      </c>
      <c r="T843">
        <f ca="1">INDEX(rngParamTypes,$N843,13)</f>
        <v>0</v>
      </c>
      <c r="U843">
        <f ca="1">INDEX(rngParamTypes,$N843,14)</f>
        <v>1</v>
      </c>
      <c r="V843">
        <f ca="1">INDEX(rngParamTypes,$N843,15)</f>
        <v>0</v>
      </c>
      <c r="W843">
        <f ca="1">INDEX(rngParamTypes,$N843,16)</f>
        <v>0</v>
      </c>
      <c r="X843">
        <f ca="1">INDEX(rngParamTypes,$N843,17)</f>
        <v>0</v>
      </c>
      <c r="Y843">
        <f ca="1">INDEX(rngParamTypes,$N843,18)</f>
        <v>0</v>
      </c>
    </row>
    <row r="844" spans="1:25" x14ac:dyDescent="0.2">
      <c r="A844" s="16">
        <v>843</v>
      </c>
      <c r="B844" s="37">
        <v>1</v>
      </c>
      <c r="C844" s="16" t="s">
        <v>2300</v>
      </c>
      <c r="D844" s="16" t="s">
        <v>2300</v>
      </c>
      <c r="E844" s="16">
        <v>2</v>
      </c>
      <c r="F844" s="16" t="s">
        <v>3991</v>
      </c>
      <c r="G844" s="16" t="s">
        <v>375</v>
      </c>
      <c r="H844" s="16" t="s">
        <v>2299</v>
      </c>
      <c r="I844" s="16" t="s">
        <v>376</v>
      </c>
      <c r="J844" s="16">
        <v>0</v>
      </c>
      <c r="K844" s="16">
        <v>1000</v>
      </c>
      <c r="L844" s="16">
        <v>3600</v>
      </c>
      <c r="M844" s="16">
        <v>0</v>
      </c>
      <c r="N844">
        <f t="array" aca="1" ref="N844" ca="1">MATCH(TRUE,EXACT(I844,OFFSET(rngParamTypes,0,6,,1)),0)</f>
        <v>153</v>
      </c>
      <c r="O844" t="str">
        <f ca="1">IF((INDEX(rngParamTypes,$N844,7)=I844),"",1)</f>
        <v/>
      </c>
      <c r="P844">
        <f ca="1">INDEX(rngParamTypes,$N844,9)</f>
        <v>0</v>
      </c>
      <c r="Q844">
        <f ca="1">INDEX(rngParamTypes,$N844,10)</f>
        <v>0</v>
      </c>
      <c r="R844">
        <f ca="1">INDEX(rngParamTypes,$N844,11)</f>
        <v>-1</v>
      </c>
      <c r="S844">
        <f ca="1">INDEX(rngParamTypes,$N844,12)</f>
        <v>0</v>
      </c>
      <c r="T844">
        <f ca="1">INDEX(rngParamTypes,$N844,13)</f>
        <v>0</v>
      </c>
      <c r="U844">
        <f ca="1">INDEX(rngParamTypes,$N844,14)</f>
        <v>1</v>
      </c>
      <c r="V844">
        <f ca="1">INDEX(rngParamTypes,$N844,15)</f>
        <v>0</v>
      </c>
      <c r="W844">
        <f ca="1">INDEX(rngParamTypes,$N844,16)</f>
        <v>0</v>
      </c>
      <c r="X844">
        <f ca="1">INDEX(rngParamTypes,$N844,17)</f>
        <v>0</v>
      </c>
      <c r="Y844">
        <f ca="1">INDEX(rngParamTypes,$N844,18)</f>
        <v>0</v>
      </c>
    </row>
    <row r="845" spans="1:25" x14ac:dyDescent="0.2">
      <c r="A845" s="16">
        <v>844</v>
      </c>
      <c r="B845" s="37">
        <v>1</v>
      </c>
      <c r="C845" s="16" t="s">
        <v>2302</v>
      </c>
      <c r="D845" s="16" t="s">
        <v>2302</v>
      </c>
      <c r="E845" s="16">
        <v>2</v>
      </c>
      <c r="F845" s="16" t="s">
        <v>4335</v>
      </c>
      <c r="G845" s="16" t="s">
        <v>375</v>
      </c>
      <c r="H845" s="16" t="s">
        <v>2299</v>
      </c>
      <c r="I845" s="16" t="s">
        <v>376</v>
      </c>
      <c r="J845" s="16">
        <v>0</v>
      </c>
      <c r="K845" s="16">
        <v>1</v>
      </c>
      <c r="L845" s="16">
        <v>3600</v>
      </c>
      <c r="M845" s="16">
        <v>0</v>
      </c>
      <c r="N845">
        <f t="array" aca="1" ref="N845" ca="1">MATCH(TRUE,EXACT(I845,OFFSET(rngParamTypes,0,6,,1)),0)</f>
        <v>153</v>
      </c>
      <c r="O845" t="str">
        <f ca="1">IF((INDEX(rngParamTypes,$N845,7)=I845),"",1)</f>
        <v/>
      </c>
      <c r="P845">
        <f ca="1">INDEX(rngParamTypes,$N845,9)</f>
        <v>0</v>
      </c>
      <c r="Q845">
        <f ca="1">INDEX(rngParamTypes,$N845,10)</f>
        <v>0</v>
      </c>
      <c r="R845">
        <f ca="1">INDEX(rngParamTypes,$N845,11)</f>
        <v>-1</v>
      </c>
      <c r="S845">
        <f ca="1">INDEX(rngParamTypes,$N845,12)</f>
        <v>0</v>
      </c>
      <c r="T845">
        <f ca="1">INDEX(rngParamTypes,$N845,13)</f>
        <v>0</v>
      </c>
      <c r="U845">
        <f ca="1">INDEX(rngParamTypes,$N845,14)</f>
        <v>1</v>
      </c>
      <c r="V845">
        <f ca="1">INDEX(rngParamTypes,$N845,15)</f>
        <v>0</v>
      </c>
      <c r="W845">
        <f ca="1">INDEX(rngParamTypes,$N845,16)</f>
        <v>0</v>
      </c>
      <c r="X845">
        <f ca="1">INDEX(rngParamTypes,$N845,17)</f>
        <v>0</v>
      </c>
      <c r="Y845">
        <f ca="1">INDEX(rngParamTypes,$N845,18)</f>
        <v>0</v>
      </c>
    </row>
    <row r="846" spans="1:25" x14ac:dyDescent="0.2">
      <c r="A846" s="16">
        <v>845</v>
      </c>
      <c r="B846" s="37">
        <v>1</v>
      </c>
      <c r="C846" s="16" t="s">
        <v>2304</v>
      </c>
      <c r="D846" s="16" t="s">
        <v>2304</v>
      </c>
      <c r="E846" s="16">
        <v>2</v>
      </c>
      <c r="F846" s="16" t="s">
        <v>3992</v>
      </c>
      <c r="G846" s="16" t="s">
        <v>3993</v>
      </c>
      <c r="H846" s="16" t="s">
        <v>2303</v>
      </c>
      <c r="I846" s="16" t="s">
        <v>373</v>
      </c>
      <c r="J846" s="16">
        <v>0</v>
      </c>
      <c r="K846" s="16">
        <v>1000</v>
      </c>
      <c r="L846" s="16">
        <v>1</v>
      </c>
      <c r="M846" s="16">
        <v>0</v>
      </c>
      <c r="N846">
        <f t="array" aca="1" ref="N846" ca="1">MATCH(TRUE,EXACT(I846,OFFSET(rngParamTypes,0,6,,1)),0)</f>
        <v>151</v>
      </c>
      <c r="O846" t="str">
        <f ca="1">IF((INDEX(rngParamTypes,$N846,7)=I846),"",1)</f>
        <v/>
      </c>
      <c r="P846">
        <f ca="1">INDEX(rngParamTypes,$N846,9)</f>
        <v>0</v>
      </c>
      <c r="Q846">
        <f ca="1">INDEX(rngParamTypes,$N846,10)</f>
        <v>-3</v>
      </c>
      <c r="R846">
        <f ca="1">INDEX(rngParamTypes,$N846,11)</f>
        <v>0</v>
      </c>
      <c r="S846">
        <f ca="1">INDEX(rngParamTypes,$N846,12)</f>
        <v>0</v>
      </c>
      <c r="T846">
        <f ca="1">INDEX(rngParamTypes,$N846,13)</f>
        <v>0</v>
      </c>
      <c r="U846">
        <f ca="1">INDEX(rngParamTypes,$N846,14)</f>
        <v>1</v>
      </c>
      <c r="V846">
        <f ca="1">INDEX(rngParamTypes,$N846,15)</f>
        <v>0</v>
      </c>
      <c r="W846">
        <f ca="1">INDEX(rngParamTypes,$N846,16)</f>
        <v>0</v>
      </c>
      <c r="X846">
        <f ca="1">INDEX(rngParamTypes,$N846,17)</f>
        <v>0</v>
      </c>
      <c r="Y846">
        <f ca="1">INDEX(rngParamTypes,$N846,18)</f>
        <v>0</v>
      </c>
    </row>
    <row r="847" spans="1:25" x14ac:dyDescent="0.2">
      <c r="A847" s="16">
        <v>846</v>
      </c>
      <c r="B847" s="37">
        <v>1</v>
      </c>
      <c r="C847" s="16" t="s">
        <v>2305</v>
      </c>
      <c r="D847" s="16" t="s">
        <v>2305</v>
      </c>
      <c r="E847" s="16">
        <v>2</v>
      </c>
      <c r="F847" s="16" t="s">
        <v>4336</v>
      </c>
      <c r="G847" s="16" t="s">
        <v>3993</v>
      </c>
      <c r="H847" s="16" t="s">
        <v>2303</v>
      </c>
      <c r="I847" s="16" t="s">
        <v>373</v>
      </c>
      <c r="J847" s="16">
        <v>0</v>
      </c>
      <c r="K847" s="16">
        <v>1</v>
      </c>
      <c r="L847" s="16">
        <v>1</v>
      </c>
      <c r="M847" s="16">
        <v>0</v>
      </c>
      <c r="N847">
        <f t="array" aca="1" ref="N847" ca="1">MATCH(TRUE,EXACT(I847,OFFSET(rngParamTypes,0,6,,1)),0)</f>
        <v>151</v>
      </c>
      <c r="O847" t="str">
        <f ca="1">IF((INDEX(rngParamTypes,$N847,7)=I847),"",1)</f>
        <v/>
      </c>
      <c r="P847">
        <f ca="1">INDEX(rngParamTypes,$N847,9)</f>
        <v>0</v>
      </c>
      <c r="Q847">
        <f ca="1">INDEX(rngParamTypes,$N847,10)</f>
        <v>-3</v>
      </c>
      <c r="R847">
        <f ca="1">INDEX(rngParamTypes,$N847,11)</f>
        <v>0</v>
      </c>
      <c r="S847">
        <f ca="1">INDEX(rngParamTypes,$N847,12)</f>
        <v>0</v>
      </c>
      <c r="T847">
        <f ca="1">INDEX(rngParamTypes,$N847,13)</f>
        <v>0</v>
      </c>
      <c r="U847">
        <f ca="1">INDEX(rngParamTypes,$N847,14)</f>
        <v>1</v>
      </c>
      <c r="V847">
        <f ca="1">INDEX(rngParamTypes,$N847,15)</f>
        <v>0</v>
      </c>
      <c r="W847">
        <f ca="1">INDEX(rngParamTypes,$N847,16)</f>
        <v>0</v>
      </c>
      <c r="X847">
        <f ca="1">INDEX(rngParamTypes,$N847,17)</f>
        <v>0</v>
      </c>
      <c r="Y847">
        <f ca="1">INDEX(rngParamTypes,$N847,18)</f>
        <v>0</v>
      </c>
    </row>
    <row r="848" spans="1:25" x14ac:dyDescent="0.2">
      <c r="A848" s="16">
        <v>847</v>
      </c>
      <c r="B848" s="37">
        <v>1</v>
      </c>
      <c r="C848" s="16" t="s">
        <v>2307</v>
      </c>
      <c r="D848" s="16" t="s">
        <v>2307</v>
      </c>
      <c r="E848" s="16">
        <v>2</v>
      </c>
      <c r="F848" s="16" t="s">
        <v>3994</v>
      </c>
      <c r="G848" s="16" t="s">
        <v>375</v>
      </c>
      <c r="H848" s="16" t="s">
        <v>2306</v>
      </c>
      <c r="I848" s="16" t="s">
        <v>376</v>
      </c>
      <c r="J848" s="16">
        <v>0</v>
      </c>
      <c r="K848" s="16">
        <v>1000</v>
      </c>
      <c r="L848" s="16">
        <v>1</v>
      </c>
      <c r="M848" s="16">
        <v>0</v>
      </c>
      <c r="N848">
        <f t="array" aca="1" ref="N848" ca="1">MATCH(TRUE,EXACT(I848,OFFSET(rngParamTypes,0,6,,1)),0)</f>
        <v>153</v>
      </c>
      <c r="O848" t="str">
        <f ca="1">IF((INDEX(rngParamTypes,$N848,7)=I848),"",1)</f>
        <v/>
      </c>
      <c r="P848">
        <f ca="1">INDEX(rngParamTypes,$N848,9)</f>
        <v>0</v>
      </c>
      <c r="Q848">
        <f ca="1">INDEX(rngParamTypes,$N848,10)</f>
        <v>0</v>
      </c>
      <c r="R848">
        <f ca="1">INDEX(rngParamTypes,$N848,11)</f>
        <v>-1</v>
      </c>
      <c r="S848">
        <f ca="1">INDEX(rngParamTypes,$N848,12)</f>
        <v>0</v>
      </c>
      <c r="T848">
        <f ca="1">INDEX(rngParamTypes,$N848,13)</f>
        <v>0</v>
      </c>
      <c r="U848">
        <f ca="1">INDEX(rngParamTypes,$N848,14)</f>
        <v>1</v>
      </c>
      <c r="V848">
        <f ca="1">INDEX(rngParamTypes,$N848,15)</f>
        <v>0</v>
      </c>
      <c r="W848">
        <f ca="1">INDEX(rngParamTypes,$N848,16)</f>
        <v>0</v>
      </c>
      <c r="X848">
        <f ca="1">INDEX(rngParamTypes,$N848,17)</f>
        <v>0</v>
      </c>
      <c r="Y848">
        <f ca="1">INDEX(rngParamTypes,$N848,18)</f>
        <v>0</v>
      </c>
    </row>
    <row r="849" spans="1:25" x14ac:dyDescent="0.2">
      <c r="A849" s="16">
        <v>848</v>
      </c>
      <c r="B849" s="37">
        <v>1</v>
      </c>
      <c r="C849" s="16" t="s">
        <v>2308</v>
      </c>
      <c r="D849" s="16" t="s">
        <v>2308</v>
      </c>
      <c r="E849" s="16">
        <v>2</v>
      </c>
      <c r="F849" s="16" t="s">
        <v>4337</v>
      </c>
      <c r="G849" s="16" t="s">
        <v>375</v>
      </c>
      <c r="H849" s="16" t="s">
        <v>2306</v>
      </c>
      <c r="I849" s="16" t="s">
        <v>376</v>
      </c>
      <c r="J849" s="16">
        <v>0</v>
      </c>
      <c r="K849" s="16">
        <v>1</v>
      </c>
      <c r="L849" s="16">
        <v>1</v>
      </c>
      <c r="M849" s="16">
        <v>0</v>
      </c>
      <c r="N849">
        <f t="array" aca="1" ref="N849" ca="1">MATCH(TRUE,EXACT(I849,OFFSET(rngParamTypes,0,6,,1)),0)</f>
        <v>153</v>
      </c>
      <c r="O849" t="str">
        <f ca="1">IF((INDEX(rngParamTypes,$N849,7)=I849),"",1)</f>
        <v/>
      </c>
      <c r="P849">
        <f ca="1">INDEX(rngParamTypes,$N849,9)</f>
        <v>0</v>
      </c>
      <c r="Q849">
        <f ca="1">INDEX(rngParamTypes,$N849,10)</f>
        <v>0</v>
      </c>
      <c r="R849">
        <f ca="1">INDEX(rngParamTypes,$N849,11)</f>
        <v>-1</v>
      </c>
      <c r="S849">
        <f ca="1">INDEX(rngParamTypes,$N849,12)</f>
        <v>0</v>
      </c>
      <c r="T849">
        <f ca="1">INDEX(rngParamTypes,$N849,13)</f>
        <v>0</v>
      </c>
      <c r="U849">
        <f ca="1">INDEX(rngParamTypes,$N849,14)</f>
        <v>1</v>
      </c>
      <c r="V849">
        <f ca="1">INDEX(rngParamTypes,$N849,15)</f>
        <v>0</v>
      </c>
      <c r="W849">
        <f ca="1">INDEX(rngParamTypes,$N849,16)</f>
        <v>0</v>
      </c>
      <c r="X849">
        <f ca="1">INDEX(rngParamTypes,$N849,17)</f>
        <v>0</v>
      </c>
      <c r="Y849">
        <f ca="1">INDEX(rngParamTypes,$N849,18)</f>
        <v>0</v>
      </c>
    </row>
    <row r="850" spans="1:25" x14ac:dyDescent="0.2">
      <c r="A850" s="16">
        <v>849</v>
      </c>
      <c r="B850" s="37">
        <v>1</v>
      </c>
      <c r="C850" s="16" t="s">
        <v>2310</v>
      </c>
      <c r="D850" s="16" t="s">
        <v>2310</v>
      </c>
      <c r="E850" s="16">
        <v>2</v>
      </c>
      <c r="F850" s="16" t="s">
        <v>3995</v>
      </c>
      <c r="G850" s="16" t="s">
        <v>361</v>
      </c>
      <c r="H850" s="16" t="s">
        <v>2309</v>
      </c>
      <c r="I850" s="16" t="s">
        <v>362</v>
      </c>
      <c r="J850" s="16">
        <v>0</v>
      </c>
      <c r="K850" s="16">
        <v>453.5924</v>
      </c>
      <c r="L850" s="16">
        <v>1</v>
      </c>
      <c r="M850" s="16">
        <v>0</v>
      </c>
      <c r="N850">
        <f t="array" aca="1" ref="N850" ca="1">MATCH(TRUE,EXACT(I850,OFFSET(rngParamTypes,0,6,,1)),0)</f>
        <v>148</v>
      </c>
      <c r="O850" t="str">
        <f ca="1">IF((INDEX(rngParamTypes,$N850,7)=I850),"",1)</f>
        <v/>
      </c>
      <c r="P850">
        <f ca="1">INDEX(rngParamTypes,$N850,9)</f>
        <v>0</v>
      </c>
      <c r="Q850">
        <f ca="1">INDEX(rngParamTypes,$N850,10)</f>
        <v>0</v>
      </c>
      <c r="R850">
        <f ca="1">INDEX(rngParamTypes,$N850,11)</f>
        <v>0</v>
      </c>
      <c r="S850">
        <f ca="1">INDEX(rngParamTypes,$N850,12)</f>
        <v>0</v>
      </c>
      <c r="T850">
        <f ca="1">INDEX(rngParamTypes,$N850,13)</f>
        <v>0</v>
      </c>
      <c r="U850">
        <f ca="1">INDEX(rngParamTypes,$N850,14)</f>
        <v>1</v>
      </c>
      <c r="V850">
        <f ca="1">INDEX(rngParamTypes,$N850,15)</f>
        <v>0</v>
      </c>
      <c r="W850">
        <f ca="1">INDEX(rngParamTypes,$N850,16)</f>
        <v>0</v>
      </c>
      <c r="X850">
        <f ca="1">INDEX(rngParamTypes,$N850,17)</f>
        <v>0</v>
      </c>
      <c r="Y850">
        <f ca="1">INDEX(rngParamTypes,$N850,18)</f>
        <v>0</v>
      </c>
    </row>
    <row r="851" spans="1:25" x14ac:dyDescent="0.2">
      <c r="A851" s="16">
        <v>850</v>
      </c>
      <c r="B851" s="37">
        <v>1</v>
      </c>
      <c r="C851" s="16" t="s">
        <v>2311</v>
      </c>
      <c r="D851" s="16" t="s">
        <v>2311</v>
      </c>
      <c r="E851" s="16">
        <v>2</v>
      </c>
      <c r="F851" s="16" t="s">
        <v>4338</v>
      </c>
      <c r="G851" s="16" t="s">
        <v>361</v>
      </c>
      <c r="H851" s="16" t="s">
        <v>2309</v>
      </c>
      <c r="I851" s="16" t="s">
        <v>362</v>
      </c>
      <c r="J851" s="16">
        <v>0</v>
      </c>
      <c r="K851" s="16">
        <v>0.45359240000000001</v>
      </c>
      <c r="L851" s="16">
        <v>1</v>
      </c>
      <c r="M851" s="16">
        <v>0</v>
      </c>
      <c r="N851">
        <f t="array" aca="1" ref="N851" ca="1">MATCH(TRUE,EXACT(I851,OFFSET(rngParamTypes,0,6,,1)),0)</f>
        <v>148</v>
      </c>
      <c r="O851" t="str">
        <f ca="1">IF((INDEX(rngParamTypes,$N851,7)=I851),"",1)</f>
        <v/>
      </c>
      <c r="P851">
        <f ca="1">INDEX(rngParamTypes,$N851,9)</f>
        <v>0</v>
      </c>
      <c r="Q851">
        <f ca="1">INDEX(rngParamTypes,$N851,10)</f>
        <v>0</v>
      </c>
      <c r="R851">
        <f ca="1">INDEX(rngParamTypes,$N851,11)</f>
        <v>0</v>
      </c>
      <c r="S851">
        <f ca="1">INDEX(rngParamTypes,$N851,12)</f>
        <v>0</v>
      </c>
      <c r="T851">
        <f ca="1">INDEX(rngParamTypes,$N851,13)</f>
        <v>0</v>
      </c>
      <c r="U851">
        <f ca="1">INDEX(rngParamTypes,$N851,14)</f>
        <v>1</v>
      </c>
      <c r="V851">
        <f ca="1">INDEX(rngParamTypes,$N851,15)</f>
        <v>0</v>
      </c>
      <c r="W851">
        <f ca="1">INDEX(rngParamTypes,$N851,16)</f>
        <v>0</v>
      </c>
      <c r="X851">
        <f ca="1">INDEX(rngParamTypes,$N851,17)</f>
        <v>0</v>
      </c>
      <c r="Y851">
        <f ca="1">INDEX(rngParamTypes,$N851,18)</f>
        <v>0</v>
      </c>
    </row>
    <row r="852" spans="1:25" x14ac:dyDescent="0.2">
      <c r="A852" s="16">
        <v>851</v>
      </c>
      <c r="B852" s="37">
        <v>1</v>
      </c>
      <c r="C852" s="16" t="s">
        <v>2313</v>
      </c>
      <c r="D852" s="16" t="s">
        <v>2313</v>
      </c>
      <c r="E852" s="16">
        <v>2</v>
      </c>
      <c r="F852" s="16" t="s">
        <v>3996</v>
      </c>
      <c r="G852" s="16" t="s">
        <v>3993</v>
      </c>
      <c r="H852" s="16" t="s">
        <v>2312</v>
      </c>
      <c r="I852" s="16" t="s">
        <v>373</v>
      </c>
      <c r="J852" s="16">
        <v>0</v>
      </c>
      <c r="K852" s="16">
        <v>16018.46</v>
      </c>
      <c r="L852" s="16">
        <v>1</v>
      </c>
      <c r="M852" s="16">
        <v>0</v>
      </c>
      <c r="N852">
        <f t="array" aca="1" ref="N852" ca="1">MATCH(TRUE,EXACT(I852,OFFSET(rngParamTypes,0,6,,1)),0)</f>
        <v>151</v>
      </c>
      <c r="O852" t="str">
        <f ca="1">IF((INDEX(rngParamTypes,$N852,7)=I852),"",1)</f>
        <v/>
      </c>
      <c r="P852">
        <f ca="1">INDEX(rngParamTypes,$N852,9)</f>
        <v>0</v>
      </c>
      <c r="Q852">
        <f ca="1">INDEX(rngParamTypes,$N852,10)</f>
        <v>-3</v>
      </c>
      <c r="R852">
        <f ca="1">INDEX(rngParamTypes,$N852,11)</f>
        <v>0</v>
      </c>
      <c r="S852">
        <f ca="1">INDEX(rngParamTypes,$N852,12)</f>
        <v>0</v>
      </c>
      <c r="T852">
        <f ca="1">INDEX(rngParamTypes,$N852,13)</f>
        <v>0</v>
      </c>
      <c r="U852">
        <f ca="1">INDEX(rngParamTypes,$N852,14)</f>
        <v>1</v>
      </c>
      <c r="V852">
        <f ca="1">INDEX(rngParamTypes,$N852,15)</f>
        <v>0</v>
      </c>
      <c r="W852">
        <f ca="1">INDEX(rngParamTypes,$N852,16)</f>
        <v>0</v>
      </c>
      <c r="X852">
        <f ca="1">INDEX(rngParamTypes,$N852,17)</f>
        <v>0</v>
      </c>
      <c r="Y852">
        <f ca="1">INDEX(rngParamTypes,$N852,18)</f>
        <v>0</v>
      </c>
    </row>
    <row r="853" spans="1:25" x14ac:dyDescent="0.2">
      <c r="A853" s="16">
        <v>852</v>
      </c>
      <c r="B853" s="37">
        <v>1</v>
      </c>
      <c r="C853" s="16" t="s">
        <v>2314</v>
      </c>
      <c r="D853" s="16" t="s">
        <v>2314</v>
      </c>
      <c r="E853" s="16">
        <v>2</v>
      </c>
      <c r="F853" s="16" t="s">
        <v>4339</v>
      </c>
      <c r="G853" s="16" t="s">
        <v>3993</v>
      </c>
      <c r="H853" s="16" t="s">
        <v>2312</v>
      </c>
      <c r="I853" s="16" t="s">
        <v>373</v>
      </c>
      <c r="J853" s="16">
        <v>0</v>
      </c>
      <c r="K853" s="16">
        <v>16.018460000000001</v>
      </c>
      <c r="L853" s="16">
        <v>1</v>
      </c>
      <c r="M853" s="16">
        <v>0</v>
      </c>
      <c r="N853">
        <f t="array" aca="1" ref="N853" ca="1">MATCH(TRUE,EXACT(I853,OFFSET(rngParamTypes,0,6,,1)),0)</f>
        <v>151</v>
      </c>
      <c r="O853" t="str">
        <f ca="1">IF((INDEX(rngParamTypes,$N853,7)=I853),"",1)</f>
        <v/>
      </c>
      <c r="P853">
        <f ca="1">INDEX(rngParamTypes,$N853,9)</f>
        <v>0</v>
      </c>
      <c r="Q853">
        <f ca="1">INDEX(rngParamTypes,$N853,10)</f>
        <v>-3</v>
      </c>
      <c r="R853">
        <f ca="1">INDEX(rngParamTypes,$N853,11)</f>
        <v>0</v>
      </c>
      <c r="S853">
        <f ca="1">INDEX(rngParamTypes,$N853,12)</f>
        <v>0</v>
      </c>
      <c r="T853">
        <f ca="1">INDEX(rngParamTypes,$N853,13)</f>
        <v>0</v>
      </c>
      <c r="U853">
        <f ca="1">INDEX(rngParamTypes,$N853,14)</f>
        <v>1</v>
      </c>
      <c r="V853">
        <f ca="1">INDEX(rngParamTypes,$N853,15)</f>
        <v>0</v>
      </c>
      <c r="W853">
        <f ca="1">INDEX(rngParamTypes,$N853,16)</f>
        <v>0</v>
      </c>
      <c r="X853">
        <f ca="1">INDEX(rngParamTypes,$N853,17)</f>
        <v>0</v>
      </c>
      <c r="Y853">
        <f ca="1">INDEX(rngParamTypes,$N853,18)</f>
        <v>0</v>
      </c>
    </row>
    <row r="854" spans="1:25" x14ac:dyDescent="0.2">
      <c r="A854" s="16">
        <v>853</v>
      </c>
      <c r="B854" s="37">
        <v>1</v>
      </c>
      <c r="C854" s="16" t="s">
        <v>2316</v>
      </c>
      <c r="D854" s="16" t="s">
        <v>2316</v>
      </c>
      <c r="E854" s="16">
        <v>2</v>
      </c>
      <c r="F854" s="16" t="s">
        <v>3997</v>
      </c>
      <c r="G854" s="16" t="s">
        <v>3993</v>
      </c>
      <c r="H854" s="16" t="s">
        <v>2315</v>
      </c>
      <c r="I854" s="16" t="s">
        <v>373</v>
      </c>
      <c r="J854" s="16">
        <v>0</v>
      </c>
      <c r="K854" s="16">
        <v>99776.335370000001</v>
      </c>
      <c r="L854" s="16">
        <v>1</v>
      </c>
      <c r="M854" s="16">
        <v>0</v>
      </c>
      <c r="N854">
        <f t="array" aca="1" ref="N854" ca="1">MATCH(TRUE,EXACT(I854,OFFSET(rngParamTypes,0,6,,1)),0)</f>
        <v>151</v>
      </c>
      <c r="O854" t="str">
        <f ca="1">IF((INDEX(rngParamTypes,$N854,7)=I854),"",1)</f>
        <v/>
      </c>
      <c r="P854">
        <f ca="1">INDEX(rngParamTypes,$N854,9)</f>
        <v>0</v>
      </c>
      <c r="Q854">
        <f ca="1">INDEX(rngParamTypes,$N854,10)</f>
        <v>-3</v>
      </c>
      <c r="R854">
        <f ca="1">INDEX(rngParamTypes,$N854,11)</f>
        <v>0</v>
      </c>
      <c r="S854">
        <f ca="1">INDEX(rngParamTypes,$N854,12)</f>
        <v>0</v>
      </c>
      <c r="T854">
        <f ca="1">INDEX(rngParamTypes,$N854,13)</f>
        <v>0</v>
      </c>
      <c r="U854">
        <f ca="1">INDEX(rngParamTypes,$N854,14)</f>
        <v>1</v>
      </c>
      <c r="V854">
        <f ca="1">INDEX(rngParamTypes,$N854,15)</f>
        <v>0</v>
      </c>
      <c r="W854">
        <f ca="1">INDEX(rngParamTypes,$N854,16)</f>
        <v>0</v>
      </c>
      <c r="X854">
        <f ca="1">INDEX(rngParamTypes,$N854,17)</f>
        <v>0</v>
      </c>
      <c r="Y854">
        <f ca="1">INDEX(rngParamTypes,$N854,18)</f>
        <v>0</v>
      </c>
    </row>
    <row r="855" spans="1:25" x14ac:dyDescent="0.2">
      <c r="A855" s="16">
        <v>854</v>
      </c>
      <c r="B855" s="37">
        <v>1</v>
      </c>
      <c r="C855" s="16" t="s">
        <v>2317</v>
      </c>
      <c r="D855" s="16" t="s">
        <v>2317</v>
      </c>
      <c r="E855" s="16">
        <v>2</v>
      </c>
      <c r="F855" s="16" t="s">
        <v>4340</v>
      </c>
      <c r="G855" s="16" t="s">
        <v>3993</v>
      </c>
      <c r="H855" s="16" t="s">
        <v>2315</v>
      </c>
      <c r="I855" s="16" t="s">
        <v>373</v>
      </c>
      <c r="J855" s="16">
        <v>0</v>
      </c>
      <c r="K855" s="16">
        <v>99.776330000000002</v>
      </c>
      <c r="L855" s="16">
        <v>1</v>
      </c>
      <c r="M855" s="16">
        <v>0</v>
      </c>
      <c r="N855">
        <f t="array" aca="1" ref="N855" ca="1">MATCH(TRUE,EXACT(I855,OFFSET(rngParamTypes,0,6,,1)),0)</f>
        <v>151</v>
      </c>
      <c r="O855" t="str">
        <f ca="1">IF((INDEX(rngParamTypes,$N855,7)=I855),"",1)</f>
        <v/>
      </c>
      <c r="P855">
        <f ca="1">INDEX(rngParamTypes,$N855,9)</f>
        <v>0</v>
      </c>
      <c r="Q855">
        <f ca="1">INDEX(rngParamTypes,$N855,10)</f>
        <v>-3</v>
      </c>
      <c r="R855">
        <f ca="1">INDEX(rngParamTypes,$N855,11)</f>
        <v>0</v>
      </c>
      <c r="S855">
        <f ca="1">INDEX(rngParamTypes,$N855,12)</f>
        <v>0</v>
      </c>
      <c r="T855">
        <f ca="1">INDEX(rngParamTypes,$N855,13)</f>
        <v>0</v>
      </c>
      <c r="U855">
        <f ca="1">INDEX(rngParamTypes,$N855,14)</f>
        <v>1</v>
      </c>
      <c r="V855">
        <f ca="1">INDEX(rngParamTypes,$N855,15)</f>
        <v>0</v>
      </c>
      <c r="W855">
        <f ca="1">INDEX(rngParamTypes,$N855,16)</f>
        <v>0</v>
      </c>
      <c r="X855">
        <f ca="1">INDEX(rngParamTypes,$N855,17)</f>
        <v>0</v>
      </c>
      <c r="Y855">
        <f ca="1">INDEX(rngParamTypes,$N855,18)</f>
        <v>0</v>
      </c>
    </row>
    <row r="856" spans="1:25" x14ac:dyDescent="0.2">
      <c r="A856" s="16">
        <v>855</v>
      </c>
      <c r="B856" s="37">
        <v>1</v>
      </c>
      <c r="C856" s="16" t="s">
        <v>2319</v>
      </c>
      <c r="D856" s="16" t="s">
        <v>2319</v>
      </c>
      <c r="E856" s="16">
        <v>2</v>
      </c>
      <c r="F856" s="16" t="s">
        <v>3998</v>
      </c>
      <c r="G856" s="16" t="s">
        <v>3993</v>
      </c>
      <c r="H856" s="16" t="s">
        <v>2318</v>
      </c>
      <c r="I856" s="16" t="s">
        <v>373</v>
      </c>
      <c r="J856" s="16">
        <v>0</v>
      </c>
      <c r="K856" s="16">
        <v>119826.4</v>
      </c>
      <c r="L856" s="16">
        <v>1</v>
      </c>
      <c r="M856" s="16">
        <v>0</v>
      </c>
      <c r="N856">
        <f t="array" aca="1" ref="N856" ca="1">MATCH(TRUE,EXACT(I856,OFFSET(rngParamTypes,0,6,,1)),0)</f>
        <v>151</v>
      </c>
      <c r="O856" t="str">
        <f ca="1">IF((INDEX(rngParamTypes,$N856,7)=I856),"",1)</f>
        <v/>
      </c>
      <c r="P856">
        <f ca="1">INDEX(rngParamTypes,$N856,9)</f>
        <v>0</v>
      </c>
      <c r="Q856">
        <f ca="1">INDEX(rngParamTypes,$N856,10)</f>
        <v>-3</v>
      </c>
      <c r="R856">
        <f ca="1">INDEX(rngParamTypes,$N856,11)</f>
        <v>0</v>
      </c>
      <c r="S856">
        <f ca="1">INDEX(rngParamTypes,$N856,12)</f>
        <v>0</v>
      </c>
      <c r="T856">
        <f ca="1">INDEX(rngParamTypes,$N856,13)</f>
        <v>0</v>
      </c>
      <c r="U856">
        <f ca="1">INDEX(rngParamTypes,$N856,14)</f>
        <v>1</v>
      </c>
      <c r="V856">
        <f ca="1">INDEX(rngParamTypes,$N856,15)</f>
        <v>0</v>
      </c>
      <c r="W856">
        <f ca="1">INDEX(rngParamTypes,$N856,16)</f>
        <v>0</v>
      </c>
      <c r="X856">
        <f ca="1">INDEX(rngParamTypes,$N856,17)</f>
        <v>0</v>
      </c>
      <c r="Y856">
        <f ca="1">INDEX(rngParamTypes,$N856,18)</f>
        <v>0</v>
      </c>
    </row>
    <row r="857" spans="1:25" x14ac:dyDescent="0.2">
      <c r="A857" s="16">
        <v>856</v>
      </c>
      <c r="B857" s="37">
        <v>1</v>
      </c>
      <c r="C857" s="16" t="s">
        <v>2320</v>
      </c>
      <c r="D857" s="16" t="s">
        <v>2320</v>
      </c>
      <c r="E857" s="16">
        <v>2</v>
      </c>
      <c r="F857" s="16" t="s">
        <v>4341</v>
      </c>
      <c r="G857" s="16" t="s">
        <v>3993</v>
      </c>
      <c r="H857" s="16" t="s">
        <v>2318</v>
      </c>
      <c r="I857" s="16" t="s">
        <v>373</v>
      </c>
      <c r="J857" s="16">
        <v>0</v>
      </c>
      <c r="K857" s="16">
        <v>119.82640000000001</v>
      </c>
      <c r="L857" s="16">
        <v>1</v>
      </c>
      <c r="M857" s="16">
        <v>0</v>
      </c>
      <c r="N857">
        <f t="array" aca="1" ref="N857" ca="1">MATCH(TRUE,EXACT(I857,OFFSET(rngParamTypes,0,6,,1)),0)</f>
        <v>151</v>
      </c>
      <c r="O857" t="str">
        <f ca="1">IF((INDEX(rngParamTypes,$N857,7)=I857),"",1)</f>
        <v/>
      </c>
      <c r="P857">
        <f ca="1">INDEX(rngParamTypes,$N857,9)</f>
        <v>0</v>
      </c>
      <c r="Q857">
        <f ca="1">INDEX(rngParamTypes,$N857,10)</f>
        <v>-3</v>
      </c>
      <c r="R857">
        <f ca="1">INDEX(rngParamTypes,$N857,11)</f>
        <v>0</v>
      </c>
      <c r="S857">
        <f ca="1">INDEX(rngParamTypes,$N857,12)</f>
        <v>0</v>
      </c>
      <c r="T857">
        <f ca="1">INDEX(rngParamTypes,$N857,13)</f>
        <v>0</v>
      </c>
      <c r="U857">
        <f ca="1">INDEX(rngParamTypes,$N857,14)</f>
        <v>1</v>
      </c>
      <c r="V857">
        <f ca="1">INDEX(rngParamTypes,$N857,15)</f>
        <v>0</v>
      </c>
      <c r="W857">
        <f ca="1">INDEX(rngParamTypes,$N857,16)</f>
        <v>0</v>
      </c>
      <c r="X857">
        <f ca="1">INDEX(rngParamTypes,$N857,17)</f>
        <v>0</v>
      </c>
      <c r="Y857">
        <f ca="1">INDEX(rngParamTypes,$N857,18)</f>
        <v>0</v>
      </c>
    </row>
    <row r="858" spans="1:25" x14ac:dyDescent="0.2">
      <c r="A858" s="16">
        <v>857</v>
      </c>
      <c r="B858" s="37">
        <v>1</v>
      </c>
      <c r="C858" s="16" t="s">
        <v>2322</v>
      </c>
      <c r="D858" s="16" t="s">
        <v>2322</v>
      </c>
      <c r="E858" s="16">
        <v>2</v>
      </c>
      <c r="F858" s="16" t="s">
        <v>3999</v>
      </c>
      <c r="G858" s="16" t="s">
        <v>375</v>
      </c>
      <c r="H858" s="16" t="s">
        <v>2321</v>
      </c>
      <c r="I858" s="16" t="s">
        <v>376</v>
      </c>
      <c r="J858" s="16">
        <v>0</v>
      </c>
      <c r="K858" s="16">
        <v>453.5924</v>
      </c>
      <c r="L858" s="16">
        <v>3600</v>
      </c>
      <c r="M858" s="16">
        <v>0</v>
      </c>
      <c r="N858">
        <f t="array" aca="1" ref="N858" ca="1">MATCH(TRUE,EXACT(I858,OFFSET(rngParamTypes,0,6,,1)),0)</f>
        <v>153</v>
      </c>
      <c r="O858" t="str">
        <f ca="1">IF((INDEX(rngParamTypes,$N858,7)=I858),"",1)</f>
        <v/>
      </c>
      <c r="P858">
        <f ca="1">INDEX(rngParamTypes,$N858,9)</f>
        <v>0</v>
      </c>
      <c r="Q858">
        <f ca="1">INDEX(rngParamTypes,$N858,10)</f>
        <v>0</v>
      </c>
      <c r="R858">
        <f ca="1">INDEX(rngParamTypes,$N858,11)</f>
        <v>-1</v>
      </c>
      <c r="S858">
        <f ca="1">INDEX(rngParamTypes,$N858,12)</f>
        <v>0</v>
      </c>
      <c r="T858">
        <f ca="1">INDEX(rngParamTypes,$N858,13)</f>
        <v>0</v>
      </c>
      <c r="U858">
        <f ca="1">INDEX(rngParamTypes,$N858,14)</f>
        <v>1</v>
      </c>
      <c r="V858">
        <f ca="1">INDEX(rngParamTypes,$N858,15)</f>
        <v>0</v>
      </c>
      <c r="W858">
        <f ca="1">INDEX(rngParamTypes,$N858,16)</f>
        <v>0</v>
      </c>
      <c r="X858">
        <f ca="1">INDEX(rngParamTypes,$N858,17)</f>
        <v>0</v>
      </c>
      <c r="Y858">
        <f ca="1">INDEX(rngParamTypes,$N858,18)</f>
        <v>0</v>
      </c>
    </row>
    <row r="859" spans="1:25" x14ac:dyDescent="0.2">
      <c r="A859" s="16">
        <v>858</v>
      </c>
      <c r="B859" s="37">
        <v>1</v>
      </c>
      <c r="C859" s="16" t="s">
        <v>2323</v>
      </c>
      <c r="D859" s="16" t="s">
        <v>2323</v>
      </c>
      <c r="E859" s="16">
        <v>2</v>
      </c>
      <c r="F859" s="16" t="s">
        <v>4342</v>
      </c>
      <c r="G859" s="16" t="s">
        <v>375</v>
      </c>
      <c r="H859" s="16" t="s">
        <v>2321</v>
      </c>
      <c r="I859" s="16" t="s">
        <v>376</v>
      </c>
      <c r="J859" s="16">
        <v>0</v>
      </c>
      <c r="K859" s="16">
        <v>0.45359240000000001</v>
      </c>
      <c r="L859" s="16">
        <v>3600</v>
      </c>
      <c r="M859" s="16">
        <v>0</v>
      </c>
      <c r="N859">
        <f t="array" aca="1" ref="N859" ca="1">MATCH(TRUE,EXACT(I859,OFFSET(rngParamTypes,0,6,,1)),0)</f>
        <v>153</v>
      </c>
      <c r="O859" t="str">
        <f ca="1">IF((INDEX(rngParamTypes,$N859,7)=I859),"",1)</f>
        <v/>
      </c>
      <c r="P859">
        <f ca="1">INDEX(rngParamTypes,$N859,9)</f>
        <v>0</v>
      </c>
      <c r="Q859">
        <f ca="1">INDEX(rngParamTypes,$N859,10)</f>
        <v>0</v>
      </c>
      <c r="R859">
        <f ca="1">INDEX(rngParamTypes,$N859,11)</f>
        <v>-1</v>
      </c>
      <c r="S859">
        <f ca="1">INDEX(rngParamTypes,$N859,12)</f>
        <v>0</v>
      </c>
      <c r="T859">
        <f ca="1">INDEX(rngParamTypes,$N859,13)</f>
        <v>0</v>
      </c>
      <c r="U859">
        <f ca="1">INDEX(rngParamTypes,$N859,14)</f>
        <v>1</v>
      </c>
      <c r="V859">
        <f ca="1">INDEX(rngParamTypes,$N859,15)</f>
        <v>0</v>
      </c>
      <c r="W859">
        <f ca="1">INDEX(rngParamTypes,$N859,16)</f>
        <v>0</v>
      </c>
      <c r="X859">
        <f ca="1">INDEX(rngParamTypes,$N859,17)</f>
        <v>0</v>
      </c>
      <c r="Y859">
        <f ca="1">INDEX(rngParamTypes,$N859,18)</f>
        <v>0</v>
      </c>
    </row>
    <row r="860" spans="1:25" x14ac:dyDescent="0.2">
      <c r="A860" s="16">
        <v>859</v>
      </c>
      <c r="B860" s="37">
        <v>1</v>
      </c>
      <c r="C860" s="16" t="s">
        <v>2325</v>
      </c>
      <c r="D860" s="16" t="s">
        <v>2325</v>
      </c>
      <c r="E860" s="16"/>
      <c r="F860" s="16" t="s">
        <v>4343</v>
      </c>
      <c r="G860" s="16" t="s">
        <v>368</v>
      </c>
      <c r="H860" s="16" t="s">
        <v>2324</v>
      </c>
      <c r="I860" s="16" t="s">
        <v>369</v>
      </c>
      <c r="J860" s="16">
        <v>0</v>
      </c>
      <c r="K860" s="16">
        <v>0.45359240000000001</v>
      </c>
      <c r="L860" s="16">
        <v>334.45094399999999</v>
      </c>
      <c r="M860" s="16">
        <v>0</v>
      </c>
      <c r="N860">
        <f t="array" aca="1" ref="N860" ca="1">MATCH(TRUE,EXACT(I860,OFFSET(rngParamTypes,0,6,,1)),0)</f>
        <v>150</v>
      </c>
      <c r="O860" t="str">
        <f ca="1">IF((INDEX(rngParamTypes,$N860,7)=I860),"",1)</f>
        <v/>
      </c>
      <c r="P860">
        <f ca="1">INDEX(rngParamTypes,$N860,9)</f>
        <v>0</v>
      </c>
      <c r="Q860">
        <f ca="1">INDEX(rngParamTypes,$N860,10)</f>
        <v>-2</v>
      </c>
      <c r="R860">
        <f ca="1">INDEX(rngParamTypes,$N860,11)</f>
        <v>-1</v>
      </c>
      <c r="S860">
        <f ca="1">INDEX(rngParamTypes,$N860,12)</f>
        <v>0</v>
      </c>
      <c r="T860">
        <f ca="1">INDEX(rngParamTypes,$N860,13)</f>
        <v>0</v>
      </c>
      <c r="U860">
        <f ca="1">INDEX(rngParamTypes,$N860,14)</f>
        <v>1</v>
      </c>
      <c r="V860">
        <f ca="1">INDEX(rngParamTypes,$N860,15)</f>
        <v>0</v>
      </c>
      <c r="W860">
        <f ca="1">INDEX(rngParamTypes,$N860,16)</f>
        <v>0</v>
      </c>
      <c r="X860">
        <f ca="1">INDEX(rngParamTypes,$N860,17)</f>
        <v>0</v>
      </c>
      <c r="Y860">
        <f ca="1">INDEX(rngParamTypes,$N860,18)</f>
        <v>0</v>
      </c>
    </row>
    <row r="861" spans="1:25" x14ac:dyDescent="0.2">
      <c r="A861" s="16">
        <v>860</v>
      </c>
      <c r="B861" s="37">
        <v>1</v>
      </c>
      <c r="C861" s="16" t="s">
        <v>2326</v>
      </c>
      <c r="D861" s="16" t="s">
        <v>2326</v>
      </c>
      <c r="E861" s="16"/>
      <c r="F861" s="16" t="s">
        <v>4000</v>
      </c>
      <c r="G861" s="16" t="s">
        <v>368</v>
      </c>
      <c r="H861" s="16" t="s">
        <v>2324</v>
      </c>
      <c r="I861" s="16" t="s">
        <v>369</v>
      </c>
      <c r="J861" s="16">
        <v>0</v>
      </c>
      <c r="K861" s="16">
        <v>453.5924</v>
      </c>
      <c r="L861" s="16">
        <v>334.45094399999999</v>
      </c>
      <c r="M861" s="16">
        <v>0</v>
      </c>
      <c r="N861">
        <f t="array" aca="1" ref="N861" ca="1">MATCH(TRUE,EXACT(I861,OFFSET(rngParamTypes,0,6,,1)),0)</f>
        <v>150</v>
      </c>
      <c r="O861" t="str">
        <f ca="1">IF((INDEX(rngParamTypes,$N861,7)=I861),"",1)</f>
        <v/>
      </c>
      <c r="P861">
        <f ca="1">INDEX(rngParamTypes,$N861,9)</f>
        <v>0</v>
      </c>
      <c r="Q861">
        <f ca="1">INDEX(rngParamTypes,$N861,10)</f>
        <v>-2</v>
      </c>
      <c r="R861">
        <f ca="1">INDEX(rngParamTypes,$N861,11)</f>
        <v>-1</v>
      </c>
      <c r="S861">
        <f ca="1">INDEX(rngParamTypes,$N861,12)</f>
        <v>0</v>
      </c>
      <c r="T861">
        <f ca="1">INDEX(rngParamTypes,$N861,13)</f>
        <v>0</v>
      </c>
      <c r="U861">
        <f ca="1">INDEX(rngParamTypes,$N861,14)</f>
        <v>1</v>
      </c>
      <c r="V861">
        <f ca="1">INDEX(rngParamTypes,$N861,15)</f>
        <v>0</v>
      </c>
      <c r="W861">
        <f ca="1">INDEX(rngParamTypes,$N861,16)</f>
        <v>0</v>
      </c>
      <c r="X861">
        <f ca="1">INDEX(rngParamTypes,$N861,17)</f>
        <v>0</v>
      </c>
      <c r="Y861">
        <f ca="1">INDEX(rngParamTypes,$N861,18)</f>
        <v>0</v>
      </c>
    </row>
    <row r="862" spans="1:25" x14ac:dyDescent="0.2">
      <c r="A862" s="16">
        <v>861</v>
      </c>
      <c r="B862" s="37">
        <v>1</v>
      </c>
      <c r="C862" s="16" t="s">
        <v>2328</v>
      </c>
      <c r="D862" s="16" t="s">
        <v>2328</v>
      </c>
      <c r="E862" s="16">
        <v>2</v>
      </c>
      <c r="F862" s="16" t="s">
        <v>4001</v>
      </c>
      <c r="G862" s="16" t="s">
        <v>375</v>
      </c>
      <c r="H862" s="16" t="s">
        <v>2327</v>
      </c>
      <c r="I862" s="16" t="s">
        <v>376</v>
      </c>
      <c r="J862" s="16">
        <v>0</v>
      </c>
      <c r="K862" s="16">
        <v>453.5924</v>
      </c>
      <c r="L862" s="16">
        <v>1</v>
      </c>
      <c r="M862" s="16">
        <v>0</v>
      </c>
      <c r="N862">
        <f t="array" aca="1" ref="N862" ca="1">MATCH(TRUE,EXACT(I862,OFFSET(rngParamTypes,0,6,,1)),0)</f>
        <v>153</v>
      </c>
      <c r="O862" t="str">
        <f ca="1">IF((INDEX(rngParamTypes,$N862,7)=I862),"",1)</f>
        <v/>
      </c>
      <c r="P862">
        <f ca="1">INDEX(rngParamTypes,$N862,9)</f>
        <v>0</v>
      </c>
      <c r="Q862">
        <f ca="1">INDEX(rngParamTypes,$N862,10)</f>
        <v>0</v>
      </c>
      <c r="R862">
        <f ca="1">INDEX(rngParamTypes,$N862,11)</f>
        <v>-1</v>
      </c>
      <c r="S862">
        <f ca="1">INDEX(rngParamTypes,$N862,12)</f>
        <v>0</v>
      </c>
      <c r="T862">
        <f ca="1">INDEX(rngParamTypes,$N862,13)</f>
        <v>0</v>
      </c>
      <c r="U862">
        <f ca="1">INDEX(rngParamTypes,$N862,14)</f>
        <v>1</v>
      </c>
      <c r="V862">
        <f ca="1">INDEX(rngParamTypes,$N862,15)</f>
        <v>0</v>
      </c>
      <c r="W862">
        <f ca="1">INDEX(rngParamTypes,$N862,16)</f>
        <v>0</v>
      </c>
      <c r="X862">
        <f ca="1">INDEX(rngParamTypes,$N862,17)</f>
        <v>0</v>
      </c>
      <c r="Y862">
        <f ca="1">INDEX(rngParamTypes,$N862,18)</f>
        <v>0</v>
      </c>
    </row>
    <row r="863" spans="1:25" x14ac:dyDescent="0.2">
      <c r="A863" s="16">
        <v>862</v>
      </c>
      <c r="B863" s="37">
        <v>1</v>
      </c>
      <c r="C863" s="16" t="s">
        <v>2329</v>
      </c>
      <c r="D863" s="16" t="s">
        <v>2329</v>
      </c>
      <c r="E863" s="16">
        <v>2</v>
      </c>
      <c r="F863" s="16" t="s">
        <v>4344</v>
      </c>
      <c r="G863" s="16" t="s">
        <v>375</v>
      </c>
      <c r="H863" s="16" t="s">
        <v>2327</v>
      </c>
      <c r="I863" s="16" t="s">
        <v>376</v>
      </c>
      <c r="J863" s="16">
        <v>0</v>
      </c>
      <c r="K863" s="16">
        <v>0.45359240000000001</v>
      </c>
      <c r="L863" s="16">
        <v>1</v>
      </c>
      <c r="M863" s="16">
        <v>0</v>
      </c>
      <c r="N863">
        <f t="array" aca="1" ref="N863" ca="1">MATCH(TRUE,EXACT(I863,OFFSET(rngParamTypes,0,6,,1)),0)</f>
        <v>153</v>
      </c>
      <c r="O863" t="str">
        <f ca="1">IF((INDEX(rngParamTypes,$N863,7)=I863),"",1)</f>
        <v/>
      </c>
      <c r="P863">
        <f ca="1">INDEX(rngParamTypes,$N863,9)</f>
        <v>0</v>
      </c>
      <c r="Q863">
        <f ca="1">INDEX(rngParamTypes,$N863,10)</f>
        <v>0</v>
      </c>
      <c r="R863">
        <f ca="1">INDEX(rngParamTypes,$N863,11)</f>
        <v>-1</v>
      </c>
      <c r="S863">
        <f ca="1">INDEX(rngParamTypes,$N863,12)</f>
        <v>0</v>
      </c>
      <c r="T863">
        <f ca="1">INDEX(rngParamTypes,$N863,13)</f>
        <v>0</v>
      </c>
      <c r="U863">
        <f ca="1">INDEX(rngParamTypes,$N863,14)</f>
        <v>1</v>
      </c>
      <c r="V863">
        <f ca="1">INDEX(rngParamTypes,$N863,15)</f>
        <v>0</v>
      </c>
      <c r="W863">
        <f ca="1">INDEX(rngParamTypes,$N863,16)</f>
        <v>0</v>
      </c>
      <c r="X863">
        <f ca="1">INDEX(rngParamTypes,$N863,17)</f>
        <v>0</v>
      </c>
      <c r="Y863">
        <f ca="1">INDEX(rngParamTypes,$N863,18)</f>
        <v>0</v>
      </c>
    </row>
    <row r="864" spans="1:25" x14ac:dyDescent="0.2">
      <c r="A864" s="16">
        <v>863</v>
      </c>
      <c r="B864" s="37">
        <v>1</v>
      </c>
      <c r="C864" s="16" t="s">
        <v>2331</v>
      </c>
      <c r="D864" s="16" t="s">
        <v>2331</v>
      </c>
      <c r="E864" s="16"/>
      <c r="F864" s="16" t="s">
        <v>4002</v>
      </c>
      <c r="G864" s="16" t="s">
        <v>368</v>
      </c>
      <c r="H864" s="16" t="s">
        <v>2330</v>
      </c>
      <c r="I864" s="16" t="s">
        <v>369</v>
      </c>
      <c r="J864" s="16">
        <v>0</v>
      </c>
      <c r="K864" s="16">
        <v>453.5924</v>
      </c>
      <c r="L864" s="16">
        <v>9.2903040000000006E-2</v>
      </c>
      <c r="M864" s="16">
        <v>0</v>
      </c>
      <c r="N864">
        <f t="array" aca="1" ref="N864" ca="1">MATCH(TRUE,EXACT(I864,OFFSET(rngParamTypes,0,6,,1)),0)</f>
        <v>150</v>
      </c>
      <c r="O864" t="str">
        <f ca="1">IF((INDEX(rngParamTypes,$N864,7)=I864),"",1)</f>
        <v/>
      </c>
      <c r="P864">
        <f ca="1">INDEX(rngParamTypes,$N864,9)</f>
        <v>0</v>
      </c>
      <c r="Q864">
        <f ca="1">INDEX(rngParamTypes,$N864,10)</f>
        <v>-2</v>
      </c>
      <c r="R864">
        <f ca="1">INDEX(rngParamTypes,$N864,11)</f>
        <v>-1</v>
      </c>
      <c r="S864">
        <f ca="1">INDEX(rngParamTypes,$N864,12)</f>
        <v>0</v>
      </c>
      <c r="T864">
        <f ca="1">INDEX(rngParamTypes,$N864,13)</f>
        <v>0</v>
      </c>
      <c r="U864">
        <f ca="1">INDEX(rngParamTypes,$N864,14)</f>
        <v>1</v>
      </c>
      <c r="V864">
        <f ca="1">INDEX(rngParamTypes,$N864,15)</f>
        <v>0</v>
      </c>
      <c r="W864">
        <f ca="1">INDEX(rngParamTypes,$N864,16)</f>
        <v>0</v>
      </c>
      <c r="X864">
        <f ca="1">INDEX(rngParamTypes,$N864,17)</f>
        <v>0</v>
      </c>
      <c r="Y864">
        <f ca="1">INDEX(rngParamTypes,$N864,18)</f>
        <v>0</v>
      </c>
    </row>
    <row r="865" spans="1:25" x14ac:dyDescent="0.2">
      <c r="A865" s="16">
        <v>864</v>
      </c>
      <c r="B865" s="37">
        <v>1</v>
      </c>
      <c r="C865" s="16" t="s">
        <v>2332</v>
      </c>
      <c r="D865" s="16" t="s">
        <v>2332</v>
      </c>
      <c r="E865" s="16"/>
      <c r="F865" s="16" t="s">
        <v>4345</v>
      </c>
      <c r="G865" s="16" t="s">
        <v>368</v>
      </c>
      <c r="H865" s="16" t="s">
        <v>2330</v>
      </c>
      <c r="I865" s="16" t="s">
        <v>369</v>
      </c>
      <c r="J865" s="16">
        <v>0</v>
      </c>
      <c r="K865" s="16">
        <v>0.45359240000000001</v>
      </c>
      <c r="L865" s="16">
        <v>9.2903040000000006E-2</v>
      </c>
      <c r="M865" s="16">
        <v>0</v>
      </c>
      <c r="N865">
        <f t="array" aca="1" ref="N865" ca="1">MATCH(TRUE,EXACT(I865,OFFSET(rngParamTypes,0,6,,1)),0)</f>
        <v>150</v>
      </c>
      <c r="O865" t="str">
        <f ca="1">IF((INDEX(rngParamTypes,$N865,7)=I865),"",1)</f>
        <v/>
      </c>
      <c r="P865">
        <f ca="1">INDEX(rngParamTypes,$N865,9)</f>
        <v>0</v>
      </c>
      <c r="Q865">
        <f ca="1">INDEX(rngParamTypes,$N865,10)</f>
        <v>-2</v>
      </c>
      <c r="R865">
        <f ca="1">INDEX(rngParamTypes,$N865,11)</f>
        <v>-1</v>
      </c>
      <c r="S865">
        <f ca="1">INDEX(rngParamTypes,$N865,12)</f>
        <v>0</v>
      </c>
      <c r="T865">
        <f ca="1">INDEX(rngParamTypes,$N865,13)</f>
        <v>0</v>
      </c>
      <c r="U865">
        <f ca="1">INDEX(rngParamTypes,$N865,14)</f>
        <v>1</v>
      </c>
      <c r="V865">
        <f ca="1">INDEX(rngParamTypes,$N865,15)</f>
        <v>0</v>
      </c>
      <c r="W865">
        <f ca="1">INDEX(rngParamTypes,$N865,16)</f>
        <v>0</v>
      </c>
      <c r="X865">
        <f ca="1">INDEX(rngParamTypes,$N865,17)</f>
        <v>0</v>
      </c>
      <c r="Y865">
        <f ca="1">INDEX(rngParamTypes,$N865,18)</f>
        <v>0</v>
      </c>
    </row>
    <row r="866" spans="1:25" x14ac:dyDescent="0.2">
      <c r="A866" s="16">
        <v>865</v>
      </c>
      <c r="B866" s="37">
        <v>1</v>
      </c>
      <c r="C866" s="16" t="s">
        <v>2334</v>
      </c>
      <c r="D866" s="16" t="s">
        <v>2334</v>
      </c>
      <c r="E866" s="16">
        <v>2</v>
      </c>
      <c r="F866" s="16" t="s">
        <v>4003</v>
      </c>
      <c r="G866" s="16" t="s">
        <v>3270</v>
      </c>
      <c r="H866" s="16" t="s">
        <v>2333</v>
      </c>
      <c r="I866" s="16" t="s">
        <v>416</v>
      </c>
      <c r="J866" s="16">
        <v>0</v>
      </c>
      <c r="K866" s="16">
        <v>1E-3</v>
      </c>
      <c r="L866" s="16">
        <v>1</v>
      </c>
      <c r="M866" s="16">
        <v>0</v>
      </c>
      <c r="N866">
        <f t="array" aca="1" ref="N866" ca="1">MATCH(TRUE,EXACT(I866,OFFSET(rngParamTypes,0,6,,1)),0)</f>
        <v>167</v>
      </c>
      <c r="O866" t="str">
        <f ca="1">IF((INDEX(rngParamTypes,$N866,7)=I866),"",1)</f>
        <v/>
      </c>
      <c r="P866">
        <f ca="1">INDEX(rngParamTypes,$N866,9)</f>
        <v>1</v>
      </c>
      <c r="Q866">
        <f ca="1">INDEX(rngParamTypes,$N866,10)</f>
        <v>-1</v>
      </c>
      <c r="R866">
        <f ca="1">INDEX(rngParamTypes,$N866,11)</f>
        <v>-2</v>
      </c>
      <c r="S866">
        <f ca="1">INDEX(rngParamTypes,$N866,12)</f>
        <v>0</v>
      </c>
      <c r="T866">
        <f ca="1">INDEX(rngParamTypes,$N866,13)</f>
        <v>0</v>
      </c>
      <c r="U866">
        <f ca="1">INDEX(rngParamTypes,$N866,14)</f>
        <v>0</v>
      </c>
      <c r="V866">
        <f ca="1">INDEX(rngParamTypes,$N866,15)</f>
        <v>0</v>
      </c>
      <c r="W866">
        <f ca="1">INDEX(rngParamTypes,$N866,16)</f>
        <v>0</v>
      </c>
      <c r="X866">
        <f ca="1">INDEX(rngParamTypes,$N866,17)</f>
        <v>0</v>
      </c>
      <c r="Y866">
        <f ca="1">INDEX(rngParamTypes,$N866,18)</f>
        <v>0</v>
      </c>
    </row>
    <row r="867" spans="1:25" x14ac:dyDescent="0.2">
      <c r="A867" s="16">
        <v>866</v>
      </c>
      <c r="B867" s="37">
        <v>1</v>
      </c>
      <c r="C867" s="16" t="s">
        <v>2336</v>
      </c>
      <c r="D867" s="16" t="s">
        <v>2336</v>
      </c>
      <c r="E867" s="16">
        <v>2</v>
      </c>
      <c r="F867" s="16" t="s">
        <v>4004</v>
      </c>
      <c r="G867" s="16" t="s">
        <v>3270</v>
      </c>
      <c r="H867" s="16" t="s">
        <v>2335</v>
      </c>
      <c r="I867" s="16" t="s">
        <v>416</v>
      </c>
      <c r="J867" s="16">
        <v>0</v>
      </c>
      <c r="K867" s="16">
        <v>1000000</v>
      </c>
      <c r="L867" s="16">
        <v>1</v>
      </c>
      <c r="M867" s="16">
        <v>0</v>
      </c>
      <c r="N867">
        <f t="array" aca="1" ref="N867" ca="1">MATCH(TRUE,EXACT(I867,OFFSET(rngParamTypes,0,6,,1)),0)</f>
        <v>167</v>
      </c>
      <c r="O867" t="str">
        <f ca="1">IF((INDEX(rngParamTypes,$N867,7)=I867),"",1)</f>
        <v/>
      </c>
      <c r="P867">
        <f ca="1">INDEX(rngParamTypes,$N867,9)</f>
        <v>1</v>
      </c>
      <c r="Q867">
        <f ca="1">INDEX(rngParamTypes,$N867,10)</f>
        <v>-1</v>
      </c>
      <c r="R867">
        <f ca="1">INDEX(rngParamTypes,$N867,11)</f>
        <v>-2</v>
      </c>
      <c r="S867">
        <f ca="1">INDEX(rngParamTypes,$N867,12)</f>
        <v>0</v>
      </c>
      <c r="T867">
        <f ca="1">INDEX(rngParamTypes,$N867,13)</f>
        <v>0</v>
      </c>
      <c r="U867">
        <f ca="1">INDEX(rngParamTypes,$N867,14)</f>
        <v>0</v>
      </c>
      <c r="V867">
        <f ca="1">INDEX(rngParamTypes,$N867,15)</f>
        <v>0</v>
      </c>
      <c r="W867">
        <f ca="1">INDEX(rngParamTypes,$N867,16)</f>
        <v>0</v>
      </c>
      <c r="X867">
        <f ca="1">INDEX(rngParamTypes,$N867,17)</f>
        <v>0</v>
      </c>
      <c r="Y867">
        <f ca="1">INDEX(rngParamTypes,$N867,18)</f>
        <v>0</v>
      </c>
    </row>
    <row r="868" spans="1:25" x14ac:dyDescent="0.2">
      <c r="A868" s="16">
        <v>867</v>
      </c>
      <c r="B868" s="37">
        <v>1</v>
      </c>
      <c r="C868" s="16" t="s">
        <v>2338</v>
      </c>
      <c r="D868" s="16" t="s">
        <v>2338</v>
      </c>
      <c r="E868" s="16">
        <v>1</v>
      </c>
      <c r="F868" s="16" t="s">
        <v>4005</v>
      </c>
      <c r="G868" s="16" t="s">
        <v>419</v>
      </c>
      <c r="H868" s="16" t="s">
        <v>2337</v>
      </c>
      <c r="I868" s="16" t="s">
        <v>421</v>
      </c>
      <c r="J868" s="16">
        <v>0</v>
      </c>
      <c r="K868" s="16">
        <v>1E-3</v>
      </c>
      <c r="L868" s="16">
        <v>1</v>
      </c>
      <c r="M868" s="16">
        <v>0</v>
      </c>
      <c r="N868">
        <f t="array" aca="1" ref="N868" ca="1">MATCH(TRUE,EXACT(I868,OFFSET(rngParamTypes,0,6,,1)),0)</f>
        <v>169</v>
      </c>
      <c r="O868" t="str">
        <f ca="1">IF((INDEX(rngParamTypes,$N868,7)=I868),"",1)</f>
        <v/>
      </c>
      <c r="P868">
        <f ca="1">INDEX(rngParamTypes,$N868,9)</f>
        <v>1</v>
      </c>
      <c r="Q868">
        <f ca="1">INDEX(rngParamTypes,$N868,10)</f>
        <v>-1</v>
      </c>
      <c r="R868">
        <f ca="1">INDEX(rngParamTypes,$N868,11)</f>
        <v>-1</v>
      </c>
      <c r="S868">
        <f ca="1">INDEX(rngParamTypes,$N868,12)</f>
        <v>0</v>
      </c>
      <c r="T868">
        <f ca="1">INDEX(rngParamTypes,$N868,13)</f>
        <v>0</v>
      </c>
      <c r="U868">
        <f ca="1">INDEX(rngParamTypes,$N868,14)</f>
        <v>0</v>
      </c>
      <c r="V868">
        <f ca="1">INDEX(rngParamTypes,$N868,15)</f>
        <v>0</v>
      </c>
      <c r="W868">
        <f ca="1">INDEX(rngParamTypes,$N868,16)</f>
        <v>0</v>
      </c>
      <c r="X868">
        <f ca="1">INDEX(rngParamTypes,$N868,17)</f>
        <v>0</v>
      </c>
      <c r="Y868">
        <f ca="1">INDEX(rngParamTypes,$N868,18)</f>
        <v>0</v>
      </c>
    </row>
    <row r="869" spans="1:25" x14ac:dyDescent="0.2">
      <c r="A869" s="16">
        <v>868</v>
      </c>
      <c r="B869" s="37">
        <v>1</v>
      </c>
      <c r="C869" s="16" t="s">
        <v>2340</v>
      </c>
      <c r="D869" s="16" t="s">
        <v>2340</v>
      </c>
      <c r="E869" s="16"/>
      <c r="F869" s="16" t="s">
        <v>4006</v>
      </c>
      <c r="G869" s="16" t="s">
        <v>246</v>
      </c>
      <c r="H869" s="16" t="s">
        <v>2339</v>
      </c>
      <c r="I869" s="16" t="s">
        <v>247</v>
      </c>
      <c r="J869" s="16">
        <v>0</v>
      </c>
      <c r="K869" s="16">
        <v>1000000</v>
      </c>
      <c r="L869" s="16">
        <v>1</v>
      </c>
      <c r="M869" s="16">
        <v>0</v>
      </c>
      <c r="N869">
        <f t="array" aca="1" ref="N869" ca="1">MATCH(TRUE,EXACT(I869,OFFSET(rngParamTypes,0,6,,1)),0)</f>
        <v>98</v>
      </c>
      <c r="O869" t="str">
        <f ca="1">IF((INDEX(rngParamTypes,$N869,7)=I869),"",1)</f>
        <v/>
      </c>
      <c r="P869">
        <f ca="1">INDEX(rngParamTypes,$N869,9)</f>
        <v>1</v>
      </c>
      <c r="Q869">
        <f ca="1">INDEX(rngParamTypes,$N869,10)</f>
        <v>-2</v>
      </c>
      <c r="R869">
        <f ca="1">INDEX(rngParamTypes,$N869,11)</f>
        <v>-1</v>
      </c>
      <c r="S869">
        <f ca="1">INDEX(rngParamTypes,$N869,12)</f>
        <v>0</v>
      </c>
      <c r="T869">
        <f ca="1">INDEX(rngParamTypes,$N869,13)</f>
        <v>0</v>
      </c>
      <c r="U869">
        <f ca="1">INDEX(rngParamTypes,$N869,14)</f>
        <v>0</v>
      </c>
      <c r="V869">
        <f ca="1">INDEX(rngParamTypes,$N869,15)</f>
        <v>0</v>
      </c>
      <c r="W869">
        <f ca="1">INDEX(rngParamTypes,$N869,16)</f>
        <v>0</v>
      </c>
      <c r="X869">
        <f ca="1">INDEX(rngParamTypes,$N869,17)</f>
        <v>0</v>
      </c>
      <c r="Y869">
        <f ca="1">INDEX(rngParamTypes,$N869,18)</f>
        <v>0</v>
      </c>
    </row>
    <row r="870" spans="1:25" x14ac:dyDescent="0.2">
      <c r="A870" s="16">
        <v>869</v>
      </c>
      <c r="B870" s="37">
        <v>1</v>
      </c>
      <c r="C870" s="16" t="s">
        <v>2342</v>
      </c>
      <c r="D870" s="16" t="s">
        <v>2342</v>
      </c>
      <c r="E870" s="16"/>
      <c r="F870" s="16" t="s">
        <v>4007</v>
      </c>
      <c r="G870" s="16" t="s">
        <v>435</v>
      </c>
      <c r="H870" s="16" t="s">
        <v>2341</v>
      </c>
      <c r="I870" s="16" t="s">
        <v>436</v>
      </c>
      <c r="J870" s="16">
        <v>0</v>
      </c>
      <c r="K870" s="16">
        <v>1000000</v>
      </c>
      <c r="L870" s="16">
        <v>3600</v>
      </c>
      <c r="M870" s="16">
        <v>0</v>
      </c>
      <c r="N870">
        <f t="array" aca="1" ref="N870" ca="1">MATCH(TRUE,EXACT(I870,OFFSET(rngParamTypes,0,6,,1)),0)</f>
        <v>175</v>
      </c>
      <c r="O870" t="str">
        <f ca="1">IF((INDEX(rngParamTypes,$N870,7)=I870),"",1)</f>
        <v/>
      </c>
      <c r="P870">
        <f ca="1">INDEX(rngParamTypes,$N870,9)</f>
        <v>1</v>
      </c>
      <c r="Q870">
        <f ca="1">INDEX(rngParamTypes,$N870,10)</f>
        <v>-1</v>
      </c>
      <c r="R870">
        <f ca="1">INDEX(rngParamTypes,$N870,11)</f>
        <v>-3</v>
      </c>
      <c r="S870">
        <f ca="1">INDEX(rngParamTypes,$N870,12)</f>
        <v>0</v>
      </c>
      <c r="T870">
        <f ca="1">INDEX(rngParamTypes,$N870,13)</f>
        <v>0</v>
      </c>
      <c r="U870">
        <f ca="1">INDEX(rngParamTypes,$N870,14)</f>
        <v>0</v>
      </c>
      <c r="V870">
        <f ca="1">INDEX(rngParamTypes,$N870,15)</f>
        <v>0</v>
      </c>
      <c r="W870">
        <f ca="1">INDEX(rngParamTypes,$N870,16)</f>
        <v>0</v>
      </c>
      <c r="X870">
        <f ca="1">INDEX(rngParamTypes,$N870,17)</f>
        <v>0</v>
      </c>
      <c r="Y870">
        <f ca="1">INDEX(rngParamTypes,$N870,18)</f>
        <v>0</v>
      </c>
    </row>
    <row r="871" spans="1:25" x14ac:dyDescent="0.2">
      <c r="A871" s="16">
        <v>870</v>
      </c>
      <c r="B871" s="37">
        <v>1</v>
      </c>
      <c r="C871" s="16" t="s">
        <v>2344</v>
      </c>
      <c r="D871" s="16" t="s">
        <v>2344</v>
      </c>
      <c r="E871" s="16"/>
      <c r="F871" s="16" t="s">
        <v>4008</v>
      </c>
      <c r="G871" s="16" t="s">
        <v>3273</v>
      </c>
      <c r="H871" s="16" t="s">
        <v>2343</v>
      </c>
      <c r="I871" s="16" t="s">
        <v>391</v>
      </c>
      <c r="J871" s="16">
        <v>0</v>
      </c>
      <c r="K871" s="16">
        <v>1000000</v>
      </c>
      <c r="L871" s="16">
        <v>1</v>
      </c>
      <c r="M871" s="16">
        <v>0</v>
      </c>
      <c r="N871">
        <f t="array" aca="1" ref="N871" ca="1">MATCH(TRUE,EXACT(I871,OFFSET(rngParamTypes,0,6,,1)),0)</f>
        <v>158</v>
      </c>
      <c r="O871" t="str">
        <f ca="1">IF((INDEX(rngParamTypes,$N871,7)=I871),"",1)</f>
        <v/>
      </c>
      <c r="P871">
        <f ca="1">INDEX(rngParamTypes,$N871,9)</f>
        <v>1</v>
      </c>
      <c r="Q871">
        <f ca="1">INDEX(rngParamTypes,$N871,10)</f>
        <v>-2</v>
      </c>
      <c r="R871">
        <f ca="1">INDEX(rngParamTypes,$N871,11)</f>
        <v>-2</v>
      </c>
      <c r="S871">
        <f ca="1">INDEX(rngParamTypes,$N871,12)</f>
        <v>0</v>
      </c>
      <c r="T871">
        <f ca="1">INDEX(rngParamTypes,$N871,13)</f>
        <v>0</v>
      </c>
      <c r="U871">
        <f ca="1">INDEX(rngParamTypes,$N871,14)</f>
        <v>0</v>
      </c>
      <c r="V871">
        <f ca="1">INDEX(rngParamTypes,$N871,15)</f>
        <v>0</v>
      </c>
      <c r="W871">
        <f ca="1">INDEX(rngParamTypes,$N871,16)</f>
        <v>0</v>
      </c>
      <c r="X871">
        <f ca="1">INDEX(rngParamTypes,$N871,17)</f>
        <v>0</v>
      </c>
      <c r="Y871">
        <f ca="1">INDEX(rngParamTypes,$N871,18)</f>
        <v>0</v>
      </c>
    </row>
    <row r="872" spans="1:25" x14ac:dyDescent="0.2">
      <c r="A872" s="16">
        <v>871</v>
      </c>
      <c r="B872" s="37">
        <v>1</v>
      </c>
      <c r="C872" s="16" t="s">
        <v>2346</v>
      </c>
      <c r="D872" s="16" t="s">
        <v>2346</v>
      </c>
      <c r="E872" s="16">
        <v>2</v>
      </c>
      <c r="F872" s="16" t="s">
        <v>4009</v>
      </c>
      <c r="G872" s="16" t="s">
        <v>3270</v>
      </c>
      <c r="H872" s="16" t="s">
        <v>2345</v>
      </c>
      <c r="I872" s="16" t="s">
        <v>416</v>
      </c>
      <c r="J872" s="16">
        <v>0</v>
      </c>
      <c r="K872" s="16">
        <v>6894757000</v>
      </c>
      <c r="L872" s="16">
        <v>1</v>
      </c>
      <c r="M872" s="16">
        <v>0</v>
      </c>
      <c r="N872">
        <f t="array" aca="1" ref="N872" ca="1">MATCH(TRUE,EXACT(I872,OFFSET(rngParamTypes,0,6,,1)),0)</f>
        <v>167</v>
      </c>
      <c r="O872" t="str">
        <f ca="1">IF((INDEX(rngParamTypes,$N872,7)=I872),"",1)</f>
        <v/>
      </c>
      <c r="P872">
        <f ca="1">INDEX(rngParamTypes,$N872,9)</f>
        <v>1</v>
      </c>
      <c r="Q872">
        <f ca="1">INDEX(rngParamTypes,$N872,10)</f>
        <v>-1</v>
      </c>
      <c r="R872">
        <f ca="1">INDEX(rngParamTypes,$N872,11)</f>
        <v>-2</v>
      </c>
      <c r="S872">
        <f ca="1">INDEX(rngParamTypes,$N872,12)</f>
        <v>0</v>
      </c>
      <c r="T872">
        <f ca="1">INDEX(rngParamTypes,$N872,13)</f>
        <v>0</v>
      </c>
      <c r="U872">
        <f ca="1">INDEX(rngParamTypes,$N872,14)</f>
        <v>0</v>
      </c>
      <c r="V872">
        <f ca="1">INDEX(rngParamTypes,$N872,15)</f>
        <v>0</v>
      </c>
      <c r="W872">
        <f ca="1">INDEX(rngParamTypes,$N872,16)</f>
        <v>0</v>
      </c>
      <c r="X872">
        <f ca="1">INDEX(rngParamTypes,$N872,17)</f>
        <v>0</v>
      </c>
      <c r="Y872">
        <f ca="1">INDEX(rngParamTypes,$N872,18)</f>
        <v>0</v>
      </c>
    </row>
    <row r="873" spans="1:25" x14ac:dyDescent="0.2">
      <c r="A873" s="16">
        <v>872</v>
      </c>
      <c r="B873" s="37">
        <v>1</v>
      </c>
      <c r="C873" s="16" t="s">
        <v>2348</v>
      </c>
      <c r="D873" s="16" t="s">
        <v>2348</v>
      </c>
      <c r="E873" s="16">
        <v>2</v>
      </c>
      <c r="F873" s="16" t="s">
        <v>4010</v>
      </c>
      <c r="G873" s="16" t="s">
        <v>443</v>
      </c>
      <c r="H873" s="16" t="s">
        <v>2347</v>
      </c>
      <c r="I873" s="16" t="s">
        <v>444</v>
      </c>
      <c r="J873" s="16">
        <v>0</v>
      </c>
      <c r="K873" s="16">
        <v>1E-3</v>
      </c>
      <c r="L873" s="16">
        <v>1</v>
      </c>
      <c r="M873" s="16">
        <v>0</v>
      </c>
      <c r="N873">
        <f t="array" aca="1" ref="N873" ca="1">MATCH(TRUE,EXACT(I873,OFFSET(rngParamTypes,0,6,,1)),0)</f>
        <v>178</v>
      </c>
      <c r="O873" t="str">
        <f ca="1">IF((INDEX(rngParamTypes,$N873,7)=I873),"",1)</f>
        <v/>
      </c>
      <c r="P873">
        <f ca="1">INDEX(rngParamTypes,$N873,9)</f>
        <v>0</v>
      </c>
      <c r="Q873">
        <f ca="1">INDEX(rngParamTypes,$N873,10)</f>
        <v>0</v>
      </c>
      <c r="R873">
        <f ca="1">INDEX(rngParamTypes,$N873,11)</f>
        <v>0</v>
      </c>
      <c r="S873">
        <f ca="1">INDEX(rngParamTypes,$N873,12)</f>
        <v>0</v>
      </c>
      <c r="T873">
        <f ca="1">INDEX(rngParamTypes,$N873,13)</f>
        <v>0</v>
      </c>
      <c r="U873">
        <f ca="1">INDEX(rngParamTypes,$N873,14)</f>
        <v>0</v>
      </c>
      <c r="V873">
        <f ca="1">INDEX(rngParamTypes,$N873,15)</f>
        <v>0</v>
      </c>
      <c r="W873">
        <f ca="1">INDEX(rngParamTypes,$N873,16)</f>
        <v>1</v>
      </c>
      <c r="X873">
        <f ca="1">INDEX(rngParamTypes,$N873,17)</f>
        <v>0</v>
      </c>
      <c r="Y873">
        <f ca="1">INDEX(rngParamTypes,$N873,18)</f>
        <v>0</v>
      </c>
    </row>
    <row r="874" spans="1:25" x14ac:dyDescent="0.2">
      <c r="A874" s="16">
        <v>873</v>
      </c>
      <c r="B874" s="37">
        <v>1</v>
      </c>
      <c r="C874" s="16" t="s">
        <v>2350</v>
      </c>
      <c r="D874" s="16" t="s">
        <v>2350</v>
      </c>
      <c r="E874" s="16">
        <v>2</v>
      </c>
      <c r="F874" s="16" t="s">
        <v>4011</v>
      </c>
      <c r="G874" s="16" t="s">
        <v>443</v>
      </c>
      <c r="H874" s="16" t="s">
        <v>2349</v>
      </c>
      <c r="I874" s="16" t="s">
        <v>444</v>
      </c>
      <c r="J874" s="16">
        <v>0</v>
      </c>
      <c r="K874" s="16">
        <v>1000000</v>
      </c>
      <c r="L874" s="16">
        <v>1</v>
      </c>
      <c r="M874" s="16">
        <v>0</v>
      </c>
      <c r="N874">
        <f t="array" aca="1" ref="N874" ca="1">MATCH(TRUE,EXACT(I874,OFFSET(rngParamTypes,0,6,,1)),0)</f>
        <v>178</v>
      </c>
      <c r="O874" t="str">
        <f ca="1">IF((INDEX(rngParamTypes,$N874,7)=I874),"",1)</f>
        <v/>
      </c>
      <c r="P874">
        <f ca="1">INDEX(rngParamTypes,$N874,9)</f>
        <v>0</v>
      </c>
      <c r="Q874">
        <f ca="1">INDEX(rngParamTypes,$N874,10)</f>
        <v>0</v>
      </c>
      <c r="R874">
        <f ca="1">INDEX(rngParamTypes,$N874,11)</f>
        <v>0</v>
      </c>
      <c r="S874">
        <f ca="1">INDEX(rngParamTypes,$N874,12)</f>
        <v>0</v>
      </c>
      <c r="T874">
        <f ca="1">INDEX(rngParamTypes,$N874,13)</f>
        <v>0</v>
      </c>
      <c r="U874">
        <f ca="1">INDEX(rngParamTypes,$N874,14)</f>
        <v>0</v>
      </c>
      <c r="V874">
        <f ca="1">INDEX(rngParamTypes,$N874,15)</f>
        <v>0</v>
      </c>
      <c r="W874">
        <f ca="1">INDEX(rngParamTypes,$N874,16)</f>
        <v>1</v>
      </c>
      <c r="X874">
        <f ca="1">INDEX(rngParamTypes,$N874,17)</f>
        <v>0</v>
      </c>
      <c r="Y874">
        <f ca="1">INDEX(rngParamTypes,$N874,18)</f>
        <v>0</v>
      </c>
    </row>
    <row r="875" spans="1:25" x14ac:dyDescent="0.2">
      <c r="A875" s="16">
        <v>874</v>
      </c>
      <c r="B875" s="37">
        <v>1</v>
      </c>
      <c r="C875" s="16" t="s">
        <v>2352</v>
      </c>
      <c r="D875" s="16" t="s">
        <v>2352</v>
      </c>
      <c r="E875" s="16"/>
      <c r="F875" s="16" t="s">
        <v>4012</v>
      </c>
      <c r="G875" s="16" t="s">
        <v>508</v>
      </c>
      <c r="H875" s="16" t="s">
        <v>2351</v>
      </c>
      <c r="I875" s="16" t="s">
        <v>509</v>
      </c>
      <c r="J875" s="16">
        <v>0</v>
      </c>
      <c r="K875" s="16">
        <v>1.0000000000000001E-5</v>
      </c>
      <c r="L875" s="16">
        <v>1</v>
      </c>
      <c r="M875" s="16">
        <v>0</v>
      </c>
      <c r="N875">
        <f t="array" aca="1" ref="N875" ca="1">MATCH(TRUE,EXACT(I875,OFFSET(rngParamTypes,0,6,,1)),0)</f>
        <v>204</v>
      </c>
      <c r="O875" t="str">
        <f ca="1">IF((INDEX(rngParamTypes,$N875,7)=I875),"",1)</f>
        <v/>
      </c>
      <c r="P875">
        <f ca="1">INDEX(rngParamTypes,$N875,9)</f>
        <v>0</v>
      </c>
      <c r="Q875">
        <f ca="1">INDEX(rngParamTypes,$N875,10)</f>
        <v>2</v>
      </c>
      <c r="R875">
        <f ca="1">INDEX(rngParamTypes,$N875,11)</f>
        <v>-2</v>
      </c>
      <c r="S875">
        <f ca="1">INDEX(rngParamTypes,$N875,12)</f>
        <v>0</v>
      </c>
      <c r="T875">
        <f ca="1">INDEX(rngParamTypes,$N875,13)</f>
        <v>0</v>
      </c>
      <c r="U875">
        <f ca="1">INDEX(rngParamTypes,$N875,14)</f>
        <v>0</v>
      </c>
      <c r="V875">
        <f ca="1">INDEX(rngParamTypes,$N875,15)</f>
        <v>0</v>
      </c>
      <c r="W875">
        <f ca="1">INDEX(rngParamTypes,$N875,16)</f>
        <v>0</v>
      </c>
      <c r="X875">
        <f ca="1">INDEX(rngParamTypes,$N875,17)</f>
        <v>0</v>
      </c>
      <c r="Y875">
        <f ca="1">INDEX(rngParamTypes,$N875,18)</f>
        <v>0</v>
      </c>
    </row>
    <row r="876" spans="1:25" x14ac:dyDescent="0.2">
      <c r="A876" s="16">
        <v>875</v>
      </c>
      <c r="B876" s="37">
        <v>1</v>
      </c>
      <c r="C876" s="16" t="s">
        <v>2354</v>
      </c>
      <c r="D876" s="16" t="s">
        <v>2354</v>
      </c>
      <c r="E876" s="16"/>
      <c r="F876" s="16" t="s">
        <v>4013</v>
      </c>
      <c r="G876" s="16" t="s">
        <v>512</v>
      </c>
      <c r="H876" s="16" t="s">
        <v>2353</v>
      </c>
      <c r="I876" s="16" t="s">
        <v>513</v>
      </c>
      <c r="J876" s="16">
        <v>0</v>
      </c>
      <c r="K876" s="16">
        <v>1.0000000000000001E-5</v>
      </c>
      <c r="L876" s="16">
        <v>3600</v>
      </c>
      <c r="M876" s="16">
        <v>0</v>
      </c>
      <c r="N876">
        <f t="array" aca="1" ref="N876" ca="1">MATCH(TRUE,EXACT(I876,OFFSET(rngParamTypes,0,6,,1)),0)</f>
        <v>205</v>
      </c>
      <c r="O876" t="str">
        <f ca="1">IF((INDEX(rngParamTypes,$N876,7)=I876),"",1)</f>
        <v/>
      </c>
      <c r="P876">
        <f ca="1">INDEX(rngParamTypes,$N876,9)</f>
        <v>0</v>
      </c>
      <c r="Q876">
        <f ca="1">INDEX(rngParamTypes,$N876,10)</f>
        <v>2</v>
      </c>
      <c r="R876">
        <f ca="1">INDEX(rngParamTypes,$N876,11)</f>
        <v>-3</v>
      </c>
      <c r="S876">
        <f ca="1">INDEX(rngParamTypes,$N876,12)</f>
        <v>0</v>
      </c>
      <c r="T876">
        <f ca="1">INDEX(rngParamTypes,$N876,13)</f>
        <v>0</v>
      </c>
      <c r="U876">
        <f ca="1">INDEX(rngParamTypes,$N876,14)</f>
        <v>0</v>
      </c>
      <c r="V876">
        <f ca="1">INDEX(rngParamTypes,$N876,15)</f>
        <v>0</v>
      </c>
      <c r="W876">
        <f ca="1">INDEX(rngParamTypes,$N876,16)</f>
        <v>0</v>
      </c>
      <c r="X876">
        <f ca="1">INDEX(rngParamTypes,$N876,17)</f>
        <v>0</v>
      </c>
      <c r="Y876">
        <f ca="1">INDEX(rngParamTypes,$N876,18)</f>
        <v>0</v>
      </c>
    </row>
    <row r="877" spans="1:25" x14ac:dyDescent="0.2">
      <c r="A877" s="16">
        <v>876</v>
      </c>
      <c r="B877" s="37">
        <v>1</v>
      </c>
      <c r="C877" s="16" t="s">
        <v>2356</v>
      </c>
      <c r="D877" s="16" t="s">
        <v>2356</v>
      </c>
      <c r="E877" s="16"/>
      <c r="F877" s="16" t="s">
        <v>4014</v>
      </c>
      <c r="G877" s="16" t="s">
        <v>3621</v>
      </c>
      <c r="H877" s="16" t="s">
        <v>2355</v>
      </c>
      <c r="I877" s="16" t="s">
        <v>466</v>
      </c>
      <c r="J877" s="16">
        <v>0</v>
      </c>
      <c r="K877" s="16">
        <v>1E-3</v>
      </c>
      <c r="L877" s="16">
        <v>1</v>
      </c>
      <c r="M877" s="16">
        <v>0</v>
      </c>
      <c r="N877">
        <f t="array" aca="1" ref="N877" ca="1">MATCH(TRUE,EXACT(I877,OFFSET(rngParamTypes,0,6,,1)),0)</f>
        <v>187</v>
      </c>
      <c r="O877" t="str">
        <f ca="1">IF((INDEX(rngParamTypes,$N877,7)=I877),"",1)</f>
        <v/>
      </c>
      <c r="P877">
        <f ca="1">INDEX(rngParamTypes,$N877,9)</f>
        <v>-1</v>
      </c>
      <c r="Q877">
        <f ca="1">INDEX(rngParamTypes,$N877,10)</f>
        <v>-2</v>
      </c>
      <c r="R877">
        <f ca="1">INDEX(rngParamTypes,$N877,11)</f>
        <v>3</v>
      </c>
      <c r="S877">
        <f ca="1">INDEX(rngParamTypes,$N877,12)</f>
        <v>2</v>
      </c>
      <c r="T877">
        <f ca="1">INDEX(rngParamTypes,$N877,13)</f>
        <v>0</v>
      </c>
      <c r="U877">
        <f ca="1">INDEX(rngParamTypes,$N877,14)</f>
        <v>0</v>
      </c>
      <c r="V877">
        <f ca="1">INDEX(rngParamTypes,$N877,15)</f>
        <v>0</v>
      </c>
      <c r="W877">
        <f ca="1">INDEX(rngParamTypes,$N877,16)</f>
        <v>0</v>
      </c>
      <c r="X877">
        <f ca="1">INDEX(rngParamTypes,$N877,17)</f>
        <v>0</v>
      </c>
      <c r="Y877">
        <f ca="1">INDEX(rngParamTypes,$N877,18)</f>
        <v>0</v>
      </c>
    </row>
    <row r="878" spans="1:25" x14ac:dyDescent="0.2">
      <c r="A878" s="16">
        <v>877</v>
      </c>
      <c r="B878" s="37">
        <v>1</v>
      </c>
      <c r="C878" s="16" t="s">
        <v>2358</v>
      </c>
      <c r="D878" s="16" t="s">
        <v>2358</v>
      </c>
      <c r="E878" s="16">
        <v>2</v>
      </c>
      <c r="F878" s="16" t="s">
        <v>4015</v>
      </c>
      <c r="G878" s="16" t="s">
        <v>469</v>
      </c>
      <c r="H878" s="16" t="s">
        <v>2357</v>
      </c>
      <c r="I878" s="16" t="s">
        <v>470</v>
      </c>
      <c r="J878" s="16">
        <v>0</v>
      </c>
      <c r="K878" s="16">
        <v>1E-3</v>
      </c>
      <c r="L878" s="16">
        <v>1</v>
      </c>
      <c r="M878" s="16">
        <v>0</v>
      </c>
      <c r="N878">
        <f t="array" aca="1" ref="N878" ca="1">MATCH(TRUE,EXACT(I878,OFFSET(rngParamTypes,0,6,,1)),0)</f>
        <v>190</v>
      </c>
      <c r="O878" t="str">
        <f ca="1">IF((INDEX(rngParamTypes,$N878,7)=I878),"",1)</f>
        <v/>
      </c>
      <c r="P878">
        <f ca="1">INDEX(rngParamTypes,$N878,9)</f>
        <v>0</v>
      </c>
      <c r="Q878">
        <f ca="1">INDEX(rngParamTypes,$N878,10)</f>
        <v>0</v>
      </c>
      <c r="R878">
        <f ca="1">INDEX(rngParamTypes,$N878,11)</f>
        <v>1</v>
      </c>
      <c r="S878">
        <f ca="1">INDEX(rngParamTypes,$N878,12)</f>
        <v>0</v>
      </c>
      <c r="T878">
        <f ca="1">INDEX(rngParamTypes,$N878,13)</f>
        <v>0</v>
      </c>
      <c r="U878">
        <f ca="1">INDEX(rngParamTypes,$N878,14)</f>
        <v>0</v>
      </c>
      <c r="V878">
        <f ca="1">INDEX(rngParamTypes,$N878,15)</f>
        <v>0</v>
      </c>
      <c r="W878">
        <f ca="1">INDEX(rngParamTypes,$N878,16)</f>
        <v>0</v>
      </c>
      <c r="X878">
        <f ca="1">INDEX(rngParamTypes,$N878,17)</f>
        <v>0</v>
      </c>
      <c r="Y878">
        <f ca="1">INDEX(rngParamTypes,$N878,18)</f>
        <v>0</v>
      </c>
    </row>
    <row r="879" spans="1:25" x14ac:dyDescent="0.2">
      <c r="A879" s="16">
        <v>878</v>
      </c>
      <c r="B879" s="37">
        <v>1</v>
      </c>
      <c r="C879" s="16" t="s">
        <v>2360</v>
      </c>
      <c r="D879" s="16" t="s">
        <v>2360</v>
      </c>
      <c r="E879" s="16">
        <v>2</v>
      </c>
      <c r="F879" s="16" t="s">
        <v>4394</v>
      </c>
      <c r="G879" s="16" t="s">
        <v>469</v>
      </c>
      <c r="H879" s="16" t="s">
        <v>2359</v>
      </c>
      <c r="I879" s="16" t="s">
        <v>470</v>
      </c>
      <c r="J879" s="16">
        <v>0</v>
      </c>
      <c r="K879" s="16">
        <v>5.0000000000000001E-4</v>
      </c>
      <c r="L879" s="16">
        <v>1</v>
      </c>
      <c r="M879" s="16">
        <v>0</v>
      </c>
      <c r="N879">
        <f t="array" aca="1" ref="N879" ca="1">MATCH(TRUE,EXACT(I879,OFFSET(rngParamTypes,0,6,,1)),0)</f>
        <v>190</v>
      </c>
      <c r="O879" t="str">
        <f ca="1">IF((INDEX(rngParamTypes,$N879,7)=I879),"",1)</f>
        <v/>
      </c>
      <c r="P879">
        <f ca="1">INDEX(rngParamTypes,$N879,9)</f>
        <v>0</v>
      </c>
      <c r="Q879">
        <f ca="1">INDEX(rngParamTypes,$N879,10)</f>
        <v>0</v>
      </c>
      <c r="R879">
        <f ca="1">INDEX(rngParamTypes,$N879,11)</f>
        <v>1</v>
      </c>
      <c r="S879">
        <f ca="1">INDEX(rngParamTypes,$N879,12)</f>
        <v>0</v>
      </c>
      <c r="T879">
        <f ca="1">INDEX(rngParamTypes,$N879,13)</f>
        <v>0</v>
      </c>
      <c r="U879">
        <f ca="1">INDEX(rngParamTypes,$N879,14)</f>
        <v>0</v>
      </c>
      <c r="V879">
        <f ca="1">INDEX(rngParamTypes,$N879,15)</f>
        <v>0</v>
      </c>
      <c r="W879">
        <f ca="1">INDEX(rngParamTypes,$N879,16)</f>
        <v>0</v>
      </c>
      <c r="X879">
        <f ca="1">INDEX(rngParamTypes,$N879,17)</f>
        <v>0</v>
      </c>
      <c r="Y879">
        <f ca="1">INDEX(rngParamTypes,$N879,18)</f>
        <v>0</v>
      </c>
    </row>
    <row r="880" spans="1:25" x14ac:dyDescent="0.2">
      <c r="A880" s="16">
        <v>879</v>
      </c>
      <c r="B880" s="37">
        <v>1</v>
      </c>
      <c r="C880" s="16" t="s">
        <v>2362</v>
      </c>
      <c r="D880" s="16" t="s">
        <v>2362</v>
      </c>
      <c r="E880" s="16"/>
      <c r="F880" s="16" t="s">
        <v>4016</v>
      </c>
      <c r="G880" s="16" t="s">
        <v>4017</v>
      </c>
      <c r="H880" s="16" t="s">
        <v>2361</v>
      </c>
      <c r="I880" s="16" t="s">
        <v>479</v>
      </c>
      <c r="J880" s="16">
        <v>0</v>
      </c>
      <c r="K880" s="16">
        <v>0.1</v>
      </c>
      <c r="L880" s="16">
        <v>1</v>
      </c>
      <c r="M880" s="16">
        <v>0</v>
      </c>
      <c r="N880">
        <f t="array" aca="1" ref="N880" ca="1">MATCH(TRUE,EXACT(I880,OFFSET(rngParamTypes,0,6,,1)),0)</f>
        <v>192</v>
      </c>
      <c r="O880" t="str">
        <f ca="1">IF((INDEX(rngParamTypes,$N880,7)=I880),"",1)</f>
        <v/>
      </c>
      <c r="P880">
        <f ca="1">INDEX(rngParamTypes,$N880,9)</f>
        <v>0</v>
      </c>
      <c r="Q880">
        <f ca="1">INDEX(rngParamTypes,$N880,10)</f>
        <v>-1</v>
      </c>
      <c r="R880">
        <f ca="1">INDEX(rngParamTypes,$N880,11)</f>
        <v>1</v>
      </c>
      <c r="S880">
        <f ca="1">INDEX(rngParamTypes,$N880,12)</f>
        <v>0</v>
      </c>
      <c r="T880">
        <f ca="1">INDEX(rngParamTypes,$N880,13)</f>
        <v>0</v>
      </c>
      <c r="U880">
        <f ca="1">INDEX(rngParamTypes,$N880,14)</f>
        <v>0</v>
      </c>
      <c r="V880">
        <f ca="1">INDEX(rngParamTypes,$N880,15)</f>
        <v>0</v>
      </c>
      <c r="W880">
        <f ca="1">INDEX(rngParamTypes,$N880,16)</f>
        <v>0</v>
      </c>
      <c r="X880">
        <f ca="1">INDEX(rngParamTypes,$N880,17)</f>
        <v>0</v>
      </c>
      <c r="Y880">
        <f ca="1">INDEX(rngParamTypes,$N880,18)</f>
        <v>0</v>
      </c>
    </row>
    <row r="881" spans="1:25" x14ac:dyDescent="0.2">
      <c r="A881" s="16">
        <v>880</v>
      </c>
      <c r="B881" s="37">
        <v>1</v>
      </c>
      <c r="C881" s="16" t="s">
        <v>2364</v>
      </c>
      <c r="D881" s="16" t="s">
        <v>2364</v>
      </c>
      <c r="E881" s="16"/>
      <c r="F881" s="16" t="s">
        <v>4018</v>
      </c>
      <c r="G881" s="16" t="s">
        <v>4017</v>
      </c>
      <c r="H881" s="16" t="s">
        <v>2363</v>
      </c>
      <c r="I881" s="16" t="s">
        <v>479</v>
      </c>
      <c r="J881" s="16">
        <v>0</v>
      </c>
      <c r="K881" s="16">
        <v>1E-3</v>
      </c>
      <c r="L881" s="16">
        <v>0.30480000000000002</v>
      </c>
      <c r="M881" s="16">
        <v>0</v>
      </c>
      <c r="N881">
        <f t="array" aca="1" ref="N881" ca="1">MATCH(TRUE,EXACT(I881,OFFSET(rngParamTypes,0,6,,1)),0)</f>
        <v>192</v>
      </c>
      <c r="O881" t="str">
        <f ca="1">IF((INDEX(rngParamTypes,$N881,7)=I881),"",1)</f>
        <v/>
      </c>
      <c r="P881">
        <f ca="1">INDEX(rngParamTypes,$N881,9)</f>
        <v>0</v>
      </c>
      <c r="Q881">
        <f ca="1">INDEX(rngParamTypes,$N881,10)</f>
        <v>-1</v>
      </c>
      <c r="R881">
        <f ca="1">INDEX(rngParamTypes,$N881,11)</f>
        <v>1</v>
      </c>
      <c r="S881">
        <f ca="1">INDEX(rngParamTypes,$N881,12)</f>
        <v>0</v>
      </c>
      <c r="T881">
        <f ca="1">INDEX(rngParamTypes,$N881,13)</f>
        <v>0</v>
      </c>
      <c r="U881">
        <f ca="1">INDEX(rngParamTypes,$N881,14)</f>
        <v>0</v>
      </c>
      <c r="V881">
        <f ca="1">INDEX(rngParamTypes,$N881,15)</f>
        <v>0</v>
      </c>
      <c r="W881">
        <f ca="1">INDEX(rngParamTypes,$N881,16)</f>
        <v>0</v>
      </c>
      <c r="X881">
        <f ca="1">INDEX(rngParamTypes,$N881,17)</f>
        <v>0</v>
      </c>
      <c r="Y881">
        <f ca="1">INDEX(rngParamTypes,$N881,18)</f>
        <v>0</v>
      </c>
    </row>
    <row r="882" spans="1:25" x14ac:dyDescent="0.2">
      <c r="A882" s="16">
        <v>881</v>
      </c>
      <c r="B882" s="37">
        <v>1</v>
      </c>
      <c r="C882" s="16" t="s">
        <v>2366</v>
      </c>
      <c r="D882" s="16" t="s">
        <v>2366</v>
      </c>
      <c r="E882" s="16"/>
      <c r="F882" s="16" t="s">
        <v>4019</v>
      </c>
      <c r="G882" s="16" t="s">
        <v>4017</v>
      </c>
      <c r="H882" s="16" t="s">
        <v>2365</v>
      </c>
      <c r="I882" s="16" t="s">
        <v>479</v>
      </c>
      <c r="J882" s="16">
        <v>0</v>
      </c>
      <c r="K882" s="16">
        <v>1E-3</v>
      </c>
      <c r="L882" s="16">
        <v>2.5399999999999999E-2</v>
      </c>
      <c r="M882" s="16">
        <v>0</v>
      </c>
      <c r="N882">
        <f t="array" aca="1" ref="N882" ca="1">MATCH(TRUE,EXACT(I882,OFFSET(rngParamTypes,0,6,,1)),0)</f>
        <v>192</v>
      </c>
      <c r="O882" t="str">
        <f ca="1">IF((INDEX(rngParamTypes,$N882,7)=I882),"",1)</f>
        <v/>
      </c>
      <c r="P882">
        <f ca="1">INDEX(rngParamTypes,$N882,9)</f>
        <v>0</v>
      </c>
      <c r="Q882">
        <f ca="1">INDEX(rngParamTypes,$N882,10)</f>
        <v>-1</v>
      </c>
      <c r="R882">
        <f ca="1">INDEX(rngParamTypes,$N882,11)</f>
        <v>1</v>
      </c>
      <c r="S882">
        <f ca="1">INDEX(rngParamTypes,$N882,12)</f>
        <v>0</v>
      </c>
      <c r="T882">
        <f ca="1">INDEX(rngParamTypes,$N882,13)</f>
        <v>0</v>
      </c>
      <c r="U882">
        <f ca="1">INDEX(rngParamTypes,$N882,14)</f>
        <v>0</v>
      </c>
      <c r="V882">
        <f ca="1">INDEX(rngParamTypes,$N882,15)</f>
        <v>0</v>
      </c>
      <c r="W882">
        <f ca="1">INDEX(rngParamTypes,$N882,16)</f>
        <v>0</v>
      </c>
      <c r="X882">
        <f ca="1">INDEX(rngParamTypes,$N882,17)</f>
        <v>0</v>
      </c>
      <c r="Y882">
        <f ca="1">INDEX(rngParamTypes,$N882,18)</f>
        <v>0</v>
      </c>
    </row>
    <row r="883" spans="1:25" x14ac:dyDescent="0.2">
      <c r="A883" s="16">
        <v>882</v>
      </c>
      <c r="B883" s="37">
        <v>1</v>
      </c>
      <c r="C883" s="16" t="s">
        <v>2368</v>
      </c>
      <c r="D883" s="16" t="s">
        <v>2368</v>
      </c>
      <c r="E883" s="16"/>
      <c r="F883" s="16" t="s">
        <v>4020</v>
      </c>
      <c r="G883" s="16" t="s">
        <v>473</v>
      </c>
      <c r="H883" s="16" t="s">
        <v>2367</v>
      </c>
      <c r="I883" s="16" t="s">
        <v>474</v>
      </c>
      <c r="J883" s="16">
        <v>0</v>
      </c>
      <c r="K883" s="16">
        <v>1E-3</v>
      </c>
      <c r="L883" s="16">
        <v>1</v>
      </c>
      <c r="M883" s="16">
        <v>0</v>
      </c>
      <c r="N883">
        <f t="array" aca="1" ref="N883" ca="1">MATCH(TRUE,EXACT(I883,OFFSET(rngParamTypes,0,6,,1)),0)</f>
        <v>191</v>
      </c>
      <c r="O883" t="str">
        <f ca="1">IF((INDEX(rngParamTypes,$N883,7)=I883),"",1)</f>
        <v/>
      </c>
      <c r="P883">
        <f ca="1">INDEX(rngParamTypes,$N883,9)</f>
        <v>-1</v>
      </c>
      <c r="Q883">
        <f ca="1">INDEX(rngParamTypes,$N883,10)</f>
        <v>-3</v>
      </c>
      <c r="R883">
        <f ca="1">INDEX(rngParamTypes,$N883,11)</f>
        <v>3</v>
      </c>
      <c r="S883">
        <f ca="1">INDEX(rngParamTypes,$N883,12)</f>
        <v>2</v>
      </c>
      <c r="T883">
        <f ca="1">INDEX(rngParamTypes,$N883,13)</f>
        <v>0</v>
      </c>
      <c r="U883">
        <f ca="1">INDEX(rngParamTypes,$N883,14)</f>
        <v>0</v>
      </c>
      <c r="V883">
        <f ca="1">INDEX(rngParamTypes,$N883,15)</f>
        <v>0</v>
      </c>
      <c r="W883">
        <f ca="1">INDEX(rngParamTypes,$N883,16)</f>
        <v>0</v>
      </c>
      <c r="X883">
        <f ca="1">INDEX(rngParamTypes,$N883,17)</f>
        <v>0</v>
      </c>
      <c r="Y883">
        <f ca="1">INDEX(rngParamTypes,$N883,18)</f>
        <v>0</v>
      </c>
    </row>
    <row r="884" spans="1:25" x14ac:dyDescent="0.2">
      <c r="A884" s="16">
        <v>883</v>
      </c>
      <c r="B884" s="37">
        <v>1</v>
      </c>
      <c r="C884" s="16" t="s">
        <v>2370</v>
      </c>
      <c r="D884" s="16" t="s">
        <v>2370</v>
      </c>
      <c r="E884" s="16"/>
      <c r="F884" s="16" t="s">
        <v>4021</v>
      </c>
      <c r="G884" s="16" t="s">
        <v>4017</v>
      </c>
      <c r="H884" s="16" t="s">
        <v>2369</v>
      </c>
      <c r="I884" s="16" t="s">
        <v>479</v>
      </c>
      <c r="J884" s="16">
        <v>0</v>
      </c>
      <c r="K884" s="16">
        <v>1E-3</v>
      </c>
      <c r="L884" s="16">
        <v>1</v>
      </c>
      <c r="M884" s="16">
        <v>0</v>
      </c>
      <c r="N884">
        <f t="array" aca="1" ref="N884" ca="1">MATCH(TRUE,EXACT(I884,OFFSET(rngParamTypes,0,6,,1)),0)</f>
        <v>192</v>
      </c>
      <c r="O884" t="str">
        <f ca="1">IF((INDEX(rngParamTypes,$N884,7)=I884),"",1)</f>
        <v/>
      </c>
      <c r="P884">
        <f ca="1">INDEX(rngParamTypes,$N884,9)</f>
        <v>0</v>
      </c>
      <c r="Q884">
        <f ca="1">INDEX(rngParamTypes,$N884,10)</f>
        <v>-1</v>
      </c>
      <c r="R884">
        <f ca="1">INDEX(rngParamTypes,$N884,11)</f>
        <v>1</v>
      </c>
      <c r="S884">
        <f ca="1">INDEX(rngParamTypes,$N884,12)</f>
        <v>0</v>
      </c>
      <c r="T884">
        <f ca="1">INDEX(rngParamTypes,$N884,13)</f>
        <v>0</v>
      </c>
      <c r="U884">
        <f ca="1">INDEX(rngParamTypes,$N884,14)</f>
        <v>0</v>
      </c>
      <c r="V884">
        <f ca="1">INDEX(rngParamTypes,$N884,15)</f>
        <v>0</v>
      </c>
      <c r="W884">
        <f ca="1">INDEX(rngParamTypes,$N884,16)</f>
        <v>0</v>
      </c>
      <c r="X884">
        <f ca="1">INDEX(rngParamTypes,$N884,17)</f>
        <v>0</v>
      </c>
      <c r="Y884">
        <f ca="1">INDEX(rngParamTypes,$N884,18)</f>
        <v>0</v>
      </c>
    </row>
    <row r="885" spans="1:25" x14ac:dyDescent="0.2">
      <c r="A885" s="16">
        <v>884</v>
      </c>
      <c r="B885" s="37">
        <v>1</v>
      </c>
      <c r="C885" s="16" t="s">
        <v>2373</v>
      </c>
      <c r="D885" s="16" t="s">
        <v>2373</v>
      </c>
      <c r="E885" s="16"/>
      <c r="F885" s="16" t="s">
        <v>4022</v>
      </c>
      <c r="G885" s="16" t="s">
        <v>2372</v>
      </c>
      <c r="H885" s="16" t="s">
        <v>2371</v>
      </c>
      <c r="I885" s="16" t="s">
        <v>131</v>
      </c>
      <c r="J885" s="16">
        <v>0</v>
      </c>
      <c r="K885" s="16">
        <v>1E-3</v>
      </c>
      <c r="L885" s="16">
        <v>1</v>
      </c>
      <c r="M885" s="16">
        <v>0</v>
      </c>
      <c r="N885">
        <f t="array" aca="1" ref="N885" ca="1">MATCH(TRUE,EXACT(I885,OFFSET(rngParamTypes,0,6,,1)),0)</f>
        <v>42</v>
      </c>
      <c r="O885" t="str">
        <f ca="1">IF((INDEX(rngParamTypes,$N885,7)=I885),"",1)</f>
        <v/>
      </c>
      <c r="P885">
        <f ca="1">INDEX(rngParamTypes,$N885,9)</f>
        <v>0</v>
      </c>
      <c r="Q885">
        <f ca="1">INDEX(rngParamTypes,$N885,10)</f>
        <v>0</v>
      </c>
      <c r="R885">
        <f ca="1">INDEX(rngParamTypes,$N885,11)</f>
        <v>0</v>
      </c>
      <c r="S885">
        <f ca="1">INDEX(rngParamTypes,$N885,12)</f>
        <v>0</v>
      </c>
      <c r="T885">
        <f ca="1">INDEX(rngParamTypes,$N885,13)</f>
        <v>0</v>
      </c>
      <c r="U885">
        <f ca="1">INDEX(rngParamTypes,$N885,14)</f>
        <v>0</v>
      </c>
      <c r="V885">
        <f ca="1">INDEX(rngParamTypes,$N885,15)</f>
        <v>0</v>
      </c>
      <c r="W885">
        <f ca="1">INDEX(rngParamTypes,$N885,16)</f>
        <v>0</v>
      </c>
      <c r="X885">
        <f ca="1">INDEX(rngParamTypes,$N885,17)</f>
        <v>0</v>
      </c>
      <c r="Y885">
        <f ca="1">INDEX(rngParamTypes,$N885,18)</f>
        <v>0</v>
      </c>
    </row>
    <row r="886" spans="1:25" x14ac:dyDescent="0.2">
      <c r="A886" s="16">
        <v>885</v>
      </c>
      <c r="B886" s="37">
        <v>1</v>
      </c>
      <c r="C886" s="16" t="s">
        <v>2375</v>
      </c>
      <c r="D886" s="16" t="s">
        <v>2375</v>
      </c>
      <c r="E886" s="16"/>
      <c r="F886" s="16" t="s">
        <v>4346</v>
      </c>
      <c r="G886" s="16" t="s">
        <v>484</v>
      </c>
      <c r="H886" s="16" t="s">
        <v>2374</v>
      </c>
      <c r="I886" s="16" t="s">
        <v>494</v>
      </c>
      <c r="J886" s="16">
        <v>0</v>
      </c>
      <c r="K886" s="16">
        <v>28.262357000000002</v>
      </c>
      <c r="L886" s="16">
        <v>1</v>
      </c>
      <c r="M886" s="16">
        <v>0</v>
      </c>
      <c r="N886">
        <f t="array" aca="1" ref="N886" ca="1">MATCH(TRUE,EXACT(I886,OFFSET(rngParamTypes,0,6,,1)),0)</f>
        <v>199</v>
      </c>
      <c r="O886" t="str">
        <f ca="1">IF((INDEX(rngParamTypes,$N886,7)=I886),"",1)</f>
        <v/>
      </c>
      <c r="P886">
        <f ca="1">INDEX(rngParamTypes,$N886,9)</f>
        <v>0</v>
      </c>
      <c r="Q886">
        <f ca="1">INDEX(rngParamTypes,$N886,10)</f>
        <v>3</v>
      </c>
      <c r="R886">
        <f ca="1">INDEX(rngParamTypes,$N886,11)</f>
        <v>0</v>
      </c>
      <c r="S886">
        <f ca="1">INDEX(rngParamTypes,$N886,12)</f>
        <v>0</v>
      </c>
      <c r="T886">
        <f ca="1">INDEX(rngParamTypes,$N886,13)</f>
        <v>0</v>
      </c>
      <c r="U886">
        <f ca="1">INDEX(rngParamTypes,$N886,14)</f>
        <v>0</v>
      </c>
      <c r="V886">
        <f ca="1">INDEX(rngParamTypes,$N886,15)</f>
        <v>0</v>
      </c>
      <c r="W886">
        <f ca="1">INDEX(rngParamTypes,$N886,16)</f>
        <v>0</v>
      </c>
      <c r="X886">
        <f ca="1">INDEX(rngParamTypes,$N886,17)</f>
        <v>0</v>
      </c>
      <c r="Y886">
        <f ca="1">INDEX(rngParamTypes,$N886,18)</f>
        <v>0</v>
      </c>
    </row>
    <row r="887" spans="1:25" x14ac:dyDescent="0.2">
      <c r="A887" s="16">
        <v>886</v>
      </c>
      <c r="B887" s="37">
        <v>1</v>
      </c>
      <c r="C887" s="16" t="s">
        <v>2377</v>
      </c>
      <c r="D887" s="16" t="s">
        <v>2377</v>
      </c>
      <c r="E887" s="16"/>
      <c r="F887" s="16" t="s">
        <v>4347</v>
      </c>
      <c r="G887" s="16" t="s">
        <v>501</v>
      </c>
      <c r="H887" s="16" t="s">
        <v>2376</v>
      </c>
      <c r="I887" s="16" t="s">
        <v>502</v>
      </c>
      <c r="J887" s="16">
        <v>0</v>
      </c>
      <c r="K887" s="16">
        <v>28.262357000000002</v>
      </c>
      <c r="L887" s="16">
        <v>86400</v>
      </c>
      <c r="M887" s="16">
        <v>0</v>
      </c>
      <c r="N887">
        <f t="array" aca="1" ref="N887" ca="1">MATCH(TRUE,EXACT(I887,OFFSET(rngParamTypes,0,6,,1)),0)</f>
        <v>202</v>
      </c>
      <c r="O887" t="str">
        <f ca="1">IF((INDEX(rngParamTypes,$N887,7)=I887),"",1)</f>
        <v/>
      </c>
      <c r="P887">
        <f ca="1">INDEX(rngParamTypes,$N887,9)</f>
        <v>0</v>
      </c>
      <c r="Q887">
        <f ca="1">INDEX(rngParamTypes,$N887,10)</f>
        <v>3</v>
      </c>
      <c r="R887">
        <f ca="1">INDEX(rngParamTypes,$N887,11)</f>
        <v>-1</v>
      </c>
      <c r="S887">
        <f ca="1">INDEX(rngParamTypes,$N887,12)</f>
        <v>0</v>
      </c>
      <c r="T887">
        <f ca="1">INDEX(rngParamTypes,$N887,13)</f>
        <v>0</v>
      </c>
      <c r="U887">
        <f ca="1">INDEX(rngParamTypes,$N887,14)</f>
        <v>0</v>
      </c>
      <c r="V887">
        <f ca="1">INDEX(rngParamTypes,$N887,15)</f>
        <v>0</v>
      </c>
      <c r="W887">
        <f ca="1">INDEX(rngParamTypes,$N887,16)</f>
        <v>0</v>
      </c>
      <c r="X887">
        <f ca="1">INDEX(rngParamTypes,$N887,17)</f>
        <v>0</v>
      </c>
      <c r="Y887">
        <f ca="1">INDEX(rngParamTypes,$N887,18)</f>
        <v>0</v>
      </c>
    </row>
    <row r="888" spans="1:25" x14ac:dyDescent="0.2">
      <c r="A888" s="16">
        <v>887</v>
      </c>
      <c r="B888" s="37">
        <v>1</v>
      </c>
      <c r="C888" s="16" t="s">
        <v>2379</v>
      </c>
      <c r="D888" s="16" t="s">
        <v>2379</v>
      </c>
      <c r="E888" s="16"/>
      <c r="F888" s="16" t="s">
        <v>4348</v>
      </c>
      <c r="G888" s="16" t="s">
        <v>659</v>
      </c>
      <c r="H888" s="16" t="s">
        <v>2378</v>
      </c>
      <c r="I888" s="16" t="s">
        <v>131</v>
      </c>
      <c r="J888" s="16">
        <v>0</v>
      </c>
      <c r="K888" s="16">
        <v>28.262357000000002</v>
      </c>
      <c r="L888" s="16">
        <v>0.1589873</v>
      </c>
      <c r="M888" s="16">
        <v>0</v>
      </c>
      <c r="N888">
        <f t="array" aca="1" ref="N888" ca="1">MATCH(TRUE,EXACT(I888,OFFSET(rngParamTypes,0,6,,1)),0)</f>
        <v>42</v>
      </c>
      <c r="O888" t="str">
        <f ca="1">IF((INDEX(rngParamTypes,$N888,7)=I888),"",1)</f>
        <v/>
      </c>
      <c r="P888">
        <f ca="1">INDEX(rngParamTypes,$N888,9)</f>
        <v>0</v>
      </c>
      <c r="Q888">
        <f ca="1">INDEX(rngParamTypes,$N888,10)</f>
        <v>0</v>
      </c>
      <c r="R888">
        <f ca="1">INDEX(rngParamTypes,$N888,11)</f>
        <v>0</v>
      </c>
      <c r="S888">
        <f ca="1">INDEX(rngParamTypes,$N888,12)</f>
        <v>0</v>
      </c>
      <c r="T888">
        <f ca="1">INDEX(rngParamTypes,$N888,13)</f>
        <v>0</v>
      </c>
      <c r="U888">
        <f ca="1">INDEX(rngParamTypes,$N888,14)</f>
        <v>0</v>
      </c>
      <c r="V888">
        <f ca="1">INDEX(rngParamTypes,$N888,15)</f>
        <v>0</v>
      </c>
      <c r="W888">
        <f ca="1">INDEX(rngParamTypes,$N888,16)</f>
        <v>0</v>
      </c>
      <c r="X888">
        <f ca="1">INDEX(rngParamTypes,$N888,17)</f>
        <v>0</v>
      </c>
      <c r="Y888">
        <f ca="1">INDEX(rngParamTypes,$N888,18)</f>
        <v>0</v>
      </c>
    </row>
    <row r="889" spans="1:25" x14ac:dyDescent="0.2">
      <c r="A889" s="16">
        <v>888</v>
      </c>
      <c r="B889" s="37">
        <v>1</v>
      </c>
      <c r="C889" s="16" t="s">
        <v>2381</v>
      </c>
      <c r="D889" s="16" t="s">
        <v>2381</v>
      </c>
      <c r="E889" s="16"/>
      <c r="F889" s="16" t="s">
        <v>4349</v>
      </c>
      <c r="G889" s="16" t="s">
        <v>501</v>
      </c>
      <c r="H889" s="16" t="s">
        <v>2380</v>
      </c>
      <c r="I889" s="16" t="s">
        <v>502</v>
      </c>
      <c r="J889" s="16">
        <v>0</v>
      </c>
      <c r="K889" s="16">
        <v>1000</v>
      </c>
      <c r="L889" s="16">
        <v>86400</v>
      </c>
      <c r="M889" s="16">
        <v>0</v>
      </c>
      <c r="N889">
        <f t="array" aca="1" ref="N889" ca="1">MATCH(TRUE,EXACT(I889,OFFSET(rngParamTypes,0,6,,1)),0)</f>
        <v>202</v>
      </c>
      <c r="O889" t="str">
        <f ca="1">IF((INDEX(rngParamTypes,$N889,7)=I889),"",1)</f>
        <v/>
      </c>
      <c r="P889">
        <f ca="1">INDEX(rngParamTypes,$N889,9)</f>
        <v>0</v>
      </c>
      <c r="Q889">
        <f ca="1">INDEX(rngParamTypes,$N889,10)</f>
        <v>3</v>
      </c>
      <c r="R889">
        <f ca="1">INDEX(rngParamTypes,$N889,11)</f>
        <v>-1</v>
      </c>
      <c r="S889">
        <f ca="1">INDEX(rngParamTypes,$N889,12)</f>
        <v>0</v>
      </c>
      <c r="T889">
        <f ca="1">INDEX(rngParamTypes,$N889,13)</f>
        <v>0</v>
      </c>
      <c r="U889">
        <f ca="1">INDEX(rngParamTypes,$N889,14)</f>
        <v>0</v>
      </c>
      <c r="V889">
        <f ca="1">INDEX(rngParamTypes,$N889,15)</f>
        <v>0</v>
      </c>
      <c r="W889">
        <f ca="1">INDEX(rngParamTypes,$N889,16)</f>
        <v>0</v>
      </c>
      <c r="X889">
        <f ca="1">INDEX(rngParamTypes,$N889,17)</f>
        <v>0</v>
      </c>
      <c r="Y889">
        <f ca="1">INDEX(rngParamTypes,$N889,18)</f>
        <v>0</v>
      </c>
    </row>
    <row r="890" spans="1:25" x14ac:dyDescent="0.2">
      <c r="A890" s="16">
        <v>889</v>
      </c>
      <c r="B890" s="37">
        <v>1</v>
      </c>
      <c r="C890" s="16" t="s">
        <v>2383</v>
      </c>
      <c r="D890" s="16" t="s">
        <v>2383</v>
      </c>
      <c r="E890" s="16">
        <v>2</v>
      </c>
      <c r="F890" s="16" t="s">
        <v>4023</v>
      </c>
      <c r="G890" s="16" t="s">
        <v>443</v>
      </c>
      <c r="H890" s="16" t="s">
        <v>2382</v>
      </c>
      <c r="I890" s="16" t="s">
        <v>444</v>
      </c>
      <c r="J890" s="16">
        <v>0</v>
      </c>
      <c r="K890" s="16">
        <v>4.8481399999999998E-9</v>
      </c>
      <c r="L890" s="16">
        <v>1</v>
      </c>
      <c r="M890" s="16">
        <v>0</v>
      </c>
      <c r="N890">
        <f t="array" aca="1" ref="N890" ca="1">MATCH(TRUE,EXACT(I890,OFFSET(rngParamTypes,0,6,,1)),0)</f>
        <v>178</v>
      </c>
      <c r="O890" t="str">
        <f ca="1">IF((INDEX(rngParamTypes,$N890,7)=I890),"",1)</f>
        <v/>
      </c>
      <c r="P890">
        <f ca="1">INDEX(rngParamTypes,$N890,9)</f>
        <v>0</v>
      </c>
      <c r="Q890">
        <f ca="1">INDEX(rngParamTypes,$N890,10)</f>
        <v>0</v>
      </c>
      <c r="R890">
        <f ca="1">INDEX(rngParamTypes,$N890,11)</f>
        <v>0</v>
      </c>
      <c r="S890">
        <f ca="1">INDEX(rngParamTypes,$N890,12)</f>
        <v>0</v>
      </c>
      <c r="T890">
        <f ca="1">INDEX(rngParamTypes,$N890,13)</f>
        <v>0</v>
      </c>
      <c r="U890">
        <f ca="1">INDEX(rngParamTypes,$N890,14)</f>
        <v>0</v>
      </c>
      <c r="V890">
        <f ca="1">INDEX(rngParamTypes,$N890,15)</f>
        <v>0</v>
      </c>
      <c r="W890">
        <f ca="1">INDEX(rngParamTypes,$N890,16)</f>
        <v>1</v>
      </c>
      <c r="X890">
        <f ca="1">INDEX(rngParamTypes,$N890,17)</f>
        <v>0</v>
      </c>
      <c r="Y890">
        <f ca="1">INDEX(rngParamTypes,$N890,18)</f>
        <v>0</v>
      </c>
    </row>
    <row r="891" spans="1:25" x14ac:dyDescent="0.2">
      <c r="A891" s="16">
        <v>890</v>
      </c>
      <c r="B891" s="37">
        <v>1</v>
      </c>
      <c r="C891" s="16" t="s">
        <v>2385</v>
      </c>
      <c r="D891" s="16" t="s">
        <v>2385</v>
      </c>
      <c r="E891" s="16"/>
      <c r="F891" s="16" t="s">
        <v>4024</v>
      </c>
      <c r="G891" s="16" t="s">
        <v>484</v>
      </c>
      <c r="H891" s="16" t="s">
        <v>2384</v>
      </c>
      <c r="I891" s="16" t="s">
        <v>494</v>
      </c>
      <c r="J891" s="16">
        <v>0</v>
      </c>
      <c r="K891" s="16">
        <v>1000000</v>
      </c>
      <c r="L891" s="16">
        <v>1</v>
      </c>
      <c r="M891" s="16">
        <v>0</v>
      </c>
      <c r="N891">
        <f t="array" aca="1" ref="N891" ca="1">MATCH(TRUE,EXACT(I891,OFFSET(rngParamTypes,0,6,,1)),0)</f>
        <v>199</v>
      </c>
      <c r="O891" t="str">
        <f ca="1">IF((INDEX(rngParamTypes,$N891,7)=I891),"",1)</f>
        <v/>
      </c>
      <c r="P891">
        <f ca="1">INDEX(rngParamTypes,$N891,9)</f>
        <v>0</v>
      </c>
      <c r="Q891">
        <f ca="1">INDEX(rngParamTypes,$N891,10)</f>
        <v>3</v>
      </c>
      <c r="R891">
        <f ca="1">INDEX(rngParamTypes,$N891,11)</f>
        <v>0</v>
      </c>
      <c r="S891">
        <f ca="1">INDEX(rngParamTypes,$N891,12)</f>
        <v>0</v>
      </c>
      <c r="T891">
        <f ca="1">INDEX(rngParamTypes,$N891,13)</f>
        <v>0</v>
      </c>
      <c r="U891">
        <f ca="1">INDEX(rngParamTypes,$N891,14)</f>
        <v>0</v>
      </c>
      <c r="V891">
        <f ca="1">INDEX(rngParamTypes,$N891,15)</f>
        <v>0</v>
      </c>
      <c r="W891">
        <f ca="1">INDEX(rngParamTypes,$N891,16)</f>
        <v>0</v>
      </c>
      <c r="X891">
        <f ca="1">INDEX(rngParamTypes,$N891,17)</f>
        <v>0</v>
      </c>
      <c r="Y891">
        <f ca="1">INDEX(rngParamTypes,$N891,18)</f>
        <v>0</v>
      </c>
    </row>
    <row r="892" spans="1:25" x14ac:dyDescent="0.2">
      <c r="A892" s="16">
        <v>891</v>
      </c>
      <c r="B892" s="37">
        <v>1</v>
      </c>
      <c r="C892" s="16" t="s">
        <v>2387</v>
      </c>
      <c r="D892" s="16" t="s">
        <v>2387</v>
      </c>
      <c r="E892" s="16"/>
      <c r="F892" s="16" t="s">
        <v>4350</v>
      </c>
      <c r="G892" s="16" t="s">
        <v>484</v>
      </c>
      <c r="H892" s="16" t="s">
        <v>2386</v>
      </c>
      <c r="I892" s="16" t="s">
        <v>494</v>
      </c>
      <c r="J892" s="16">
        <v>0</v>
      </c>
      <c r="K892" s="16">
        <v>158.9873</v>
      </c>
      <c r="L892" s="16">
        <v>1</v>
      </c>
      <c r="M892" s="16">
        <v>0</v>
      </c>
      <c r="N892">
        <f t="array" aca="1" ref="N892" ca="1">MATCH(TRUE,EXACT(I892,OFFSET(rngParamTypes,0,6,,1)),0)</f>
        <v>199</v>
      </c>
      <c r="O892" t="str">
        <f ca="1">IF((INDEX(rngParamTypes,$N892,7)=I892),"",1)</f>
        <v/>
      </c>
      <c r="P892">
        <f ca="1">INDEX(rngParamTypes,$N892,9)</f>
        <v>0</v>
      </c>
      <c r="Q892">
        <f ca="1">INDEX(rngParamTypes,$N892,10)</f>
        <v>3</v>
      </c>
      <c r="R892">
        <f ca="1">INDEX(rngParamTypes,$N892,11)</f>
        <v>0</v>
      </c>
      <c r="S892">
        <f ca="1">INDEX(rngParamTypes,$N892,12)</f>
        <v>0</v>
      </c>
      <c r="T892">
        <f ca="1">INDEX(rngParamTypes,$N892,13)</f>
        <v>0</v>
      </c>
      <c r="U892">
        <f ca="1">INDEX(rngParamTypes,$N892,14)</f>
        <v>0</v>
      </c>
      <c r="V892">
        <f ca="1">INDEX(rngParamTypes,$N892,15)</f>
        <v>0</v>
      </c>
      <c r="W892">
        <f ca="1">INDEX(rngParamTypes,$N892,16)</f>
        <v>0</v>
      </c>
      <c r="X892">
        <f ca="1">INDEX(rngParamTypes,$N892,17)</f>
        <v>0</v>
      </c>
      <c r="Y892">
        <f ca="1">INDEX(rngParamTypes,$N892,18)</f>
        <v>0</v>
      </c>
    </row>
    <row r="893" spans="1:25" x14ac:dyDescent="0.2">
      <c r="A893" s="16">
        <v>892</v>
      </c>
      <c r="B893" s="37">
        <v>1</v>
      </c>
      <c r="C893" s="16" t="s">
        <v>2389</v>
      </c>
      <c r="D893" s="16" t="s">
        <v>2389</v>
      </c>
      <c r="E893" s="16"/>
      <c r="F893" s="16" t="s">
        <v>4351</v>
      </c>
      <c r="G893" s="16" t="s">
        <v>501</v>
      </c>
      <c r="H893" s="16" t="s">
        <v>2388</v>
      </c>
      <c r="I893" s="16" t="s">
        <v>502</v>
      </c>
      <c r="J893" s="16">
        <v>0</v>
      </c>
      <c r="K893" s="16">
        <v>158.9873</v>
      </c>
      <c r="L893" s="16">
        <v>86400</v>
      </c>
      <c r="M893" s="16">
        <v>0</v>
      </c>
      <c r="N893">
        <f t="array" aca="1" ref="N893" ca="1">MATCH(TRUE,EXACT(I893,OFFSET(rngParamTypes,0,6,,1)),0)</f>
        <v>202</v>
      </c>
      <c r="O893" t="str">
        <f ca="1">IF((INDEX(rngParamTypes,$N893,7)=I893),"",1)</f>
        <v/>
      </c>
      <c r="P893">
        <f ca="1">INDEX(rngParamTypes,$N893,9)</f>
        <v>0</v>
      </c>
      <c r="Q893">
        <f ca="1">INDEX(rngParamTypes,$N893,10)</f>
        <v>3</v>
      </c>
      <c r="R893">
        <f ca="1">INDEX(rngParamTypes,$N893,11)</f>
        <v>-1</v>
      </c>
      <c r="S893">
        <f ca="1">INDEX(rngParamTypes,$N893,12)</f>
        <v>0</v>
      </c>
      <c r="T893">
        <f ca="1">INDEX(rngParamTypes,$N893,13)</f>
        <v>0</v>
      </c>
      <c r="U893">
        <f ca="1">INDEX(rngParamTypes,$N893,14)</f>
        <v>0</v>
      </c>
      <c r="V893">
        <f ca="1">INDEX(rngParamTypes,$N893,15)</f>
        <v>0</v>
      </c>
      <c r="W893">
        <f ca="1">INDEX(rngParamTypes,$N893,16)</f>
        <v>0</v>
      </c>
      <c r="X893">
        <f ca="1">INDEX(rngParamTypes,$N893,17)</f>
        <v>0</v>
      </c>
      <c r="Y893">
        <f ca="1">INDEX(rngParamTypes,$N893,18)</f>
        <v>0</v>
      </c>
    </row>
    <row r="894" spans="1:25" x14ac:dyDescent="0.2">
      <c r="A894" s="16">
        <v>893</v>
      </c>
      <c r="B894" s="37">
        <v>1</v>
      </c>
      <c r="C894" s="16" t="s">
        <v>2391</v>
      </c>
      <c r="D894" s="16" t="s">
        <v>2391</v>
      </c>
      <c r="E894" s="16"/>
      <c r="F894" s="16" t="s">
        <v>4025</v>
      </c>
      <c r="G894" s="16" t="s">
        <v>508</v>
      </c>
      <c r="H894" s="16" t="s">
        <v>2390</v>
      </c>
      <c r="I894" s="16" t="s">
        <v>509</v>
      </c>
      <c r="J894" s="16">
        <v>0</v>
      </c>
      <c r="K894" s="16">
        <v>1E-3</v>
      </c>
      <c r="L894" s="16">
        <v>1</v>
      </c>
      <c r="M894" s="16">
        <v>0</v>
      </c>
      <c r="N894">
        <f t="array" aca="1" ref="N894" ca="1">MATCH(TRUE,EXACT(I894,OFFSET(rngParamTypes,0,6,,1)),0)</f>
        <v>204</v>
      </c>
      <c r="O894" t="str">
        <f ca="1">IF((INDEX(rngParamTypes,$N894,7)=I894),"",1)</f>
        <v/>
      </c>
      <c r="P894">
        <f ca="1">INDEX(rngParamTypes,$N894,9)</f>
        <v>0</v>
      </c>
      <c r="Q894">
        <f ca="1">INDEX(rngParamTypes,$N894,10)</f>
        <v>2</v>
      </c>
      <c r="R894">
        <f ca="1">INDEX(rngParamTypes,$N894,11)</f>
        <v>-2</v>
      </c>
      <c r="S894">
        <f ca="1">INDEX(rngParamTypes,$N894,12)</f>
        <v>0</v>
      </c>
      <c r="T894">
        <f ca="1">INDEX(rngParamTypes,$N894,13)</f>
        <v>0</v>
      </c>
      <c r="U894">
        <f ca="1">INDEX(rngParamTypes,$N894,14)</f>
        <v>0</v>
      </c>
      <c r="V894">
        <f ca="1">INDEX(rngParamTypes,$N894,15)</f>
        <v>0</v>
      </c>
      <c r="W894">
        <f ca="1">INDEX(rngParamTypes,$N894,16)</f>
        <v>0</v>
      </c>
      <c r="X894">
        <f ca="1">INDEX(rngParamTypes,$N894,17)</f>
        <v>0</v>
      </c>
      <c r="Y894">
        <f ca="1">INDEX(rngParamTypes,$N894,18)</f>
        <v>0</v>
      </c>
    </row>
    <row r="895" spans="1:25" x14ac:dyDescent="0.2">
      <c r="A895" s="16">
        <v>894</v>
      </c>
      <c r="B895" s="37">
        <v>1</v>
      </c>
      <c r="C895" s="16" t="s">
        <v>2393</v>
      </c>
      <c r="D895" s="16" t="s">
        <v>2393</v>
      </c>
      <c r="E895" s="16"/>
      <c r="F895" s="16" t="s">
        <v>4026</v>
      </c>
      <c r="G895" s="16" t="s">
        <v>512</v>
      </c>
      <c r="H895" s="16" t="s">
        <v>2392</v>
      </c>
      <c r="I895" s="16" t="s">
        <v>513</v>
      </c>
      <c r="J895" s="16">
        <v>0</v>
      </c>
      <c r="K895" s="16">
        <v>1E-3</v>
      </c>
      <c r="L895" s="16">
        <v>3600</v>
      </c>
      <c r="M895" s="16">
        <v>0</v>
      </c>
      <c r="N895">
        <f t="array" aca="1" ref="N895" ca="1">MATCH(TRUE,EXACT(I895,OFFSET(rngParamTypes,0,6,,1)),0)</f>
        <v>205</v>
      </c>
      <c r="O895" t="str">
        <f ca="1">IF((INDEX(rngParamTypes,$N895,7)=I895),"",1)</f>
        <v/>
      </c>
      <c r="P895">
        <f ca="1">INDEX(rngParamTypes,$N895,9)</f>
        <v>0</v>
      </c>
      <c r="Q895">
        <f ca="1">INDEX(rngParamTypes,$N895,10)</f>
        <v>2</v>
      </c>
      <c r="R895">
        <f ca="1">INDEX(rngParamTypes,$N895,11)</f>
        <v>-3</v>
      </c>
      <c r="S895">
        <f ca="1">INDEX(rngParamTypes,$N895,12)</f>
        <v>0</v>
      </c>
      <c r="T895">
        <f ca="1">INDEX(rngParamTypes,$N895,13)</f>
        <v>0</v>
      </c>
      <c r="U895">
        <f ca="1">INDEX(rngParamTypes,$N895,14)</f>
        <v>0</v>
      </c>
      <c r="V895">
        <f ca="1">INDEX(rngParamTypes,$N895,15)</f>
        <v>0</v>
      </c>
      <c r="W895">
        <f ca="1">INDEX(rngParamTypes,$N895,16)</f>
        <v>0</v>
      </c>
      <c r="X895">
        <f ca="1">INDEX(rngParamTypes,$N895,17)</f>
        <v>0</v>
      </c>
      <c r="Y895">
        <f ca="1">INDEX(rngParamTypes,$N895,18)</f>
        <v>0</v>
      </c>
    </row>
    <row r="896" spans="1:25" x14ac:dyDescent="0.2">
      <c r="A896" s="16">
        <v>895</v>
      </c>
      <c r="B896" s="37">
        <v>1</v>
      </c>
      <c r="C896" s="16" t="s">
        <v>2395</v>
      </c>
      <c r="D896" s="16" t="s">
        <v>2395</v>
      </c>
      <c r="E896" s="16"/>
      <c r="F896" s="16" t="s">
        <v>4027</v>
      </c>
      <c r="G896" s="16" t="s">
        <v>3602</v>
      </c>
      <c r="H896" s="16" t="s">
        <v>2394</v>
      </c>
      <c r="I896" s="16" t="s">
        <v>518</v>
      </c>
      <c r="J896" s="16">
        <v>0</v>
      </c>
      <c r="K896" s="16">
        <v>1E-3</v>
      </c>
      <c r="L896" s="16">
        <v>1</v>
      </c>
      <c r="M896" s="16">
        <v>0</v>
      </c>
      <c r="N896">
        <f t="array" aca="1" ref="N896" ca="1">MATCH(TRUE,EXACT(I896,OFFSET(rngParamTypes,0,6,,1)),0)</f>
        <v>206</v>
      </c>
      <c r="O896" t="str">
        <f ca="1">IF((INDEX(rngParamTypes,$N896,7)=I896),"",1)</f>
        <v/>
      </c>
      <c r="P896">
        <f ca="1">INDEX(rngParamTypes,$N896,9)</f>
        <v>1</v>
      </c>
      <c r="Q896">
        <f ca="1">INDEX(rngParamTypes,$N896,10)</f>
        <v>0</v>
      </c>
      <c r="R896">
        <f ca="1">INDEX(rngParamTypes,$N896,11)</f>
        <v>-2</v>
      </c>
      <c r="S896">
        <f ca="1">INDEX(rngParamTypes,$N896,12)</f>
        <v>-1</v>
      </c>
      <c r="T896">
        <f ca="1">INDEX(rngParamTypes,$N896,13)</f>
        <v>0</v>
      </c>
      <c r="U896">
        <f ca="1">INDEX(rngParamTypes,$N896,14)</f>
        <v>0</v>
      </c>
      <c r="V896">
        <f ca="1">INDEX(rngParamTypes,$N896,15)</f>
        <v>0</v>
      </c>
      <c r="W896">
        <f ca="1">INDEX(rngParamTypes,$N896,16)</f>
        <v>0</v>
      </c>
      <c r="X896">
        <f ca="1">INDEX(rngParamTypes,$N896,17)</f>
        <v>0</v>
      </c>
      <c r="Y896">
        <f ca="1">INDEX(rngParamTypes,$N896,18)</f>
        <v>0</v>
      </c>
    </row>
    <row r="897" spans="1:25" x14ac:dyDescent="0.2">
      <c r="A897" s="16">
        <v>896</v>
      </c>
      <c r="B897" s="37">
        <v>1</v>
      </c>
      <c r="C897" s="16" t="s">
        <v>2397</v>
      </c>
      <c r="D897" s="16" t="s">
        <v>2397</v>
      </c>
      <c r="E897" s="16"/>
      <c r="F897" s="16" t="s">
        <v>4028</v>
      </c>
      <c r="G897" s="16" t="s">
        <v>521</v>
      </c>
      <c r="H897" s="16" t="s">
        <v>2396</v>
      </c>
      <c r="I897" s="16" t="s">
        <v>522</v>
      </c>
      <c r="J897" s="16">
        <v>0</v>
      </c>
      <c r="K897" s="16">
        <v>1000000</v>
      </c>
      <c r="L897" s="16">
        <v>1</v>
      </c>
      <c r="M897" s="16">
        <v>0</v>
      </c>
      <c r="N897">
        <f t="array" aca="1" ref="N897" ca="1">MATCH(TRUE,EXACT(I897,OFFSET(rngParamTypes,0,6,,1)),0)</f>
        <v>208</v>
      </c>
      <c r="O897" t="str">
        <f ca="1">IF((INDEX(rngParamTypes,$N897,7)=I897),"",1)</f>
        <v/>
      </c>
      <c r="P897">
        <f ca="1">INDEX(rngParamTypes,$N897,9)</f>
        <v>1</v>
      </c>
      <c r="Q897">
        <f ca="1">INDEX(rngParamTypes,$N897,10)</f>
        <v>2</v>
      </c>
      <c r="R897">
        <f ca="1">INDEX(rngParamTypes,$N897,11)</f>
        <v>-3</v>
      </c>
      <c r="S897">
        <f ca="1">INDEX(rngParamTypes,$N897,12)</f>
        <v>-1</v>
      </c>
      <c r="T897">
        <f ca="1">INDEX(rngParamTypes,$N897,13)</f>
        <v>0</v>
      </c>
      <c r="U897">
        <f ca="1">INDEX(rngParamTypes,$N897,14)</f>
        <v>0</v>
      </c>
      <c r="V897">
        <f ca="1">INDEX(rngParamTypes,$N897,15)</f>
        <v>0</v>
      </c>
      <c r="W897">
        <f ca="1">INDEX(rngParamTypes,$N897,16)</f>
        <v>0</v>
      </c>
      <c r="X897">
        <f ca="1">INDEX(rngParamTypes,$N897,17)</f>
        <v>0</v>
      </c>
      <c r="Y897">
        <f ca="1">INDEX(rngParamTypes,$N897,18)</f>
        <v>0</v>
      </c>
    </row>
    <row r="898" spans="1:25" x14ac:dyDescent="0.2">
      <c r="A898" s="16">
        <v>897</v>
      </c>
      <c r="B898" s="37">
        <v>1</v>
      </c>
      <c r="C898" s="16" t="s">
        <v>2399</v>
      </c>
      <c r="D898" s="16" t="s">
        <v>2399</v>
      </c>
      <c r="E898" s="16"/>
      <c r="F898" s="16" t="s">
        <v>4029</v>
      </c>
      <c r="G898" s="16" t="s">
        <v>521</v>
      </c>
      <c r="H898" s="16" t="s">
        <v>2398</v>
      </c>
      <c r="I898" s="16" t="s">
        <v>522</v>
      </c>
      <c r="J898" s="16">
        <v>0</v>
      </c>
      <c r="K898" s="16">
        <v>1E-3</v>
      </c>
      <c r="L898" s="16">
        <v>1</v>
      </c>
      <c r="M898" s="16">
        <v>0</v>
      </c>
      <c r="N898">
        <f t="array" aca="1" ref="N898" ca="1">MATCH(TRUE,EXACT(I898,OFFSET(rngParamTypes,0,6,,1)),0)</f>
        <v>208</v>
      </c>
      <c r="O898" t="str">
        <f ca="1">IF((INDEX(rngParamTypes,$N898,7)=I898),"",1)</f>
        <v/>
      </c>
      <c r="P898">
        <f ca="1">INDEX(rngParamTypes,$N898,9)</f>
        <v>1</v>
      </c>
      <c r="Q898">
        <f ca="1">INDEX(rngParamTypes,$N898,10)</f>
        <v>2</v>
      </c>
      <c r="R898">
        <f ca="1">INDEX(rngParamTypes,$N898,11)</f>
        <v>-3</v>
      </c>
      <c r="S898">
        <f ca="1">INDEX(rngParamTypes,$N898,12)</f>
        <v>-1</v>
      </c>
      <c r="T898">
        <f ca="1">INDEX(rngParamTypes,$N898,13)</f>
        <v>0</v>
      </c>
      <c r="U898">
        <f ca="1">INDEX(rngParamTypes,$N898,14)</f>
        <v>0</v>
      </c>
      <c r="V898">
        <f ca="1">INDEX(rngParamTypes,$N898,15)</f>
        <v>0</v>
      </c>
      <c r="W898">
        <f ca="1">INDEX(rngParamTypes,$N898,16)</f>
        <v>0</v>
      </c>
      <c r="X898">
        <f ca="1">INDEX(rngParamTypes,$N898,17)</f>
        <v>0</v>
      </c>
      <c r="Y898">
        <f ca="1">INDEX(rngParamTypes,$N898,18)</f>
        <v>0</v>
      </c>
    </row>
    <row r="899" spans="1:25" x14ac:dyDescent="0.2">
      <c r="A899" s="16">
        <v>898</v>
      </c>
      <c r="B899" s="37">
        <v>1</v>
      </c>
      <c r="C899" s="16" t="s">
        <v>2401</v>
      </c>
      <c r="D899" s="16" t="s">
        <v>2401</v>
      </c>
      <c r="E899" s="16"/>
      <c r="F899" s="16" t="s">
        <v>4030</v>
      </c>
      <c r="G899" s="16" t="s">
        <v>528</v>
      </c>
      <c r="H899" s="16" t="s">
        <v>2400</v>
      </c>
      <c r="I899" s="16" t="s">
        <v>529</v>
      </c>
      <c r="J899" s="16">
        <v>0</v>
      </c>
      <c r="K899" s="16">
        <v>1E-3</v>
      </c>
      <c r="L899" s="16">
        <v>0.30480000000000002</v>
      </c>
      <c r="M899" s="16">
        <v>0</v>
      </c>
      <c r="N899">
        <f t="array" aca="1" ref="N899" ca="1">MATCH(TRUE,EXACT(I899,OFFSET(rngParamTypes,0,6,,1)),0)</f>
        <v>210</v>
      </c>
      <c r="O899" t="str">
        <f ca="1">IF((INDEX(rngParamTypes,$N899,7)=I899),"",1)</f>
        <v/>
      </c>
      <c r="P899">
        <f ca="1">INDEX(rngParamTypes,$N899,9)</f>
        <v>1</v>
      </c>
      <c r="Q899">
        <f ca="1">INDEX(rngParamTypes,$N899,10)</f>
        <v>1</v>
      </c>
      <c r="R899">
        <f ca="1">INDEX(rngParamTypes,$N899,11)</f>
        <v>-3</v>
      </c>
      <c r="S899">
        <f ca="1">INDEX(rngParamTypes,$N899,12)</f>
        <v>-1</v>
      </c>
      <c r="T899">
        <f ca="1">INDEX(rngParamTypes,$N899,13)</f>
        <v>0</v>
      </c>
      <c r="U899">
        <f ca="1">INDEX(rngParamTypes,$N899,14)</f>
        <v>0</v>
      </c>
      <c r="V899">
        <f ca="1">INDEX(rngParamTypes,$N899,15)</f>
        <v>0</v>
      </c>
      <c r="W899">
        <f ca="1">INDEX(rngParamTypes,$N899,16)</f>
        <v>0</v>
      </c>
      <c r="X899">
        <f ca="1">INDEX(rngParamTypes,$N899,17)</f>
        <v>0</v>
      </c>
      <c r="Y899">
        <f ca="1">INDEX(rngParamTypes,$N899,18)</f>
        <v>0</v>
      </c>
    </row>
    <row r="900" spans="1:25" x14ac:dyDescent="0.2">
      <c r="A900" s="16">
        <v>899</v>
      </c>
      <c r="B900" s="37">
        <v>1</v>
      </c>
      <c r="C900" s="16" t="s">
        <v>2403</v>
      </c>
      <c r="D900" s="16" t="s">
        <v>2403</v>
      </c>
      <c r="E900" s="16"/>
      <c r="F900" s="16" t="s">
        <v>4031</v>
      </c>
      <c r="G900" s="16" t="s">
        <v>528</v>
      </c>
      <c r="H900" s="16" t="s">
        <v>2402</v>
      </c>
      <c r="I900" s="16" t="s">
        <v>529</v>
      </c>
      <c r="J900" s="16">
        <v>0</v>
      </c>
      <c r="K900" s="16">
        <v>1E-3</v>
      </c>
      <c r="L900" s="16">
        <v>1</v>
      </c>
      <c r="M900" s="16">
        <v>0</v>
      </c>
      <c r="N900">
        <f t="array" aca="1" ref="N900" ca="1">MATCH(TRUE,EXACT(I900,OFFSET(rngParamTypes,0,6,,1)),0)</f>
        <v>210</v>
      </c>
      <c r="O900" t="str">
        <f ca="1">IF((INDEX(rngParamTypes,$N900,7)=I900),"",1)</f>
        <v/>
      </c>
      <c r="P900">
        <f ca="1">INDEX(rngParamTypes,$N900,9)</f>
        <v>1</v>
      </c>
      <c r="Q900">
        <f ca="1">INDEX(rngParamTypes,$N900,10)</f>
        <v>1</v>
      </c>
      <c r="R900">
        <f ca="1">INDEX(rngParamTypes,$N900,11)</f>
        <v>-3</v>
      </c>
      <c r="S900">
        <f ca="1">INDEX(rngParamTypes,$N900,12)</f>
        <v>-1</v>
      </c>
      <c r="T900">
        <f ca="1">INDEX(rngParamTypes,$N900,13)</f>
        <v>0</v>
      </c>
      <c r="U900">
        <f ca="1">INDEX(rngParamTypes,$N900,14)</f>
        <v>0</v>
      </c>
      <c r="V900">
        <f ca="1">INDEX(rngParamTypes,$N900,15)</f>
        <v>0</v>
      </c>
      <c r="W900">
        <f ca="1">INDEX(rngParamTypes,$N900,16)</f>
        <v>0</v>
      </c>
      <c r="X900">
        <f ca="1">INDEX(rngParamTypes,$N900,17)</f>
        <v>0</v>
      </c>
      <c r="Y900">
        <f ca="1">INDEX(rngParamTypes,$N900,18)</f>
        <v>0</v>
      </c>
    </row>
    <row r="901" spans="1:25" x14ac:dyDescent="0.2">
      <c r="A901" s="16">
        <v>900</v>
      </c>
      <c r="B901" s="37">
        <v>1</v>
      </c>
      <c r="C901" s="16" t="s">
        <v>2405</v>
      </c>
      <c r="D901" s="16" t="s">
        <v>2405</v>
      </c>
      <c r="E901" s="16">
        <v>2</v>
      </c>
      <c r="F901" s="16" t="s">
        <v>4032</v>
      </c>
      <c r="G901" s="16" t="s">
        <v>3624</v>
      </c>
      <c r="H901" s="16" t="s">
        <v>2404</v>
      </c>
      <c r="I901" s="16" t="s">
        <v>533</v>
      </c>
      <c r="J901" s="16">
        <v>0</v>
      </c>
      <c r="K901" s="16">
        <v>1000000</v>
      </c>
      <c r="L901" s="16">
        <v>1</v>
      </c>
      <c r="M901" s="16">
        <v>0</v>
      </c>
      <c r="N901">
        <f t="array" aca="1" ref="N901" ca="1">MATCH(TRUE,EXACT(I901,OFFSET(rngParamTypes,0,6,,1)),0)</f>
        <v>211</v>
      </c>
      <c r="O901" t="str">
        <f ca="1">IF((INDEX(rngParamTypes,$N901,7)=I901),"",1)</f>
        <v/>
      </c>
      <c r="P901">
        <f ca="1">INDEX(rngParamTypes,$N901,9)</f>
        <v>1</v>
      </c>
      <c r="Q901">
        <f ca="1">INDEX(rngParamTypes,$N901,10)</f>
        <v>2</v>
      </c>
      <c r="R901">
        <f ca="1">INDEX(rngParamTypes,$N901,11)</f>
        <v>-3</v>
      </c>
      <c r="S901">
        <f ca="1">INDEX(rngParamTypes,$N901,12)</f>
        <v>0</v>
      </c>
      <c r="T901">
        <f ca="1">INDEX(rngParamTypes,$N901,13)</f>
        <v>0</v>
      </c>
      <c r="U901">
        <f ca="1">INDEX(rngParamTypes,$N901,14)</f>
        <v>0</v>
      </c>
      <c r="V901">
        <f ca="1">INDEX(rngParamTypes,$N901,15)</f>
        <v>0</v>
      </c>
      <c r="W901">
        <f ca="1">INDEX(rngParamTypes,$N901,16)</f>
        <v>0</v>
      </c>
      <c r="X901">
        <f ca="1">INDEX(rngParamTypes,$N901,17)</f>
        <v>0</v>
      </c>
      <c r="Y901">
        <f ca="1">INDEX(rngParamTypes,$N901,18)</f>
        <v>0</v>
      </c>
    </row>
    <row r="902" spans="1:25" x14ac:dyDescent="0.2">
      <c r="A902" s="16">
        <v>901</v>
      </c>
      <c r="B902" s="37">
        <v>1</v>
      </c>
      <c r="C902" s="16" t="s">
        <v>2407</v>
      </c>
      <c r="D902" s="16" t="s">
        <v>2407</v>
      </c>
      <c r="E902" s="16">
        <v>2</v>
      </c>
      <c r="F902" s="16" t="s">
        <v>4033</v>
      </c>
      <c r="G902" s="16" t="s">
        <v>3624</v>
      </c>
      <c r="H902" s="16" t="s">
        <v>2406</v>
      </c>
      <c r="I902" s="16" t="s">
        <v>533</v>
      </c>
      <c r="J902" s="16">
        <v>0</v>
      </c>
      <c r="K902" s="16">
        <v>1E-3</v>
      </c>
      <c r="L902" s="16">
        <v>1</v>
      </c>
      <c r="M902" s="16">
        <v>0</v>
      </c>
      <c r="N902">
        <f t="array" aca="1" ref="N902" ca="1">MATCH(TRUE,EXACT(I902,OFFSET(rngParamTypes,0,6,,1)),0)</f>
        <v>211</v>
      </c>
      <c r="O902" t="str">
        <f ca="1">IF((INDEX(rngParamTypes,$N902,7)=I902),"",1)</f>
        <v/>
      </c>
      <c r="P902">
        <f ca="1">INDEX(rngParamTypes,$N902,9)</f>
        <v>1</v>
      </c>
      <c r="Q902">
        <f ca="1">INDEX(rngParamTypes,$N902,10)</f>
        <v>2</v>
      </c>
      <c r="R902">
        <f ca="1">INDEX(rngParamTypes,$N902,11)</f>
        <v>-3</v>
      </c>
      <c r="S902">
        <f ca="1">INDEX(rngParamTypes,$N902,12)</f>
        <v>0</v>
      </c>
      <c r="T902">
        <f ca="1">INDEX(rngParamTypes,$N902,13)</f>
        <v>0</v>
      </c>
      <c r="U902">
        <f ca="1">INDEX(rngParamTypes,$N902,14)</f>
        <v>0</v>
      </c>
      <c r="V902">
        <f ca="1">INDEX(rngParamTypes,$N902,15)</f>
        <v>0</v>
      </c>
      <c r="W902">
        <f ca="1">INDEX(rngParamTypes,$N902,16)</f>
        <v>0</v>
      </c>
      <c r="X902">
        <f ca="1">INDEX(rngParamTypes,$N902,17)</f>
        <v>0</v>
      </c>
      <c r="Y902">
        <f ca="1">INDEX(rngParamTypes,$N902,18)</f>
        <v>0</v>
      </c>
    </row>
    <row r="903" spans="1:25" x14ac:dyDescent="0.2">
      <c r="A903" s="16">
        <v>902</v>
      </c>
      <c r="B903" s="37">
        <v>1</v>
      </c>
      <c r="C903" s="16" t="s">
        <v>2409</v>
      </c>
      <c r="D903" s="16" t="s">
        <v>2409</v>
      </c>
      <c r="E903" s="16">
        <v>2</v>
      </c>
      <c r="F903" s="16" t="s">
        <v>4034</v>
      </c>
      <c r="G903" s="16" t="s">
        <v>3267</v>
      </c>
      <c r="H903" s="16" t="s">
        <v>2408</v>
      </c>
      <c r="I903" s="16" t="s">
        <v>168</v>
      </c>
      <c r="J903" s="16">
        <v>0</v>
      </c>
      <c r="K903" s="16">
        <v>3600000000</v>
      </c>
      <c r="L903" s="16">
        <v>1</v>
      </c>
      <c r="M903" s="16">
        <v>0</v>
      </c>
      <c r="N903">
        <f t="array" aca="1" ref="N903" ca="1">MATCH(TRUE,EXACT(I903,OFFSET(rngParamTypes,0,6,,1)),0)</f>
        <v>56</v>
      </c>
      <c r="O903" t="str">
        <f ca="1">IF((INDEX(rngParamTypes,$N903,7)=I903),"",1)</f>
        <v/>
      </c>
      <c r="P903">
        <f ca="1">INDEX(rngParamTypes,$N903,9)</f>
        <v>1</v>
      </c>
      <c r="Q903">
        <f ca="1">INDEX(rngParamTypes,$N903,10)</f>
        <v>2</v>
      </c>
      <c r="R903">
        <f ca="1">INDEX(rngParamTypes,$N903,11)</f>
        <v>-2</v>
      </c>
      <c r="S903">
        <f ca="1">INDEX(rngParamTypes,$N903,12)</f>
        <v>0</v>
      </c>
      <c r="T903">
        <f ca="1">INDEX(rngParamTypes,$N903,13)</f>
        <v>0</v>
      </c>
      <c r="U903">
        <f ca="1">INDEX(rngParamTypes,$N903,14)</f>
        <v>0</v>
      </c>
      <c r="V903">
        <f ca="1">INDEX(rngParamTypes,$N903,15)</f>
        <v>0</v>
      </c>
      <c r="W903">
        <f ca="1">INDEX(rngParamTypes,$N903,16)</f>
        <v>0</v>
      </c>
      <c r="X903">
        <f ca="1">INDEX(rngParamTypes,$N903,17)</f>
        <v>0</v>
      </c>
      <c r="Y903">
        <f ca="1">INDEX(rngParamTypes,$N903,18)</f>
        <v>0</v>
      </c>
    </row>
    <row r="904" spans="1:25" x14ac:dyDescent="0.2">
      <c r="A904" s="16">
        <v>903</v>
      </c>
      <c r="B904" s="37">
        <v>1</v>
      </c>
      <c r="C904" s="16" t="s">
        <v>2411</v>
      </c>
      <c r="D904" s="16" t="s">
        <v>2411</v>
      </c>
      <c r="E904" s="16">
        <v>2</v>
      </c>
      <c r="F904" s="16" t="s">
        <v>4035</v>
      </c>
      <c r="G904" s="16" t="s">
        <v>174</v>
      </c>
      <c r="H904" s="16" t="s">
        <v>2410</v>
      </c>
      <c r="I904" s="16" t="s">
        <v>175</v>
      </c>
      <c r="J904" s="16">
        <v>0</v>
      </c>
      <c r="K904" s="16">
        <v>3600000000</v>
      </c>
      <c r="L904" s="16">
        <v>1</v>
      </c>
      <c r="M904" s="16">
        <v>0</v>
      </c>
      <c r="N904">
        <f t="array" aca="1" ref="N904" ca="1">MATCH(TRUE,EXACT(I904,OFFSET(rngParamTypes,0,6,,1)),0)</f>
        <v>62</v>
      </c>
      <c r="O904" t="str">
        <f ca="1">IF((INDEX(rngParamTypes,$N904,7)=I904),"",1)</f>
        <v/>
      </c>
      <c r="P904">
        <f ca="1">INDEX(rngParamTypes,$N904,9)</f>
        <v>0</v>
      </c>
      <c r="Q904">
        <f ca="1">INDEX(rngParamTypes,$N904,10)</f>
        <v>2</v>
      </c>
      <c r="R904">
        <f ca="1">INDEX(rngParamTypes,$N904,11)</f>
        <v>-2</v>
      </c>
      <c r="S904">
        <f ca="1">INDEX(rngParamTypes,$N904,12)</f>
        <v>0</v>
      </c>
      <c r="T904">
        <f ca="1">INDEX(rngParamTypes,$N904,13)</f>
        <v>0</v>
      </c>
      <c r="U904">
        <f ca="1">INDEX(rngParamTypes,$N904,14)</f>
        <v>0</v>
      </c>
      <c r="V904">
        <f ca="1">INDEX(rngParamTypes,$N904,15)</f>
        <v>0</v>
      </c>
      <c r="W904">
        <f ca="1">INDEX(rngParamTypes,$N904,16)</f>
        <v>0</v>
      </c>
      <c r="X904">
        <f ca="1">INDEX(rngParamTypes,$N904,17)</f>
        <v>0</v>
      </c>
      <c r="Y904">
        <f ca="1">INDEX(rngParamTypes,$N904,18)</f>
        <v>0</v>
      </c>
    </row>
    <row r="905" spans="1:25" x14ac:dyDescent="0.2">
      <c r="A905" s="16">
        <v>904</v>
      </c>
      <c r="B905" s="37">
        <v>1</v>
      </c>
      <c r="C905" s="16" t="s">
        <v>2413</v>
      </c>
      <c r="D905" s="16" t="s">
        <v>2413</v>
      </c>
      <c r="E905" s="16"/>
      <c r="F905" s="16" t="s">
        <v>4036</v>
      </c>
      <c r="G905" s="16" t="s">
        <v>3314</v>
      </c>
      <c r="H905" s="16" t="s">
        <v>2412</v>
      </c>
      <c r="I905" s="16" t="s">
        <v>190</v>
      </c>
      <c r="J905" s="16">
        <v>0</v>
      </c>
      <c r="K905" s="16">
        <v>3600000000</v>
      </c>
      <c r="L905" s="16">
        <v>1</v>
      </c>
      <c r="M905" s="16">
        <v>0</v>
      </c>
      <c r="N905">
        <f t="array" aca="1" ref="N905" ca="1">MATCH(TRUE,EXACT(I905,OFFSET(rngParamTypes,0,6,,1)),0)</f>
        <v>65</v>
      </c>
      <c r="O905" t="str">
        <f ca="1">IF((INDEX(rngParamTypes,$N905,7)=I905),"",1)</f>
        <v/>
      </c>
      <c r="P905">
        <f ca="1">INDEX(rngParamTypes,$N905,9)</f>
        <v>1</v>
      </c>
      <c r="Q905">
        <f ca="1">INDEX(rngParamTypes,$N905,10)</f>
        <v>-1</v>
      </c>
      <c r="R905">
        <f ca="1">INDEX(rngParamTypes,$N905,11)</f>
        <v>-2</v>
      </c>
      <c r="S905">
        <f ca="1">INDEX(rngParamTypes,$N905,12)</f>
        <v>0</v>
      </c>
      <c r="T905">
        <f ca="1">INDEX(rngParamTypes,$N905,13)</f>
        <v>0</v>
      </c>
      <c r="U905">
        <f ca="1">INDEX(rngParamTypes,$N905,14)</f>
        <v>0</v>
      </c>
      <c r="V905">
        <f ca="1">INDEX(rngParamTypes,$N905,15)</f>
        <v>0</v>
      </c>
      <c r="W905">
        <f ca="1">INDEX(rngParamTypes,$N905,16)</f>
        <v>0</v>
      </c>
      <c r="X905">
        <f ca="1">INDEX(rngParamTypes,$N905,17)</f>
        <v>0</v>
      </c>
      <c r="Y905">
        <f ca="1">INDEX(rngParamTypes,$N905,18)</f>
        <v>0</v>
      </c>
    </row>
    <row r="906" spans="1:25" x14ac:dyDescent="0.2">
      <c r="A906" s="16">
        <v>905</v>
      </c>
      <c r="B906" s="37">
        <v>1</v>
      </c>
      <c r="C906" s="16" t="s">
        <v>2415</v>
      </c>
      <c r="D906" s="16" t="s">
        <v>2415</v>
      </c>
      <c r="E906" s="16">
        <v>2</v>
      </c>
      <c r="F906" s="16" t="s">
        <v>4037</v>
      </c>
      <c r="G906" s="16" t="s">
        <v>3322</v>
      </c>
      <c r="H906" s="16" t="s">
        <v>2414</v>
      </c>
      <c r="I906" s="16" t="s">
        <v>551</v>
      </c>
      <c r="J906" s="16">
        <v>0</v>
      </c>
      <c r="K906" s="16">
        <v>1E-3</v>
      </c>
      <c r="L906" s="16">
        <v>1</v>
      </c>
      <c r="M906" s="16">
        <v>0</v>
      </c>
      <c r="N906">
        <f t="array" aca="1" ref="N906" ca="1">MATCH(TRUE,EXACT(I906,OFFSET(rngParamTypes,0,6,,1)),0)</f>
        <v>216</v>
      </c>
      <c r="O906" t="str">
        <f ca="1">IF((INDEX(rngParamTypes,$N906,7)=I906),"",1)</f>
        <v/>
      </c>
      <c r="P906">
        <f ca="1">INDEX(rngParamTypes,$N906,9)</f>
        <v>1</v>
      </c>
      <c r="Q906">
        <f ca="1">INDEX(rngParamTypes,$N906,10)</f>
        <v>0</v>
      </c>
      <c r="R906">
        <f ca="1">INDEX(rngParamTypes,$N906,11)</f>
        <v>-3</v>
      </c>
      <c r="S906">
        <f ca="1">INDEX(rngParamTypes,$N906,12)</f>
        <v>0</v>
      </c>
      <c r="T906">
        <f ca="1">INDEX(rngParamTypes,$N906,13)</f>
        <v>0</v>
      </c>
      <c r="U906">
        <f ca="1">INDEX(rngParamTypes,$N906,14)</f>
        <v>0</v>
      </c>
      <c r="V906">
        <f ca="1">INDEX(rngParamTypes,$N906,15)</f>
        <v>0</v>
      </c>
      <c r="W906">
        <f ca="1">INDEX(rngParamTypes,$N906,16)</f>
        <v>0</v>
      </c>
      <c r="X906">
        <f ca="1">INDEX(rngParamTypes,$N906,17)</f>
        <v>0</v>
      </c>
      <c r="Y906">
        <f ca="1">INDEX(rngParamTypes,$N906,18)</f>
        <v>0</v>
      </c>
    </row>
    <row r="907" spans="1:25" x14ac:dyDescent="0.2">
      <c r="A907" s="16">
        <v>906</v>
      </c>
      <c r="B907" s="37">
        <v>1</v>
      </c>
      <c r="C907" s="16" t="s">
        <v>2417</v>
      </c>
      <c r="D907" s="16" t="s">
        <v>2417</v>
      </c>
      <c r="E907" s="16"/>
      <c r="F907" s="16" t="s">
        <v>4038</v>
      </c>
      <c r="G907" s="16" t="s">
        <v>568</v>
      </c>
      <c r="H907" s="16" t="s">
        <v>2416</v>
      </c>
      <c r="I907" s="16" t="s">
        <v>569</v>
      </c>
      <c r="J907" s="16">
        <v>0</v>
      </c>
      <c r="K907" s="16">
        <v>1E-3</v>
      </c>
      <c r="L907" s="16">
        <v>1</v>
      </c>
      <c r="M907" s="16">
        <v>0</v>
      </c>
      <c r="N907">
        <f t="array" aca="1" ref="N907" ca="1">MATCH(TRUE,EXACT(I907,OFFSET(rngParamTypes,0,6,,1)),0)</f>
        <v>229</v>
      </c>
      <c r="O907" t="str">
        <f ca="1">IF((INDEX(rngParamTypes,$N907,7)=I907),"",1)</f>
        <v/>
      </c>
      <c r="P907">
        <f ca="1">INDEX(rngParamTypes,$N907,9)</f>
        <v>1</v>
      </c>
      <c r="Q907">
        <f ca="1">INDEX(rngParamTypes,$N907,10)</f>
        <v>2</v>
      </c>
      <c r="R907">
        <f ca="1">INDEX(rngParamTypes,$N907,11)</f>
        <v>-2</v>
      </c>
      <c r="S907">
        <f ca="1">INDEX(rngParamTypes,$N907,12)</f>
        <v>-1</v>
      </c>
      <c r="T907">
        <f ca="1">INDEX(rngParamTypes,$N907,13)</f>
        <v>0</v>
      </c>
      <c r="U907">
        <f ca="1">INDEX(rngParamTypes,$N907,14)</f>
        <v>0</v>
      </c>
      <c r="V907">
        <f ca="1">INDEX(rngParamTypes,$N907,15)</f>
        <v>0</v>
      </c>
      <c r="W907">
        <f ca="1">INDEX(rngParamTypes,$N907,16)</f>
        <v>0</v>
      </c>
      <c r="X907">
        <f ca="1">INDEX(rngParamTypes,$N907,17)</f>
        <v>0</v>
      </c>
      <c r="Y907">
        <f ca="1">INDEX(rngParamTypes,$N907,18)</f>
        <v>0</v>
      </c>
    </row>
    <row r="908" spans="1:25" x14ac:dyDescent="0.2">
      <c r="A908" s="16">
        <v>907</v>
      </c>
      <c r="B908" s="37">
        <v>1</v>
      </c>
      <c r="C908" s="16" t="s">
        <v>2418</v>
      </c>
      <c r="D908" s="16" t="s">
        <v>2418</v>
      </c>
      <c r="E908" s="16">
        <v>2</v>
      </c>
      <c r="F908" s="16" t="s">
        <v>4039</v>
      </c>
      <c r="G908" s="16" t="s">
        <v>469</v>
      </c>
      <c r="H908" s="16" t="s">
        <v>2064</v>
      </c>
      <c r="I908" s="16" t="s">
        <v>470</v>
      </c>
      <c r="J908" s="16">
        <v>0</v>
      </c>
      <c r="K908" s="16">
        <v>31558150000000</v>
      </c>
      <c r="L908" s="16">
        <v>1</v>
      </c>
      <c r="M908" s="16">
        <v>0</v>
      </c>
      <c r="N908">
        <f t="array" aca="1" ref="N908" ca="1">MATCH(TRUE,EXACT(I908,OFFSET(rngParamTypes,0,6,,1)),0)</f>
        <v>190</v>
      </c>
      <c r="O908" t="str">
        <f ca="1">IF((INDEX(rngParamTypes,$N908,7)=I908),"",1)</f>
        <v/>
      </c>
      <c r="P908">
        <f ca="1">INDEX(rngParamTypes,$N908,9)</f>
        <v>0</v>
      </c>
      <c r="Q908">
        <f ca="1">INDEX(rngParamTypes,$N908,10)</f>
        <v>0</v>
      </c>
      <c r="R908">
        <f ca="1">INDEX(rngParamTypes,$N908,11)</f>
        <v>1</v>
      </c>
      <c r="S908">
        <f ca="1">INDEX(rngParamTypes,$N908,12)</f>
        <v>0</v>
      </c>
      <c r="T908">
        <f ca="1">INDEX(rngParamTypes,$N908,13)</f>
        <v>0</v>
      </c>
      <c r="U908">
        <f ca="1">INDEX(rngParamTypes,$N908,14)</f>
        <v>0</v>
      </c>
      <c r="V908">
        <f ca="1">INDEX(rngParamTypes,$N908,15)</f>
        <v>0</v>
      </c>
      <c r="W908">
        <f ca="1">INDEX(rngParamTypes,$N908,16)</f>
        <v>0</v>
      </c>
      <c r="X908">
        <f ca="1">INDEX(rngParamTypes,$N908,17)</f>
        <v>0</v>
      </c>
      <c r="Y908">
        <f ca="1">INDEX(rngParamTypes,$N908,18)</f>
        <v>0</v>
      </c>
    </row>
    <row r="909" spans="1:25" x14ac:dyDescent="0.2">
      <c r="A909" s="16">
        <v>908</v>
      </c>
      <c r="B909" s="37">
        <v>1</v>
      </c>
      <c r="C909" s="16" t="s">
        <v>2420</v>
      </c>
      <c r="D909" s="16" t="s">
        <v>2420</v>
      </c>
      <c r="E909" s="16"/>
      <c r="F909" s="16" t="s">
        <v>4040</v>
      </c>
      <c r="G909" s="16" t="s">
        <v>3417</v>
      </c>
      <c r="H909" s="16" t="s">
        <v>2419</v>
      </c>
      <c r="I909" s="16" t="s">
        <v>168</v>
      </c>
      <c r="J909" s="16">
        <v>0</v>
      </c>
      <c r="K909" s="16">
        <v>1</v>
      </c>
      <c r="L909" s="16">
        <v>1</v>
      </c>
      <c r="M909" s="16">
        <v>0</v>
      </c>
      <c r="N909">
        <f t="array" aca="1" ref="N909" ca="1">MATCH(TRUE,EXACT(I909,OFFSET(rngParamTypes,0,6,,1)),0)</f>
        <v>56</v>
      </c>
      <c r="O909" t="str">
        <f ca="1">IF((INDEX(rngParamTypes,$N909,7)=I909),"",1)</f>
        <v/>
      </c>
      <c r="P909">
        <f ca="1">INDEX(rngParamTypes,$N909,9)</f>
        <v>1</v>
      </c>
      <c r="Q909">
        <f ca="1">INDEX(rngParamTypes,$N909,10)</f>
        <v>2</v>
      </c>
      <c r="R909">
        <f ca="1">INDEX(rngParamTypes,$N909,11)</f>
        <v>-2</v>
      </c>
      <c r="S909">
        <f ca="1">INDEX(rngParamTypes,$N909,12)</f>
        <v>0</v>
      </c>
      <c r="T909">
        <f ca="1">INDEX(rngParamTypes,$N909,13)</f>
        <v>0</v>
      </c>
      <c r="U909">
        <f ca="1">INDEX(rngParamTypes,$N909,14)</f>
        <v>0</v>
      </c>
      <c r="V909">
        <f ca="1">INDEX(rngParamTypes,$N909,15)</f>
        <v>0</v>
      </c>
      <c r="W909">
        <f ca="1">INDEX(rngParamTypes,$N909,16)</f>
        <v>0</v>
      </c>
      <c r="X909">
        <f ca="1">INDEX(rngParamTypes,$N909,17)</f>
        <v>0</v>
      </c>
      <c r="Y909">
        <f ca="1">INDEX(rngParamTypes,$N909,18)</f>
        <v>0</v>
      </c>
    </row>
    <row r="910" spans="1:25" x14ac:dyDescent="0.2">
      <c r="A910" s="16">
        <v>909</v>
      </c>
      <c r="B910" s="37">
        <v>1</v>
      </c>
      <c r="C910" s="16" t="s">
        <v>2422</v>
      </c>
      <c r="D910" s="16" t="s">
        <v>2422</v>
      </c>
      <c r="E910" s="16"/>
      <c r="F910" s="16" t="s">
        <v>4041</v>
      </c>
      <c r="G910" s="16" t="s">
        <v>1657</v>
      </c>
      <c r="H910" s="16" t="s">
        <v>2421</v>
      </c>
      <c r="I910" s="16" t="s">
        <v>379</v>
      </c>
      <c r="J910" s="16">
        <v>0</v>
      </c>
      <c r="K910" s="16">
        <v>1</v>
      </c>
      <c r="L910" s="16">
        <v>1</v>
      </c>
      <c r="M910" s="16">
        <v>0</v>
      </c>
      <c r="N910">
        <f t="array" aca="1" ref="N910" ca="1">MATCH(TRUE,EXACT(I910,OFFSET(rngParamTypes,0,6,,1)),0)</f>
        <v>154</v>
      </c>
      <c r="O910" t="str">
        <f ca="1">IF((INDEX(rngParamTypes,$N910,7)=I910),"",1)</f>
        <v/>
      </c>
      <c r="P910">
        <f ca="1">INDEX(rngParamTypes,$N910,9)</f>
        <v>1</v>
      </c>
      <c r="Q910">
        <f ca="1">INDEX(rngParamTypes,$N910,10)</f>
        <v>1</v>
      </c>
      <c r="R910">
        <f ca="1">INDEX(rngParamTypes,$N910,11)</f>
        <v>-2</v>
      </c>
      <c r="S910">
        <f ca="1">INDEX(rngParamTypes,$N910,12)</f>
        <v>0</v>
      </c>
      <c r="T910">
        <f ca="1">INDEX(rngParamTypes,$N910,13)</f>
        <v>0</v>
      </c>
      <c r="U910">
        <f ca="1">INDEX(rngParamTypes,$N910,14)</f>
        <v>0</v>
      </c>
      <c r="V910">
        <f ca="1">INDEX(rngParamTypes,$N910,15)</f>
        <v>0</v>
      </c>
      <c r="W910">
        <f ca="1">INDEX(rngParamTypes,$N910,16)</f>
        <v>0</v>
      </c>
      <c r="X910">
        <f ca="1">INDEX(rngParamTypes,$N910,17)</f>
        <v>0</v>
      </c>
      <c r="Y910">
        <f ca="1">INDEX(rngParamTypes,$N910,18)</f>
        <v>0</v>
      </c>
    </row>
    <row r="911" spans="1:25" x14ac:dyDescent="0.2">
      <c r="A911" s="16">
        <v>910</v>
      </c>
      <c r="B911" s="37">
        <v>1</v>
      </c>
      <c r="C911" s="16" t="s">
        <v>2424</v>
      </c>
      <c r="D911" s="16" t="s">
        <v>2424</v>
      </c>
      <c r="E911" s="16">
        <v>1</v>
      </c>
      <c r="F911" s="16" t="s">
        <v>4042</v>
      </c>
      <c r="G911" s="16" t="s">
        <v>419</v>
      </c>
      <c r="H911" s="16" t="s">
        <v>2423</v>
      </c>
      <c r="I911" s="16" t="s">
        <v>421</v>
      </c>
      <c r="J911" s="16">
        <v>0</v>
      </c>
      <c r="K911" s="16">
        <v>1</v>
      </c>
      <c r="L911" s="16">
        <v>1</v>
      </c>
      <c r="M911" s="16">
        <v>0</v>
      </c>
      <c r="N911">
        <f t="array" aca="1" ref="N911" ca="1">MATCH(TRUE,EXACT(I911,OFFSET(rngParamTypes,0,6,,1)),0)</f>
        <v>169</v>
      </c>
      <c r="O911" t="str">
        <f ca="1">IF((INDEX(rngParamTypes,$N911,7)=I911),"",1)</f>
        <v/>
      </c>
      <c r="P911">
        <f ca="1">INDEX(rngParamTypes,$N911,9)</f>
        <v>1</v>
      </c>
      <c r="Q911">
        <f ca="1">INDEX(rngParamTypes,$N911,10)</f>
        <v>-1</v>
      </c>
      <c r="R911">
        <f ca="1">INDEX(rngParamTypes,$N911,11)</f>
        <v>-1</v>
      </c>
      <c r="S911">
        <f ca="1">INDEX(rngParamTypes,$N911,12)</f>
        <v>0</v>
      </c>
      <c r="T911">
        <f ca="1">INDEX(rngParamTypes,$N911,13)</f>
        <v>0</v>
      </c>
      <c r="U911">
        <f ca="1">INDEX(rngParamTypes,$N911,14)</f>
        <v>0</v>
      </c>
      <c r="V911">
        <f ca="1">INDEX(rngParamTypes,$N911,15)</f>
        <v>0</v>
      </c>
      <c r="W911">
        <f ca="1">INDEX(rngParamTypes,$N911,16)</f>
        <v>0</v>
      </c>
      <c r="X911">
        <f ca="1">INDEX(rngParamTypes,$N911,17)</f>
        <v>0</v>
      </c>
      <c r="Y911">
        <f ca="1">INDEX(rngParamTypes,$N911,18)</f>
        <v>0</v>
      </c>
    </row>
    <row r="912" spans="1:25" x14ac:dyDescent="0.2">
      <c r="A912" s="16">
        <v>911</v>
      </c>
      <c r="B912" s="37">
        <v>1</v>
      </c>
      <c r="C912" s="16" t="s">
        <v>2426</v>
      </c>
      <c r="D912" s="16" t="s">
        <v>2426</v>
      </c>
      <c r="E912" s="16"/>
      <c r="F912" s="16" t="s">
        <v>4352</v>
      </c>
      <c r="G912" s="16" t="s">
        <v>385</v>
      </c>
      <c r="H912" s="16" t="s">
        <v>2425</v>
      </c>
      <c r="I912" s="16" t="s">
        <v>387</v>
      </c>
      <c r="J912" s="16">
        <v>0</v>
      </c>
      <c r="K912" s="16">
        <v>1</v>
      </c>
      <c r="L912" s="16">
        <v>30</v>
      </c>
      <c r="M912" s="16">
        <v>0</v>
      </c>
      <c r="N912">
        <f t="array" aca="1" ref="N912" ca="1">MATCH(TRUE,EXACT(I912,OFFSET(rngParamTypes,0,6,,1)),0)</f>
        <v>156</v>
      </c>
      <c r="O912" t="str">
        <f ca="1">IF((INDEX(rngParamTypes,$N912,7)=I912),"",1)</f>
        <v/>
      </c>
      <c r="P912">
        <f ca="1">INDEX(rngParamTypes,$N912,9)</f>
        <v>1</v>
      </c>
      <c r="Q912">
        <f ca="1">INDEX(rngParamTypes,$N912,10)</f>
        <v>0</v>
      </c>
      <c r="R912">
        <f ca="1">INDEX(rngParamTypes,$N912,11)</f>
        <v>-2</v>
      </c>
      <c r="S912">
        <f ca="1">INDEX(rngParamTypes,$N912,12)</f>
        <v>0</v>
      </c>
      <c r="T912">
        <f ca="1">INDEX(rngParamTypes,$N912,13)</f>
        <v>0</v>
      </c>
      <c r="U912">
        <f ca="1">INDEX(rngParamTypes,$N912,14)</f>
        <v>0</v>
      </c>
      <c r="V912">
        <f ca="1">INDEX(rngParamTypes,$N912,15)</f>
        <v>0</v>
      </c>
      <c r="W912">
        <f ca="1">INDEX(rngParamTypes,$N912,16)</f>
        <v>0</v>
      </c>
      <c r="X912">
        <f ca="1">INDEX(rngParamTypes,$N912,17)</f>
        <v>0</v>
      </c>
      <c r="Y912">
        <f ca="1">INDEX(rngParamTypes,$N912,18)</f>
        <v>0</v>
      </c>
    </row>
    <row r="913" spans="1:25" x14ac:dyDescent="0.2">
      <c r="A913" s="16">
        <v>912</v>
      </c>
      <c r="B913" s="37">
        <v>1</v>
      </c>
      <c r="C913" s="16" t="s">
        <v>2428</v>
      </c>
      <c r="D913" s="16" t="s">
        <v>2428</v>
      </c>
      <c r="E913" s="16">
        <v>2</v>
      </c>
      <c r="F913" s="16" t="s">
        <v>4043</v>
      </c>
      <c r="G913" s="16" t="s">
        <v>3270</v>
      </c>
      <c r="H913" s="16" t="s">
        <v>2427</v>
      </c>
      <c r="I913" s="16" t="s">
        <v>416</v>
      </c>
      <c r="J913" s="16">
        <v>0</v>
      </c>
      <c r="K913" s="16">
        <v>1</v>
      </c>
      <c r="L913" s="16">
        <v>1</v>
      </c>
      <c r="M913" s="16">
        <v>0</v>
      </c>
      <c r="N913">
        <f t="array" aca="1" ref="N913" ca="1">MATCH(TRUE,EXACT(I913,OFFSET(rngParamTypes,0,6,,1)),0)</f>
        <v>167</v>
      </c>
      <c r="O913" t="str">
        <f ca="1">IF((INDEX(rngParamTypes,$N913,7)=I913),"",1)</f>
        <v/>
      </c>
      <c r="P913">
        <f ca="1">INDEX(rngParamTypes,$N913,9)</f>
        <v>1</v>
      </c>
      <c r="Q913">
        <f ca="1">INDEX(rngParamTypes,$N913,10)</f>
        <v>-1</v>
      </c>
      <c r="R913">
        <f ca="1">INDEX(rngParamTypes,$N913,11)</f>
        <v>-2</v>
      </c>
      <c r="S913">
        <f ca="1">INDEX(rngParamTypes,$N913,12)</f>
        <v>0</v>
      </c>
      <c r="T913">
        <f ca="1">INDEX(rngParamTypes,$N913,13)</f>
        <v>0</v>
      </c>
      <c r="U913">
        <f ca="1">INDEX(rngParamTypes,$N913,14)</f>
        <v>0</v>
      </c>
      <c r="V913">
        <f ca="1">INDEX(rngParamTypes,$N913,15)</f>
        <v>0</v>
      </c>
      <c r="W913">
        <f ca="1">INDEX(rngParamTypes,$N913,16)</f>
        <v>0</v>
      </c>
      <c r="X913">
        <f ca="1">INDEX(rngParamTypes,$N913,17)</f>
        <v>0</v>
      </c>
      <c r="Y913">
        <f ca="1">INDEX(rngParamTypes,$N913,18)</f>
        <v>0</v>
      </c>
    </row>
    <row r="914" spans="1:25" x14ac:dyDescent="0.2">
      <c r="A914" s="16">
        <v>913</v>
      </c>
      <c r="B914" s="37">
        <v>1</v>
      </c>
      <c r="C914" s="16" t="s">
        <v>2430</v>
      </c>
      <c r="D914" s="16" t="s">
        <v>2430</v>
      </c>
      <c r="E914" s="16">
        <v>2</v>
      </c>
      <c r="F914" s="16" t="s">
        <v>4044</v>
      </c>
      <c r="G914" s="16" t="s">
        <v>3270</v>
      </c>
      <c r="H914" s="16" t="s">
        <v>2429</v>
      </c>
      <c r="I914" s="16" t="s">
        <v>416</v>
      </c>
      <c r="J914" s="16">
        <v>0</v>
      </c>
      <c r="K914" s="16">
        <v>1000000</v>
      </c>
      <c r="L914" s="16">
        <v>1</v>
      </c>
      <c r="M914" s="16">
        <v>0</v>
      </c>
      <c r="N914">
        <f t="array" aca="1" ref="N914" ca="1">MATCH(TRUE,EXACT(I914,OFFSET(rngParamTypes,0,6,,1)),0)</f>
        <v>167</v>
      </c>
      <c r="O914" t="str">
        <f ca="1">IF((INDEX(rngParamTypes,$N914,7)=I914),"",1)</f>
        <v/>
      </c>
      <c r="P914">
        <f ca="1">INDEX(rngParamTypes,$N914,9)</f>
        <v>1</v>
      </c>
      <c r="Q914">
        <f ca="1">INDEX(rngParamTypes,$N914,10)</f>
        <v>-1</v>
      </c>
      <c r="R914">
        <f ca="1">INDEX(rngParamTypes,$N914,11)</f>
        <v>-2</v>
      </c>
      <c r="S914">
        <f ca="1">INDEX(rngParamTypes,$N914,12)</f>
        <v>0</v>
      </c>
      <c r="T914">
        <f ca="1">INDEX(rngParamTypes,$N914,13)</f>
        <v>0</v>
      </c>
      <c r="U914">
        <f ca="1">INDEX(rngParamTypes,$N914,14)</f>
        <v>0</v>
      </c>
      <c r="V914">
        <f ca="1">INDEX(rngParamTypes,$N914,15)</f>
        <v>0</v>
      </c>
      <c r="W914">
        <f ca="1">INDEX(rngParamTypes,$N914,16)</f>
        <v>0</v>
      </c>
      <c r="X914">
        <f ca="1">INDEX(rngParamTypes,$N914,17)</f>
        <v>0</v>
      </c>
      <c r="Y914">
        <f ca="1">INDEX(rngParamTypes,$N914,18)</f>
        <v>0</v>
      </c>
    </row>
    <row r="915" spans="1:25" x14ac:dyDescent="0.2">
      <c r="A915" s="16">
        <v>914</v>
      </c>
      <c r="B915" s="37">
        <v>1</v>
      </c>
      <c r="C915" s="16" t="s">
        <v>2432</v>
      </c>
      <c r="D915" s="16" t="s">
        <v>2432</v>
      </c>
      <c r="E915" s="16">
        <v>2</v>
      </c>
      <c r="F915" s="16" t="s">
        <v>4045</v>
      </c>
      <c r="G915" s="16" t="s">
        <v>3668</v>
      </c>
      <c r="H915" s="16" t="s">
        <v>2431</v>
      </c>
      <c r="I915" s="16" t="s">
        <v>46</v>
      </c>
      <c r="J915" s="16">
        <v>0</v>
      </c>
      <c r="K915" s="16">
        <v>1.0000000000000001E-9</v>
      </c>
      <c r="L915" s="16">
        <v>1</v>
      </c>
      <c r="M915" s="16">
        <v>0</v>
      </c>
      <c r="N915">
        <f t="array" aca="1" ref="N915" ca="1">MATCH(TRUE,EXACT(I915,OFFSET(rngParamTypes,0,6,,1)),0)</f>
        <v>15</v>
      </c>
      <c r="O915" t="str">
        <f ca="1">IF((INDEX(rngParamTypes,$N915,7)=I915),"",1)</f>
        <v/>
      </c>
      <c r="P915">
        <f ca="1">INDEX(rngParamTypes,$N915,9)</f>
        <v>0</v>
      </c>
      <c r="Q915">
        <f ca="1">INDEX(rngParamTypes,$N915,10)</f>
        <v>0</v>
      </c>
      <c r="R915">
        <f ca="1">INDEX(rngParamTypes,$N915,11)</f>
        <v>0</v>
      </c>
      <c r="S915">
        <f ca="1">INDEX(rngParamTypes,$N915,12)</f>
        <v>1</v>
      </c>
      <c r="T915">
        <f ca="1">INDEX(rngParamTypes,$N915,13)</f>
        <v>0</v>
      </c>
      <c r="U915">
        <f ca="1">INDEX(rngParamTypes,$N915,14)</f>
        <v>0</v>
      </c>
      <c r="V915">
        <f ca="1">INDEX(rngParamTypes,$N915,15)</f>
        <v>0</v>
      </c>
      <c r="W915">
        <f ca="1">INDEX(rngParamTypes,$N915,16)</f>
        <v>0</v>
      </c>
      <c r="X915">
        <f ca="1">INDEX(rngParamTypes,$N915,17)</f>
        <v>0</v>
      </c>
      <c r="Y915">
        <f ca="1">INDEX(rngParamTypes,$N915,18)</f>
        <v>0</v>
      </c>
    </row>
    <row r="916" spans="1:25" x14ac:dyDescent="0.2">
      <c r="A916" s="16">
        <v>915</v>
      </c>
      <c r="B916" s="37">
        <v>1</v>
      </c>
      <c r="C916" s="16" t="s">
        <v>2434</v>
      </c>
      <c r="D916" s="16" t="s">
        <v>2434</v>
      </c>
      <c r="E916" s="16">
        <v>2</v>
      </c>
      <c r="F916" s="16" t="s">
        <v>4046</v>
      </c>
      <c r="G916" s="16" t="s">
        <v>3540</v>
      </c>
      <c r="H916" s="16" t="s">
        <v>2433</v>
      </c>
      <c r="I916" s="16" t="s">
        <v>290</v>
      </c>
      <c r="J916" s="16">
        <v>0</v>
      </c>
      <c r="K916" s="16">
        <v>1852</v>
      </c>
      <c r="L916" s="16">
        <v>1</v>
      </c>
      <c r="M916" s="16">
        <v>0</v>
      </c>
      <c r="N916">
        <f t="array" aca="1" ref="N916" ca="1">MATCH(TRUE,EXACT(I916,OFFSET(rngParamTypes,0,6,,1)),0)</f>
        <v>109</v>
      </c>
      <c r="O916" t="str">
        <f ca="1">IF((INDEX(rngParamTypes,$N916,7)=I916),"",1)</f>
        <v/>
      </c>
      <c r="P916">
        <f ca="1">INDEX(rngParamTypes,$N916,9)</f>
        <v>0</v>
      </c>
      <c r="Q916">
        <f ca="1">INDEX(rngParamTypes,$N916,10)</f>
        <v>1</v>
      </c>
      <c r="R916">
        <f ca="1">INDEX(rngParamTypes,$N916,11)</f>
        <v>0</v>
      </c>
      <c r="S916">
        <f ca="1">INDEX(rngParamTypes,$N916,12)</f>
        <v>0</v>
      </c>
      <c r="T916">
        <f ca="1">INDEX(rngParamTypes,$N916,13)</f>
        <v>0</v>
      </c>
      <c r="U916">
        <f ca="1">INDEX(rngParamTypes,$N916,14)</f>
        <v>0</v>
      </c>
      <c r="V916">
        <f ca="1">INDEX(rngParamTypes,$N916,15)</f>
        <v>0</v>
      </c>
      <c r="W916">
        <f ca="1">INDEX(rngParamTypes,$N916,16)</f>
        <v>0</v>
      </c>
      <c r="X916">
        <f ca="1">INDEX(rngParamTypes,$N916,17)</f>
        <v>0</v>
      </c>
      <c r="Y916">
        <f ca="1">INDEX(rngParamTypes,$N916,18)</f>
        <v>0</v>
      </c>
    </row>
    <row r="917" spans="1:25" x14ac:dyDescent="0.2">
      <c r="A917" s="16">
        <v>916</v>
      </c>
      <c r="B917" s="37">
        <v>1</v>
      </c>
      <c r="C917" s="16" t="s">
        <v>2436</v>
      </c>
      <c r="D917" s="16" t="s">
        <v>2436</v>
      </c>
      <c r="E917" s="16"/>
      <c r="F917" s="16" t="s">
        <v>4047</v>
      </c>
      <c r="G917" s="16" t="s">
        <v>3256</v>
      </c>
      <c r="H917" s="16" t="s">
        <v>2435</v>
      </c>
      <c r="I917" s="16" t="s">
        <v>93</v>
      </c>
      <c r="J917" s="16">
        <v>0</v>
      </c>
      <c r="K917" s="16">
        <v>1.0000000000000001E-9</v>
      </c>
      <c r="L917" s="16">
        <v>1</v>
      </c>
      <c r="M917" s="16">
        <v>0</v>
      </c>
      <c r="N917">
        <f t="array" aca="1" ref="N917" ca="1">MATCH(TRUE,EXACT(I917,OFFSET(rngParamTypes,0,6,,1)),0)</f>
        <v>30</v>
      </c>
      <c r="O917" t="str">
        <f ca="1">IF((INDEX(rngParamTypes,$N917,7)=I917),"",1)</f>
        <v/>
      </c>
      <c r="P917">
        <f ca="1">INDEX(rngParamTypes,$N917,9)</f>
        <v>0</v>
      </c>
      <c r="Q917">
        <f ca="1">INDEX(rngParamTypes,$N917,10)</f>
        <v>0</v>
      </c>
      <c r="R917">
        <f ca="1">INDEX(rngParamTypes,$N917,11)</f>
        <v>1</v>
      </c>
      <c r="S917">
        <f ca="1">INDEX(rngParamTypes,$N917,12)</f>
        <v>1</v>
      </c>
      <c r="T917">
        <f ca="1">INDEX(rngParamTypes,$N917,13)</f>
        <v>0</v>
      </c>
      <c r="U917">
        <f ca="1">INDEX(rngParamTypes,$N917,14)</f>
        <v>0</v>
      </c>
      <c r="V917">
        <f ca="1">INDEX(rngParamTypes,$N917,15)</f>
        <v>0</v>
      </c>
      <c r="W917">
        <f ca="1">INDEX(rngParamTypes,$N917,16)</f>
        <v>0</v>
      </c>
      <c r="X917">
        <f ca="1">INDEX(rngParamTypes,$N917,17)</f>
        <v>0</v>
      </c>
      <c r="Y917">
        <f ca="1">INDEX(rngParamTypes,$N917,18)</f>
        <v>0</v>
      </c>
    </row>
    <row r="918" spans="1:25" x14ac:dyDescent="0.2">
      <c r="A918" s="16">
        <v>917</v>
      </c>
      <c r="B918" s="37">
        <v>1</v>
      </c>
      <c r="C918" s="16" t="s">
        <v>2437</v>
      </c>
      <c r="D918" s="16" t="s">
        <v>2437</v>
      </c>
      <c r="E918" s="16"/>
      <c r="F918" s="16" t="s">
        <v>4430</v>
      </c>
      <c r="G918" s="16" t="s">
        <v>80</v>
      </c>
      <c r="H918" s="16"/>
      <c r="I918" s="16" t="s">
        <v>81</v>
      </c>
      <c r="J918" s="16">
        <v>0</v>
      </c>
      <c r="K918" s="16">
        <v>37</v>
      </c>
      <c r="L918" s="16">
        <v>1</v>
      </c>
      <c r="M918" s="16">
        <v>0</v>
      </c>
      <c r="N918">
        <f t="array" aca="1" ref="N918" ca="1">MATCH(TRUE,EXACT(I918,OFFSET(rngParamTypes,0,6,,1)),0)</f>
        <v>27</v>
      </c>
      <c r="O918" t="str">
        <f ca="1">IF((INDEX(rngParamTypes,$N918,7)=I918),"",1)</f>
        <v/>
      </c>
      <c r="P918">
        <f ca="1">INDEX(rngParamTypes,$N918,9)</f>
        <v>0</v>
      </c>
      <c r="Q918">
        <f ca="1">INDEX(rngParamTypes,$N918,10)</f>
        <v>0</v>
      </c>
      <c r="R918">
        <f ca="1">INDEX(rngParamTypes,$N918,11)</f>
        <v>-1</v>
      </c>
      <c r="S918">
        <f ca="1">INDEX(rngParamTypes,$N918,12)</f>
        <v>0</v>
      </c>
      <c r="T918">
        <f ca="1">INDEX(rngParamTypes,$N918,13)</f>
        <v>0</v>
      </c>
      <c r="U918">
        <f ca="1">INDEX(rngParamTypes,$N918,14)</f>
        <v>0</v>
      </c>
      <c r="V918">
        <f ca="1">INDEX(rngParamTypes,$N918,15)</f>
        <v>0</v>
      </c>
      <c r="W918">
        <f ca="1">INDEX(rngParamTypes,$N918,16)</f>
        <v>0</v>
      </c>
      <c r="X918">
        <f ca="1">INDEX(rngParamTypes,$N918,17)</f>
        <v>0</v>
      </c>
      <c r="Y918">
        <f ca="1">INDEX(rngParamTypes,$N918,18)</f>
        <v>0</v>
      </c>
    </row>
    <row r="919" spans="1:25" x14ac:dyDescent="0.2">
      <c r="A919" s="16">
        <v>918</v>
      </c>
      <c r="B919" s="37">
        <v>1</v>
      </c>
      <c r="C919" s="16" t="s">
        <v>2439</v>
      </c>
      <c r="D919" s="16" t="s">
        <v>2439</v>
      </c>
      <c r="E919" s="16"/>
      <c r="F919" s="16" t="s">
        <v>4048</v>
      </c>
      <c r="G919" s="16" t="s">
        <v>80</v>
      </c>
      <c r="H919" s="16" t="s">
        <v>2438</v>
      </c>
      <c r="I919" s="16" t="s">
        <v>81</v>
      </c>
      <c r="J919" s="16">
        <v>0</v>
      </c>
      <c r="K919" s="16">
        <v>37</v>
      </c>
      <c r="L919" s="16">
        <v>1</v>
      </c>
      <c r="M919" s="16">
        <v>0</v>
      </c>
      <c r="N919">
        <f t="array" aca="1" ref="N919" ca="1">MATCH(TRUE,EXACT(I919,OFFSET(rngParamTypes,0,6,,1)),0)</f>
        <v>27</v>
      </c>
      <c r="O919" t="str">
        <f ca="1">IF((INDEX(rngParamTypes,$N919,7)=I919),"",1)</f>
        <v/>
      </c>
      <c r="P919">
        <f ca="1">INDEX(rngParamTypes,$N919,9)</f>
        <v>0</v>
      </c>
      <c r="Q919">
        <f ca="1">INDEX(rngParamTypes,$N919,10)</f>
        <v>0</v>
      </c>
      <c r="R919">
        <f ca="1">INDEX(rngParamTypes,$N919,11)</f>
        <v>-1</v>
      </c>
      <c r="S919">
        <f ca="1">INDEX(rngParamTypes,$N919,12)</f>
        <v>0</v>
      </c>
      <c r="T919">
        <f ca="1">INDEX(rngParamTypes,$N919,13)</f>
        <v>0</v>
      </c>
      <c r="U919">
        <f ca="1">INDEX(rngParamTypes,$N919,14)</f>
        <v>0</v>
      </c>
      <c r="V919">
        <f ca="1">INDEX(rngParamTypes,$N919,15)</f>
        <v>0</v>
      </c>
      <c r="W919">
        <f ca="1">INDEX(rngParamTypes,$N919,16)</f>
        <v>0</v>
      </c>
      <c r="X919">
        <f ca="1">INDEX(rngParamTypes,$N919,17)</f>
        <v>0</v>
      </c>
      <c r="Y919">
        <f ca="1">INDEX(rngParamTypes,$N919,18)</f>
        <v>0</v>
      </c>
    </row>
    <row r="920" spans="1:25" x14ac:dyDescent="0.2">
      <c r="A920" s="16">
        <v>919</v>
      </c>
      <c r="B920" s="37">
        <v>1</v>
      </c>
      <c r="C920" s="16" t="s">
        <v>2441</v>
      </c>
      <c r="D920" s="16" t="s">
        <v>2441</v>
      </c>
      <c r="E920" s="16">
        <v>2</v>
      </c>
      <c r="F920" s="16" t="s">
        <v>4049</v>
      </c>
      <c r="G920" s="16" t="s">
        <v>3367</v>
      </c>
      <c r="H920" s="16" t="s">
        <v>2440</v>
      </c>
      <c r="I920" s="16" t="s">
        <v>131</v>
      </c>
      <c r="J920" s="16">
        <v>0</v>
      </c>
      <c r="K920" s="16">
        <v>1.0000000000000001E-9</v>
      </c>
      <c r="L920" s="16">
        <v>1</v>
      </c>
      <c r="M920" s="16">
        <v>0</v>
      </c>
      <c r="N920">
        <f t="array" aca="1" ref="N920" ca="1">MATCH(TRUE,EXACT(I920,OFFSET(rngParamTypes,0,6,,1)),0)</f>
        <v>42</v>
      </c>
      <c r="O920" t="str">
        <f ca="1">IF((INDEX(rngParamTypes,$N920,7)=I920),"",1)</f>
        <v/>
      </c>
      <c r="P920">
        <f ca="1">INDEX(rngParamTypes,$N920,9)</f>
        <v>0</v>
      </c>
      <c r="Q920">
        <f ca="1">INDEX(rngParamTypes,$N920,10)</f>
        <v>0</v>
      </c>
      <c r="R920">
        <f ca="1">INDEX(rngParamTypes,$N920,11)</f>
        <v>0</v>
      </c>
      <c r="S920">
        <f ca="1">INDEX(rngParamTypes,$N920,12)</f>
        <v>0</v>
      </c>
      <c r="T920">
        <f ca="1">INDEX(rngParamTypes,$N920,13)</f>
        <v>0</v>
      </c>
      <c r="U920">
        <f ca="1">INDEX(rngParamTypes,$N920,14)</f>
        <v>0</v>
      </c>
      <c r="V920">
        <f ca="1">INDEX(rngParamTypes,$N920,15)</f>
        <v>0</v>
      </c>
      <c r="W920">
        <f ca="1">INDEX(rngParamTypes,$N920,16)</f>
        <v>0</v>
      </c>
      <c r="X920">
        <f ca="1">INDEX(rngParamTypes,$N920,17)</f>
        <v>0</v>
      </c>
      <c r="Y920">
        <f ca="1">INDEX(rngParamTypes,$N920,18)</f>
        <v>0</v>
      </c>
    </row>
    <row r="921" spans="1:25" x14ac:dyDescent="0.2">
      <c r="A921" s="16">
        <v>920</v>
      </c>
      <c r="B921" s="37">
        <v>1</v>
      </c>
      <c r="C921" s="16" t="s">
        <v>2443</v>
      </c>
      <c r="D921" s="16" t="s">
        <v>2443</v>
      </c>
      <c r="E921" s="16"/>
      <c r="F921" s="16" t="s">
        <v>4050</v>
      </c>
      <c r="G921" s="16" t="s">
        <v>3929</v>
      </c>
      <c r="H921" s="16" t="s">
        <v>2442</v>
      </c>
      <c r="I921" s="16" t="s">
        <v>154</v>
      </c>
      <c r="J921" s="16">
        <v>0</v>
      </c>
      <c r="K921" s="16">
        <v>1.0000000000000001E-9</v>
      </c>
      <c r="L921" s="16">
        <v>1</v>
      </c>
      <c r="M921" s="16">
        <v>0</v>
      </c>
      <c r="N921">
        <f t="array" aca="1" ref="N921" ca="1">MATCH(TRUE,EXACT(I921,OFFSET(rngParamTypes,0,6,,1)),0)</f>
        <v>52</v>
      </c>
      <c r="O921" t="str">
        <f ca="1">IF((INDEX(rngParamTypes,$N921,7)=I921),"",1)</f>
        <v/>
      </c>
      <c r="P921">
        <f ca="1">INDEX(rngParamTypes,$N921,9)</f>
        <v>0</v>
      </c>
      <c r="Q921">
        <f ca="1">INDEX(rngParamTypes,$N921,10)</f>
        <v>0</v>
      </c>
      <c r="R921">
        <f ca="1">INDEX(rngParamTypes,$N921,11)</f>
        <v>1</v>
      </c>
      <c r="S921">
        <f ca="1">INDEX(rngParamTypes,$N921,12)</f>
        <v>0</v>
      </c>
      <c r="T921">
        <f ca="1">INDEX(rngParamTypes,$N921,13)</f>
        <v>0</v>
      </c>
      <c r="U921">
        <f ca="1">INDEX(rngParamTypes,$N921,14)</f>
        <v>0</v>
      </c>
      <c r="V921">
        <f ca="1">INDEX(rngParamTypes,$N921,15)</f>
        <v>0</v>
      </c>
      <c r="W921">
        <f ca="1">INDEX(rngParamTypes,$N921,16)</f>
        <v>0</v>
      </c>
      <c r="X921">
        <f ca="1">INDEX(rngParamTypes,$N921,17)</f>
        <v>0</v>
      </c>
      <c r="Y921">
        <f ca="1">INDEX(rngParamTypes,$N921,18)</f>
        <v>0</v>
      </c>
    </row>
    <row r="922" spans="1:25" x14ac:dyDescent="0.2">
      <c r="A922" s="16">
        <v>921</v>
      </c>
      <c r="B922" s="37">
        <v>1</v>
      </c>
      <c r="C922" s="16" t="s">
        <v>2445</v>
      </c>
      <c r="D922" s="16" t="s">
        <v>2445</v>
      </c>
      <c r="E922" s="16">
        <v>2</v>
      </c>
      <c r="F922" s="16" t="s">
        <v>4051</v>
      </c>
      <c r="G922" s="16" t="s">
        <v>3267</v>
      </c>
      <c r="H922" s="16" t="s">
        <v>2444</v>
      </c>
      <c r="I922" s="16" t="s">
        <v>168</v>
      </c>
      <c r="J922" s="16">
        <v>0</v>
      </c>
      <c r="K922" s="16">
        <v>1.0000000000000001E-9</v>
      </c>
      <c r="L922" s="16">
        <v>1</v>
      </c>
      <c r="M922" s="16">
        <v>0</v>
      </c>
      <c r="N922">
        <f t="array" aca="1" ref="N922" ca="1">MATCH(TRUE,EXACT(I922,OFFSET(rngParamTypes,0,6,,1)),0)</f>
        <v>56</v>
      </c>
      <c r="O922" t="str">
        <f ca="1">IF((INDEX(rngParamTypes,$N922,7)=I922),"",1)</f>
        <v/>
      </c>
      <c r="P922">
        <f ca="1">INDEX(rngParamTypes,$N922,9)</f>
        <v>1</v>
      </c>
      <c r="Q922">
        <f ca="1">INDEX(rngParamTypes,$N922,10)</f>
        <v>2</v>
      </c>
      <c r="R922">
        <f ca="1">INDEX(rngParamTypes,$N922,11)</f>
        <v>-2</v>
      </c>
      <c r="S922">
        <f ca="1">INDEX(rngParamTypes,$N922,12)</f>
        <v>0</v>
      </c>
      <c r="T922">
        <f ca="1">INDEX(rngParamTypes,$N922,13)</f>
        <v>0</v>
      </c>
      <c r="U922">
        <f ca="1">INDEX(rngParamTypes,$N922,14)</f>
        <v>0</v>
      </c>
      <c r="V922">
        <f ca="1">INDEX(rngParamTypes,$N922,15)</f>
        <v>0</v>
      </c>
      <c r="W922">
        <f ca="1">INDEX(rngParamTypes,$N922,16)</f>
        <v>0</v>
      </c>
      <c r="X922">
        <f ca="1">INDEX(rngParamTypes,$N922,17)</f>
        <v>0</v>
      </c>
      <c r="Y922">
        <f ca="1">INDEX(rngParamTypes,$N922,18)</f>
        <v>0</v>
      </c>
    </row>
    <row r="923" spans="1:25" x14ac:dyDescent="0.2">
      <c r="A923" s="16">
        <v>922</v>
      </c>
      <c r="B923" s="37">
        <v>1</v>
      </c>
      <c r="C923" s="16" t="s">
        <v>2447</v>
      </c>
      <c r="D923" s="16" t="s">
        <v>2447</v>
      </c>
      <c r="E923" s="16">
        <v>2</v>
      </c>
      <c r="F923" s="16" t="s">
        <v>4052</v>
      </c>
      <c r="G923" s="16" t="s">
        <v>4053</v>
      </c>
      <c r="H923" s="16" t="s">
        <v>2446</v>
      </c>
      <c r="I923" s="16" t="s">
        <v>290</v>
      </c>
      <c r="J923" s="16">
        <v>0</v>
      </c>
      <c r="K923" s="16">
        <v>1.0000000000000001E-9</v>
      </c>
      <c r="L923" s="16">
        <v>1</v>
      </c>
      <c r="M923" s="16">
        <v>0</v>
      </c>
      <c r="N923">
        <f t="array" aca="1" ref="N923" ca="1">MATCH(TRUE,EXACT(I923,OFFSET(rngParamTypes,0,6,,1)),0)</f>
        <v>109</v>
      </c>
      <c r="O923" t="str">
        <f ca="1">IF((INDEX(rngParamTypes,$N923,7)=I923),"",1)</f>
        <v/>
      </c>
      <c r="P923">
        <f ca="1">INDEX(rngParamTypes,$N923,9)</f>
        <v>0</v>
      </c>
      <c r="Q923">
        <f ca="1">INDEX(rngParamTypes,$N923,10)</f>
        <v>1</v>
      </c>
      <c r="R923">
        <f ca="1">INDEX(rngParamTypes,$N923,11)</f>
        <v>0</v>
      </c>
      <c r="S923">
        <f ca="1">INDEX(rngParamTypes,$N923,12)</f>
        <v>0</v>
      </c>
      <c r="T923">
        <f ca="1">INDEX(rngParamTypes,$N923,13)</f>
        <v>0</v>
      </c>
      <c r="U923">
        <f ca="1">INDEX(rngParamTypes,$N923,14)</f>
        <v>0</v>
      </c>
      <c r="V923">
        <f ca="1">INDEX(rngParamTypes,$N923,15)</f>
        <v>0</v>
      </c>
      <c r="W923">
        <f ca="1">INDEX(rngParamTypes,$N923,16)</f>
        <v>0</v>
      </c>
      <c r="X923">
        <f ca="1">INDEX(rngParamTypes,$N923,17)</f>
        <v>0</v>
      </c>
      <c r="Y923">
        <f ca="1">INDEX(rngParamTypes,$N923,18)</f>
        <v>0</v>
      </c>
    </row>
    <row r="924" spans="1:25" x14ac:dyDescent="0.2">
      <c r="A924" s="16">
        <v>923</v>
      </c>
      <c r="B924" s="37">
        <v>1</v>
      </c>
      <c r="C924" s="16" t="s">
        <v>2449</v>
      </c>
      <c r="D924" s="16" t="s">
        <v>2449</v>
      </c>
      <c r="E924" s="16">
        <v>2</v>
      </c>
      <c r="F924" s="16" t="s">
        <v>4054</v>
      </c>
      <c r="G924" s="16" t="s">
        <v>296</v>
      </c>
      <c r="H924" s="16" t="s">
        <v>2448</v>
      </c>
      <c r="I924" s="16" t="s">
        <v>297</v>
      </c>
      <c r="J924" s="16">
        <v>0</v>
      </c>
      <c r="K924" s="16">
        <v>1.0000000000000001E-9</v>
      </c>
      <c r="L924" s="16">
        <v>1</v>
      </c>
      <c r="M924" s="16">
        <v>0</v>
      </c>
      <c r="N924">
        <f t="array" aca="1" ref="N924" ca="1">MATCH(TRUE,EXACT(I924,OFFSET(rngParamTypes,0,6,,1)),0)</f>
        <v>123</v>
      </c>
      <c r="O924" t="str">
        <f ca="1">IF((INDEX(rngParamTypes,$N924,7)=I924),"",1)</f>
        <v/>
      </c>
      <c r="P924">
        <f ca="1">INDEX(rngParamTypes,$N924,9)</f>
        <v>0</v>
      </c>
      <c r="Q924">
        <f ca="1">INDEX(rngParamTypes,$N924,10)</f>
        <v>1</v>
      </c>
      <c r="R924">
        <f ca="1">INDEX(rngParamTypes,$N924,11)</f>
        <v>-1</v>
      </c>
      <c r="S924">
        <f ca="1">INDEX(rngParamTypes,$N924,12)</f>
        <v>0</v>
      </c>
      <c r="T924">
        <f ca="1">INDEX(rngParamTypes,$N924,13)</f>
        <v>0</v>
      </c>
      <c r="U924">
        <f ca="1">INDEX(rngParamTypes,$N924,14)</f>
        <v>0</v>
      </c>
      <c r="V924">
        <f ca="1">INDEX(rngParamTypes,$N924,15)</f>
        <v>0</v>
      </c>
      <c r="W924">
        <f ca="1">INDEX(rngParamTypes,$N924,16)</f>
        <v>0</v>
      </c>
      <c r="X924">
        <f ca="1">INDEX(rngParamTypes,$N924,17)</f>
        <v>0</v>
      </c>
      <c r="Y924">
        <f ca="1">INDEX(rngParamTypes,$N924,18)</f>
        <v>0</v>
      </c>
    </row>
    <row r="925" spans="1:25" x14ac:dyDescent="0.2">
      <c r="A925" s="16">
        <v>924</v>
      </c>
      <c r="B925" s="37">
        <v>1</v>
      </c>
      <c r="C925" s="16" t="s">
        <v>2451</v>
      </c>
      <c r="D925" s="16" t="s">
        <v>2451</v>
      </c>
      <c r="E925" s="16"/>
      <c r="F925" s="16" t="s">
        <v>4055</v>
      </c>
      <c r="G925" s="16" t="s">
        <v>3610</v>
      </c>
      <c r="H925" s="16" t="s">
        <v>2450</v>
      </c>
      <c r="I925" s="16" t="s">
        <v>403</v>
      </c>
      <c r="J925" s="16">
        <v>0</v>
      </c>
      <c r="K925" s="16">
        <v>1.0000000000000001E-9</v>
      </c>
      <c r="L925" s="16">
        <v>1</v>
      </c>
      <c r="M925" s="16">
        <v>0</v>
      </c>
      <c r="N925">
        <f t="array" aca="1" ref="N925" ca="1">MATCH(TRUE,EXACT(I925,OFFSET(rngParamTypes,0,6,,1)),0)</f>
        <v>163</v>
      </c>
      <c r="O925" t="str">
        <f ca="1">IF((INDEX(rngParamTypes,$N925,7)=I925),"",1)</f>
        <v/>
      </c>
      <c r="P925">
        <f ca="1">INDEX(rngParamTypes,$N925,9)</f>
        <v>1</v>
      </c>
      <c r="Q925">
        <f ca="1">INDEX(rngParamTypes,$N925,10)</f>
        <v>2</v>
      </c>
      <c r="R925">
        <f ca="1">INDEX(rngParamTypes,$N925,11)</f>
        <v>-3</v>
      </c>
      <c r="S925">
        <f ca="1">INDEX(rngParamTypes,$N925,12)</f>
        <v>-2</v>
      </c>
      <c r="T925">
        <f ca="1">INDEX(rngParamTypes,$N925,13)</f>
        <v>0</v>
      </c>
      <c r="U925">
        <f ca="1">INDEX(rngParamTypes,$N925,14)</f>
        <v>0</v>
      </c>
      <c r="V925">
        <f ca="1">INDEX(rngParamTypes,$N925,15)</f>
        <v>0</v>
      </c>
      <c r="W925">
        <f ca="1">INDEX(rngParamTypes,$N925,16)</f>
        <v>0</v>
      </c>
      <c r="X925">
        <f ca="1">INDEX(rngParamTypes,$N925,17)</f>
        <v>0</v>
      </c>
      <c r="Y925">
        <f ca="1">INDEX(rngParamTypes,$N925,18)</f>
        <v>0</v>
      </c>
    </row>
    <row r="926" spans="1:25" x14ac:dyDescent="0.2">
      <c r="A926" s="16">
        <v>925</v>
      </c>
      <c r="B926" s="37">
        <v>1</v>
      </c>
      <c r="C926" s="16" t="s">
        <v>2453</v>
      </c>
      <c r="D926" s="16" t="s">
        <v>2453</v>
      </c>
      <c r="E926" s="16">
        <v>2</v>
      </c>
      <c r="F926" s="16" t="s">
        <v>4056</v>
      </c>
      <c r="G926" s="16" t="s">
        <v>469</v>
      </c>
      <c r="H926" s="16" t="s">
        <v>2452</v>
      </c>
      <c r="I926" s="16" t="s">
        <v>470</v>
      </c>
      <c r="J926" s="16">
        <v>0</v>
      </c>
      <c r="K926" s="16">
        <v>1.0000000000000001E-9</v>
      </c>
      <c r="L926" s="16">
        <v>1</v>
      </c>
      <c r="M926" s="16">
        <v>0</v>
      </c>
      <c r="N926">
        <f t="array" aca="1" ref="N926" ca="1">MATCH(TRUE,EXACT(I926,OFFSET(rngParamTypes,0,6,,1)),0)</f>
        <v>190</v>
      </c>
      <c r="O926" t="str">
        <f ca="1">IF((INDEX(rngParamTypes,$N926,7)=I926),"",1)</f>
        <v/>
      </c>
      <c r="P926">
        <f ca="1">INDEX(rngParamTypes,$N926,9)</f>
        <v>0</v>
      </c>
      <c r="Q926">
        <f ca="1">INDEX(rngParamTypes,$N926,10)</f>
        <v>0</v>
      </c>
      <c r="R926">
        <f ca="1">INDEX(rngParamTypes,$N926,11)</f>
        <v>1</v>
      </c>
      <c r="S926">
        <f ca="1">INDEX(rngParamTypes,$N926,12)</f>
        <v>0</v>
      </c>
      <c r="T926">
        <f ca="1">INDEX(rngParamTypes,$N926,13)</f>
        <v>0</v>
      </c>
      <c r="U926">
        <f ca="1">INDEX(rngParamTypes,$N926,14)</f>
        <v>0</v>
      </c>
      <c r="V926">
        <f ca="1">INDEX(rngParamTypes,$N926,15)</f>
        <v>0</v>
      </c>
      <c r="W926">
        <f ca="1">INDEX(rngParamTypes,$N926,16)</f>
        <v>0</v>
      </c>
      <c r="X926">
        <f ca="1">INDEX(rngParamTypes,$N926,17)</f>
        <v>0</v>
      </c>
      <c r="Y926">
        <f ca="1">INDEX(rngParamTypes,$N926,18)</f>
        <v>0</v>
      </c>
    </row>
    <row r="927" spans="1:25" x14ac:dyDescent="0.2">
      <c r="A927" s="16">
        <v>926</v>
      </c>
      <c r="B927" s="37">
        <v>1</v>
      </c>
      <c r="C927" s="16" t="s">
        <v>2455</v>
      </c>
      <c r="D927" s="16" t="s">
        <v>2455</v>
      </c>
      <c r="E927" s="16"/>
      <c r="F927" s="16" t="s">
        <v>4057</v>
      </c>
      <c r="G927" s="16" t="s">
        <v>4017</v>
      </c>
      <c r="H927" s="16" t="s">
        <v>2454</v>
      </c>
      <c r="I927" s="16" t="s">
        <v>479</v>
      </c>
      <c r="J927" s="16">
        <v>0</v>
      </c>
      <c r="K927" s="16">
        <v>1.0000000000000001E-9</v>
      </c>
      <c r="L927" s="16">
        <v>0.30480000000000002</v>
      </c>
      <c r="M927" s="16">
        <v>0</v>
      </c>
      <c r="N927">
        <f t="array" aca="1" ref="N927" ca="1">MATCH(TRUE,EXACT(I927,OFFSET(rngParamTypes,0,6,,1)),0)</f>
        <v>192</v>
      </c>
      <c r="O927" t="str">
        <f ca="1">IF((INDEX(rngParamTypes,$N927,7)=I927),"",1)</f>
        <v/>
      </c>
      <c r="P927">
        <f ca="1">INDEX(rngParamTypes,$N927,9)</f>
        <v>0</v>
      </c>
      <c r="Q927">
        <f ca="1">INDEX(rngParamTypes,$N927,10)</f>
        <v>-1</v>
      </c>
      <c r="R927">
        <f ca="1">INDEX(rngParamTypes,$N927,11)</f>
        <v>1</v>
      </c>
      <c r="S927">
        <f ca="1">INDEX(rngParamTypes,$N927,12)</f>
        <v>0</v>
      </c>
      <c r="T927">
        <f ca="1">INDEX(rngParamTypes,$N927,13)</f>
        <v>0</v>
      </c>
      <c r="U927">
        <f ca="1">INDEX(rngParamTypes,$N927,14)</f>
        <v>0</v>
      </c>
      <c r="V927">
        <f ca="1">INDEX(rngParamTypes,$N927,15)</f>
        <v>0</v>
      </c>
      <c r="W927">
        <f ca="1">INDEX(rngParamTypes,$N927,16)</f>
        <v>0</v>
      </c>
      <c r="X927">
        <f ca="1">INDEX(rngParamTypes,$N927,17)</f>
        <v>0</v>
      </c>
      <c r="Y927">
        <f ca="1">INDEX(rngParamTypes,$N927,18)</f>
        <v>0</v>
      </c>
    </row>
    <row r="928" spans="1:25" x14ac:dyDescent="0.2">
      <c r="A928" s="16">
        <v>927</v>
      </c>
      <c r="B928" s="37">
        <v>1</v>
      </c>
      <c r="C928" s="16" t="s">
        <v>2457</v>
      </c>
      <c r="D928" s="16" t="s">
        <v>2457</v>
      </c>
      <c r="E928" s="16"/>
      <c r="F928" s="16" t="s">
        <v>4058</v>
      </c>
      <c r="G928" s="16" t="s">
        <v>4017</v>
      </c>
      <c r="H928" s="16" t="s">
        <v>2456</v>
      </c>
      <c r="I928" s="16" t="s">
        <v>479</v>
      </c>
      <c r="J928" s="16">
        <v>0</v>
      </c>
      <c r="K928" s="16">
        <v>1.0000000000000001E-9</v>
      </c>
      <c r="L928" s="16">
        <v>1</v>
      </c>
      <c r="M928" s="16">
        <v>0</v>
      </c>
      <c r="N928">
        <f t="array" aca="1" ref="N928" ca="1">MATCH(TRUE,EXACT(I928,OFFSET(rngParamTypes,0,6,,1)),0)</f>
        <v>192</v>
      </c>
      <c r="O928" t="str">
        <f ca="1">IF((INDEX(rngParamTypes,$N928,7)=I928),"",1)</f>
        <v/>
      </c>
      <c r="P928">
        <f ca="1">INDEX(rngParamTypes,$N928,9)</f>
        <v>0</v>
      </c>
      <c r="Q928">
        <f ca="1">INDEX(rngParamTypes,$N928,10)</f>
        <v>-1</v>
      </c>
      <c r="R928">
        <f ca="1">INDEX(rngParamTypes,$N928,11)</f>
        <v>1</v>
      </c>
      <c r="S928">
        <f ca="1">INDEX(rngParamTypes,$N928,12)</f>
        <v>0</v>
      </c>
      <c r="T928">
        <f ca="1">INDEX(rngParamTypes,$N928,13)</f>
        <v>0</v>
      </c>
      <c r="U928">
        <f ca="1">INDEX(rngParamTypes,$N928,14)</f>
        <v>0</v>
      </c>
      <c r="V928">
        <f ca="1">INDEX(rngParamTypes,$N928,15)</f>
        <v>0</v>
      </c>
      <c r="W928">
        <f ca="1">INDEX(rngParamTypes,$N928,16)</f>
        <v>0</v>
      </c>
      <c r="X928">
        <f ca="1">INDEX(rngParamTypes,$N928,17)</f>
        <v>0</v>
      </c>
      <c r="Y928">
        <f ca="1">INDEX(rngParamTypes,$N928,18)</f>
        <v>0</v>
      </c>
    </row>
    <row r="929" spans="1:25" x14ac:dyDescent="0.2">
      <c r="A929" s="16">
        <v>928</v>
      </c>
      <c r="B929" s="37">
        <v>1</v>
      </c>
      <c r="C929" s="16" t="s">
        <v>2459</v>
      </c>
      <c r="D929" s="16" t="s">
        <v>2459</v>
      </c>
      <c r="E929" s="16"/>
      <c r="F929" s="16" t="s">
        <v>4059</v>
      </c>
      <c r="G929" s="16" t="s">
        <v>3602</v>
      </c>
      <c r="H929" s="16" t="s">
        <v>2458</v>
      </c>
      <c r="I929" s="16" t="s">
        <v>518</v>
      </c>
      <c r="J929" s="16">
        <v>0</v>
      </c>
      <c r="K929" s="16">
        <v>1.0000000000000001E-9</v>
      </c>
      <c r="L929" s="16">
        <v>1</v>
      </c>
      <c r="M929" s="16">
        <v>0</v>
      </c>
      <c r="N929">
        <f t="array" aca="1" ref="N929" ca="1">MATCH(TRUE,EXACT(I929,OFFSET(rngParamTypes,0,6,,1)),0)</f>
        <v>206</v>
      </c>
      <c r="O929" t="str">
        <f ca="1">IF((INDEX(rngParamTypes,$N929,7)=I929),"",1)</f>
        <v/>
      </c>
      <c r="P929">
        <f ca="1">INDEX(rngParamTypes,$N929,9)</f>
        <v>1</v>
      </c>
      <c r="Q929">
        <f ca="1">INDEX(rngParamTypes,$N929,10)</f>
        <v>0</v>
      </c>
      <c r="R929">
        <f ca="1">INDEX(rngParamTypes,$N929,11)</f>
        <v>-2</v>
      </c>
      <c r="S929">
        <f ca="1">INDEX(rngParamTypes,$N929,12)</f>
        <v>-1</v>
      </c>
      <c r="T929">
        <f ca="1">INDEX(rngParamTypes,$N929,13)</f>
        <v>0</v>
      </c>
      <c r="U929">
        <f ca="1">INDEX(rngParamTypes,$N929,14)</f>
        <v>0</v>
      </c>
      <c r="V929">
        <f ca="1">INDEX(rngParamTypes,$N929,15)</f>
        <v>0</v>
      </c>
      <c r="W929">
        <f ca="1">INDEX(rngParamTypes,$N929,16)</f>
        <v>0</v>
      </c>
      <c r="X929">
        <f ca="1">INDEX(rngParamTypes,$N929,17)</f>
        <v>0</v>
      </c>
      <c r="Y929">
        <f ca="1">INDEX(rngParamTypes,$N929,18)</f>
        <v>0</v>
      </c>
    </row>
    <row r="930" spans="1:25" x14ac:dyDescent="0.2">
      <c r="A930" s="16">
        <v>929</v>
      </c>
      <c r="B930" s="37">
        <v>1</v>
      </c>
      <c r="C930" s="16" t="s">
        <v>2461</v>
      </c>
      <c r="D930" s="16" t="s">
        <v>2461</v>
      </c>
      <c r="E930" s="16">
        <v>2</v>
      </c>
      <c r="F930" s="16" t="s">
        <v>4060</v>
      </c>
      <c r="G930" s="16" t="s">
        <v>3624</v>
      </c>
      <c r="H930" s="16" t="s">
        <v>2460</v>
      </c>
      <c r="I930" s="16" t="s">
        <v>533</v>
      </c>
      <c r="J930" s="16">
        <v>0</v>
      </c>
      <c r="K930" s="16">
        <v>1.0000000000000001E-9</v>
      </c>
      <c r="L930" s="16">
        <v>1</v>
      </c>
      <c r="M930" s="16">
        <v>0</v>
      </c>
      <c r="N930">
        <f t="array" aca="1" ref="N930" ca="1">MATCH(TRUE,EXACT(I930,OFFSET(rngParamTypes,0,6,,1)),0)</f>
        <v>211</v>
      </c>
      <c r="O930" t="str">
        <f ca="1">IF((INDEX(rngParamTypes,$N930,7)=I930),"",1)</f>
        <v/>
      </c>
      <c r="P930">
        <f ca="1">INDEX(rngParamTypes,$N930,9)</f>
        <v>1</v>
      </c>
      <c r="Q930">
        <f ca="1">INDEX(rngParamTypes,$N930,10)</f>
        <v>2</v>
      </c>
      <c r="R930">
        <f ca="1">INDEX(rngParamTypes,$N930,11)</f>
        <v>-3</v>
      </c>
      <c r="S930">
        <f ca="1">INDEX(rngParamTypes,$N930,12)</f>
        <v>0</v>
      </c>
      <c r="T930">
        <f ca="1">INDEX(rngParamTypes,$N930,13)</f>
        <v>0</v>
      </c>
      <c r="U930">
        <f ca="1">INDEX(rngParamTypes,$N930,14)</f>
        <v>0</v>
      </c>
      <c r="V930">
        <f ca="1">INDEX(rngParamTypes,$N930,15)</f>
        <v>0</v>
      </c>
      <c r="W930">
        <f ca="1">INDEX(rngParamTypes,$N930,16)</f>
        <v>0</v>
      </c>
      <c r="X930">
        <f ca="1">INDEX(rngParamTypes,$N930,17)</f>
        <v>0</v>
      </c>
      <c r="Y930">
        <f ca="1">INDEX(rngParamTypes,$N930,18)</f>
        <v>0</v>
      </c>
    </row>
    <row r="931" spans="1:25" x14ac:dyDescent="0.2">
      <c r="A931" s="16">
        <v>930</v>
      </c>
      <c r="B931" s="37">
        <v>1</v>
      </c>
      <c r="C931" s="16" t="s">
        <v>2463</v>
      </c>
      <c r="D931" s="16" t="s">
        <v>2463</v>
      </c>
      <c r="E931" s="16"/>
      <c r="F931" s="16" t="s">
        <v>4061</v>
      </c>
      <c r="G931" s="16" t="s">
        <v>3260</v>
      </c>
      <c r="H931" s="16" t="s">
        <v>2462</v>
      </c>
      <c r="I931" s="16" t="s">
        <v>55</v>
      </c>
      <c r="J931" s="16">
        <v>0</v>
      </c>
      <c r="K931" s="16">
        <v>79.577470000000005</v>
      </c>
      <c r="L931" s="16">
        <v>1</v>
      </c>
      <c r="M931" s="16">
        <v>0</v>
      </c>
      <c r="N931">
        <f t="array" aca="1" ref="N931" ca="1">MATCH(TRUE,EXACT(I931,OFFSET(rngParamTypes,0,6,,1)),0)</f>
        <v>19</v>
      </c>
      <c r="O931" t="str">
        <f ca="1">IF((INDEX(rngParamTypes,$N931,7)=I931),"",1)</f>
        <v/>
      </c>
      <c r="P931">
        <f ca="1">INDEX(rngParamTypes,$N931,9)</f>
        <v>0</v>
      </c>
      <c r="Q931">
        <f ca="1">INDEX(rngParamTypes,$N931,10)</f>
        <v>-1</v>
      </c>
      <c r="R931">
        <f ca="1">INDEX(rngParamTypes,$N931,11)</f>
        <v>0</v>
      </c>
      <c r="S931">
        <f ca="1">INDEX(rngParamTypes,$N931,12)</f>
        <v>1</v>
      </c>
      <c r="T931">
        <f ca="1">INDEX(rngParamTypes,$N931,13)</f>
        <v>0</v>
      </c>
      <c r="U931">
        <f ca="1">INDEX(rngParamTypes,$N931,14)</f>
        <v>0</v>
      </c>
      <c r="V931">
        <f ca="1">INDEX(rngParamTypes,$N931,15)</f>
        <v>0</v>
      </c>
      <c r="W931">
        <f ca="1">INDEX(rngParamTypes,$N931,16)</f>
        <v>0</v>
      </c>
      <c r="X931">
        <f ca="1">INDEX(rngParamTypes,$N931,17)</f>
        <v>0</v>
      </c>
      <c r="Y931">
        <f ca="1">INDEX(rngParamTypes,$N931,18)</f>
        <v>0</v>
      </c>
    </row>
    <row r="932" spans="1:25" x14ac:dyDescent="0.2">
      <c r="A932" s="16">
        <v>931</v>
      </c>
      <c r="B932" s="37">
        <v>1</v>
      </c>
      <c r="C932" s="16" t="s">
        <v>2465</v>
      </c>
      <c r="D932" s="16" t="s">
        <v>2465</v>
      </c>
      <c r="E932" s="16"/>
      <c r="F932" s="16" t="s">
        <v>4062</v>
      </c>
      <c r="G932" s="16" t="s">
        <v>408</v>
      </c>
      <c r="H932" s="16" t="s">
        <v>2464</v>
      </c>
      <c r="I932" s="16" t="s">
        <v>409</v>
      </c>
      <c r="J932" s="16">
        <v>0</v>
      </c>
      <c r="K932" s="16">
        <v>0.01</v>
      </c>
      <c r="L932" s="16">
        <v>1</v>
      </c>
      <c r="M932" s="16">
        <v>0</v>
      </c>
      <c r="N932">
        <f t="array" aca="1" ref="N932" ca="1">MATCH(TRUE,EXACT(I932,OFFSET(rngParamTypes,0,6,,1)),0)</f>
        <v>165</v>
      </c>
      <c r="O932" t="str">
        <f ca="1">IF((INDEX(rngParamTypes,$N932,7)=I932),"",1)</f>
        <v/>
      </c>
      <c r="P932">
        <f ca="1">INDEX(rngParamTypes,$N932,9)</f>
        <v>1</v>
      </c>
      <c r="Q932">
        <f ca="1">INDEX(rngParamTypes,$N932,10)</f>
        <v>3</v>
      </c>
      <c r="R932">
        <f ca="1">INDEX(rngParamTypes,$N932,11)</f>
        <v>-3</v>
      </c>
      <c r="S932">
        <f ca="1">INDEX(rngParamTypes,$N932,12)</f>
        <v>-2</v>
      </c>
      <c r="T932">
        <f ca="1">INDEX(rngParamTypes,$N932,13)</f>
        <v>0</v>
      </c>
      <c r="U932">
        <f ca="1">INDEX(rngParamTypes,$N932,14)</f>
        <v>0</v>
      </c>
      <c r="V932">
        <f ca="1">INDEX(rngParamTypes,$N932,15)</f>
        <v>0</v>
      </c>
      <c r="W932">
        <f ca="1">INDEX(rngParamTypes,$N932,16)</f>
        <v>0</v>
      </c>
      <c r="X932">
        <f ca="1">INDEX(rngParamTypes,$N932,17)</f>
        <v>0</v>
      </c>
      <c r="Y932">
        <f ca="1">INDEX(rngParamTypes,$N932,18)</f>
        <v>0</v>
      </c>
    </row>
    <row r="933" spans="1:25" x14ac:dyDescent="0.2">
      <c r="A933" s="16">
        <v>932</v>
      </c>
      <c r="B933" s="37">
        <v>1</v>
      </c>
      <c r="C933" s="16" t="s">
        <v>2467</v>
      </c>
      <c r="D933" s="16" t="s">
        <v>2467</v>
      </c>
      <c r="E933" s="16">
        <v>2</v>
      </c>
      <c r="F933" s="16" t="s">
        <v>4353</v>
      </c>
      <c r="G933" s="16" t="s">
        <v>220</v>
      </c>
      <c r="H933" s="16" t="s">
        <v>2466</v>
      </c>
      <c r="I933" s="16" t="s">
        <v>221</v>
      </c>
      <c r="J933" s="16">
        <v>0</v>
      </c>
      <c r="K933" s="16">
        <v>2.834952E-2</v>
      </c>
      <c r="L933" s="16">
        <v>1</v>
      </c>
      <c r="M933" s="16">
        <v>0</v>
      </c>
      <c r="N933">
        <f t="array" aca="1" ref="N933" ca="1">MATCH(TRUE,EXACT(I933,OFFSET(rngParamTypes,0,6,,1)),0)</f>
        <v>87</v>
      </c>
      <c r="O933" t="str">
        <f ca="1">IF((INDEX(rngParamTypes,$N933,7)=I933),"",1)</f>
        <v/>
      </c>
      <c r="P933">
        <f ca="1">INDEX(rngParamTypes,$N933,9)</f>
        <v>1</v>
      </c>
      <c r="Q933">
        <f ca="1">INDEX(rngParamTypes,$N933,10)</f>
        <v>0</v>
      </c>
      <c r="R933">
        <f ca="1">INDEX(rngParamTypes,$N933,11)</f>
        <v>0</v>
      </c>
      <c r="S933">
        <f ca="1">INDEX(rngParamTypes,$N933,12)</f>
        <v>0</v>
      </c>
      <c r="T933">
        <f ca="1">INDEX(rngParamTypes,$N933,13)</f>
        <v>0</v>
      </c>
      <c r="U933">
        <f ca="1">INDEX(rngParamTypes,$N933,14)</f>
        <v>0</v>
      </c>
      <c r="V933">
        <f ca="1">INDEX(rngParamTypes,$N933,15)</f>
        <v>0</v>
      </c>
      <c r="W933">
        <f ca="1">INDEX(rngParamTypes,$N933,16)</f>
        <v>0</v>
      </c>
      <c r="X933">
        <f ca="1">INDEX(rngParamTypes,$N933,17)</f>
        <v>0</v>
      </c>
      <c r="Y933">
        <f ca="1">INDEX(rngParamTypes,$N933,18)</f>
        <v>0</v>
      </c>
    </row>
    <row r="934" spans="1:25" x14ac:dyDescent="0.2">
      <c r="A934" s="16">
        <v>933</v>
      </c>
      <c r="B934" s="37">
        <v>1</v>
      </c>
      <c r="C934" s="16" t="s">
        <v>2469</v>
      </c>
      <c r="D934" s="16" t="s">
        <v>2469</v>
      </c>
      <c r="E934" s="16">
        <v>2</v>
      </c>
      <c r="F934" s="16" t="s">
        <v>4354</v>
      </c>
      <c r="G934" s="16" t="s">
        <v>220</v>
      </c>
      <c r="H934" s="16" t="s">
        <v>2468</v>
      </c>
      <c r="I934" s="16" t="s">
        <v>221</v>
      </c>
      <c r="J934" s="16">
        <v>0</v>
      </c>
      <c r="K934" s="16">
        <v>3.1103479999999999E-2</v>
      </c>
      <c r="L934" s="16">
        <v>1</v>
      </c>
      <c r="M934" s="16">
        <v>0</v>
      </c>
      <c r="N934">
        <f t="array" aca="1" ref="N934" ca="1">MATCH(TRUE,EXACT(I934,OFFSET(rngParamTypes,0,6,,1)),0)</f>
        <v>87</v>
      </c>
      <c r="O934" t="str">
        <f ca="1">IF((INDEX(rngParamTypes,$N934,7)=I934),"",1)</f>
        <v/>
      </c>
      <c r="P934">
        <f ca="1">INDEX(rngParamTypes,$N934,9)</f>
        <v>1</v>
      </c>
      <c r="Q934">
        <f ca="1">INDEX(rngParamTypes,$N934,10)</f>
        <v>0</v>
      </c>
      <c r="R934">
        <f ca="1">INDEX(rngParamTypes,$N934,11)</f>
        <v>0</v>
      </c>
      <c r="S934">
        <f ca="1">INDEX(rngParamTypes,$N934,12)</f>
        <v>0</v>
      </c>
      <c r="T934">
        <f ca="1">INDEX(rngParamTypes,$N934,13)</f>
        <v>0</v>
      </c>
      <c r="U934">
        <f ca="1">INDEX(rngParamTypes,$N934,14)</f>
        <v>0</v>
      </c>
      <c r="V934">
        <f ca="1">INDEX(rngParamTypes,$N934,15)</f>
        <v>0</v>
      </c>
      <c r="W934">
        <f ca="1">INDEX(rngParamTypes,$N934,16)</f>
        <v>0</v>
      </c>
      <c r="X934">
        <f ca="1">INDEX(rngParamTypes,$N934,17)</f>
        <v>0</v>
      </c>
      <c r="Y934">
        <f ca="1">INDEX(rngParamTypes,$N934,18)</f>
        <v>0</v>
      </c>
    </row>
    <row r="935" spans="1:25" x14ac:dyDescent="0.2">
      <c r="A935" s="16">
        <v>934</v>
      </c>
      <c r="B935" s="37">
        <v>1</v>
      </c>
      <c r="C935" s="16" t="s">
        <v>2471</v>
      </c>
      <c r="D935" s="16" t="s">
        <v>2471</v>
      </c>
      <c r="E935" s="16">
        <v>2</v>
      </c>
      <c r="F935" s="16" t="s">
        <v>4063</v>
      </c>
      <c r="G935" s="16" t="s">
        <v>378</v>
      </c>
      <c r="H935" s="16" t="s">
        <v>2470</v>
      </c>
      <c r="I935" s="16" t="s">
        <v>379</v>
      </c>
      <c r="J935" s="16">
        <v>0</v>
      </c>
      <c r="K935" s="16">
        <v>4.4482220000000003</v>
      </c>
      <c r="L935" s="16">
        <v>16</v>
      </c>
      <c r="M935" s="16">
        <v>0</v>
      </c>
      <c r="N935">
        <f t="array" aca="1" ref="N935" ca="1">MATCH(TRUE,EXACT(I935,OFFSET(rngParamTypes,0,6,,1)),0)</f>
        <v>154</v>
      </c>
      <c r="O935" t="str">
        <f ca="1">IF((INDEX(rngParamTypes,$N935,7)=I935),"",1)</f>
        <v/>
      </c>
      <c r="P935">
        <f ca="1">INDEX(rngParamTypes,$N935,9)</f>
        <v>1</v>
      </c>
      <c r="Q935">
        <f ca="1">INDEX(rngParamTypes,$N935,10)</f>
        <v>1</v>
      </c>
      <c r="R935">
        <f ca="1">INDEX(rngParamTypes,$N935,11)</f>
        <v>-2</v>
      </c>
      <c r="S935">
        <f ca="1">INDEX(rngParamTypes,$N935,12)</f>
        <v>0</v>
      </c>
      <c r="T935">
        <f ca="1">INDEX(rngParamTypes,$N935,13)</f>
        <v>0</v>
      </c>
      <c r="U935">
        <f ca="1">INDEX(rngParamTypes,$N935,14)</f>
        <v>0</v>
      </c>
      <c r="V935">
        <f ca="1">INDEX(rngParamTypes,$N935,15)</f>
        <v>0</v>
      </c>
      <c r="W935">
        <f ca="1">INDEX(rngParamTypes,$N935,16)</f>
        <v>0</v>
      </c>
      <c r="X935">
        <f ca="1">INDEX(rngParamTypes,$N935,17)</f>
        <v>0</v>
      </c>
      <c r="Y935">
        <f ca="1">INDEX(rngParamTypes,$N935,18)</f>
        <v>0</v>
      </c>
    </row>
    <row r="936" spans="1:25" x14ac:dyDescent="0.2">
      <c r="A936" s="16">
        <v>935</v>
      </c>
      <c r="B936" s="37">
        <v>1</v>
      </c>
      <c r="C936" s="16" t="s">
        <v>2473</v>
      </c>
      <c r="D936" s="16" t="s">
        <v>2473</v>
      </c>
      <c r="E936" s="16">
        <v>2</v>
      </c>
      <c r="F936" s="16" t="s">
        <v>4064</v>
      </c>
      <c r="G936" s="16" t="s">
        <v>220</v>
      </c>
      <c r="H936" s="16" t="s">
        <v>2472</v>
      </c>
      <c r="I936" s="16" t="s">
        <v>221</v>
      </c>
      <c r="J936" s="16">
        <v>0</v>
      </c>
      <c r="K936" s="16">
        <v>0.45359240000000001</v>
      </c>
      <c r="L936" s="16">
        <v>16</v>
      </c>
      <c r="M936" s="16">
        <v>0</v>
      </c>
      <c r="N936">
        <f t="array" aca="1" ref="N936" ca="1">MATCH(TRUE,EXACT(I936,OFFSET(rngParamTypes,0,6,,1)),0)</f>
        <v>87</v>
      </c>
      <c r="O936" t="str">
        <f ca="1">IF((INDEX(rngParamTypes,$N936,7)=I936),"",1)</f>
        <v/>
      </c>
      <c r="P936">
        <f ca="1">INDEX(rngParamTypes,$N936,9)</f>
        <v>1</v>
      </c>
      <c r="Q936">
        <f ca="1">INDEX(rngParamTypes,$N936,10)</f>
        <v>0</v>
      </c>
      <c r="R936">
        <f ca="1">INDEX(rngParamTypes,$N936,11)</f>
        <v>0</v>
      </c>
      <c r="S936">
        <f ca="1">INDEX(rngParamTypes,$N936,12)</f>
        <v>0</v>
      </c>
      <c r="T936">
        <f ca="1">INDEX(rngParamTypes,$N936,13)</f>
        <v>0</v>
      </c>
      <c r="U936">
        <f ca="1">INDEX(rngParamTypes,$N936,14)</f>
        <v>0</v>
      </c>
      <c r="V936">
        <f ca="1">INDEX(rngParamTypes,$N936,15)</f>
        <v>0</v>
      </c>
      <c r="W936">
        <f ca="1">INDEX(rngParamTypes,$N936,16)</f>
        <v>0</v>
      </c>
      <c r="X936">
        <f ca="1">INDEX(rngParamTypes,$N936,17)</f>
        <v>0</v>
      </c>
      <c r="Y936">
        <f ca="1">INDEX(rngParamTypes,$N936,18)</f>
        <v>0</v>
      </c>
    </row>
    <row r="937" spans="1:25" x14ac:dyDescent="0.2">
      <c r="A937" s="16">
        <v>936</v>
      </c>
      <c r="B937" s="37">
        <v>1</v>
      </c>
      <c r="C937" s="16" t="s">
        <v>2475</v>
      </c>
      <c r="D937" s="16" t="s">
        <v>2475</v>
      </c>
      <c r="E937" s="16">
        <v>1</v>
      </c>
      <c r="F937" s="16" t="s">
        <v>4065</v>
      </c>
      <c r="G937" s="16" t="s">
        <v>419</v>
      </c>
      <c r="H937" s="16" t="s">
        <v>2474</v>
      </c>
      <c r="I937" s="16" t="s">
        <v>421</v>
      </c>
      <c r="J937" s="16">
        <v>0</v>
      </c>
      <c r="K937" s="16">
        <v>0.1</v>
      </c>
      <c r="L937" s="16">
        <v>1</v>
      </c>
      <c r="M937" s="16">
        <v>0</v>
      </c>
      <c r="N937">
        <f t="array" aca="1" ref="N937" ca="1">MATCH(TRUE,EXACT(I937,OFFSET(rngParamTypes,0,6,,1)),0)</f>
        <v>169</v>
      </c>
      <c r="O937" t="str">
        <f ca="1">IF((INDEX(rngParamTypes,$N937,7)=I937),"",1)</f>
        <v/>
      </c>
      <c r="P937">
        <f ca="1">INDEX(rngParamTypes,$N937,9)</f>
        <v>1</v>
      </c>
      <c r="Q937">
        <f ca="1">INDEX(rngParamTypes,$N937,10)</f>
        <v>-1</v>
      </c>
      <c r="R937">
        <f ca="1">INDEX(rngParamTypes,$N937,11)</f>
        <v>-1</v>
      </c>
      <c r="S937">
        <f ca="1">INDEX(rngParamTypes,$N937,12)</f>
        <v>0</v>
      </c>
      <c r="T937">
        <f ca="1">INDEX(rngParamTypes,$N937,13)</f>
        <v>0</v>
      </c>
      <c r="U937">
        <f ca="1">INDEX(rngParamTypes,$N937,14)</f>
        <v>0</v>
      </c>
      <c r="V937">
        <f ca="1">INDEX(rngParamTypes,$N937,15)</f>
        <v>0</v>
      </c>
      <c r="W937">
        <f ca="1">INDEX(rngParamTypes,$N937,16)</f>
        <v>0</v>
      </c>
      <c r="X937">
        <f ca="1">INDEX(rngParamTypes,$N937,17)</f>
        <v>0</v>
      </c>
      <c r="Y937">
        <f ca="1">INDEX(rngParamTypes,$N937,18)</f>
        <v>0</v>
      </c>
    </row>
    <row r="938" spans="1:25" x14ac:dyDescent="0.2">
      <c r="A938" s="16">
        <v>937</v>
      </c>
      <c r="B938" s="37">
        <v>1</v>
      </c>
      <c r="C938" s="16" t="s">
        <v>2477</v>
      </c>
      <c r="D938" s="16" t="s">
        <v>2477</v>
      </c>
      <c r="E938" s="16">
        <v>2</v>
      </c>
      <c r="F938" s="16" t="s">
        <v>4066</v>
      </c>
      <c r="G938" s="16" t="s">
        <v>3668</v>
      </c>
      <c r="H938" s="16" t="s">
        <v>2476</v>
      </c>
      <c r="I938" s="16" t="s">
        <v>46</v>
      </c>
      <c r="J938" s="16">
        <v>0</v>
      </c>
      <c r="K938" s="16">
        <v>9.9999999999999998E-13</v>
      </c>
      <c r="L938" s="16">
        <v>1</v>
      </c>
      <c r="M938" s="16">
        <v>0</v>
      </c>
      <c r="N938">
        <f t="array" aca="1" ref="N938" ca="1">MATCH(TRUE,EXACT(I938,OFFSET(rngParamTypes,0,6,,1)),0)</f>
        <v>15</v>
      </c>
      <c r="O938" t="str">
        <f ca="1">IF((INDEX(rngParamTypes,$N938,7)=I938),"",1)</f>
        <v/>
      </c>
      <c r="P938">
        <f ca="1">INDEX(rngParamTypes,$N938,9)</f>
        <v>0</v>
      </c>
      <c r="Q938">
        <f ca="1">INDEX(rngParamTypes,$N938,10)</f>
        <v>0</v>
      </c>
      <c r="R938">
        <f ca="1">INDEX(rngParamTypes,$N938,11)</f>
        <v>0</v>
      </c>
      <c r="S938">
        <f ca="1">INDEX(rngParamTypes,$N938,12)</f>
        <v>1</v>
      </c>
      <c r="T938">
        <f ca="1">INDEX(rngParamTypes,$N938,13)</f>
        <v>0</v>
      </c>
      <c r="U938">
        <f ca="1">INDEX(rngParamTypes,$N938,14)</f>
        <v>0</v>
      </c>
      <c r="V938">
        <f ca="1">INDEX(rngParamTypes,$N938,15)</f>
        <v>0</v>
      </c>
      <c r="W938">
        <f ca="1">INDEX(rngParamTypes,$N938,16)</f>
        <v>0</v>
      </c>
      <c r="X938">
        <f ca="1">INDEX(rngParamTypes,$N938,17)</f>
        <v>0</v>
      </c>
      <c r="Y938">
        <f ca="1">INDEX(rngParamTypes,$N938,18)</f>
        <v>0</v>
      </c>
    </row>
    <row r="939" spans="1:25" x14ac:dyDescent="0.2">
      <c r="A939" s="16">
        <v>938</v>
      </c>
      <c r="B939" s="37">
        <v>1</v>
      </c>
      <c r="C939" s="16" t="s">
        <v>2479</v>
      </c>
      <c r="D939" s="16" t="s">
        <v>2479</v>
      </c>
      <c r="E939" s="16"/>
      <c r="F939" s="16" t="s">
        <v>4067</v>
      </c>
      <c r="G939" s="16" t="s">
        <v>254</v>
      </c>
      <c r="H939" s="16" t="s">
        <v>2478</v>
      </c>
      <c r="I939" s="16" t="s">
        <v>255</v>
      </c>
      <c r="J939" s="16">
        <v>0</v>
      </c>
      <c r="K939" s="16">
        <v>1</v>
      </c>
      <c r="L939" s="16">
        <v>1</v>
      </c>
      <c r="M939" s="16">
        <v>0</v>
      </c>
      <c r="N939">
        <f t="array" aca="1" ref="N939" ca="1">MATCH(TRUE,EXACT(I939,OFFSET(rngParamTypes,0,6,,1)),0)</f>
        <v>102</v>
      </c>
      <c r="O939" t="str">
        <f ca="1">IF((INDEX(rngParamTypes,$N939,7)=I939),"",1)</f>
        <v/>
      </c>
      <c r="P939">
        <f ca="1">INDEX(rngParamTypes,$N939,9)</f>
        <v>1</v>
      </c>
      <c r="Q939">
        <f ca="1">INDEX(rngParamTypes,$N939,10)</f>
        <v>-4</v>
      </c>
      <c r="R939">
        <f ca="1">INDEX(rngParamTypes,$N939,11)</f>
        <v>0</v>
      </c>
      <c r="S939">
        <f ca="1">INDEX(rngParamTypes,$N939,12)</f>
        <v>0</v>
      </c>
      <c r="T939">
        <f ca="1">INDEX(rngParamTypes,$N939,13)</f>
        <v>0</v>
      </c>
      <c r="U939">
        <f ca="1">INDEX(rngParamTypes,$N939,14)</f>
        <v>0</v>
      </c>
      <c r="V939">
        <f ca="1">INDEX(rngParamTypes,$N939,15)</f>
        <v>0</v>
      </c>
      <c r="W939">
        <f ca="1">INDEX(rngParamTypes,$N939,16)</f>
        <v>0</v>
      </c>
      <c r="X939">
        <f ca="1">INDEX(rngParamTypes,$N939,17)</f>
        <v>0</v>
      </c>
      <c r="Y939">
        <f ca="1">INDEX(rngParamTypes,$N939,18)</f>
        <v>0</v>
      </c>
    </row>
    <row r="940" spans="1:25" x14ac:dyDescent="0.2">
      <c r="A940" s="16">
        <v>939</v>
      </c>
      <c r="B940" s="37">
        <v>1</v>
      </c>
      <c r="C940" s="16" t="s">
        <v>2481</v>
      </c>
      <c r="D940" s="16" t="s">
        <v>2481</v>
      </c>
      <c r="E940" s="16">
        <v>2</v>
      </c>
      <c r="F940" s="16" t="s">
        <v>4355</v>
      </c>
      <c r="G940" s="16" t="s">
        <v>3270</v>
      </c>
      <c r="H940" s="16" t="s">
        <v>2480</v>
      </c>
      <c r="I940" s="16" t="s">
        <v>416</v>
      </c>
      <c r="J940" s="16">
        <v>101325</v>
      </c>
      <c r="K940" s="16">
        <v>1</v>
      </c>
      <c r="L940" s="16">
        <v>1</v>
      </c>
      <c r="M940" s="16">
        <v>0</v>
      </c>
      <c r="N940">
        <f t="array" aca="1" ref="N940" ca="1">MATCH(TRUE,EXACT(I940,OFFSET(rngParamTypes,0,6,,1)),0)</f>
        <v>167</v>
      </c>
      <c r="O940" t="str">
        <f ca="1">IF((INDEX(rngParamTypes,$N940,7)=I940),"",1)</f>
        <v/>
      </c>
      <c r="P940">
        <f ca="1">INDEX(rngParamTypes,$N940,9)</f>
        <v>1</v>
      </c>
      <c r="Q940">
        <f ca="1">INDEX(rngParamTypes,$N940,10)</f>
        <v>-1</v>
      </c>
      <c r="R940">
        <f ca="1">INDEX(rngParamTypes,$N940,11)</f>
        <v>-2</v>
      </c>
      <c r="S940">
        <f ca="1">INDEX(rngParamTypes,$N940,12)</f>
        <v>0</v>
      </c>
      <c r="T940">
        <f ca="1">INDEX(rngParamTypes,$N940,13)</f>
        <v>0</v>
      </c>
      <c r="U940">
        <f ca="1">INDEX(rngParamTypes,$N940,14)</f>
        <v>0</v>
      </c>
      <c r="V940">
        <f ca="1">INDEX(rngParamTypes,$N940,15)</f>
        <v>0</v>
      </c>
      <c r="W940">
        <f ca="1">INDEX(rngParamTypes,$N940,16)</f>
        <v>0</v>
      </c>
      <c r="X940">
        <f ca="1">INDEX(rngParamTypes,$N940,17)</f>
        <v>0</v>
      </c>
      <c r="Y940">
        <f ca="1">INDEX(rngParamTypes,$N940,18)</f>
        <v>0</v>
      </c>
    </row>
    <row r="941" spans="1:25" x14ac:dyDescent="0.2">
      <c r="A941" s="16">
        <v>940</v>
      </c>
      <c r="B941" s="37">
        <v>1</v>
      </c>
      <c r="C941" s="16" t="s">
        <v>2483</v>
      </c>
      <c r="D941" s="16" t="s">
        <v>2483</v>
      </c>
      <c r="E941" s="16"/>
      <c r="F941" s="16" t="s">
        <v>4068</v>
      </c>
      <c r="G941" s="16" t="s">
        <v>435</v>
      </c>
      <c r="H941" s="16" t="s">
        <v>2482</v>
      </c>
      <c r="I941" s="16" t="s">
        <v>436</v>
      </c>
      <c r="J941" s="16">
        <v>0</v>
      </c>
      <c r="K941" s="16">
        <v>1</v>
      </c>
      <c r="L941" s="16">
        <v>3600</v>
      </c>
      <c r="M941" s="16">
        <v>0</v>
      </c>
      <c r="N941">
        <f t="array" aca="1" ref="N941" ca="1">MATCH(TRUE,EXACT(I941,OFFSET(rngParamTypes,0,6,,1)),0)</f>
        <v>175</v>
      </c>
      <c r="O941" t="str">
        <f ca="1">IF((INDEX(rngParamTypes,$N941,7)=I941),"",1)</f>
        <v/>
      </c>
      <c r="P941">
        <f ca="1">INDEX(rngParamTypes,$N941,9)</f>
        <v>1</v>
      </c>
      <c r="Q941">
        <f ca="1">INDEX(rngParamTypes,$N941,10)</f>
        <v>-1</v>
      </c>
      <c r="R941">
        <f ca="1">INDEX(rngParamTypes,$N941,11)</f>
        <v>-3</v>
      </c>
      <c r="S941">
        <f ca="1">INDEX(rngParamTypes,$N941,12)</f>
        <v>0</v>
      </c>
      <c r="T941">
        <f ca="1">INDEX(rngParamTypes,$N941,13)</f>
        <v>0</v>
      </c>
      <c r="U941">
        <f ca="1">INDEX(rngParamTypes,$N941,14)</f>
        <v>0</v>
      </c>
      <c r="V941">
        <f ca="1">INDEX(rngParamTypes,$N941,15)</f>
        <v>0</v>
      </c>
      <c r="W941">
        <f ca="1">INDEX(rngParamTypes,$N941,16)</f>
        <v>0</v>
      </c>
      <c r="X941">
        <f ca="1">INDEX(rngParamTypes,$N941,17)</f>
        <v>0</v>
      </c>
      <c r="Y941">
        <f ca="1">INDEX(rngParamTypes,$N941,18)</f>
        <v>0</v>
      </c>
    </row>
    <row r="942" spans="1:25" x14ac:dyDescent="0.2">
      <c r="A942" s="16">
        <v>941</v>
      </c>
      <c r="B942" s="37">
        <v>1</v>
      </c>
      <c r="C942" s="16" t="s">
        <v>2485</v>
      </c>
      <c r="D942" s="16" t="s">
        <v>2485</v>
      </c>
      <c r="E942" s="16"/>
      <c r="F942" s="16" t="s">
        <v>4069</v>
      </c>
      <c r="G942" s="16" t="s">
        <v>3256</v>
      </c>
      <c r="H942" s="16" t="s">
        <v>2484</v>
      </c>
      <c r="I942" s="16" t="s">
        <v>93</v>
      </c>
      <c r="J942" s="16">
        <v>0</v>
      </c>
      <c r="K942" s="16">
        <v>9.9999999999999998E-13</v>
      </c>
      <c r="L942" s="16">
        <v>1</v>
      </c>
      <c r="M942" s="16">
        <v>0</v>
      </c>
      <c r="N942">
        <f t="array" aca="1" ref="N942" ca="1">MATCH(TRUE,EXACT(I942,OFFSET(rngParamTypes,0,6,,1)),0)</f>
        <v>30</v>
      </c>
      <c r="O942" t="str">
        <f ca="1">IF((INDEX(rngParamTypes,$N942,7)=I942),"",1)</f>
        <v/>
      </c>
      <c r="P942">
        <f ca="1">INDEX(rngParamTypes,$N942,9)</f>
        <v>0</v>
      </c>
      <c r="Q942">
        <f ca="1">INDEX(rngParamTypes,$N942,10)</f>
        <v>0</v>
      </c>
      <c r="R942">
        <f ca="1">INDEX(rngParamTypes,$N942,11)</f>
        <v>1</v>
      </c>
      <c r="S942">
        <f ca="1">INDEX(rngParamTypes,$N942,12)</f>
        <v>1</v>
      </c>
      <c r="T942">
        <f ca="1">INDEX(rngParamTypes,$N942,13)</f>
        <v>0</v>
      </c>
      <c r="U942">
        <f ca="1">INDEX(rngParamTypes,$N942,14)</f>
        <v>0</v>
      </c>
      <c r="V942">
        <f ca="1">INDEX(rngParamTypes,$N942,15)</f>
        <v>0</v>
      </c>
      <c r="W942">
        <f ca="1">INDEX(rngParamTypes,$N942,16)</f>
        <v>0</v>
      </c>
      <c r="X942">
        <f ca="1">INDEX(rngParamTypes,$N942,17)</f>
        <v>0</v>
      </c>
      <c r="Y942">
        <f ca="1">INDEX(rngParamTypes,$N942,18)</f>
        <v>0</v>
      </c>
    </row>
    <row r="943" spans="1:25" x14ac:dyDescent="0.2">
      <c r="A943" s="16">
        <v>942</v>
      </c>
      <c r="B943" s="37">
        <v>1</v>
      </c>
      <c r="C943" s="16" t="s">
        <v>2486</v>
      </c>
      <c r="D943" s="16" t="s">
        <v>2486</v>
      </c>
      <c r="E943" s="16"/>
      <c r="F943" s="16" t="s">
        <v>4431</v>
      </c>
      <c r="G943" s="16" t="s">
        <v>80</v>
      </c>
      <c r="H943" s="16"/>
      <c r="I943" s="16" t="s">
        <v>81</v>
      </c>
      <c r="J943" s="16">
        <v>0</v>
      </c>
      <c r="K943" s="16">
        <v>3.6999999999999998E-2</v>
      </c>
      <c r="L943" s="16">
        <v>1</v>
      </c>
      <c r="M943" s="16">
        <v>0</v>
      </c>
      <c r="N943">
        <f t="array" aca="1" ref="N943" ca="1">MATCH(TRUE,EXACT(I943,OFFSET(rngParamTypes,0,6,,1)),0)</f>
        <v>27</v>
      </c>
      <c r="O943" t="str">
        <f ca="1">IF((INDEX(rngParamTypes,$N943,7)=I943),"",1)</f>
        <v/>
      </c>
      <c r="P943">
        <f ca="1">INDEX(rngParamTypes,$N943,9)</f>
        <v>0</v>
      </c>
      <c r="Q943">
        <f ca="1">INDEX(rngParamTypes,$N943,10)</f>
        <v>0</v>
      </c>
      <c r="R943">
        <f ca="1">INDEX(rngParamTypes,$N943,11)</f>
        <v>-1</v>
      </c>
      <c r="S943">
        <f ca="1">INDEX(rngParamTypes,$N943,12)</f>
        <v>0</v>
      </c>
      <c r="T943">
        <f ca="1">INDEX(rngParamTypes,$N943,13)</f>
        <v>0</v>
      </c>
      <c r="U943">
        <f ca="1">INDEX(rngParamTypes,$N943,14)</f>
        <v>0</v>
      </c>
      <c r="V943">
        <f ca="1">INDEX(rngParamTypes,$N943,15)</f>
        <v>0</v>
      </c>
      <c r="W943">
        <f ca="1">INDEX(rngParamTypes,$N943,16)</f>
        <v>0</v>
      </c>
      <c r="X943">
        <f ca="1">INDEX(rngParamTypes,$N943,17)</f>
        <v>0</v>
      </c>
      <c r="Y943">
        <f ca="1">INDEX(rngParamTypes,$N943,18)</f>
        <v>0</v>
      </c>
    </row>
    <row r="944" spans="1:25" x14ac:dyDescent="0.2">
      <c r="A944" s="16">
        <v>943</v>
      </c>
      <c r="B944" s="37">
        <v>1</v>
      </c>
      <c r="C944" s="16" t="s">
        <v>2488</v>
      </c>
      <c r="D944" s="16" t="s">
        <v>2488</v>
      </c>
      <c r="E944" s="16"/>
      <c r="F944" s="16" t="s">
        <v>4070</v>
      </c>
      <c r="G944" s="16" t="s">
        <v>84</v>
      </c>
      <c r="H944" s="16" t="s">
        <v>2487</v>
      </c>
      <c r="I944" s="16" t="s">
        <v>85</v>
      </c>
      <c r="J944" s="16">
        <v>0</v>
      </c>
      <c r="K944" s="16">
        <v>37</v>
      </c>
      <c r="L944" s="16">
        <v>1</v>
      </c>
      <c r="M944" s="16">
        <v>0</v>
      </c>
      <c r="N944">
        <f t="array" aca="1" ref="N944" ca="1">MATCH(TRUE,EXACT(I944,OFFSET(rngParamTypes,0,6,,1)),0)</f>
        <v>28</v>
      </c>
      <c r="O944" t="str">
        <f ca="1">IF((INDEX(rngParamTypes,$N944,7)=I944),"",1)</f>
        <v/>
      </c>
      <c r="P944">
        <f ca="1">INDEX(rngParamTypes,$N944,9)</f>
        <v>-1</v>
      </c>
      <c r="Q944">
        <f ca="1">INDEX(rngParamTypes,$N944,10)</f>
        <v>0</v>
      </c>
      <c r="R944">
        <f ca="1">INDEX(rngParamTypes,$N944,11)</f>
        <v>-1</v>
      </c>
      <c r="S944">
        <f ca="1">INDEX(rngParamTypes,$N944,12)</f>
        <v>0</v>
      </c>
      <c r="T944">
        <f ca="1">INDEX(rngParamTypes,$N944,13)</f>
        <v>0</v>
      </c>
      <c r="U944">
        <f ca="1">INDEX(rngParamTypes,$N944,14)</f>
        <v>0</v>
      </c>
      <c r="V944">
        <f ca="1">INDEX(rngParamTypes,$N944,15)</f>
        <v>0</v>
      </c>
      <c r="W944">
        <f ca="1">INDEX(rngParamTypes,$N944,16)</f>
        <v>0</v>
      </c>
      <c r="X944">
        <f ca="1">INDEX(rngParamTypes,$N944,17)</f>
        <v>0</v>
      </c>
      <c r="Y944">
        <f ca="1">INDEX(rngParamTypes,$N944,18)</f>
        <v>0</v>
      </c>
    </row>
    <row r="945" spans="1:25" x14ac:dyDescent="0.2">
      <c r="A945" s="16">
        <v>944</v>
      </c>
      <c r="B945" s="37">
        <v>1</v>
      </c>
      <c r="C945" s="16" t="s">
        <v>2490</v>
      </c>
      <c r="D945" s="16" t="s">
        <v>2490</v>
      </c>
      <c r="E945" s="16"/>
      <c r="F945" s="16" t="s">
        <v>4071</v>
      </c>
      <c r="G945" s="16" t="s">
        <v>80</v>
      </c>
      <c r="H945" s="16" t="s">
        <v>2489</v>
      </c>
      <c r="I945" s="16" t="s">
        <v>81</v>
      </c>
      <c r="J945" s="16">
        <v>0</v>
      </c>
      <c r="K945" s="16">
        <v>3.6999999999999998E-2</v>
      </c>
      <c r="L945" s="16">
        <v>1</v>
      </c>
      <c r="M945" s="16">
        <v>0</v>
      </c>
      <c r="N945">
        <f t="array" aca="1" ref="N945" ca="1">MATCH(TRUE,EXACT(I945,OFFSET(rngParamTypes,0,6,,1)),0)</f>
        <v>27</v>
      </c>
      <c r="O945" t="str">
        <f ca="1">IF((INDEX(rngParamTypes,$N945,7)=I945),"",1)</f>
        <v/>
      </c>
      <c r="P945">
        <f ca="1">INDEX(rngParamTypes,$N945,9)</f>
        <v>0</v>
      </c>
      <c r="Q945">
        <f ca="1">INDEX(rngParamTypes,$N945,10)</f>
        <v>0</v>
      </c>
      <c r="R945">
        <f ca="1">INDEX(rngParamTypes,$N945,11)</f>
        <v>-1</v>
      </c>
      <c r="S945">
        <f ca="1">INDEX(rngParamTypes,$N945,12)</f>
        <v>0</v>
      </c>
      <c r="T945">
        <f ca="1">INDEX(rngParamTypes,$N945,13)</f>
        <v>0</v>
      </c>
      <c r="U945">
        <f ca="1">INDEX(rngParamTypes,$N945,14)</f>
        <v>0</v>
      </c>
      <c r="V945">
        <f ca="1">INDEX(rngParamTypes,$N945,15)</f>
        <v>0</v>
      </c>
      <c r="W945">
        <f ca="1">INDEX(rngParamTypes,$N945,16)</f>
        <v>0</v>
      </c>
      <c r="X945">
        <f ca="1">INDEX(rngParamTypes,$N945,17)</f>
        <v>0</v>
      </c>
      <c r="Y945">
        <f ca="1">INDEX(rngParamTypes,$N945,18)</f>
        <v>0</v>
      </c>
    </row>
    <row r="946" spans="1:25" x14ac:dyDescent="0.2">
      <c r="A946" s="16">
        <v>945</v>
      </c>
      <c r="B946" s="37">
        <v>1</v>
      </c>
      <c r="C946" s="16" t="s">
        <v>2492</v>
      </c>
      <c r="D946" s="16" t="s">
        <v>2492</v>
      </c>
      <c r="E946" s="16">
        <v>2</v>
      </c>
      <c r="F946" s="16" t="s">
        <v>4072</v>
      </c>
      <c r="G946" s="16" t="s">
        <v>378</v>
      </c>
      <c r="H946" s="16" t="s">
        <v>2491</v>
      </c>
      <c r="I946" s="16" t="s">
        <v>379</v>
      </c>
      <c r="J946" s="16">
        <v>0</v>
      </c>
      <c r="K946" s="16">
        <v>0.13825499999999999</v>
      </c>
      <c r="L946" s="16">
        <v>1</v>
      </c>
      <c r="M946" s="16">
        <v>0</v>
      </c>
      <c r="N946">
        <f t="array" aca="1" ref="N946" ca="1">MATCH(TRUE,EXACT(I946,OFFSET(rngParamTypes,0,6,,1)),0)</f>
        <v>154</v>
      </c>
      <c r="O946" t="str">
        <f ca="1">IF((INDEX(rngParamTypes,$N946,7)=I946),"",1)</f>
        <v/>
      </c>
      <c r="P946">
        <f ca="1">INDEX(rngParamTypes,$N946,9)</f>
        <v>1</v>
      </c>
      <c r="Q946">
        <f ca="1">INDEX(rngParamTypes,$N946,10)</f>
        <v>1</v>
      </c>
      <c r="R946">
        <f ca="1">INDEX(rngParamTypes,$N946,11)</f>
        <v>-2</v>
      </c>
      <c r="S946">
        <f ca="1">INDEX(rngParamTypes,$N946,12)</f>
        <v>0</v>
      </c>
      <c r="T946">
        <f ca="1">INDEX(rngParamTypes,$N946,13)</f>
        <v>0</v>
      </c>
      <c r="U946">
        <f ca="1">INDEX(rngParamTypes,$N946,14)</f>
        <v>0</v>
      </c>
      <c r="V946">
        <f ca="1">INDEX(rngParamTypes,$N946,15)</f>
        <v>0</v>
      </c>
      <c r="W946">
        <f ca="1">INDEX(rngParamTypes,$N946,16)</f>
        <v>0</v>
      </c>
      <c r="X946">
        <f ca="1">INDEX(rngParamTypes,$N946,17)</f>
        <v>0</v>
      </c>
      <c r="Y946">
        <f ca="1">INDEX(rngParamTypes,$N946,18)</f>
        <v>0</v>
      </c>
    </row>
    <row r="947" spans="1:25" x14ac:dyDescent="0.2">
      <c r="A947" s="16">
        <v>946</v>
      </c>
      <c r="B947" s="37">
        <v>1</v>
      </c>
      <c r="C947" s="16" t="s">
        <v>2494</v>
      </c>
      <c r="D947" s="16" t="s">
        <v>2494</v>
      </c>
      <c r="E947" s="16"/>
      <c r="F947" s="16" t="s">
        <v>4073</v>
      </c>
      <c r="G947" s="16" t="s">
        <v>382</v>
      </c>
      <c r="H947" s="16" t="s">
        <v>2493</v>
      </c>
      <c r="I947" s="16" t="s">
        <v>383</v>
      </c>
      <c r="J947" s="16">
        <v>0</v>
      </c>
      <c r="K947" s="16">
        <v>1.38255E-5</v>
      </c>
      <c r="L947" s="16">
        <v>1</v>
      </c>
      <c r="M947" s="16">
        <v>0</v>
      </c>
      <c r="N947">
        <f t="array" aca="1" ref="N947" ca="1">MATCH(TRUE,EXACT(I947,OFFSET(rngParamTypes,0,6,,1)),0)</f>
        <v>155</v>
      </c>
      <c r="O947" t="str">
        <f ca="1">IF((INDEX(rngParamTypes,$N947,7)=I947),"",1)</f>
        <v/>
      </c>
      <c r="P947">
        <f ca="1">INDEX(rngParamTypes,$N947,9)</f>
        <v>1</v>
      </c>
      <c r="Q947">
        <f ca="1">INDEX(rngParamTypes,$N947,10)</f>
        <v>3</v>
      </c>
      <c r="R947">
        <f ca="1">INDEX(rngParamTypes,$N947,11)</f>
        <v>-2</v>
      </c>
      <c r="S947">
        <f ca="1">INDEX(rngParamTypes,$N947,12)</f>
        <v>0</v>
      </c>
      <c r="T947">
        <f ca="1">INDEX(rngParamTypes,$N947,13)</f>
        <v>0</v>
      </c>
      <c r="U947">
        <f ca="1">INDEX(rngParamTypes,$N947,14)</f>
        <v>0</v>
      </c>
      <c r="V947">
        <f ca="1">INDEX(rngParamTypes,$N947,15)</f>
        <v>0</v>
      </c>
      <c r="W947">
        <f ca="1">INDEX(rngParamTypes,$N947,16)</f>
        <v>0</v>
      </c>
      <c r="X947">
        <f ca="1">INDEX(rngParamTypes,$N947,17)</f>
        <v>0</v>
      </c>
      <c r="Y947">
        <f ca="1">INDEX(rngParamTypes,$N947,18)</f>
        <v>0</v>
      </c>
    </row>
    <row r="948" spans="1:25" x14ac:dyDescent="0.2">
      <c r="A948" s="16">
        <v>947</v>
      </c>
      <c r="B948" s="37">
        <v>1</v>
      </c>
      <c r="C948" s="16" t="s">
        <v>2496</v>
      </c>
      <c r="D948" s="16" t="s">
        <v>2496</v>
      </c>
      <c r="E948" s="16"/>
      <c r="F948" s="16" t="s">
        <v>4074</v>
      </c>
      <c r="G948" s="16" t="s">
        <v>3417</v>
      </c>
      <c r="H948" s="16" t="s">
        <v>2495</v>
      </c>
      <c r="I948" s="16" t="s">
        <v>168</v>
      </c>
      <c r="J948" s="16">
        <v>0</v>
      </c>
      <c r="K948" s="16">
        <v>4.2140120000000003E-2</v>
      </c>
      <c r="L948" s="16">
        <v>1</v>
      </c>
      <c r="M948" s="16">
        <v>0</v>
      </c>
      <c r="N948">
        <f t="array" aca="1" ref="N948" ca="1">MATCH(TRUE,EXACT(I948,OFFSET(rngParamTypes,0,6,,1)),0)</f>
        <v>56</v>
      </c>
      <c r="O948" t="str">
        <f ca="1">IF((INDEX(rngParamTypes,$N948,7)=I948),"",1)</f>
        <v/>
      </c>
      <c r="P948">
        <f ca="1">INDEX(rngParamTypes,$N948,9)</f>
        <v>1</v>
      </c>
      <c r="Q948">
        <f ca="1">INDEX(rngParamTypes,$N948,10)</f>
        <v>2</v>
      </c>
      <c r="R948">
        <f ca="1">INDEX(rngParamTypes,$N948,11)</f>
        <v>-2</v>
      </c>
      <c r="S948">
        <f ca="1">INDEX(rngParamTypes,$N948,12)</f>
        <v>0</v>
      </c>
      <c r="T948">
        <f ca="1">INDEX(rngParamTypes,$N948,13)</f>
        <v>0</v>
      </c>
      <c r="U948">
        <f ca="1">INDEX(rngParamTypes,$N948,14)</f>
        <v>0</v>
      </c>
      <c r="V948">
        <f ca="1">INDEX(rngParamTypes,$N948,15)</f>
        <v>0</v>
      </c>
      <c r="W948">
        <f ca="1">INDEX(rngParamTypes,$N948,16)</f>
        <v>0</v>
      </c>
      <c r="X948">
        <f ca="1">INDEX(rngParamTypes,$N948,17)</f>
        <v>0</v>
      </c>
      <c r="Y948">
        <f ca="1">INDEX(rngParamTypes,$N948,18)</f>
        <v>0</v>
      </c>
    </row>
    <row r="949" spans="1:25" x14ac:dyDescent="0.2">
      <c r="A949" s="16">
        <v>948</v>
      </c>
      <c r="B949" s="37">
        <v>1</v>
      </c>
      <c r="C949" s="16" t="s">
        <v>2498</v>
      </c>
      <c r="D949" s="16" t="s">
        <v>2498</v>
      </c>
      <c r="E949" s="16"/>
      <c r="F949" s="16" t="s">
        <v>4075</v>
      </c>
      <c r="G949" s="16" t="s">
        <v>385</v>
      </c>
      <c r="H949" s="16" t="s">
        <v>2497</v>
      </c>
      <c r="I949" s="16" t="s">
        <v>387</v>
      </c>
      <c r="J949" s="16">
        <v>0</v>
      </c>
      <c r="K949" s="16">
        <v>0.13825499999999999</v>
      </c>
      <c r="L949" s="16">
        <v>0.01</v>
      </c>
      <c r="M949" s="16">
        <v>0</v>
      </c>
      <c r="N949">
        <f t="array" aca="1" ref="N949" ca="1">MATCH(TRUE,EXACT(I949,OFFSET(rngParamTypes,0,6,,1)),0)</f>
        <v>156</v>
      </c>
      <c r="O949" t="str">
        <f ca="1">IF((INDEX(rngParamTypes,$N949,7)=I949),"",1)</f>
        <v/>
      </c>
      <c r="P949">
        <f ca="1">INDEX(rngParamTypes,$N949,9)</f>
        <v>1</v>
      </c>
      <c r="Q949">
        <f ca="1">INDEX(rngParamTypes,$N949,10)</f>
        <v>0</v>
      </c>
      <c r="R949">
        <f ca="1">INDEX(rngParamTypes,$N949,11)</f>
        <v>-2</v>
      </c>
      <c r="S949">
        <f ca="1">INDEX(rngParamTypes,$N949,12)</f>
        <v>0</v>
      </c>
      <c r="T949">
        <f ca="1">INDEX(rngParamTypes,$N949,13)</f>
        <v>0</v>
      </c>
      <c r="U949">
        <f ca="1">INDEX(rngParamTypes,$N949,14)</f>
        <v>0</v>
      </c>
      <c r="V949">
        <f ca="1">INDEX(rngParamTypes,$N949,15)</f>
        <v>0</v>
      </c>
      <c r="W949">
        <f ca="1">INDEX(rngParamTypes,$N949,16)</f>
        <v>0</v>
      </c>
      <c r="X949">
        <f ca="1">INDEX(rngParamTypes,$N949,17)</f>
        <v>0</v>
      </c>
      <c r="Y949">
        <f ca="1">INDEX(rngParamTypes,$N949,18)</f>
        <v>0</v>
      </c>
    </row>
    <row r="950" spans="1:25" x14ac:dyDescent="0.2">
      <c r="A950" s="16">
        <v>949</v>
      </c>
      <c r="B950" s="37">
        <v>1</v>
      </c>
      <c r="C950" s="16" t="s">
        <v>2500</v>
      </c>
      <c r="D950" s="16" t="s">
        <v>2500</v>
      </c>
      <c r="E950" s="16"/>
      <c r="F950" s="16" t="s">
        <v>4076</v>
      </c>
      <c r="G950" s="16" t="s">
        <v>4077</v>
      </c>
      <c r="H950" s="16" t="s">
        <v>2499</v>
      </c>
      <c r="I950" s="16" t="s">
        <v>131</v>
      </c>
      <c r="J950" s="16">
        <v>0</v>
      </c>
      <c r="K950" s="16">
        <v>1E-3</v>
      </c>
      <c r="L950" s="16">
        <v>1</v>
      </c>
      <c r="M950" s="16">
        <v>0</v>
      </c>
      <c r="N950">
        <f t="array" aca="1" ref="N950" ca="1">MATCH(TRUE,EXACT(I950,OFFSET(rngParamTypes,0,6,,1)),0)</f>
        <v>42</v>
      </c>
      <c r="O950" t="str">
        <f ca="1">IF((INDEX(rngParamTypes,$N950,7)=I950),"",1)</f>
        <v/>
      </c>
      <c r="P950">
        <f ca="1">INDEX(rngParamTypes,$N950,9)</f>
        <v>0</v>
      </c>
      <c r="Q950">
        <f ca="1">INDEX(rngParamTypes,$N950,10)</f>
        <v>0</v>
      </c>
      <c r="R950">
        <f ca="1">INDEX(rngParamTypes,$N950,11)</f>
        <v>0</v>
      </c>
      <c r="S950">
        <f ca="1">INDEX(rngParamTypes,$N950,12)</f>
        <v>0</v>
      </c>
      <c r="T950">
        <f ca="1">INDEX(rngParamTypes,$N950,13)</f>
        <v>0</v>
      </c>
      <c r="U950">
        <f ca="1">INDEX(rngParamTypes,$N950,14)</f>
        <v>0</v>
      </c>
      <c r="V950">
        <f ca="1">INDEX(rngParamTypes,$N950,15)</f>
        <v>0</v>
      </c>
      <c r="W950">
        <f ca="1">INDEX(rngParamTypes,$N950,16)</f>
        <v>0</v>
      </c>
      <c r="X950">
        <f ca="1">INDEX(rngParamTypes,$N950,17)</f>
        <v>0</v>
      </c>
      <c r="Y950">
        <f ca="1">INDEX(rngParamTypes,$N950,18)</f>
        <v>0</v>
      </c>
    </row>
    <row r="951" spans="1:25" x14ac:dyDescent="0.2">
      <c r="A951" s="16">
        <v>950</v>
      </c>
      <c r="B951" s="37">
        <v>1</v>
      </c>
      <c r="C951" s="16" t="s">
        <v>2502</v>
      </c>
      <c r="D951" s="16" t="s">
        <v>2502</v>
      </c>
      <c r="E951" s="16"/>
      <c r="F951" s="16" t="s">
        <v>4078</v>
      </c>
      <c r="G951" s="16" t="s">
        <v>134</v>
      </c>
      <c r="H951" s="16" t="s">
        <v>2501</v>
      </c>
      <c r="I951" s="16" t="s">
        <v>135</v>
      </c>
      <c r="J951" s="16">
        <v>0</v>
      </c>
      <c r="K951" s="16">
        <v>9.9999999999999998E-13</v>
      </c>
      <c r="L951" s="16">
        <v>1</v>
      </c>
      <c r="M951" s="16">
        <v>0</v>
      </c>
      <c r="N951">
        <f t="array" aca="1" ref="N951" ca="1">MATCH(TRUE,EXACT(I951,OFFSET(rngParamTypes,0,6,,1)),0)</f>
        <v>48</v>
      </c>
      <c r="O951" t="str">
        <f ca="1">IF((INDEX(rngParamTypes,$N951,7)=I951),"",1)</f>
        <v/>
      </c>
      <c r="P951">
        <f ca="1">INDEX(rngParamTypes,$N951,9)</f>
        <v>-1</v>
      </c>
      <c r="Q951">
        <f ca="1">INDEX(rngParamTypes,$N951,10)</f>
        <v>-2</v>
      </c>
      <c r="R951">
        <f ca="1">INDEX(rngParamTypes,$N951,11)</f>
        <v>4</v>
      </c>
      <c r="S951">
        <f ca="1">INDEX(rngParamTypes,$N951,12)</f>
        <v>2</v>
      </c>
      <c r="T951">
        <f ca="1">INDEX(rngParamTypes,$N951,13)</f>
        <v>0</v>
      </c>
      <c r="U951">
        <f ca="1">INDEX(rngParamTypes,$N951,14)</f>
        <v>0</v>
      </c>
      <c r="V951">
        <f ca="1">INDEX(rngParamTypes,$N951,15)</f>
        <v>0</v>
      </c>
      <c r="W951">
        <f ca="1">INDEX(rngParamTypes,$N951,16)</f>
        <v>0</v>
      </c>
      <c r="X951">
        <f ca="1">INDEX(rngParamTypes,$N951,17)</f>
        <v>0</v>
      </c>
      <c r="Y951">
        <f ca="1">INDEX(rngParamTypes,$N951,18)</f>
        <v>0</v>
      </c>
    </row>
    <row r="952" spans="1:25" x14ac:dyDescent="0.2">
      <c r="A952" s="16">
        <v>951</v>
      </c>
      <c r="B952" s="37">
        <v>1</v>
      </c>
      <c r="C952" s="16" t="s">
        <v>2504</v>
      </c>
      <c r="D952" s="16" t="s">
        <v>2504</v>
      </c>
      <c r="E952" s="16">
        <v>2</v>
      </c>
      <c r="F952" s="16" t="s">
        <v>4079</v>
      </c>
      <c r="G952" s="16" t="s">
        <v>4053</v>
      </c>
      <c r="H952" s="16" t="s">
        <v>2503</v>
      </c>
      <c r="I952" s="16" t="s">
        <v>290</v>
      </c>
      <c r="J952" s="16">
        <v>0</v>
      </c>
      <c r="K952" s="16">
        <v>9.9999999999999998E-13</v>
      </c>
      <c r="L952" s="16">
        <v>1</v>
      </c>
      <c r="M952" s="16">
        <v>0</v>
      </c>
      <c r="N952">
        <f t="array" aca="1" ref="N952" ca="1">MATCH(TRUE,EXACT(I952,OFFSET(rngParamTypes,0,6,,1)),0)</f>
        <v>109</v>
      </c>
      <c r="O952" t="str">
        <f ca="1">IF((INDEX(rngParamTypes,$N952,7)=I952),"",1)</f>
        <v/>
      </c>
      <c r="P952">
        <f ca="1">INDEX(rngParamTypes,$N952,9)</f>
        <v>0</v>
      </c>
      <c r="Q952">
        <f ca="1">INDEX(rngParamTypes,$N952,10)</f>
        <v>1</v>
      </c>
      <c r="R952">
        <f ca="1">INDEX(rngParamTypes,$N952,11)</f>
        <v>0</v>
      </c>
      <c r="S952">
        <f ca="1">INDEX(rngParamTypes,$N952,12)</f>
        <v>0</v>
      </c>
      <c r="T952">
        <f ca="1">INDEX(rngParamTypes,$N952,13)</f>
        <v>0</v>
      </c>
      <c r="U952">
        <f ca="1">INDEX(rngParamTypes,$N952,14)</f>
        <v>0</v>
      </c>
      <c r="V952">
        <f ca="1">INDEX(rngParamTypes,$N952,15)</f>
        <v>0</v>
      </c>
      <c r="W952">
        <f ca="1">INDEX(rngParamTypes,$N952,16)</f>
        <v>0</v>
      </c>
      <c r="X952">
        <f ca="1">INDEX(rngParamTypes,$N952,17)</f>
        <v>0</v>
      </c>
      <c r="Y952">
        <f ca="1">INDEX(rngParamTypes,$N952,18)</f>
        <v>0</v>
      </c>
    </row>
    <row r="953" spans="1:25" x14ac:dyDescent="0.2">
      <c r="A953" s="16">
        <v>952</v>
      </c>
      <c r="B953" s="37">
        <v>1</v>
      </c>
      <c r="C953" s="16" t="s">
        <v>2506</v>
      </c>
      <c r="D953" s="16" t="s">
        <v>2506</v>
      </c>
      <c r="E953" s="16">
        <v>2</v>
      </c>
      <c r="F953" s="16" t="s">
        <v>4080</v>
      </c>
      <c r="G953" s="16" t="s">
        <v>3270</v>
      </c>
      <c r="H953" s="16" t="s">
        <v>2505</v>
      </c>
      <c r="I953" s="16" t="s">
        <v>416</v>
      </c>
      <c r="J953" s="16">
        <v>0</v>
      </c>
      <c r="K953" s="16">
        <v>9.9999999999999998E-13</v>
      </c>
      <c r="L953" s="16">
        <v>1</v>
      </c>
      <c r="M953" s="16">
        <v>0</v>
      </c>
      <c r="N953">
        <f t="array" aca="1" ref="N953" ca="1">MATCH(TRUE,EXACT(I953,OFFSET(rngParamTypes,0,6,,1)),0)</f>
        <v>167</v>
      </c>
      <c r="O953" t="str">
        <f ca="1">IF((INDEX(rngParamTypes,$N953,7)=I953),"",1)</f>
        <v/>
      </c>
      <c r="P953">
        <f ca="1">INDEX(rngParamTypes,$N953,9)</f>
        <v>1</v>
      </c>
      <c r="Q953">
        <f ca="1">INDEX(rngParamTypes,$N953,10)</f>
        <v>-1</v>
      </c>
      <c r="R953">
        <f ca="1">INDEX(rngParamTypes,$N953,11)</f>
        <v>-2</v>
      </c>
      <c r="S953">
        <f ca="1">INDEX(rngParamTypes,$N953,12)</f>
        <v>0</v>
      </c>
      <c r="T953">
        <f ca="1">INDEX(rngParamTypes,$N953,13)</f>
        <v>0</v>
      </c>
      <c r="U953">
        <f ca="1">INDEX(rngParamTypes,$N953,14)</f>
        <v>0</v>
      </c>
      <c r="V953">
        <f ca="1">INDEX(rngParamTypes,$N953,15)</f>
        <v>0</v>
      </c>
      <c r="W953">
        <f ca="1">INDEX(rngParamTypes,$N953,16)</f>
        <v>0</v>
      </c>
      <c r="X953">
        <f ca="1">INDEX(rngParamTypes,$N953,17)</f>
        <v>0</v>
      </c>
      <c r="Y953">
        <f ca="1">INDEX(rngParamTypes,$N953,18)</f>
        <v>0</v>
      </c>
    </row>
    <row r="954" spans="1:25" x14ac:dyDescent="0.2">
      <c r="A954" s="16">
        <v>953</v>
      </c>
      <c r="B954" s="37">
        <v>1</v>
      </c>
      <c r="C954" s="16" t="s">
        <v>2508</v>
      </c>
      <c r="D954" s="16" t="s">
        <v>2508</v>
      </c>
      <c r="E954" s="16"/>
      <c r="F954" s="16" t="s">
        <v>4081</v>
      </c>
      <c r="G954" s="16" t="s">
        <v>4077</v>
      </c>
      <c r="H954" s="16" t="s">
        <v>2507</v>
      </c>
      <c r="I954" s="16" t="s">
        <v>131</v>
      </c>
      <c r="J954" s="16">
        <v>0</v>
      </c>
      <c r="K954" s="16">
        <v>1E-4</v>
      </c>
      <c r="L954" s="16">
        <v>1</v>
      </c>
      <c r="M954" s="16">
        <v>0</v>
      </c>
      <c r="N954">
        <f t="array" aca="1" ref="N954" ca="1">MATCH(TRUE,EXACT(I954,OFFSET(rngParamTypes,0,6,,1)),0)</f>
        <v>42</v>
      </c>
      <c r="O954" t="str">
        <f ca="1">IF((INDEX(rngParamTypes,$N954,7)=I954),"",1)</f>
        <v/>
      </c>
      <c r="P954">
        <f ca="1">INDEX(rngParamTypes,$N954,9)</f>
        <v>0</v>
      </c>
      <c r="Q954">
        <f ca="1">INDEX(rngParamTypes,$N954,10)</f>
        <v>0</v>
      </c>
      <c r="R954">
        <f ca="1">INDEX(rngParamTypes,$N954,11)</f>
        <v>0</v>
      </c>
      <c r="S954">
        <f ca="1">INDEX(rngParamTypes,$N954,12)</f>
        <v>0</v>
      </c>
      <c r="T954">
        <f ca="1">INDEX(rngParamTypes,$N954,13)</f>
        <v>0</v>
      </c>
      <c r="U954">
        <f ca="1">INDEX(rngParamTypes,$N954,14)</f>
        <v>0</v>
      </c>
      <c r="V954">
        <f ca="1">INDEX(rngParamTypes,$N954,15)</f>
        <v>0</v>
      </c>
      <c r="W954">
        <f ca="1">INDEX(rngParamTypes,$N954,16)</f>
        <v>0</v>
      </c>
      <c r="X954">
        <f ca="1">INDEX(rngParamTypes,$N954,17)</f>
        <v>0</v>
      </c>
      <c r="Y954">
        <f ca="1">INDEX(rngParamTypes,$N954,18)</f>
        <v>0</v>
      </c>
    </row>
    <row r="955" spans="1:25" x14ac:dyDescent="0.2">
      <c r="A955" s="16">
        <v>954</v>
      </c>
      <c r="B955" s="37">
        <v>1</v>
      </c>
      <c r="C955" s="16" t="s">
        <v>2117</v>
      </c>
      <c r="D955" s="16" t="s">
        <v>2117</v>
      </c>
      <c r="E955" s="16"/>
      <c r="F955" s="16" t="s">
        <v>4082</v>
      </c>
      <c r="G955" s="16" t="s">
        <v>4077</v>
      </c>
      <c r="H955" s="16" t="s">
        <v>2509</v>
      </c>
      <c r="I955" s="16" t="s">
        <v>131</v>
      </c>
      <c r="J955" s="16">
        <v>0</v>
      </c>
      <c r="K955" s="16">
        <v>1E-3</v>
      </c>
      <c r="L955" s="16">
        <v>1</v>
      </c>
      <c r="M955" s="16">
        <v>0</v>
      </c>
      <c r="N955">
        <f t="array" aca="1" ref="N955" ca="1">MATCH(TRUE,EXACT(I955,OFFSET(rngParamTypes,0,6,,1)),0)</f>
        <v>42</v>
      </c>
      <c r="O955" t="str">
        <f ca="1">IF((INDEX(rngParamTypes,$N955,7)=I955),"",1)</f>
        <v/>
      </c>
      <c r="P955">
        <f ca="1">INDEX(rngParamTypes,$N955,9)</f>
        <v>0</v>
      </c>
      <c r="Q955">
        <f ca="1">INDEX(rngParamTypes,$N955,10)</f>
        <v>0</v>
      </c>
      <c r="R955">
        <f ca="1">INDEX(rngParamTypes,$N955,11)</f>
        <v>0</v>
      </c>
      <c r="S955">
        <f ca="1">INDEX(rngParamTypes,$N955,12)</f>
        <v>0</v>
      </c>
      <c r="T955">
        <f ca="1">INDEX(rngParamTypes,$N955,13)</f>
        <v>0</v>
      </c>
      <c r="U955">
        <f ca="1">INDEX(rngParamTypes,$N955,14)</f>
        <v>0</v>
      </c>
      <c r="V955">
        <f ca="1">INDEX(rngParamTypes,$N955,15)</f>
        <v>0</v>
      </c>
      <c r="W955">
        <f ca="1">INDEX(rngParamTypes,$N955,16)</f>
        <v>0</v>
      </c>
      <c r="X955">
        <f ca="1">INDEX(rngParamTypes,$N955,17)</f>
        <v>0</v>
      </c>
      <c r="Y955">
        <f ca="1">INDEX(rngParamTypes,$N955,18)</f>
        <v>0</v>
      </c>
    </row>
    <row r="956" spans="1:25" x14ac:dyDescent="0.2">
      <c r="A956" s="16">
        <v>955</v>
      </c>
      <c r="B956" s="37">
        <v>1</v>
      </c>
      <c r="C956" s="16" t="s">
        <v>2511</v>
      </c>
      <c r="D956" s="16" t="s">
        <v>2511</v>
      </c>
      <c r="E956" s="16"/>
      <c r="F956" s="16" t="s">
        <v>4083</v>
      </c>
      <c r="G956" s="16" t="s">
        <v>4077</v>
      </c>
      <c r="H956" s="16" t="s">
        <v>2510</v>
      </c>
      <c r="I956" s="16" t="s">
        <v>131</v>
      </c>
      <c r="J956" s="16">
        <v>0</v>
      </c>
      <c r="K956" s="16">
        <v>9.9999999999999995E-7</v>
      </c>
      <c r="L956" s="16">
        <v>1</v>
      </c>
      <c r="M956" s="16">
        <v>0</v>
      </c>
      <c r="N956">
        <f t="array" aca="1" ref="N956" ca="1">MATCH(TRUE,EXACT(I956,OFFSET(rngParamTypes,0,6,,1)),0)</f>
        <v>42</v>
      </c>
      <c r="O956" t="str">
        <f ca="1">IF((INDEX(rngParamTypes,$N956,7)=I956),"",1)</f>
        <v/>
      </c>
      <c r="P956">
        <f ca="1">INDEX(rngParamTypes,$N956,9)</f>
        <v>0</v>
      </c>
      <c r="Q956">
        <f ca="1">INDEX(rngParamTypes,$N956,10)</f>
        <v>0</v>
      </c>
      <c r="R956">
        <f ca="1">INDEX(rngParamTypes,$N956,11)</f>
        <v>0</v>
      </c>
      <c r="S956">
        <f ca="1">INDEX(rngParamTypes,$N956,12)</f>
        <v>0</v>
      </c>
      <c r="T956">
        <f ca="1">INDEX(rngParamTypes,$N956,13)</f>
        <v>0</v>
      </c>
      <c r="U956">
        <f ca="1">INDEX(rngParamTypes,$N956,14)</f>
        <v>0</v>
      </c>
      <c r="V956">
        <f ca="1">INDEX(rngParamTypes,$N956,15)</f>
        <v>0</v>
      </c>
      <c r="W956">
        <f ca="1">INDEX(rngParamTypes,$N956,16)</f>
        <v>0</v>
      </c>
      <c r="X956">
        <f ca="1">INDEX(rngParamTypes,$N956,17)</f>
        <v>0</v>
      </c>
      <c r="Y956">
        <f ca="1">INDEX(rngParamTypes,$N956,18)</f>
        <v>0</v>
      </c>
    </row>
    <row r="957" spans="1:25" x14ac:dyDescent="0.2">
      <c r="A957" s="16">
        <v>956</v>
      </c>
      <c r="B957" s="37">
        <v>1</v>
      </c>
      <c r="C957" s="16" t="s">
        <v>2513</v>
      </c>
      <c r="D957" s="16" t="s">
        <v>2513</v>
      </c>
      <c r="E957" s="16"/>
      <c r="F957" s="16" t="s">
        <v>4084</v>
      </c>
      <c r="G957" s="16" t="s">
        <v>11</v>
      </c>
      <c r="H957" s="16" t="s">
        <v>2512</v>
      </c>
      <c r="I957" s="16" t="s">
        <v>13</v>
      </c>
      <c r="J957" s="16">
        <v>0</v>
      </c>
      <c r="K957" s="16">
        <v>9.9999999999999995E-7</v>
      </c>
      <c r="L957" s="16">
        <v>1</v>
      </c>
      <c r="M957" s="16">
        <v>0</v>
      </c>
      <c r="N957">
        <f t="array" aca="1" ref="N957" ca="1">MATCH(TRUE,EXACT(I957,OFFSET(rngParamTypes,0,6,,1)),0)</f>
        <v>2</v>
      </c>
      <c r="O957" t="str">
        <f ca="1">IF((INDEX(rngParamTypes,$N957,7)=I957),"",1)</f>
        <v/>
      </c>
      <c r="P957">
        <f ca="1">INDEX(rngParamTypes,$N957,9)</f>
        <v>0</v>
      </c>
      <c r="Q957">
        <f ca="1">INDEX(rngParamTypes,$N957,10)</f>
        <v>0</v>
      </c>
      <c r="R957">
        <f ca="1">INDEX(rngParamTypes,$N957,11)</f>
        <v>0</v>
      </c>
      <c r="S957">
        <f ca="1">INDEX(rngParamTypes,$N957,12)</f>
        <v>0</v>
      </c>
      <c r="T957">
        <f ca="1">INDEX(rngParamTypes,$N957,13)</f>
        <v>-1</v>
      </c>
      <c r="U957">
        <f ca="1">INDEX(rngParamTypes,$N957,14)</f>
        <v>0</v>
      </c>
      <c r="V957">
        <f ca="1">INDEX(rngParamTypes,$N957,15)</f>
        <v>0</v>
      </c>
      <c r="W957">
        <f ca="1">INDEX(rngParamTypes,$N957,16)</f>
        <v>0</v>
      </c>
      <c r="X957">
        <f ca="1">INDEX(rngParamTypes,$N957,17)</f>
        <v>0</v>
      </c>
      <c r="Y957">
        <f ca="1">INDEX(rngParamTypes,$N957,18)</f>
        <v>0</v>
      </c>
    </row>
    <row r="958" spans="1:25" x14ac:dyDescent="0.2">
      <c r="A958" s="16">
        <v>957</v>
      </c>
      <c r="B958" s="37">
        <v>1</v>
      </c>
      <c r="C958" s="16" t="s">
        <v>2515</v>
      </c>
      <c r="D958" s="16" t="s">
        <v>2515</v>
      </c>
      <c r="E958" s="16"/>
      <c r="F958" s="16" t="s">
        <v>4085</v>
      </c>
      <c r="G958" s="16" t="s">
        <v>11</v>
      </c>
      <c r="H958" s="16" t="s">
        <v>2514</v>
      </c>
      <c r="I958" s="16" t="s">
        <v>13</v>
      </c>
      <c r="J958" s="16">
        <v>0</v>
      </c>
      <c r="K958" s="16">
        <v>1.7999999999999999E-6</v>
      </c>
      <c r="L958" s="16">
        <v>1</v>
      </c>
      <c r="M958" s="16">
        <v>0</v>
      </c>
      <c r="N958">
        <f t="array" aca="1" ref="N958" ca="1">MATCH(TRUE,EXACT(I958,OFFSET(rngParamTypes,0,6,,1)),0)</f>
        <v>2</v>
      </c>
      <c r="O958" t="str">
        <f ca="1">IF((INDEX(rngParamTypes,$N958,7)=I958),"",1)</f>
        <v/>
      </c>
      <c r="P958">
        <f ca="1">INDEX(rngParamTypes,$N958,9)</f>
        <v>0</v>
      </c>
      <c r="Q958">
        <f ca="1">INDEX(rngParamTypes,$N958,10)</f>
        <v>0</v>
      </c>
      <c r="R958">
        <f ca="1">INDEX(rngParamTypes,$N958,11)</f>
        <v>0</v>
      </c>
      <c r="S958">
        <f ca="1">INDEX(rngParamTypes,$N958,12)</f>
        <v>0</v>
      </c>
      <c r="T958">
        <f ca="1">INDEX(rngParamTypes,$N958,13)</f>
        <v>-1</v>
      </c>
      <c r="U958">
        <f ca="1">INDEX(rngParamTypes,$N958,14)</f>
        <v>0</v>
      </c>
      <c r="V958">
        <f ca="1">INDEX(rngParamTypes,$N958,15)</f>
        <v>0</v>
      </c>
      <c r="W958">
        <f ca="1">INDEX(rngParamTypes,$N958,16)</f>
        <v>0</v>
      </c>
      <c r="X958">
        <f ca="1">INDEX(rngParamTypes,$N958,17)</f>
        <v>0</v>
      </c>
      <c r="Y958">
        <f ca="1">INDEX(rngParamTypes,$N958,18)</f>
        <v>0</v>
      </c>
    </row>
    <row r="959" spans="1:25" x14ac:dyDescent="0.2">
      <c r="A959" s="16">
        <v>958</v>
      </c>
      <c r="B959" s="37">
        <v>1</v>
      </c>
      <c r="C959" s="16" t="s">
        <v>2517</v>
      </c>
      <c r="D959" s="16" t="s">
        <v>2517</v>
      </c>
      <c r="E959" s="16">
        <v>2</v>
      </c>
      <c r="F959" s="16" t="s">
        <v>4086</v>
      </c>
      <c r="G959" s="16" t="s">
        <v>469</v>
      </c>
      <c r="H959" s="16" t="s">
        <v>2516</v>
      </c>
      <c r="I959" s="16" t="s">
        <v>470</v>
      </c>
      <c r="J959" s="16">
        <v>0</v>
      </c>
      <c r="K959" s="16">
        <v>9.9999999999999998E-13</v>
      </c>
      <c r="L959" s="16">
        <v>1</v>
      </c>
      <c r="M959" s="16">
        <v>0</v>
      </c>
      <c r="N959">
        <f t="array" aca="1" ref="N959" ca="1">MATCH(TRUE,EXACT(I959,OFFSET(rngParamTypes,0,6,,1)),0)</f>
        <v>190</v>
      </c>
      <c r="O959" t="str">
        <f ca="1">IF((INDEX(rngParamTypes,$N959,7)=I959),"",1)</f>
        <v/>
      </c>
      <c r="P959">
        <f ca="1">INDEX(rngParamTypes,$N959,9)</f>
        <v>0</v>
      </c>
      <c r="Q959">
        <f ca="1">INDEX(rngParamTypes,$N959,10)</f>
        <v>0</v>
      </c>
      <c r="R959">
        <f ca="1">INDEX(rngParamTypes,$N959,11)</f>
        <v>1</v>
      </c>
      <c r="S959">
        <f ca="1">INDEX(rngParamTypes,$N959,12)</f>
        <v>0</v>
      </c>
      <c r="T959">
        <f ca="1">INDEX(rngParamTypes,$N959,13)</f>
        <v>0</v>
      </c>
      <c r="U959">
        <f ca="1">INDEX(rngParamTypes,$N959,14)</f>
        <v>0</v>
      </c>
      <c r="V959">
        <f ca="1">INDEX(rngParamTypes,$N959,15)</f>
        <v>0</v>
      </c>
      <c r="W959">
        <f ca="1">INDEX(rngParamTypes,$N959,16)</f>
        <v>0</v>
      </c>
      <c r="X959">
        <f ca="1">INDEX(rngParamTypes,$N959,17)</f>
        <v>0</v>
      </c>
      <c r="Y959">
        <f ca="1">INDEX(rngParamTypes,$N959,18)</f>
        <v>0</v>
      </c>
    </row>
    <row r="960" spans="1:25" x14ac:dyDescent="0.2">
      <c r="A960" s="16">
        <v>959</v>
      </c>
      <c r="B960" s="37">
        <v>1</v>
      </c>
      <c r="C960" s="16" t="s">
        <v>2519</v>
      </c>
      <c r="D960" s="16" t="s">
        <v>2519</v>
      </c>
      <c r="E960" s="16"/>
      <c r="F960" s="16" t="s">
        <v>4087</v>
      </c>
      <c r="G960" s="16" t="s">
        <v>3621</v>
      </c>
      <c r="H960" s="16" t="s">
        <v>2518</v>
      </c>
      <c r="I960" s="16" t="s">
        <v>466</v>
      </c>
      <c r="J960" s="16">
        <v>0</v>
      </c>
      <c r="K960" s="16">
        <v>1.0000000000000001E-9</v>
      </c>
      <c r="L960" s="16">
        <v>1</v>
      </c>
      <c r="M960" s="16">
        <v>0</v>
      </c>
      <c r="N960">
        <f t="array" aca="1" ref="N960" ca="1">MATCH(TRUE,EXACT(I960,OFFSET(rngParamTypes,0,6,,1)),0)</f>
        <v>187</v>
      </c>
      <c r="O960" t="str">
        <f ca="1">IF((INDEX(rngParamTypes,$N960,7)=I960),"",1)</f>
        <v/>
      </c>
      <c r="P960">
        <f ca="1">INDEX(rngParamTypes,$N960,9)</f>
        <v>-1</v>
      </c>
      <c r="Q960">
        <f ca="1">INDEX(rngParamTypes,$N960,10)</f>
        <v>-2</v>
      </c>
      <c r="R960">
        <f ca="1">INDEX(rngParamTypes,$N960,11)</f>
        <v>3</v>
      </c>
      <c r="S960">
        <f ca="1">INDEX(rngParamTypes,$N960,12)</f>
        <v>2</v>
      </c>
      <c r="T960">
        <f ca="1">INDEX(rngParamTypes,$N960,13)</f>
        <v>0</v>
      </c>
      <c r="U960">
        <f ca="1">INDEX(rngParamTypes,$N960,14)</f>
        <v>0</v>
      </c>
      <c r="V960">
        <f ca="1">INDEX(rngParamTypes,$N960,15)</f>
        <v>0</v>
      </c>
      <c r="W960">
        <f ca="1">INDEX(rngParamTypes,$N960,16)</f>
        <v>0</v>
      </c>
      <c r="X960">
        <f ca="1">INDEX(rngParamTypes,$N960,17)</f>
        <v>0</v>
      </c>
      <c r="Y960">
        <f ca="1">INDEX(rngParamTypes,$N960,18)</f>
        <v>0</v>
      </c>
    </row>
    <row r="961" spans="1:25" x14ac:dyDescent="0.2">
      <c r="A961" s="16">
        <v>960</v>
      </c>
      <c r="B961" s="37">
        <v>1</v>
      </c>
      <c r="C961" s="16" t="s">
        <v>2521</v>
      </c>
      <c r="D961" s="16" t="s">
        <v>2521</v>
      </c>
      <c r="E961" s="16">
        <v>2</v>
      </c>
      <c r="F961" s="16" t="s">
        <v>4088</v>
      </c>
      <c r="G961" s="16" t="s">
        <v>3270</v>
      </c>
      <c r="H961" s="16" t="s">
        <v>2520</v>
      </c>
      <c r="I961" s="16" t="s">
        <v>416</v>
      </c>
      <c r="J961" s="16">
        <v>0</v>
      </c>
      <c r="K961" s="16">
        <v>47.88026</v>
      </c>
      <c r="L961" s="16">
        <v>1</v>
      </c>
      <c r="M961" s="16">
        <v>0</v>
      </c>
      <c r="N961">
        <f t="array" aca="1" ref="N961" ca="1">MATCH(TRUE,EXACT(I961,OFFSET(rngParamTypes,0,6,,1)),0)</f>
        <v>167</v>
      </c>
      <c r="O961" t="str">
        <f ca="1">IF((INDEX(rngParamTypes,$N961,7)=I961),"",1)</f>
        <v/>
      </c>
      <c r="P961">
        <f ca="1">INDEX(rngParamTypes,$N961,9)</f>
        <v>1</v>
      </c>
      <c r="Q961">
        <f ca="1">INDEX(rngParamTypes,$N961,10)</f>
        <v>-1</v>
      </c>
      <c r="R961">
        <f ca="1">INDEX(rngParamTypes,$N961,11)</f>
        <v>-2</v>
      </c>
      <c r="S961">
        <f ca="1">INDEX(rngParamTypes,$N961,12)</f>
        <v>0</v>
      </c>
      <c r="T961">
        <f ca="1">INDEX(rngParamTypes,$N961,13)</f>
        <v>0</v>
      </c>
      <c r="U961">
        <f ca="1">INDEX(rngParamTypes,$N961,14)</f>
        <v>0</v>
      </c>
      <c r="V961">
        <f ca="1">INDEX(rngParamTypes,$N961,15)</f>
        <v>0</v>
      </c>
      <c r="W961">
        <f ca="1">INDEX(rngParamTypes,$N961,16)</f>
        <v>0</v>
      </c>
      <c r="X961">
        <f ca="1">INDEX(rngParamTypes,$N961,17)</f>
        <v>0</v>
      </c>
      <c r="Y961">
        <f ca="1">INDEX(rngParamTypes,$N961,18)</f>
        <v>0</v>
      </c>
    </row>
    <row r="962" spans="1:25" x14ac:dyDescent="0.2">
      <c r="A962" s="16">
        <v>961</v>
      </c>
      <c r="B962" s="37">
        <v>1</v>
      </c>
      <c r="C962" s="16" t="s">
        <v>2523</v>
      </c>
      <c r="D962" s="16" t="s">
        <v>2523</v>
      </c>
      <c r="E962" s="16">
        <v>2</v>
      </c>
      <c r="F962" s="16" t="s">
        <v>4089</v>
      </c>
      <c r="G962" s="16" t="s">
        <v>3270</v>
      </c>
      <c r="H962" s="16" t="s">
        <v>2522</v>
      </c>
      <c r="I962" s="16" t="s">
        <v>416</v>
      </c>
      <c r="J962" s="16">
        <v>0</v>
      </c>
      <c r="K962" s="16">
        <v>6894.7569999999996</v>
      </c>
      <c r="L962" s="16">
        <v>1</v>
      </c>
      <c r="M962" s="16">
        <v>0</v>
      </c>
      <c r="N962">
        <f t="array" aca="1" ref="N962" ca="1">MATCH(TRUE,EXACT(I962,OFFSET(rngParamTypes,0,6,,1)),0)</f>
        <v>167</v>
      </c>
      <c r="O962" t="str">
        <f ca="1">IF((INDEX(rngParamTypes,$N962,7)=I962),"",1)</f>
        <v/>
      </c>
      <c r="P962">
        <f ca="1">INDEX(rngParamTypes,$N962,9)</f>
        <v>1</v>
      </c>
      <c r="Q962">
        <f ca="1">INDEX(rngParamTypes,$N962,10)</f>
        <v>-1</v>
      </c>
      <c r="R962">
        <f ca="1">INDEX(rngParamTypes,$N962,11)</f>
        <v>-2</v>
      </c>
      <c r="S962">
        <f ca="1">INDEX(rngParamTypes,$N962,12)</f>
        <v>0</v>
      </c>
      <c r="T962">
        <f ca="1">INDEX(rngParamTypes,$N962,13)</f>
        <v>0</v>
      </c>
      <c r="U962">
        <f ca="1">INDEX(rngParamTypes,$N962,14)</f>
        <v>0</v>
      </c>
      <c r="V962">
        <f ca="1">INDEX(rngParamTypes,$N962,15)</f>
        <v>0</v>
      </c>
      <c r="W962">
        <f ca="1">INDEX(rngParamTypes,$N962,16)</f>
        <v>0</v>
      </c>
      <c r="X962">
        <f ca="1">INDEX(rngParamTypes,$N962,17)</f>
        <v>0</v>
      </c>
      <c r="Y962">
        <f ca="1">INDEX(rngParamTypes,$N962,18)</f>
        <v>0</v>
      </c>
    </row>
    <row r="963" spans="1:25" x14ac:dyDescent="0.2">
      <c r="A963" s="16">
        <v>962</v>
      </c>
      <c r="B963" s="37">
        <v>1</v>
      </c>
      <c r="C963" s="16" t="s">
        <v>2525</v>
      </c>
      <c r="D963" s="16" t="s">
        <v>2525</v>
      </c>
      <c r="E963" s="16"/>
      <c r="F963" s="16" t="s">
        <v>4090</v>
      </c>
      <c r="G963" s="16" t="s">
        <v>423</v>
      </c>
      <c r="H963" s="16" t="s">
        <v>2524</v>
      </c>
      <c r="I963" s="16" t="s">
        <v>425</v>
      </c>
      <c r="J963" s="16">
        <v>0</v>
      </c>
      <c r="K963" s="16">
        <v>1</v>
      </c>
      <c r="L963" s="16">
        <v>23.059159999999999</v>
      </c>
      <c r="M963" s="16">
        <v>0</v>
      </c>
      <c r="N963">
        <f t="array" aca="1" ref="N963" ca="1">MATCH(TRUE,EXACT(I963,OFFSET(rngParamTypes,0,6,,1)),0)</f>
        <v>171</v>
      </c>
      <c r="O963" t="str">
        <f ca="1">IF((INDEX(rngParamTypes,$N963,7)=I963),"",1)</f>
        <v/>
      </c>
      <c r="P963">
        <f ca="1">INDEX(rngParamTypes,$N963,9)</f>
        <v>1</v>
      </c>
      <c r="Q963">
        <f ca="1">INDEX(rngParamTypes,$N963,10)</f>
        <v>-4</v>
      </c>
      <c r="R963">
        <f ca="1">INDEX(rngParamTypes,$N963,11)</f>
        <v>-1</v>
      </c>
      <c r="S963">
        <f ca="1">INDEX(rngParamTypes,$N963,12)</f>
        <v>0</v>
      </c>
      <c r="T963">
        <f ca="1">INDEX(rngParamTypes,$N963,13)</f>
        <v>0</v>
      </c>
      <c r="U963">
        <f ca="1">INDEX(rngParamTypes,$N963,14)</f>
        <v>0</v>
      </c>
      <c r="V963">
        <f ca="1">INDEX(rngParamTypes,$N963,15)</f>
        <v>0</v>
      </c>
      <c r="W963">
        <f ca="1">INDEX(rngParamTypes,$N963,16)</f>
        <v>0</v>
      </c>
      <c r="X963">
        <f ca="1">INDEX(rngParamTypes,$N963,17)</f>
        <v>0</v>
      </c>
      <c r="Y963">
        <f ca="1">INDEX(rngParamTypes,$N963,18)</f>
        <v>0</v>
      </c>
    </row>
    <row r="964" spans="1:25" x14ac:dyDescent="0.2">
      <c r="A964" s="16">
        <v>963</v>
      </c>
      <c r="B964" s="37">
        <v>1</v>
      </c>
      <c r="C964" s="16" t="s">
        <v>2527</v>
      </c>
      <c r="D964" s="16" t="s">
        <v>2527</v>
      </c>
      <c r="E964" s="16">
        <v>1</v>
      </c>
      <c r="F964" s="16" t="s">
        <v>4091</v>
      </c>
      <c r="G964" s="16" t="s">
        <v>419</v>
      </c>
      <c r="H964" s="16" t="s">
        <v>2526</v>
      </c>
      <c r="I964" s="16" t="s">
        <v>421</v>
      </c>
      <c r="J964" s="16">
        <v>0</v>
      </c>
      <c r="K964" s="16">
        <v>6894.7569999999996</v>
      </c>
      <c r="L964" s="16">
        <v>1</v>
      </c>
      <c r="M964" s="16">
        <v>0</v>
      </c>
      <c r="N964">
        <f t="array" aca="1" ref="N964" ca="1">MATCH(TRUE,EXACT(I964,OFFSET(rngParamTypes,0,6,,1)),0)</f>
        <v>169</v>
      </c>
      <c r="O964" t="str">
        <f ca="1">IF((INDEX(rngParamTypes,$N964,7)=I964),"",1)</f>
        <v/>
      </c>
      <c r="P964">
        <f ca="1">INDEX(rngParamTypes,$N964,9)</f>
        <v>1</v>
      </c>
      <c r="Q964">
        <f ca="1">INDEX(rngParamTypes,$N964,10)</f>
        <v>-1</v>
      </c>
      <c r="R964">
        <f ca="1">INDEX(rngParamTypes,$N964,11)</f>
        <v>-1</v>
      </c>
      <c r="S964">
        <f ca="1">INDEX(rngParamTypes,$N964,12)</f>
        <v>0</v>
      </c>
      <c r="T964">
        <f ca="1">INDEX(rngParamTypes,$N964,13)</f>
        <v>0</v>
      </c>
      <c r="U964">
        <f ca="1">INDEX(rngParamTypes,$N964,14)</f>
        <v>0</v>
      </c>
      <c r="V964">
        <f ca="1">INDEX(rngParamTypes,$N964,15)</f>
        <v>0</v>
      </c>
      <c r="W964">
        <f ca="1">INDEX(rngParamTypes,$N964,16)</f>
        <v>0</v>
      </c>
      <c r="X964">
        <f ca="1">INDEX(rngParamTypes,$N964,17)</f>
        <v>0</v>
      </c>
      <c r="Y964">
        <f ca="1">INDEX(rngParamTypes,$N964,18)</f>
        <v>0</v>
      </c>
    </row>
    <row r="965" spans="1:25" x14ac:dyDescent="0.2">
      <c r="A965" s="16">
        <v>964</v>
      </c>
      <c r="B965" s="37">
        <v>1</v>
      </c>
      <c r="C965" s="16" t="s">
        <v>2529</v>
      </c>
      <c r="D965" s="16" t="s">
        <v>2529</v>
      </c>
      <c r="E965" s="16"/>
      <c r="F965" s="16" t="s">
        <v>4356</v>
      </c>
      <c r="G965" s="16" t="s">
        <v>3273</v>
      </c>
      <c r="H965" s="16" t="s">
        <v>2528</v>
      </c>
      <c r="I965" s="16" t="s">
        <v>391</v>
      </c>
      <c r="J965" s="16">
        <v>0</v>
      </c>
      <c r="K965" s="16">
        <v>6894.7569999999996</v>
      </c>
      <c r="L965" s="16">
        <v>30.48</v>
      </c>
      <c r="M965" s="16">
        <v>0</v>
      </c>
      <c r="N965">
        <f t="array" aca="1" ref="N965" ca="1">MATCH(TRUE,EXACT(I965,OFFSET(rngParamTypes,0,6,,1)),0)</f>
        <v>158</v>
      </c>
      <c r="O965" t="str">
        <f ca="1">IF((INDEX(rngParamTypes,$N965,7)=I965),"",1)</f>
        <v/>
      </c>
      <c r="P965">
        <f ca="1">INDEX(rngParamTypes,$N965,9)</f>
        <v>1</v>
      </c>
      <c r="Q965">
        <f ca="1">INDEX(rngParamTypes,$N965,10)</f>
        <v>-2</v>
      </c>
      <c r="R965">
        <f ca="1">INDEX(rngParamTypes,$N965,11)</f>
        <v>-2</v>
      </c>
      <c r="S965">
        <f ca="1">INDEX(rngParamTypes,$N965,12)</f>
        <v>0</v>
      </c>
      <c r="T965">
        <f ca="1">INDEX(rngParamTypes,$N965,13)</f>
        <v>0</v>
      </c>
      <c r="U965">
        <f ca="1">INDEX(rngParamTypes,$N965,14)</f>
        <v>0</v>
      </c>
      <c r="V965">
        <f ca="1">INDEX(rngParamTypes,$N965,15)</f>
        <v>0</v>
      </c>
      <c r="W965">
        <f ca="1">INDEX(rngParamTypes,$N965,16)</f>
        <v>0</v>
      </c>
      <c r="X965">
        <f ca="1">INDEX(rngParamTypes,$N965,17)</f>
        <v>0</v>
      </c>
      <c r="Y965">
        <f ca="1">INDEX(rngParamTypes,$N965,18)</f>
        <v>0</v>
      </c>
    </row>
    <row r="966" spans="1:25" x14ac:dyDescent="0.2">
      <c r="A966" s="16">
        <v>965</v>
      </c>
      <c r="B966" s="37">
        <v>1</v>
      </c>
      <c r="C966" s="16" t="s">
        <v>2531</v>
      </c>
      <c r="D966" s="16" t="s">
        <v>2531</v>
      </c>
      <c r="E966" s="16"/>
      <c r="F966" s="16" t="s">
        <v>4092</v>
      </c>
      <c r="G966" s="16" t="s">
        <v>3273</v>
      </c>
      <c r="H966" s="16" t="s">
        <v>2530</v>
      </c>
      <c r="I966" s="16" t="s">
        <v>391</v>
      </c>
      <c r="J966" s="16">
        <v>0</v>
      </c>
      <c r="K966" s="16">
        <v>6894.7569999999996</v>
      </c>
      <c r="L966" s="16">
        <v>0.30480000000000002</v>
      </c>
      <c r="M966" s="16">
        <v>0</v>
      </c>
      <c r="N966">
        <f t="array" aca="1" ref="N966" ca="1">MATCH(TRUE,EXACT(I966,OFFSET(rngParamTypes,0,6,,1)),0)</f>
        <v>158</v>
      </c>
      <c r="O966" t="str">
        <f ca="1">IF((INDEX(rngParamTypes,$N966,7)=I966),"",1)</f>
        <v/>
      </c>
      <c r="P966">
        <f ca="1">INDEX(rngParamTypes,$N966,9)</f>
        <v>1</v>
      </c>
      <c r="Q966">
        <f ca="1">INDEX(rngParamTypes,$N966,10)</f>
        <v>-2</v>
      </c>
      <c r="R966">
        <f ca="1">INDEX(rngParamTypes,$N966,11)</f>
        <v>-2</v>
      </c>
      <c r="S966">
        <f ca="1">INDEX(rngParamTypes,$N966,12)</f>
        <v>0</v>
      </c>
      <c r="T966">
        <f ca="1">INDEX(rngParamTypes,$N966,13)</f>
        <v>0</v>
      </c>
      <c r="U966">
        <f ca="1">INDEX(rngParamTypes,$N966,14)</f>
        <v>0</v>
      </c>
      <c r="V966">
        <f ca="1">INDEX(rngParamTypes,$N966,15)</f>
        <v>0</v>
      </c>
      <c r="W966">
        <f ca="1">INDEX(rngParamTypes,$N966,16)</f>
        <v>0</v>
      </c>
      <c r="X966">
        <f ca="1">INDEX(rngParamTypes,$N966,17)</f>
        <v>0</v>
      </c>
      <c r="Y966">
        <f ca="1">INDEX(rngParamTypes,$N966,18)</f>
        <v>0</v>
      </c>
    </row>
    <row r="967" spans="1:25" x14ac:dyDescent="0.2">
      <c r="A967" s="16">
        <v>966</v>
      </c>
      <c r="B967" s="37">
        <v>1</v>
      </c>
      <c r="C967" s="16" t="s">
        <v>2532</v>
      </c>
      <c r="D967" s="16" t="s">
        <v>2532</v>
      </c>
      <c r="E967" s="16"/>
      <c r="F967" s="16" t="s">
        <v>4357</v>
      </c>
      <c r="G967" s="16" t="s">
        <v>3273</v>
      </c>
      <c r="H967" s="16" t="s">
        <v>2528</v>
      </c>
      <c r="I967" s="16" t="s">
        <v>391</v>
      </c>
      <c r="J967" s="16">
        <v>0</v>
      </c>
      <c r="K967" s="16">
        <v>6894.7569999999996</v>
      </c>
      <c r="L967" s="16">
        <v>30.48</v>
      </c>
      <c r="M967" s="16">
        <v>0</v>
      </c>
      <c r="N967">
        <f t="array" aca="1" ref="N967" ca="1">MATCH(TRUE,EXACT(I967,OFFSET(rngParamTypes,0,6,,1)),0)</f>
        <v>158</v>
      </c>
      <c r="O967" t="str">
        <f ca="1">IF((INDEX(rngParamTypes,$N967,7)=I967),"",1)</f>
        <v/>
      </c>
      <c r="P967">
        <f ca="1">INDEX(rngParamTypes,$N967,9)</f>
        <v>1</v>
      </c>
      <c r="Q967">
        <f ca="1">INDEX(rngParamTypes,$N967,10)</f>
        <v>-2</v>
      </c>
      <c r="R967">
        <f ca="1">INDEX(rngParamTypes,$N967,11)</f>
        <v>-2</v>
      </c>
      <c r="S967">
        <f ca="1">INDEX(rngParamTypes,$N967,12)</f>
        <v>0</v>
      </c>
      <c r="T967">
        <f ca="1">INDEX(rngParamTypes,$N967,13)</f>
        <v>0</v>
      </c>
      <c r="U967">
        <f ca="1">INDEX(rngParamTypes,$N967,14)</f>
        <v>0</v>
      </c>
      <c r="V967">
        <f ca="1">INDEX(rngParamTypes,$N967,15)</f>
        <v>0</v>
      </c>
      <c r="W967">
        <f ca="1">INDEX(rngParamTypes,$N967,16)</f>
        <v>0</v>
      </c>
      <c r="X967">
        <f ca="1">INDEX(rngParamTypes,$N967,17)</f>
        <v>0</v>
      </c>
      <c r="Y967">
        <f ca="1">INDEX(rngParamTypes,$N967,18)</f>
        <v>0</v>
      </c>
    </row>
    <row r="968" spans="1:25" x14ac:dyDescent="0.2">
      <c r="A968" s="16">
        <v>967</v>
      </c>
      <c r="B968" s="37">
        <v>1</v>
      </c>
      <c r="C968" s="16" t="s">
        <v>2534</v>
      </c>
      <c r="D968" s="16" t="s">
        <v>2534</v>
      </c>
      <c r="E968" s="16"/>
      <c r="F968" s="16" t="s">
        <v>4093</v>
      </c>
      <c r="G968" s="16" t="s">
        <v>435</v>
      </c>
      <c r="H968" s="16" t="s">
        <v>2533</v>
      </c>
      <c r="I968" s="16" t="s">
        <v>436</v>
      </c>
      <c r="J968" s="16">
        <v>0</v>
      </c>
      <c r="K968" s="16">
        <v>6894.7569999999996</v>
      </c>
      <c r="L968" s="16">
        <v>3600</v>
      </c>
      <c r="M968" s="16">
        <v>0</v>
      </c>
      <c r="N968">
        <f t="array" aca="1" ref="N968" ca="1">MATCH(TRUE,EXACT(I968,OFFSET(rngParamTypes,0,6,,1)),0)</f>
        <v>175</v>
      </c>
      <c r="O968" t="str">
        <f ca="1">IF((INDEX(rngParamTypes,$N968,7)=I968),"",1)</f>
        <v/>
      </c>
      <c r="P968">
        <f ca="1">INDEX(rngParamTypes,$N968,9)</f>
        <v>1</v>
      </c>
      <c r="Q968">
        <f ca="1">INDEX(rngParamTypes,$N968,10)</f>
        <v>-1</v>
      </c>
      <c r="R968">
        <f ca="1">INDEX(rngParamTypes,$N968,11)</f>
        <v>-3</v>
      </c>
      <c r="S968">
        <f ca="1">INDEX(rngParamTypes,$N968,12)</f>
        <v>0</v>
      </c>
      <c r="T968">
        <f ca="1">INDEX(rngParamTypes,$N968,13)</f>
        <v>0</v>
      </c>
      <c r="U968">
        <f ca="1">INDEX(rngParamTypes,$N968,14)</f>
        <v>0</v>
      </c>
      <c r="V968">
        <f ca="1">INDEX(rngParamTypes,$N968,15)</f>
        <v>0</v>
      </c>
      <c r="W968">
        <f ca="1">INDEX(rngParamTypes,$N968,16)</f>
        <v>0</v>
      </c>
      <c r="X968">
        <f ca="1">INDEX(rngParamTypes,$N968,17)</f>
        <v>0</v>
      </c>
      <c r="Y968">
        <f ca="1">INDEX(rngParamTypes,$N968,18)</f>
        <v>0</v>
      </c>
    </row>
    <row r="969" spans="1:25" x14ac:dyDescent="0.2">
      <c r="A969" s="16">
        <v>968</v>
      </c>
      <c r="B969" s="37">
        <v>1</v>
      </c>
      <c r="C969" s="16" t="s">
        <v>2536</v>
      </c>
      <c r="D969" s="16" t="s">
        <v>2536</v>
      </c>
      <c r="E969" s="16"/>
      <c r="F969" s="16" t="s">
        <v>4094</v>
      </c>
      <c r="G969" s="16" t="s">
        <v>3273</v>
      </c>
      <c r="H969" s="16" t="s">
        <v>2535</v>
      </c>
      <c r="I969" s="16" t="s">
        <v>391</v>
      </c>
      <c r="J969" s="16">
        <v>0</v>
      </c>
      <c r="K969" s="16">
        <v>6894.7569999999996</v>
      </c>
      <c r="L969" s="16">
        <v>304.8</v>
      </c>
      <c r="M969" s="16">
        <v>0</v>
      </c>
      <c r="N969">
        <f t="array" aca="1" ref="N969" ca="1">MATCH(TRUE,EXACT(I969,OFFSET(rngParamTypes,0,6,,1)),0)</f>
        <v>158</v>
      </c>
      <c r="O969" t="str">
        <f ca="1">IF((INDEX(rngParamTypes,$N969,7)=I969),"",1)</f>
        <v/>
      </c>
      <c r="P969">
        <f ca="1">INDEX(rngParamTypes,$N969,9)</f>
        <v>1</v>
      </c>
      <c r="Q969">
        <f ca="1">INDEX(rngParamTypes,$N969,10)</f>
        <v>-2</v>
      </c>
      <c r="R969">
        <f ca="1">INDEX(rngParamTypes,$N969,11)</f>
        <v>-2</v>
      </c>
      <c r="S969">
        <f ca="1">INDEX(rngParamTypes,$N969,12)</f>
        <v>0</v>
      </c>
      <c r="T969">
        <f ca="1">INDEX(rngParamTypes,$N969,13)</f>
        <v>0</v>
      </c>
      <c r="U969">
        <f ca="1">INDEX(rngParamTypes,$N969,14)</f>
        <v>0</v>
      </c>
      <c r="V969">
        <f ca="1">INDEX(rngParamTypes,$N969,15)</f>
        <v>0</v>
      </c>
      <c r="W969">
        <f ca="1">INDEX(rngParamTypes,$N969,16)</f>
        <v>0</v>
      </c>
      <c r="X969">
        <f ca="1">INDEX(rngParamTypes,$N969,17)</f>
        <v>0</v>
      </c>
      <c r="Y969">
        <f ca="1">INDEX(rngParamTypes,$N969,18)</f>
        <v>0</v>
      </c>
    </row>
    <row r="970" spans="1:25" x14ac:dyDescent="0.2">
      <c r="A970" s="16">
        <v>969</v>
      </c>
      <c r="B970" s="37">
        <v>1</v>
      </c>
      <c r="C970" s="16" t="s">
        <v>2538</v>
      </c>
      <c r="D970" s="16" t="s">
        <v>2538</v>
      </c>
      <c r="E970" s="16"/>
      <c r="F970" s="16" t="s">
        <v>4095</v>
      </c>
      <c r="G970" s="16" t="s">
        <v>3273</v>
      </c>
      <c r="H970" s="16" t="s">
        <v>2537</v>
      </c>
      <c r="I970" s="16" t="s">
        <v>391</v>
      </c>
      <c r="J970" s="16">
        <v>0</v>
      </c>
      <c r="K970" s="16">
        <v>6894.7569999999996</v>
      </c>
      <c r="L970" s="16">
        <v>1</v>
      </c>
      <c r="M970" s="16">
        <v>0</v>
      </c>
      <c r="N970">
        <f t="array" aca="1" ref="N970" ca="1">MATCH(TRUE,EXACT(I970,OFFSET(rngParamTypes,0,6,,1)),0)</f>
        <v>158</v>
      </c>
      <c r="O970" t="str">
        <f ca="1">IF((INDEX(rngParamTypes,$N970,7)=I970),"",1)</f>
        <v/>
      </c>
      <c r="P970">
        <f ca="1">INDEX(rngParamTypes,$N970,9)</f>
        <v>1</v>
      </c>
      <c r="Q970">
        <f ca="1">INDEX(rngParamTypes,$N970,10)</f>
        <v>-2</v>
      </c>
      <c r="R970">
        <f ca="1">INDEX(rngParamTypes,$N970,11)</f>
        <v>-2</v>
      </c>
      <c r="S970">
        <f ca="1">INDEX(rngParamTypes,$N970,12)</f>
        <v>0</v>
      </c>
      <c r="T970">
        <f ca="1">INDEX(rngParamTypes,$N970,13)</f>
        <v>0</v>
      </c>
      <c r="U970">
        <f ca="1">INDEX(rngParamTypes,$N970,14)</f>
        <v>0</v>
      </c>
      <c r="V970">
        <f ca="1">INDEX(rngParamTypes,$N970,15)</f>
        <v>0</v>
      </c>
      <c r="W970">
        <f ca="1">INDEX(rngParamTypes,$N970,16)</f>
        <v>0</v>
      </c>
      <c r="X970">
        <f ca="1">INDEX(rngParamTypes,$N970,17)</f>
        <v>0</v>
      </c>
      <c r="Y970">
        <f ca="1">INDEX(rngParamTypes,$N970,18)</f>
        <v>0</v>
      </c>
    </row>
    <row r="971" spans="1:25" x14ac:dyDescent="0.2">
      <c r="A971" s="16">
        <v>970</v>
      </c>
      <c r="B971" s="37">
        <v>1</v>
      </c>
      <c r="C971" s="16" t="s">
        <v>2540</v>
      </c>
      <c r="D971" s="16" t="s">
        <v>2540</v>
      </c>
      <c r="E971" s="16"/>
      <c r="F971" s="16" t="s">
        <v>4096</v>
      </c>
      <c r="G971" s="16" t="s">
        <v>435</v>
      </c>
      <c r="H971" s="16" t="s">
        <v>2539</v>
      </c>
      <c r="I971" s="16" t="s">
        <v>436</v>
      </c>
      <c r="J971" s="16">
        <v>0</v>
      </c>
      <c r="K971" s="16">
        <v>6894.7569999999996</v>
      </c>
      <c r="L971" s="16">
        <v>60</v>
      </c>
      <c r="M971" s="16">
        <v>0</v>
      </c>
      <c r="N971">
        <f t="array" aca="1" ref="N971" ca="1">MATCH(TRUE,EXACT(I971,OFFSET(rngParamTypes,0,6,,1)),0)</f>
        <v>175</v>
      </c>
      <c r="O971" t="str">
        <f ca="1">IF((INDEX(rngParamTypes,$N971,7)=I971),"",1)</f>
        <v/>
      </c>
      <c r="P971">
        <f ca="1">INDEX(rngParamTypes,$N971,9)</f>
        <v>1</v>
      </c>
      <c r="Q971">
        <f ca="1">INDEX(rngParamTypes,$N971,10)</f>
        <v>-1</v>
      </c>
      <c r="R971">
        <f ca="1">INDEX(rngParamTypes,$N971,11)</f>
        <v>-3</v>
      </c>
      <c r="S971">
        <f ca="1">INDEX(rngParamTypes,$N971,12)</f>
        <v>0</v>
      </c>
      <c r="T971">
        <f ca="1">INDEX(rngParamTypes,$N971,13)</f>
        <v>0</v>
      </c>
      <c r="U971">
        <f ca="1">INDEX(rngParamTypes,$N971,14)</f>
        <v>0</v>
      </c>
      <c r="V971">
        <f ca="1">INDEX(rngParamTypes,$N971,15)</f>
        <v>0</v>
      </c>
      <c r="W971">
        <f ca="1">INDEX(rngParamTypes,$N971,16)</f>
        <v>0</v>
      </c>
      <c r="X971">
        <f ca="1">INDEX(rngParamTypes,$N971,17)</f>
        <v>0</v>
      </c>
      <c r="Y971">
        <f ca="1">INDEX(rngParamTypes,$N971,18)</f>
        <v>0</v>
      </c>
    </row>
    <row r="972" spans="1:25" x14ac:dyDescent="0.2">
      <c r="A972" s="16">
        <v>971</v>
      </c>
      <c r="B972" s="37">
        <v>1</v>
      </c>
      <c r="C972" s="16" t="s">
        <v>2542</v>
      </c>
      <c r="D972" s="16" t="s">
        <v>2542</v>
      </c>
      <c r="E972" s="16"/>
      <c r="F972" s="16" t="s">
        <v>4097</v>
      </c>
      <c r="G972" s="16" t="s">
        <v>438</v>
      </c>
      <c r="H972" s="16" t="s">
        <v>2541</v>
      </c>
      <c r="I972" s="16" t="s">
        <v>439</v>
      </c>
      <c r="J972" s="16">
        <v>0</v>
      </c>
      <c r="K972" s="16">
        <v>47537674</v>
      </c>
      <c r="L972" s="16">
        <v>1</v>
      </c>
      <c r="M972" s="16">
        <v>0</v>
      </c>
      <c r="N972">
        <f t="array" aca="1" ref="N972" ca="1">MATCH(TRUE,EXACT(I972,OFFSET(rngParamTypes,0,6,,1)),0)</f>
        <v>176</v>
      </c>
      <c r="O972" t="str">
        <f ca="1">IF((INDEX(rngParamTypes,$N972,7)=I972),"",1)</f>
        <v/>
      </c>
      <c r="P972">
        <f ca="1">INDEX(rngParamTypes,$N972,9)</f>
        <v>2</v>
      </c>
      <c r="Q972">
        <f ca="1">INDEX(rngParamTypes,$N972,10)</f>
        <v>-2</v>
      </c>
      <c r="R972">
        <f ca="1">INDEX(rngParamTypes,$N972,11)</f>
        <v>-4</v>
      </c>
      <c r="S972">
        <f ca="1">INDEX(rngParamTypes,$N972,12)</f>
        <v>0</v>
      </c>
      <c r="T972">
        <f ca="1">INDEX(rngParamTypes,$N972,13)</f>
        <v>0</v>
      </c>
      <c r="U972">
        <f ca="1">INDEX(rngParamTypes,$N972,14)</f>
        <v>0</v>
      </c>
      <c r="V972">
        <f ca="1">INDEX(rngParamTypes,$N972,15)</f>
        <v>0</v>
      </c>
      <c r="W972">
        <f ca="1">INDEX(rngParamTypes,$N972,16)</f>
        <v>0</v>
      </c>
      <c r="X972">
        <f ca="1">INDEX(rngParamTypes,$N972,17)</f>
        <v>0</v>
      </c>
      <c r="Y972">
        <f ca="1">INDEX(rngParamTypes,$N972,18)</f>
        <v>0</v>
      </c>
    </row>
    <row r="973" spans="1:25" x14ac:dyDescent="0.2">
      <c r="A973" s="16">
        <v>972</v>
      </c>
      <c r="B973" s="37">
        <v>1</v>
      </c>
      <c r="C973" s="16" t="s">
        <v>2544</v>
      </c>
      <c r="D973" s="16" t="s">
        <v>2544</v>
      </c>
      <c r="E973" s="16"/>
      <c r="F973" s="16" t="s">
        <v>4098</v>
      </c>
      <c r="G973" s="16" t="s">
        <v>432</v>
      </c>
      <c r="H973" s="16" t="s">
        <v>2543</v>
      </c>
      <c r="I973" s="16" t="s">
        <v>433</v>
      </c>
      <c r="J973" s="16">
        <v>0</v>
      </c>
      <c r="K973" s="16">
        <v>4107255041294</v>
      </c>
      <c r="L973" s="16">
        <v>2.8316847000000002E-5</v>
      </c>
      <c r="M973" s="16">
        <v>0</v>
      </c>
      <c r="N973">
        <f t="array" aca="1" ref="N973" ca="1">MATCH(TRUE,EXACT(I973,OFFSET(rngParamTypes,0,6,,1)),0)</f>
        <v>174</v>
      </c>
      <c r="O973" t="str">
        <f ca="1">IF((INDEX(rngParamTypes,$N973,7)=I973),"",1)</f>
        <v/>
      </c>
      <c r="P973">
        <f ca="1">INDEX(rngParamTypes,$N973,9)</f>
        <v>1</v>
      </c>
      <c r="Q973">
        <f ca="1">INDEX(rngParamTypes,$N973,10)</f>
        <v>-4</v>
      </c>
      <c r="R973">
        <f ca="1">INDEX(rngParamTypes,$N973,11)</f>
        <v>-2</v>
      </c>
      <c r="S973">
        <f ca="1">INDEX(rngParamTypes,$N973,12)</f>
        <v>0</v>
      </c>
      <c r="T973">
        <f ca="1">INDEX(rngParamTypes,$N973,13)</f>
        <v>0</v>
      </c>
      <c r="U973">
        <f ca="1">INDEX(rngParamTypes,$N973,14)</f>
        <v>0</v>
      </c>
      <c r="V973">
        <f ca="1">INDEX(rngParamTypes,$N973,15)</f>
        <v>0</v>
      </c>
      <c r="W973">
        <f ca="1">INDEX(rngParamTypes,$N973,16)</f>
        <v>0</v>
      </c>
      <c r="X973">
        <f ca="1">INDEX(rngParamTypes,$N973,17)</f>
        <v>0</v>
      </c>
      <c r="Y973">
        <f ca="1">INDEX(rngParamTypes,$N973,18)</f>
        <v>0</v>
      </c>
    </row>
    <row r="974" spans="1:25" x14ac:dyDescent="0.2">
      <c r="A974" s="16">
        <v>973</v>
      </c>
      <c r="B974" s="37">
        <v>1</v>
      </c>
      <c r="C974" s="16" t="s">
        <v>2545</v>
      </c>
      <c r="D974" s="16" t="s">
        <v>2545</v>
      </c>
      <c r="E974" s="16"/>
      <c r="F974" s="16" t="s">
        <v>4099</v>
      </c>
      <c r="G974" s="16" t="s">
        <v>432</v>
      </c>
      <c r="H974" s="16" t="s">
        <v>2543</v>
      </c>
      <c r="I974" s="16" t="s">
        <v>433</v>
      </c>
      <c r="J974" s="16">
        <v>0</v>
      </c>
      <c r="K974" s="16">
        <v>4107255041294</v>
      </c>
      <c r="L974" s="16">
        <v>2.8316847000000002E-5</v>
      </c>
      <c r="M974" s="16">
        <v>0</v>
      </c>
      <c r="N974">
        <f t="array" aca="1" ref="N974" ca="1">MATCH(TRUE,EXACT(I974,OFFSET(rngParamTypes,0,6,,1)),0)</f>
        <v>174</v>
      </c>
      <c r="O974" t="str">
        <f ca="1">IF((INDEX(rngParamTypes,$N974,7)=I974),"",1)</f>
        <v/>
      </c>
      <c r="P974">
        <f ca="1">INDEX(rngParamTypes,$N974,9)</f>
        <v>1</v>
      </c>
      <c r="Q974">
        <f ca="1">INDEX(rngParamTypes,$N974,10)</f>
        <v>-4</v>
      </c>
      <c r="R974">
        <f ca="1">INDEX(rngParamTypes,$N974,11)</f>
        <v>-2</v>
      </c>
      <c r="S974">
        <f ca="1">INDEX(rngParamTypes,$N974,12)</f>
        <v>0</v>
      </c>
      <c r="T974">
        <f ca="1">INDEX(rngParamTypes,$N974,13)</f>
        <v>0</v>
      </c>
      <c r="U974">
        <f ca="1">INDEX(rngParamTypes,$N974,14)</f>
        <v>0</v>
      </c>
      <c r="V974">
        <f ca="1">INDEX(rngParamTypes,$N974,15)</f>
        <v>0</v>
      </c>
      <c r="W974">
        <f ca="1">INDEX(rngParamTypes,$N974,16)</f>
        <v>0</v>
      </c>
      <c r="X974">
        <f ca="1">INDEX(rngParamTypes,$N974,17)</f>
        <v>0</v>
      </c>
      <c r="Y974">
        <f ca="1">INDEX(rngParamTypes,$N974,18)</f>
        <v>0</v>
      </c>
    </row>
    <row r="975" spans="1:25" x14ac:dyDescent="0.2">
      <c r="A975" s="16">
        <v>974</v>
      </c>
      <c r="B975" s="37">
        <v>1</v>
      </c>
      <c r="C975" s="16" t="s">
        <v>2547</v>
      </c>
      <c r="D975" s="16" t="s">
        <v>2547</v>
      </c>
      <c r="E975" s="16"/>
      <c r="F975" s="16" t="s">
        <v>4100</v>
      </c>
      <c r="G975" s="16" t="s">
        <v>427</v>
      </c>
      <c r="H975" s="16" t="s">
        <v>2546</v>
      </c>
      <c r="I975" s="16" t="s">
        <v>428</v>
      </c>
      <c r="J975" s="16">
        <v>0</v>
      </c>
      <c r="K975" s="16">
        <v>3.5486698355E+17</v>
      </c>
      <c r="L975" s="16">
        <v>8.0184379999999995E-7</v>
      </c>
      <c r="M975" s="16">
        <v>0</v>
      </c>
      <c r="N975">
        <f t="array" aca="1" ref="N975" ca="1">MATCH(TRUE,EXACT(I975,OFFSET(rngParamTypes,0,6,,1)),0)</f>
        <v>173</v>
      </c>
      <c r="O975" t="str">
        <f ca="1">IF((INDEX(rngParamTypes,$N975,7)=I975),"",1)</f>
        <v/>
      </c>
      <c r="P975">
        <f ca="1">INDEX(rngParamTypes,$N975,9)</f>
        <v>1</v>
      </c>
      <c r="Q975">
        <f ca="1">INDEX(rngParamTypes,$N975,10)</f>
        <v>-7</v>
      </c>
      <c r="R975">
        <f ca="1">INDEX(rngParamTypes,$N975,11)</f>
        <v>-1</v>
      </c>
      <c r="S975">
        <f ca="1">INDEX(rngParamTypes,$N975,12)</f>
        <v>0</v>
      </c>
      <c r="T975">
        <f ca="1">INDEX(rngParamTypes,$N975,13)</f>
        <v>0</v>
      </c>
      <c r="U975">
        <f ca="1">INDEX(rngParamTypes,$N975,14)</f>
        <v>0</v>
      </c>
      <c r="V975">
        <f ca="1">INDEX(rngParamTypes,$N975,15)</f>
        <v>0</v>
      </c>
      <c r="W975">
        <f ca="1">INDEX(rngParamTypes,$N975,16)</f>
        <v>0</v>
      </c>
      <c r="X975">
        <f ca="1">INDEX(rngParamTypes,$N975,17)</f>
        <v>0</v>
      </c>
      <c r="Y975">
        <f ca="1">INDEX(rngParamTypes,$N975,18)</f>
        <v>0</v>
      </c>
    </row>
    <row r="976" spans="1:25" x14ac:dyDescent="0.2">
      <c r="A976" s="16">
        <v>975</v>
      </c>
      <c r="B976" s="37">
        <v>1</v>
      </c>
      <c r="C976" s="16" t="s">
        <v>2548</v>
      </c>
      <c r="D976" s="16" t="s">
        <v>2548</v>
      </c>
      <c r="E976" s="16"/>
      <c r="F976" s="16" t="s">
        <v>4101</v>
      </c>
      <c r="G976" s="16" t="s">
        <v>427</v>
      </c>
      <c r="H976" s="16" t="s">
        <v>2546</v>
      </c>
      <c r="I976" s="16" t="s">
        <v>428</v>
      </c>
      <c r="J976" s="16">
        <v>0</v>
      </c>
      <c r="K976" s="16">
        <v>3.5486698355E+17</v>
      </c>
      <c r="L976" s="16">
        <v>8.0184379999999995E-7</v>
      </c>
      <c r="M976" s="16">
        <v>0</v>
      </c>
      <c r="N976">
        <f t="array" aca="1" ref="N976" ca="1">MATCH(TRUE,EXACT(I976,OFFSET(rngParamTypes,0,6,,1)),0)</f>
        <v>173</v>
      </c>
      <c r="O976" t="str">
        <f ca="1">IF((INDEX(rngParamTypes,$N976,7)=I976),"",1)</f>
        <v/>
      </c>
      <c r="P976">
        <f ca="1">INDEX(rngParamTypes,$N976,9)</f>
        <v>1</v>
      </c>
      <c r="Q976">
        <f ca="1">INDEX(rngParamTypes,$N976,10)</f>
        <v>-7</v>
      </c>
      <c r="R976">
        <f ca="1">INDEX(rngParamTypes,$N976,11)</f>
        <v>-1</v>
      </c>
      <c r="S976">
        <f ca="1">INDEX(rngParamTypes,$N976,12)</f>
        <v>0</v>
      </c>
      <c r="T976">
        <f ca="1">INDEX(rngParamTypes,$N976,13)</f>
        <v>0</v>
      </c>
      <c r="U976">
        <f ca="1">INDEX(rngParamTypes,$N976,14)</f>
        <v>0</v>
      </c>
      <c r="V976">
        <f ca="1">INDEX(rngParamTypes,$N976,15)</f>
        <v>0</v>
      </c>
      <c r="W976">
        <f ca="1">INDEX(rngParamTypes,$N976,16)</f>
        <v>0</v>
      </c>
      <c r="X976">
        <f ca="1">INDEX(rngParamTypes,$N976,17)</f>
        <v>0</v>
      </c>
      <c r="Y976">
        <f ca="1">INDEX(rngParamTypes,$N976,18)</f>
        <v>0</v>
      </c>
    </row>
    <row r="977" spans="1:25" x14ac:dyDescent="0.2">
      <c r="A977" s="16">
        <v>976</v>
      </c>
      <c r="B977" s="37">
        <v>1</v>
      </c>
      <c r="C977" s="16" t="s">
        <v>2550</v>
      </c>
      <c r="D977" s="16" t="s">
        <v>2550</v>
      </c>
      <c r="E977" s="16"/>
      <c r="F977" s="16" t="s">
        <v>4102</v>
      </c>
      <c r="G977" s="16" t="s">
        <v>736</v>
      </c>
      <c r="H977" s="16" t="s">
        <v>2549</v>
      </c>
      <c r="I977" s="16" t="s">
        <v>436</v>
      </c>
      <c r="J977" s="16">
        <v>0</v>
      </c>
      <c r="K977" s="16">
        <v>4753764090</v>
      </c>
      <c r="L977" s="16">
        <v>1</v>
      </c>
      <c r="M977" s="16">
        <v>0</v>
      </c>
      <c r="N977">
        <f t="array" aca="1" ref="N977" ca="1">MATCH(TRUE,EXACT(I977,OFFSET(rngParamTypes,0,6,,1)),0)</f>
        <v>175</v>
      </c>
      <c r="O977" t="str">
        <f ca="1">IF((INDEX(rngParamTypes,$N977,7)=I977),"",1)</f>
        <v/>
      </c>
      <c r="P977">
        <f ca="1">INDEX(rngParamTypes,$N977,9)</f>
        <v>1</v>
      </c>
      <c r="Q977">
        <f ca="1">INDEX(rngParamTypes,$N977,10)</f>
        <v>-1</v>
      </c>
      <c r="R977">
        <f ca="1">INDEX(rngParamTypes,$N977,11)</f>
        <v>-3</v>
      </c>
      <c r="S977">
        <f ca="1">INDEX(rngParamTypes,$N977,12)</f>
        <v>0</v>
      </c>
      <c r="T977">
        <f ca="1">INDEX(rngParamTypes,$N977,13)</f>
        <v>0</v>
      </c>
      <c r="U977">
        <f ca="1">INDEX(rngParamTypes,$N977,14)</f>
        <v>0</v>
      </c>
      <c r="V977">
        <f ca="1">INDEX(rngParamTypes,$N977,15)</f>
        <v>0</v>
      </c>
      <c r="W977">
        <f ca="1">INDEX(rngParamTypes,$N977,16)</f>
        <v>0</v>
      </c>
      <c r="X977">
        <f ca="1">INDEX(rngParamTypes,$N977,17)</f>
        <v>0</v>
      </c>
      <c r="Y977">
        <f ca="1">INDEX(rngParamTypes,$N977,18)</f>
        <v>0</v>
      </c>
    </row>
    <row r="978" spans="1:25" x14ac:dyDescent="0.2">
      <c r="A978" s="16">
        <v>977</v>
      </c>
      <c r="B978" s="37">
        <v>1</v>
      </c>
      <c r="C978" s="16" t="s">
        <v>2552</v>
      </c>
      <c r="D978" s="16" t="s">
        <v>2552</v>
      </c>
      <c r="E978" s="16">
        <v>2</v>
      </c>
      <c r="F978" s="16" t="s">
        <v>4103</v>
      </c>
      <c r="G978" s="16" t="s">
        <v>3270</v>
      </c>
      <c r="H978" s="16" t="s">
        <v>2551</v>
      </c>
      <c r="I978" s="16" t="s">
        <v>416</v>
      </c>
      <c r="J978" s="16">
        <v>0</v>
      </c>
      <c r="K978" s="16">
        <v>6894.7569999999996</v>
      </c>
      <c r="L978" s="16">
        <v>1</v>
      </c>
      <c r="M978" s="16">
        <v>0</v>
      </c>
      <c r="N978">
        <f t="array" aca="1" ref="N978" ca="1">MATCH(TRUE,EXACT(I978,OFFSET(rngParamTypes,0,6,,1)),0)</f>
        <v>167</v>
      </c>
      <c r="O978" t="str">
        <f ca="1">IF((INDEX(rngParamTypes,$N978,7)=I978),"",1)</f>
        <v/>
      </c>
      <c r="P978">
        <f ca="1">INDEX(rngParamTypes,$N978,9)</f>
        <v>1</v>
      </c>
      <c r="Q978">
        <f ca="1">INDEX(rngParamTypes,$N978,10)</f>
        <v>-1</v>
      </c>
      <c r="R978">
        <f ca="1">INDEX(rngParamTypes,$N978,11)</f>
        <v>-2</v>
      </c>
      <c r="S978">
        <f ca="1">INDEX(rngParamTypes,$N978,12)</f>
        <v>0</v>
      </c>
      <c r="T978">
        <f ca="1">INDEX(rngParamTypes,$N978,13)</f>
        <v>0</v>
      </c>
      <c r="U978">
        <f ca="1">INDEX(rngParamTypes,$N978,14)</f>
        <v>0</v>
      </c>
      <c r="V978">
        <f ca="1">INDEX(rngParamTypes,$N978,15)</f>
        <v>0</v>
      </c>
      <c r="W978">
        <f ca="1">INDEX(rngParamTypes,$N978,16)</f>
        <v>0</v>
      </c>
      <c r="X978">
        <f ca="1">INDEX(rngParamTypes,$N978,17)</f>
        <v>0</v>
      </c>
      <c r="Y978">
        <f ca="1">INDEX(rngParamTypes,$N978,18)</f>
        <v>0</v>
      </c>
    </row>
    <row r="979" spans="1:25" x14ac:dyDescent="0.2">
      <c r="A979" s="16">
        <v>978</v>
      </c>
      <c r="B979" s="37">
        <v>1</v>
      </c>
      <c r="C979" s="16" t="s">
        <v>2554</v>
      </c>
      <c r="D979" s="16" t="s">
        <v>2554</v>
      </c>
      <c r="E979" s="16">
        <v>2</v>
      </c>
      <c r="F979" s="16" t="s">
        <v>4104</v>
      </c>
      <c r="G979" s="16" t="s">
        <v>3270</v>
      </c>
      <c r="H979" s="16" t="s">
        <v>2553</v>
      </c>
      <c r="I979" s="16" t="s">
        <v>416</v>
      </c>
      <c r="J979" s="16">
        <v>101325</v>
      </c>
      <c r="K979" s="16">
        <v>6894.7569999999996</v>
      </c>
      <c r="L979" s="16">
        <v>1</v>
      </c>
      <c r="M979" s="16">
        <v>0</v>
      </c>
      <c r="N979">
        <f t="array" aca="1" ref="N979" ca="1">MATCH(TRUE,EXACT(I979,OFFSET(rngParamTypes,0,6,,1)),0)</f>
        <v>167</v>
      </c>
      <c r="O979" t="str">
        <f ca="1">IF((INDEX(rngParamTypes,$N979,7)=I979),"",1)</f>
        <v/>
      </c>
      <c r="P979">
        <f ca="1">INDEX(rngParamTypes,$N979,9)</f>
        <v>1</v>
      </c>
      <c r="Q979">
        <f ca="1">INDEX(rngParamTypes,$N979,10)</f>
        <v>-1</v>
      </c>
      <c r="R979">
        <f ca="1">INDEX(rngParamTypes,$N979,11)</f>
        <v>-2</v>
      </c>
      <c r="S979">
        <f ca="1">INDEX(rngParamTypes,$N979,12)</f>
        <v>0</v>
      </c>
      <c r="T979">
        <f ca="1">INDEX(rngParamTypes,$N979,13)</f>
        <v>0</v>
      </c>
      <c r="U979">
        <f ca="1">INDEX(rngParamTypes,$N979,14)</f>
        <v>0</v>
      </c>
      <c r="V979">
        <f ca="1">INDEX(rngParamTypes,$N979,15)</f>
        <v>0</v>
      </c>
      <c r="W979">
        <f ca="1">INDEX(rngParamTypes,$N979,16)</f>
        <v>0</v>
      </c>
      <c r="X979">
        <f ca="1">INDEX(rngParamTypes,$N979,17)</f>
        <v>0</v>
      </c>
      <c r="Y979">
        <f ca="1">INDEX(rngParamTypes,$N979,18)</f>
        <v>0</v>
      </c>
    </row>
    <row r="980" spans="1:25" x14ac:dyDescent="0.2">
      <c r="A980" s="16">
        <v>979</v>
      </c>
      <c r="B980" s="37">
        <v>1</v>
      </c>
      <c r="C980" s="16" t="s">
        <v>2556</v>
      </c>
      <c r="D980" s="16" t="s">
        <v>2556</v>
      </c>
      <c r="E980" s="16">
        <v>2</v>
      </c>
      <c r="F980" s="16" t="s">
        <v>4105</v>
      </c>
      <c r="G980" s="16" t="s">
        <v>321</v>
      </c>
      <c r="H980" s="16" t="s">
        <v>2555</v>
      </c>
      <c r="I980" s="16" t="s">
        <v>322</v>
      </c>
      <c r="J980" s="16">
        <v>0</v>
      </c>
      <c r="K980" s="16">
        <v>5.6826149999999998E-4</v>
      </c>
      <c r="L980" s="16">
        <v>1</v>
      </c>
      <c r="M980" s="16">
        <v>0</v>
      </c>
      <c r="N980">
        <f t="array" aca="1" ref="N980" ca="1">MATCH(TRUE,EXACT(I980,OFFSET(rngParamTypes,0,6,,1)),0)</f>
        <v>134</v>
      </c>
      <c r="O980" t="str">
        <f ca="1">IF((INDEX(rngParamTypes,$N980,7)=I980),"",1)</f>
        <v/>
      </c>
      <c r="P980">
        <f ca="1">INDEX(rngParamTypes,$N980,9)</f>
        <v>0</v>
      </c>
      <c r="Q980">
        <f ca="1">INDEX(rngParamTypes,$N980,10)</f>
        <v>3</v>
      </c>
      <c r="R980">
        <f ca="1">INDEX(rngParamTypes,$N980,11)</f>
        <v>0</v>
      </c>
      <c r="S980">
        <f ca="1">INDEX(rngParamTypes,$N980,12)</f>
        <v>0</v>
      </c>
      <c r="T980">
        <f ca="1">INDEX(rngParamTypes,$N980,13)</f>
        <v>0</v>
      </c>
      <c r="U980">
        <f ca="1">INDEX(rngParamTypes,$N980,14)</f>
        <v>0</v>
      </c>
      <c r="V980">
        <f ca="1">INDEX(rngParamTypes,$N980,15)</f>
        <v>0</v>
      </c>
      <c r="W980">
        <f ca="1">INDEX(rngParamTypes,$N980,16)</f>
        <v>0</v>
      </c>
      <c r="X980">
        <f ca="1">INDEX(rngParamTypes,$N980,17)</f>
        <v>0</v>
      </c>
      <c r="Y980">
        <f ca="1">INDEX(rngParamTypes,$N980,18)</f>
        <v>0</v>
      </c>
    </row>
    <row r="981" spans="1:25" x14ac:dyDescent="0.2">
      <c r="A981" s="16">
        <v>980</v>
      </c>
      <c r="B981" s="37">
        <v>1</v>
      </c>
      <c r="C981" s="16" t="s">
        <v>2558</v>
      </c>
      <c r="D981" s="16" t="s">
        <v>2558</v>
      </c>
      <c r="E981" s="16"/>
      <c r="F981" s="16" t="s">
        <v>4106</v>
      </c>
      <c r="G981" s="16" t="s">
        <v>324</v>
      </c>
      <c r="H981" s="16" t="s">
        <v>2557</v>
      </c>
      <c r="I981" s="16" t="s">
        <v>325</v>
      </c>
      <c r="J981" s="16">
        <v>0</v>
      </c>
      <c r="K981" s="16">
        <v>2.1168089999999999E-10</v>
      </c>
      <c r="L981" s="16">
        <v>1</v>
      </c>
      <c r="M981" s="16">
        <v>0</v>
      </c>
      <c r="N981">
        <f t="array" aca="1" ref="N981" ca="1">MATCH(TRUE,EXACT(I981,OFFSET(rngParamTypes,0,6,,1)),0)</f>
        <v>135</v>
      </c>
      <c r="O981" t="str">
        <f ca="1">IF((INDEX(rngParamTypes,$N981,7)=I981),"",1)</f>
        <v/>
      </c>
      <c r="P981">
        <f ca="1">INDEX(rngParamTypes,$N981,9)</f>
        <v>-1</v>
      </c>
      <c r="Q981">
        <f ca="1">INDEX(rngParamTypes,$N981,10)</f>
        <v>1</v>
      </c>
      <c r="R981">
        <f ca="1">INDEX(rngParamTypes,$N981,11)</f>
        <v>2</v>
      </c>
      <c r="S981">
        <f ca="1">INDEX(rngParamTypes,$N981,12)</f>
        <v>0</v>
      </c>
      <c r="T981">
        <f ca="1">INDEX(rngParamTypes,$N981,13)</f>
        <v>0</v>
      </c>
      <c r="U981">
        <f ca="1">INDEX(rngParamTypes,$N981,14)</f>
        <v>0</v>
      </c>
      <c r="V981">
        <f ca="1">INDEX(rngParamTypes,$N981,15)</f>
        <v>0</v>
      </c>
      <c r="W981">
        <f ca="1">INDEX(rngParamTypes,$N981,16)</f>
        <v>0</v>
      </c>
      <c r="X981">
        <f ca="1">INDEX(rngParamTypes,$N981,17)</f>
        <v>0</v>
      </c>
      <c r="Y981">
        <f ca="1">INDEX(rngParamTypes,$N981,18)</f>
        <v>0</v>
      </c>
    </row>
    <row r="982" spans="1:25" x14ac:dyDescent="0.2">
      <c r="A982" s="16">
        <v>981</v>
      </c>
      <c r="B982" s="37">
        <v>1</v>
      </c>
      <c r="C982" s="16" t="s">
        <v>2560</v>
      </c>
      <c r="D982" s="16" t="s">
        <v>2560</v>
      </c>
      <c r="E982" s="16"/>
      <c r="F982" s="16" t="s">
        <v>4107</v>
      </c>
      <c r="G982" s="16" t="s">
        <v>659</v>
      </c>
      <c r="H982" s="16" t="s">
        <v>2559</v>
      </c>
      <c r="I982" s="16" t="s">
        <v>131</v>
      </c>
      <c r="J982" s="16">
        <v>0</v>
      </c>
      <c r="K982" s="16">
        <v>5.6826149999999998E-4</v>
      </c>
      <c r="L982" s="16">
        <v>158.9873</v>
      </c>
      <c r="M982" s="16">
        <v>0</v>
      </c>
      <c r="N982">
        <f t="array" aca="1" ref="N982" ca="1">MATCH(TRUE,EXACT(I982,OFFSET(rngParamTypes,0,6,,1)),0)</f>
        <v>42</v>
      </c>
      <c r="O982" t="str">
        <f ca="1">IF((INDEX(rngParamTypes,$N982,7)=I982),"",1)</f>
        <v/>
      </c>
      <c r="P982">
        <f ca="1">INDEX(rngParamTypes,$N982,9)</f>
        <v>0</v>
      </c>
      <c r="Q982">
        <f ca="1">INDEX(rngParamTypes,$N982,10)</f>
        <v>0</v>
      </c>
      <c r="R982">
        <f ca="1">INDEX(rngParamTypes,$N982,11)</f>
        <v>0</v>
      </c>
      <c r="S982">
        <f ca="1">INDEX(rngParamTypes,$N982,12)</f>
        <v>0</v>
      </c>
      <c r="T982">
        <f ca="1">INDEX(rngParamTypes,$N982,13)</f>
        <v>0</v>
      </c>
      <c r="U982">
        <f ca="1">INDEX(rngParamTypes,$N982,14)</f>
        <v>0</v>
      </c>
      <c r="V982">
        <f ca="1">INDEX(rngParamTypes,$N982,15)</f>
        <v>0</v>
      </c>
      <c r="W982">
        <f ca="1">INDEX(rngParamTypes,$N982,16)</f>
        <v>0</v>
      </c>
      <c r="X982">
        <f ca="1">INDEX(rngParamTypes,$N982,17)</f>
        <v>0</v>
      </c>
      <c r="Y982">
        <f ca="1">INDEX(rngParamTypes,$N982,18)</f>
        <v>0</v>
      </c>
    </row>
    <row r="983" spans="1:25" x14ac:dyDescent="0.2">
      <c r="A983" s="16">
        <v>982</v>
      </c>
      <c r="B983" s="37">
        <v>1</v>
      </c>
      <c r="C983" s="16" t="s">
        <v>2562</v>
      </c>
      <c r="D983" s="16" t="s">
        <v>2562</v>
      </c>
      <c r="E983" s="16">
        <v>2</v>
      </c>
      <c r="F983" s="16" t="s">
        <v>4108</v>
      </c>
      <c r="G983" s="16" t="s">
        <v>321</v>
      </c>
      <c r="H983" s="16" t="s">
        <v>2561</v>
      </c>
      <c r="I983" s="16" t="s">
        <v>322</v>
      </c>
      <c r="J983" s="16">
        <v>0</v>
      </c>
      <c r="K983" s="16">
        <v>4.7317650000000002E-4</v>
      </c>
      <c r="L983" s="16">
        <v>1</v>
      </c>
      <c r="M983" s="16">
        <v>0</v>
      </c>
      <c r="N983">
        <f t="array" aca="1" ref="N983" ca="1">MATCH(TRUE,EXACT(I983,OFFSET(rngParamTypes,0,6,,1)),0)</f>
        <v>134</v>
      </c>
      <c r="O983" t="str">
        <f ca="1">IF((INDEX(rngParamTypes,$N983,7)=I983),"",1)</f>
        <v/>
      </c>
      <c r="P983">
        <f ca="1">INDEX(rngParamTypes,$N983,9)</f>
        <v>0</v>
      </c>
      <c r="Q983">
        <f ca="1">INDEX(rngParamTypes,$N983,10)</f>
        <v>3</v>
      </c>
      <c r="R983">
        <f ca="1">INDEX(rngParamTypes,$N983,11)</f>
        <v>0</v>
      </c>
      <c r="S983">
        <f ca="1">INDEX(rngParamTypes,$N983,12)</f>
        <v>0</v>
      </c>
      <c r="T983">
        <f ca="1">INDEX(rngParamTypes,$N983,13)</f>
        <v>0</v>
      </c>
      <c r="U983">
        <f ca="1">INDEX(rngParamTypes,$N983,14)</f>
        <v>0</v>
      </c>
      <c r="V983">
        <f ca="1">INDEX(rngParamTypes,$N983,15)</f>
        <v>0</v>
      </c>
      <c r="W983">
        <f ca="1">INDEX(rngParamTypes,$N983,16)</f>
        <v>0</v>
      </c>
      <c r="X983">
        <f ca="1">INDEX(rngParamTypes,$N983,17)</f>
        <v>0</v>
      </c>
      <c r="Y983">
        <f ca="1">INDEX(rngParamTypes,$N983,18)</f>
        <v>0</v>
      </c>
    </row>
    <row r="984" spans="1:25" x14ac:dyDescent="0.2">
      <c r="A984" s="16">
        <v>983</v>
      </c>
      <c r="B984" s="37">
        <v>1</v>
      </c>
      <c r="C984" s="16" t="s">
        <v>2564</v>
      </c>
      <c r="D984" s="16" t="s">
        <v>2564</v>
      </c>
      <c r="E984" s="16"/>
      <c r="F984" s="16" t="s">
        <v>4358</v>
      </c>
      <c r="G984" s="16" t="s">
        <v>659</v>
      </c>
      <c r="H984" s="16" t="s">
        <v>2563</v>
      </c>
      <c r="I984" s="16" t="s">
        <v>131</v>
      </c>
      <c r="J984" s="16">
        <v>0</v>
      </c>
      <c r="K984" s="16">
        <v>0.4731765</v>
      </c>
      <c r="L984" s="16">
        <v>1.589873E-2</v>
      </c>
      <c r="M984" s="16">
        <v>0</v>
      </c>
      <c r="N984">
        <f t="array" aca="1" ref="N984" ca="1">MATCH(TRUE,EXACT(I984,OFFSET(rngParamTypes,0,6,,1)),0)</f>
        <v>42</v>
      </c>
      <c r="O984" t="str">
        <f ca="1">IF((INDEX(rngParamTypes,$N984,7)=I984),"",1)</f>
        <v/>
      </c>
      <c r="P984">
        <f ca="1">INDEX(rngParamTypes,$N984,9)</f>
        <v>0</v>
      </c>
      <c r="Q984">
        <f ca="1">INDEX(rngParamTypes,$N984,10)</f>
        <v>0</v>
      </c>
      <c r="R984">
        <f ca="1">INDEX(rngParamTypes,$N984,11)</f>
        <v>0</v>
      </c>
      <c r="S984">
        <f ca="1">INDEX(rngParamTypes,$N984,12)</f>
        <v>0</v>
      </c>
      <c r="T984">
        <f ca="1">INDEX(rngParamTypes,$N984,13)</f>
        <v>0</v>
      </c>
      <c r="U984">
        <f ca="1">INDEX(rngParamTypes,$N984,14)</f>
        <v>0</v>
      </c>
      <c r="V984">
        <f ca="1">INDEX(rngParamTypes,$N984,15)</f>
        <v>0</v>
      </c>
      <c r="W984">
        <f ca="1">INDEX(rngParamTypes,$N984,16)</f>
        <v>0</v>
      </c>
      <c r="X984">
        <f ca="1">INDEX(rngParamTypes,$N984,17)</f>
        <v>0</v>
      </c>
      <c r="Y984">
        <f ca="1">INDEX(rngParamTypes,$N984,18)</f>
        <v>0</v>
      </c>
    </row>
    <row r="985" spans="1:25" x14ac:dyDescent="0.2">
      <c r="A985" s="16">
        <v>984</v>
      </c>
      <c r="B985" s="37">
        <v>1</v>
      </c>
      <c r="C985" s="16" t="s">
        <v>2566</v>
      </c>
      <c r="D985" s="16" t="s">
        <v>2566</v>
      </c>
      <c r="E985" s="16">
        <v>2</v>
      </c>
      <c r="F985" s="16" t="s">
        <v>4109</v>
      </c>
      <c r="G985" s="16" t="s">
        <v>321</v>
      </c>
      <c r="H985" s="16" t="s">
        <v>2565</v>
      </c>
      <c r="I985" s="16" t="s">
        <v>322</v>
      </c>
      <c r="J985" s="16">
        <v>0</v>
      </c>
      <c r="K985" s="16">
        <v>1.136523E-3</v>
      </c>
      <c r="L985" s="16">
        <v>1</v>
      </c>
      <c r="M985" s="16">
        <v>0</v>
      </c>
      <c r="N985">
        <f t="array" aca="1" ref="N985" ca="1">MATCH(TRUE,EXACT(I985,OFFSET(rngParamTypes,0,6,,1)),0)</f>
        <v>134</v>
      </c>
      <c r="O985" t="str">
        <f ca="1">IF((INDEX(rngParamTypes,$N985,7)=I985),"",1)</f>
        <v/>
      </c>
      <c r="P985">
        <f ca="1">INDEX(rngParamTypes,$N985,9)</f>
        <v>0</v>
      </c>
      <c r="Q985">
        <f ca="1">INDEX(rngParamTypes,$N985,10)</f>
        <v>3</v>
      </c>
      <c r="R985">
        <f ca="1">INDEX(rngParamTypes,$N985,11)</f>
        <v>0</v>
      </c>
      <c r="S985">
        <f ca="1">INDEX(rngParamTypes,$N985,12)</f>
        <v>0</v>
      </c>
      <c r="T985">
        <f ca="1">INDEX(rngParamTypes,$N985,13)</f>
        <v>0</v>
      </c>
      <c r="U985">
        <f ca="1">INDEX(rngParamTypes,$N985,14)</f>
        <v>0</v>
      </c>
      <c r="V985">
        <f ca="1">INDEX(rngParamTypes,$N985,15)</f>
        <v>0</v>
      </c>
      <c r="W985">
        <f ca="1">INDEX(rngParamTypes,$N985,16)</f>
        <v>0</v>
      </c>
      <c r="X985">
        <f ca="1">INDEX(rngParamTypes,$N985,17)</f>
        <v>0</v>
      </c>
      <c r="Y985">
        <f ca="1">INDEX(rngParamTypes,$N985,18)</f>
        <v>0</v>
      </c>
    </row>
    <row r="986" spans="1:25" x14ac:dyDescent="0.2">
      <c r="A986" s="16">
        <v>985</v>
      </c>
      <c r="B986" s="37">
        <v>1</v>
      </c>
      <c r="C986" s="16" t="s">
        <v>2568</v>
      </c>
      <c r="D986" s="16" t="s">
        <v>2568</v>
      </c>
      <c r="E986" s="16">
        <v>2</v>
      </c>
      <c r="F986" s="16" t="s">
        <v>4110</v>
      </c>
      <c r="G986" s="16" t="s">
        <v>321</v>
      </c>
      <c r="H986" s="16" t="s">
        <v>2567</v>
      </c>
      <c r="I986" s="16" t="s">
        <v>322</v>
      </c>
      <c r="J986" s="16">
        <v>0</v>
      </c>
      <c r="K986" s="16">
        <v>9.463529E-4</v>
      </c>
      <c r="L986" s="16">
        <v>1</v>
      </c>
      <c r="M986" s="16">
        <v>0</v>
      </c>
      <c r="N986">
        <f t="array" aca="1" ref="N986" ca="1">MATCH(TRUE,EXACT(I986,OFFSET(rngParamTypes,0,6,,1)),0)</f>
        <v>134</v>
      </c>
      <c r="O986" t="str">
        <f ca="1">IF((INDEX(rngParamTypes,$N986,7)=I986),"",1)</f>
        <v/>
      </c>
      <c r="P986">
        <f ca="1">INDEX(rngParamTypes,$N986,9)</f>
        <v>0</v>
      </c>
      <c r="Q986">
        <f ca="1">INDEX(rngParamTypes,$N986,10)</f>
        <v>3</v>
      </c>
      <c r="R986">
        <f ca="1">INDEX(rngParamTypes,$N986,11)</f>
        <v>0</v>
      </c>
      <c r="S986">
        <f ca="1">INDEX(rngParamTypes,$N986,12)</f>
        <v>0</v>
      </c>
      <c r="T986">
        <f ca="1">INDEX(rngParamTypes,$N986,13)</f>
        <v>0</v>
      </c>
      <c r="U986">
        <f ca="1">INDEX(rngParamTypes,$N986,14)</f>
        <v>0</v>
      </c>
      <c r="V986">
        <f ca="1">INDEX(rngParamTypes,$N986,15)</f>
        <v>0</v>
      </c>
      <c r="W986">
        <f ca="1">INDEX(rngParamTypes,$N986,16)</f>
        <v>0</v>
      </c>
      <c r="X986">
        <f ca="1">INDEX(rngParamTypes,$N986,17)</f>
        <v>0</v>
      </c>
      <c r="Y986">
        <f ca="1">INDEX(rngParamTypes,$N986,18)</f>
        <v>0</v>
      </c>
    </row>
    <row r="987" spans="1:25" x14ac:dyDescent="0.2">
      <c r="A987" s="16">
        <v>986</v>
      </c>
      <c r="B987" s="37">
        <v>1</v>
      </c>
      <c r="C987" s="16" t="s">
        <v>2570</v>
      </c>
      <c r="D987" s="16" t="s">
        <v>2570</v>
      </c>
      <c r="E987" s="16">
        <v>2</v>
      </c>
      <c r="F987" s="16" t="s">
        <v>4111</v>
      </c>
      <c r="G987" s="16" t="s">
        <v>3267</v>
      </c>
      <c r="H987" s="16" t="s">
        <v>2569</v>
      </c>
      <c r="I987" s="16" t="s">
        <v>168</v>
      </c>
      <c r="J987" s="16">
        <v>0</v>
      </c>
      <c r="K987" s="16">
        <v>1.055056E+18</v>
      </c>
      <c r="L987" s="16">
        <v>1</v>
      </c>
      <c r="M987" s="16">
        <v>0</v>
      </c>
      <c r="N987">
        <f t="array" aca="1" ref="N987" ca="1">MATCH(TRUE,EXACT(I987,OFFSET(rngParamTypes,0,6,,1)),0)</f>
        <v>56</v>
      </c>
      <c r="O987" t="str">
        <f ca="1">IF((INDEX(rngParamTypes,$N987,7)=I987),"",1)</f>
        <v/>
      </c>
      <c r="P987">
        <f ca="1">INDEX(rngParamTypes,$N987,9)</f>
        <v>1</v>
      </c>
      <c r="Q987">
        <f ca="1">INDEX(rngParamTypes,$N987,10)</f>
        <v>2</v>
      </c>
      <c r="R987">
        <f ca="1">INDEX(rngParamTypes,$N987,11)</f>
        <v>-2</v>
      </c>
      <c r="S987">
        <f ca="1">INDEX(rngParamTypes,$N987,12)</f>
        <v>0</v>
      </c>
      <c r="T987">
        <f ca="1">INDEX(rngParamTypes,$N987,13)</f>
        <v>0</v>
      </c>
      <c r="U987">
        <f ca="1">INDEX(rngParamTypes,$N987,14)</f>
        <v>0</v>
      </c>
      <c r="V987">
        <f ca="1">INDEX(rngParamTypes,$N987,15)</f>
        <v>0</v>
      </c>
      <c r="W987">
        <f ca="1">INDEX(rngParamTypes,$N987,16)</f>
        <v>0</v>
      </c>
      <c r="X987">
        <f ca="1">INDEX(rngParamTypes,$N987,17)</f>
        <v>0</v>
      </c>
      <c r="Y987">
        <f ca="1">INDEX(rngParamTypes,$N987,18)</f>
        <v>0</v>
      </c>
    </row>
    <row r="988" spans="1:25" x14ac:dyDescent="0.2">
      <c r="A988" s="16">
        <v>987</v>
      </c>
      <c r="B988" s="37">
        <v>1</v>
      </c>
      <c r="C988" s="16" t="s">
        <v>2572</v>
      </c>
      <c r="D988" s="16" t="s">
        <v>2572</v>
      </c>
      <c r="E988" s="16">
        <v>2</v>
      </c>
      <c r="F988" s="16" t="s">
        <v>4112</v>
      </c>
      <c r="G988" s="16" t="s">
        <v>532</v>
      </c>
      <c r="H988" s="16" t="s">
        <v>2571</v>
      </c>
      <c r="I988" s="16" t="s">
        <v>533</v>
      </c>
      <c r="J988" s="16">
        <v>0</v>
      </c>
      <c r="K988" s="16">
        <v>1.055056E+18</v>
      </c>
      <c r="L988" s="16">
        <v>31558150</v>
      </c>
      <c r="M988" s="16">
        <v>0</v>
      </c>
      <c r="N988">
        <f t="array" aca="1" ref="N988" ca="1">MATCH(TRUE,EXACT(I988,OFFSET(rngParamTypes,0,6,,1)),0)</f>
        <v>211</v>
      </c>
      <c r="O988" t="str">
        <f ca="1">IF((INDEX(rngParamTypes,$N988,7)=I988),"",1)</f>
        <v/>
      </c>
      <c r="P988">
        <f ca="1">INDEX(rngParamTypes,$N988,9)</f>
        <v>1</v>
      </c>
      <c r="Q988">
        <f ca="1">INDEX(rngParamTypes,$N988,10)</f>
        <v>2</v>
      </c>
      <c r="R988">
        <f ca="1">INDEX(rngParamTypes,$N988,11)</f>
        <v>-3</v>
      </c>
      <c r="S988">
        <f ca="1">INDEX(rngParamTypes,$N988,12)</f>
        <v>0</v>
      </c>
      <c r="T988">
        <f ca="1">INDEX(rngParamTypes,$N988,13)</f>
        <v>0</v>
      </c>
      <c r="U988">
        <f ca="1">INDEX(rngParamTypes,$N988,14)</f>
        <v>0</v>
      </c>
      <c r="V988">
        <f ca="1">INDEX(rngParamTypes,$N988,15)</f>
        <v>0</v>
      </c>
      <c r="W988">
        <f ca="1">INDEX(rngParamTypes,$N988,16)</f>
        <v>0</v>
      </c>
      <c r="X988">
        <f ca="1">INDEX(rngParamTypes,$N988,17)</f>
        <v>0</v>
      </c>
      <c r="Y988">
        <f ca="1">INDEX(rngParamTypes,$N988,18)</f>
        <v>0</v>
      </c>
    </row>
    <row r="989" spans="1:25" x14ac:dyDescent="0.2">
      <c r="A989" s="16">
        <v>988</v>
      </c>
      <c r="B989" s="37">
        <v>1</v>
      </c>
      <c r="C989" s="16" t="s">
        <v>2574</v>
      </c>
      <c r="D989" s="16" t="s">
        <v>2574</v>
      </c>
      <c r="E989" s="16"/>
      <c r="F989" s="16" t="s">
        <v>4113</v>
      </c>
      <c r="G989" s="16" t="s">
        <v>447</v>
      </c>
      <c r="H989" s="16" t="s">
        <v>2573</v>
      </c>
      <c r="I989" s="16" t="s">
        <v>448</v>
      </c>
      <c r="J989" s="16">
        <v>0</v>
      </c>
      <c r="K989" s="16">
        <v>1</v>
      </c>
      <c r="L989" s="16">
        <v>0.30480000000000002</v>
      </c>
      <c r="M989" s="16">
        <v>0</v>
      </c>
      <c r="N989">
        <f t="array" aca="1" ref="N989" ca="1">MATCH(TRUE,EXACT(I989,OFFSET(rngParamTypes,0,6,,1)),0)</f>
        <v>179</v>
      </c>
      <c r="O989" t="str">
        <f ca="1">IF((INDEX(rngParamTypes,$N989,7)=I989),"",1)</f>
        <v/>
      </c>
      <c r="P989">
        <f ca="1">INDEX(rngParamTypes,$N989,9)</f>
        <v>0</v>
      </c>
      <c r="Q989">
        <f ca="1">INDEX(rngParamTypes,$N989,10)</f>
        <v>-1</v>
      </c>
      <c r="R989">
        <f ca="1">INDEX(rngParamTypes,$N989,11)</f>
        <v>0</v>
      </c>
      <c r="S989">
        <f ca="1">INDEX(rngParamTypes,$N989,12)</f>
        <v>0</v>
      </c>
      <c r="T989">
        <f ca="1">INDEX(rngParamTypes,$N989,13)</f>
        <v>0</v>
      </c>
      <c r="U989">
        <f ca="1">INDEX(rngParamTypes,$N989,14)</f>
        <v>0</v>
      </c>
      <c r="V989">
        <f ca="1">INDEX(rngParamTypes,$N989,15)</f>
        <v>0</v>
      </c>
      <c r="W989">
        <f ca="1">INDEX(rngParamTypes,$N989,16)</f>
        <v>1</v>
      </c>
      <c r="X989">
        <f ca="1">INDEX(rngParamTypes,$N989,17)</f>
        <v>0</v>
      </c>
      <c r="Y989">
        <f ca="1">INDEX(rngParamTypes,$N989,18)</f>
        <v>0</v>
      </c>
    </row>
    <row r="990" spans="1:25" x14ac:dyDescent="0.2">
      <c r="A990" s="16">
        <v>989</v>
      </c>
      <c r="B990" s="37">
        <v>1</v>
      </c>
      <c r="C990" s="16" t="s">
        <v>2576</v>
      </c>
      <c r="D990" s="16" t="s">
        <v>2576</v>
      </c>
      <c r="E990" s="16"/>
      <c r="F990" s="16" t="s">
        <v>4114</v>
      </c>
      <c r="G990" s="16" t="s">
        <v>450</v>
      </c>
      <c r="H990" s="16" t="s">
        <v>2575</v>
      </c>
      <c r="I990" s="16" t="s">
        <v>451</v>
      </c>
      <c r="J990" s="16">
        <v>0</v>
      </c>
      <c r="K990" s="16">
        <v>1</v>
      </c>
      <c r="L990" s="16">
        <v>2.8316846592000001E-2</v>
      </c>
      <c r="M990" s="16">
        <v>0</v>
      </c>
      <c r="N990">
        <f t="array" aca="1" ref="N990" ca="1">MATCH(TRUE,EXACT(I990,OFFSET(rngParamTypes,0,6,,1)),0)</f>
        <v>180</v>
      </c>
      <c r="O990" t="str">
        <f ca="1">IF((INDEX(rngParamTypes,$N990,7)=I990),"",1)</f>
        <v/>
      </c>
      <c r="P990">
        <f ca="1">INDEX(rngParamTypes,$N990,9)</f>
        <v>0</v>
      </c>
      <c r="Q990">
        <f ca="1">INDEX(rngParamTypes,$N990,10)</f>
        <v>-3</v>
      </c>
      <c r="R990">
        <f ca="1">INDEX(rngParamTypes,$N990,11)</f>
        <v>0</v>
      </c>
      <c r="S990">
        <f ca="1">INDEX(rngParamTypes,$N990,12)</f>
        <v>0</v>
      </c>
      <c r="T990">
        <f ca="1">INDEX(rngParamTypes,$N990,13)</f>
        <v>0</v>
      </c>
      <c r="U990">
        <f ca="1">INDEX(rngParamTypes,$N990,14)</f>
        <v>0</v>
      </c>
      <c r="V990">
        <f ca="1">INDEX(rngParamTypes,$N990,15)</f>
        <v>0</v>
      </c>
      <c r="W990">
        <f ca="1">INDEX(rngParamTypes,$N990,16)</f>
        <v>1</v>
      </c>
      <c r="X990">
        <f ca="1">INDEX(rngParamTypes,$N990,17)</f>
        <v>0</v>
      </c>
      <c r="Y990">
        <f ca="1">INDEX(rngParamTypes,$N990,18)</f>
        <v>0</v>
      </c>
    </row>
    <row r="991" spans="1:25" x14ac:dyDescent="0.2">
      <c r="A991" s="16">
        <v>990</v>
      </c>
      <c r="B991" s="37">
        <v>1</v>
      </c>
      <c r="C991" s="16" t="s">
        <v>2577</v>
      </c>
      <c r="D991" s="16" t="s">
        <v>2577</v>
      </c>
      <c r="E991" s="16"/>
      <c r="F991" s="16" t="s">
        <v>4115</v>
      </c>
      <c r="G991" s="16" t="s">
        <v>148</v>
      </c>
      <c r="H991" s="16" t="s">
        <v>444</v>
      </c>
      <c r="I991" s="16" t="s">
        <v>149</v>
      </c>
      <c r="J991" s="16">
        <v>0</v>
      </c>
      <c r="K991" s="16">
        <v>0.01</v>
      </c>
      <c r="L991" s="16">
        <v>1</v>
      </c>
      <c r="M991" s="16">
        <v>0</v>
      </c>
      <c r="N991">
        <f t="array" aca="1" ref="N991" ca="1">MATCH(TRUE,EXACT(I991,OFFSET(rngParamTypes,0,6,,1)),0)</f>
        <v>51</v>
      </c>
      <c r="O991" t="str">
        <f ca="1">IF((INDEX(rngParamTypes,$N991,7)=I991),"",1)</f>
        <v/>
      </c>
      <c r="P991">
        <f ca="1">INDEX(rngParamTypes,$N991,9)</f>
        <v>0</v>
      </c>
      <c r="Q991">
        <f ca="1">INDEX(rngParamTypes,$N991,10)</f>
        <v>2</v>
      </c>
      <c r="R991">
        <f ca="1">INDEX(rngParamTypes,$N991,11)</f>
        <v>-2</v>
      </c>
      <c r="S991">
        <f ca="1">INDEX(rngParamTypes,$N991,12)</f>
        <v>0</v>
      </c>
      <c r="T991">
        <f ca="1">INDEX(rngParamTypes,$N991,13)</f>
        <v>0</v>
      </c>
      <c r="U991">
        <f ca="1">INDEX(rngParamTypes,$N991,14)</f>
        <v>0</v>
      </c>
      <c r="V991">
        <f ca="1">INDEX(rngParamTypes,$N991,15)</f>
        <v>0</v>
      </c>
      <c r="W991">
        <f ca="1">INDEX(rngParamTypes,$N991,16)</f>
        <v>0</v>
      </c>
      <c r="X991">
        <f ca="1">INDEX(rngParamTypes,$N991,17)</f>
        <v>0</v>
      </c>
      <c r="Y991">
        <f ca="1">INDEX(rngParamTypes,$N991,18)</f>
        <v>0</v>
      </c>
    </row>
    <row r="992" spans="1:25" x14ac:dyDescent="0.2">
      <c r="A992" s="16">
        <v>991</v>
      </c>
      <c r="B992" s="37">
        <v>1</v>
      </c>
      <c r="C992" s="16" t="s">
        <v>2578</v>
      </c>
      <c r="D992" s="16" t="s">
        <v>2578</v>
      </c>
      <c r="E992" s="16"/>
      <c r="F992" s="16" t="s">
        <v>4116</v>
      </c>
      <c r="G992" s="16" t="s">
        <v>508</v>
      </c>
      <c r="H992" s="16" t="s">
        <v>2578</v>
      </c>
      <c r="I992" s="16" t="s">
        <v>509</v>
      </c>
      <c r="J992" s="16">
        <v>0</v>
      </c>
      <c r="K992" s="16">
        <v>0.01</v>
      </c>
      <c r="L992" s="16">
        <v>1</v>
      </c>
      <c r="M992" s="16">
        <v>0</v>
      </c>
      <c r="N992">
        <f t="array" aca="1" ref="N992" ca="1">MATCH(TRUE,EXACT(I992,OFFSET(rngParamTypes,0,6,,1)),0)</f>
        <v>204</v>
      </c>
      <c r="O992" t="str">
        <f ca="1">IF((INDEX(rngParamTypes,$N992,7)=I992),"",1)</f>
        <v/>
      </c>
      <c r="P992">
        <f ca="1">INDEX(rngParamTypes,$N992,9)</f>
        <v>0</v>
      </c>
      <c r="Q992">
        <f ca="1">INDEX(rngParamTypes,$N992,10)</f>
        <v>2</v>
      </c>
      <c r="R992">
        <f ca="1">INDEX(rngParamTypes,$N992,11)</f>
        <v>-2</v>
      </c>
      <c r="S992">
        <f ca="1">INDEX(rngParamTypes,$N992,12)</f>
        <v>0</v>
      </c>
      <c r="T992">
        <f ca="1">INDEX(rngParamTypes,$N992,13)</f>
        <v>0</v>
      </c>
      <c r="U992">
        <f ca="1">INDEX(rngParamTypes,$N992,14)</f>
        <v>0</v>
      </c>
      <c r="V992">
        <f ca="1">INDEX(rngParamTypes,$N992,15)</f>
        <v>0</v>
      </c>
      <c r="W992">
        <f ca="1">INDEX(rngParamTypes,$N992,16)</f>
        <v>0</v>
      </c>
      <c r="X992">
        <f ca="1">INDEX(rngParamTypes,$N992,17)</f>
        <v>0</v>
      </c>
      <c r="Y992">
        <f ca="1">INDEX(rngParamTypes,$N992,18)</f>
        <v>0</v>
      </c>
    </row>
    <row r="993" spans="1:25" x14ac:dyDescent="0.2">
      <c r="A993" s="16">
        <v>992</v>
      </c>
      <c r="B993" s="37">
        <v>1</v>
      </c>
      <c r="C993" s="16" t="s">
        <v>2580</v>
      </c>
      <c r="D993" s="16" t="s">
        <v>2580</v>
      </c>
      <c r="E993" s="16"/>
      <c r="F993" s="16" t="s">
        <v>4117</v>
      </c>
      <c r="G993" s="16" t="s">
        <v>512</v>
      </c>
      <c r="H993" s="16" t="s">
        <v>2579</v>
      </c>
      <c r="I993" s="16" t="s">
        <v>513</v>
      </c>
      <c r="J993" s="16">
        <v>0</v>
      </c>
      <c r="K993" s="16">
        <v>0.01</v>
      </c>
      <c r="L993" s="16">
        <v>3600</v>
      </c>
      <c r="M993" s="16">
        <v>0</v>
      </c>
      <c r="N993">
        <f t="array" aca="1" ref="N993" ca="1">MATCH(TRUE,EXACT(I993,OFFSET(rngParamTypes,0,6,,1)),0)</f>
        <v>205</v>
      </c>
      <c r="O993" t="str">
        <f ca="1">IF((INDEX(rngParamTypes,$N993,7)=I993),"",1)</f>
        <v/>
      </c>
      <c r="P993">
        <f ca="1">INDEX(rngParamTypes,$N993,9)</f>
        <v>0</v>
      </c>
      <c r="Q993">
        <f ca="1">INDEX(rngParamTypes,$N993,10)</f>
        <v>2</v>
      </c>
      <c r="R993">
        <f ca="1">INDEX(rngParamTypes,$N993,11)</f>
        <v>-3</v>
      </c>
      <c r="S993">
        <f ca="1">INDEX(rngParamTypes,$N993,12)</f>
        <v>0</v>
      </c>
      <c r="T993">
        <f ca="1">INDEX(rngParamTypes,$N993,13)</f>
        <v>0</v>
      </c>
      <c r="U993">
        <f ca="1">INDEX(rngParamTypes,$N993,14)</f>
        <v>0</v>
      </c>
      <c r="V993">
        <f ca="1">INDEX(rngParamTypes,$N993,15)</f>
        <v>0</v>
      </c>
      <c r="W993">
        <f ca="1">INDEX(rngParamTypes,$N993,16)</f>
        <v>0</v>
      </c>
      <c r="X993">
        <f ca="1">INDEX(rngParamTypes,$N993,17)</f>
        <v>0</v>
      </c>
      <c r="Y993">
        <f ca="1">INDEX(rngParamTypes,$N993,18)</f>
        <v>0</v>
      </c>
    </row>
    <row r="994" spans="1:25" x14ac:dyDescent="0.2">
      <c r="A994" s="16">
        <v>993</v>
      </c>
      <c r="B994" s="37">
        <v>1</v>
      </c>
      <c r="C994" s="16" t="s">
        <v>2582</v>
      </c>
      <c r="D994" s="16" t="s">
        <v>2582</v>
      </c>
      <c r="E994" s="16"/>
      <c r="F994" s="16" t="s">
        <v>4118</v>
      </c>
      <c r="G994" s="16" t="s">
        <v>456</v>
      </c>
      <c r="H994" s="16" t="s">
        <v>2581</v>
      </c>
      <c r="I994" s="16" t="s">
        <v>458</v>
      </c>
      <c r="J994" s="16">
        <v>0</v>
      </c>
      <c r="K994" s="16">
        <v>6.2831853070000001</v>
      </c>
      <c r="L994" s="16">
        <v>60</v>
      </c>
      <c r="M994" s="16">
        <v>0</v>
      </c>
      <c r="N994">
        <f t="array" aca="1" ref="N994" ca="1">MATCH(TRUE,EXACT(I994,OFFSET(rngParamTypes,0,6,,1)),0)</f>
        <v>181</v>
      </c>
      <c r="O994" t="str">
        <f ca="1">IF((INDEX(rngParamTypes,$N994,7)=I994),"",1)</f>
        <v/>
      </c>
      <c r="P994">
        <f ca="1">INDEX(rngParamTypes,$N994,9)</f>
        <v>0</v>
      </c>
      <c r="Q994">
        <f ca="1">INDEX(rngParamTypes,$N994,10)</f>
        <v>0</v>
      </c>
      <c r="R994">
        <f ca="1">INDEX(rngParamTypes,$N994,11)</f>
        <v>-1</v>
      </c>
      <c r="S994">
        <f ca="1">INDEX(rngParamTypes,$N994,12)</f>
        <v>0</v>
      </c>
      <c r="T994">
        <f ca="1">INDEX(rngParamTypes,$N994,13)</f>
        <v>0</v>
      </c>
      <c r="U994">
        <f ca="1">INDEX(rngParamTypes,$N994,14)</f>
        <v>0</v>
      </c>
      <c r="V994">
        <f ca="1">INDEX(rngParamTypes,$N994,15)</f>
        <v>0</v>
      </c>
      <c r="W994">
        <f ca="1">INDEX(rngParamTypes,$N994,16)</f>
        <v>1</v>
      </c>
      <c r="X994">
        <f ca="1">INDEX(rngParamTypes,$N994,17)</f>
        <v>0</v>
      </c>
      <c r="Y994">
        <f ca="1">INDEX(rngParamTypes,$N994,18)</f>
        <v>0</v>
      </c>
    </row>
    <row r="995" spans="1:25" x14ac:dyDescent="0.2">
      <c r="A995" s="16">
        <v>994</v>
      </c>
      <c r="B995" s="37">
        <v>1</v>
      </c>
      <c r="C995" s="16" t="s">
        <v>2584</v>
      </c>
      <c r="D995" s="16" t="s">
        <v>2584</v>
      </c>
      <c r="E995" s="16"/>
      <c r="F995" s="16" t="s">
        <v>4119</v>
      </c>
      <c r="G995" s="16" t="s">
        <v>456</v>
      </c>
      <c r="H995" s="16" t="s">
        <v>2583</v>
      </c>
      <c r="I995" s="16" t="s">
        <v>458</v>
      </c>
      <c r="J995" s="16">
        <v>0</v>
      </c>
      <c r="K995" s="16">
        <v>6.2831853070000001</v>
      </c>
      <c r="L995" s="16">
        <v>1</v>
      </c>
      <c r="M995" s="16">
        <v>0</v>
      </c>
      <c r="N995">
        <f t="array" aca="1" ref="N995" ca="1">MATCH(TRUE,EXACT(I995,OFFSET(rngParamTypes,0,6,,1)),0)</f>
        <v>181</v>
      </c>
      <c r="O995" t="str">
        <f ca="1">IF((INDEX(rngParamTypes,$N995,7)=I995),"",1)</f>
        <v/>
      </c>
      <c r="P995">
        <f ca="1">INDEX(rngParamTypes,$N995,9)</f>
        <v>0</v>
      </c>
      <c r="Q995">
        <f ca="1">INDEX(rngParamTypes,$N995,10)</f>
        <v>0</v>
      </c>
      <c r="R995">
        <f ca="1">INDEX(rngParamTypes,$N995,11)</f>
        <v>-1</v>
      </c>
      <c r="S995">
        <f ca="1">INDEX(rngParamTypes,$N995,12)</f>
        <v>0</v>
      </c>
      <c r="T995">
        <f ca="1">INDEX(rngParamTypes,$N995,13)</f>
        <v>0</v>
      </c>
      <c r="U995">
        <f ca="1">INDEX(rngParamTypes,$N995,14)</f>
        <v>0</v>
      </c>
      <c r="V995">
        <f ca="1">INDEX(rngParamTypes,$N995,15)</f>
        <v>0</v>
      </c>
      <c r="W995">
        <f ca="1">INDEX(rngParamTypes,$N995,16)</f>
        <v>1</v>
      </c>
      <c r="X995">
        <f ca="1">INDEX(rngParamTypes,$N995,17)</f>
        <v>0</v>
      </c>
      <c r="Y995">
        <f ca="1">INDEX(rngParamTypes,$N995,18)</f>
        <v>0</v>
      </c>
    </row>
    <row r="996" spans="1:25" x14ac:dyDescent="0.2">
      <c r="A996" s="16">
        <v>995</v>
      </c>
      <c r="B996" s="37">
        <v>1</v>
      </c>
      <c r="C996" s="16" t="s">
        <v>2585</v>
      </c>
      <c r="D996" s="16" t="s">
        <v>2585</v>
      </c>
      <c r="E996" s="16"/>
      <c r="F996" s="16" t="s">
        <v>4120</v>
      </c>
      <c r="G996" s="16" t="s">
        <v>456</v>
      </c>
      <c r="H996" s="16" t="s">
        <v>2581</v>
      </c>
      <c r="I996" s="16" t="s">
        <v>458</v>
      </c>
      <c r="J996" s="16">
        <v>0</v>
      </c>
      <c r="K996" s="16">
        <v>6.2831853070000001</v>
      </c>
      <c r="L996" s="16">
        <v>60</v>
      </c>
      <c r="M996" s="16">
        <v>0</v>
      </c>
      <c r="N996">
        <f t="array" aca="1" ref="N996" ca="1">MATCH(TRUE,EXACT(I996,OFFSET(rngParamTypes,0,6,,1)),0)</f>
        <v>181</v>
      </c>
      <c r="O996" t="str">
        <f ca="1">IF((INDEX(rngParamTypes,$N996,7)=I996),"",1)</f>
        <v/>
      </c>
      <c r="P996">
        <f ca="1">INDEX(rngParamTypes,$N996,9)</f>
        <v>0</v>
      </c>
      <c r="Q996">
        <f ca="1">INDEX(rngParamTypes,$N996,10)</f>
        <v>0</v>
      </c>
      <c r="R996">
        <f ca="1">INDEX(rngParamTypes,$N996,11)</f>
        <v>-1</v>
      </c>
      <c r="S996">
        <f ca="1">INDEX(rngParamTypes,$N996,12)</f>
        <v>0</v>
      </c>
      <c r="T996">
        <f ca="1">INDEX(rngParamTypes,$N996,13)</f>
        <v>0</v>
      </c>
      <c r="U996">
        <f ca="1">INDEX(rngParamTypes,$N996,14)</f>
        <v>0</v>
      </c>
      <c r="V996">
        <f ca="1">INDEX(rngParamTypes,$N996,15)</f>
        <v>0</v>
      </c>
      <c r="W996">
        <f ca="1">INDEX(rngParamTypes,$N996,16)</f>
        <v>1</v>
      </c>
      <c r="X996">
        <f ca="1">INDEX(rngParamTypes,$N996,17)</f>
        <v>0</v>
      </c>
      <c r="Y996">
        <f ca="1">INDEX(rngParamTypes,$N996,18)</f>
        <v>0</v>
      </c>
    </row>
    <row r="997" spans="1:25" x14ac:dyDescent="0.2">
      <c r="A997" s="16">
        <v>996</v>
      </c>
      <c r="B997" s="37">
        <v>1</v>
      </c>
      <c r="C997" s="16" t="s">
        <v>2587</v>
      </c>
      <c r="D997" s="16" t="s">
        <v>2587</v>
      </c>
      <c r="E997" s="16"/>
      <c r="F997" s="16" t="s">
        <v>4121</v>
      </c>
      <c r="G997" s="16" t="s">
        <v>460</v>
      </c>
      <c r="H997" s="16" t="s">
        <v>2586</v>
      </c>
      <c r="I997" s="16" t="s">
        <v>461</v>
      </c>
      <c r="J997" s="16">
        <v>0</v>
      </c>
      <c r="K997" s="16">
        <v>6.2831853070000001</v>
      </c>
      <c r="L997" s="16">
        <v>60</v>
      </c>
      <c r="M997" s="16">
        <v>0</v>
      </c>
      <c r="N997">
        <f t="array" aca="1" ref="N997" ca="1">MATCH(TRUE,EXACT(I997,OFFSET(rngParamTypes,0,6,,1)),0)</f>
        <v>186</v>
      </c>
      <c r="O997" t="str">
        <f ca="1">IF((INDEX(rngParamTypes,$N997,7)=I997),"",1)</f>
        <v/>
      </c>
      <c r="P997">
        <f ca="1">INDEX(rngParamTypes,$N997,9)</f>
        <v>0</v>
      </c>
      <c r="Q997">
        <f ca="1">INDEX(rngParamTypes,$N997,10)</f>
        <v>0</v>
      </c>
      <c r="R997">
        <f ca="1">INDEX(rngParamTypes,$N997,11)</f>
        <v>-2</v>
      </c>
      <c r="S997">
        <f ca="1">INDEX(rngParamTypes,$N997,12)</f>
        <v>0</v>
      </c>
      <c r="T997">
        <f ca="1">INDEX(rngParamTypes,$N997,13)</f>
        <v>0</v>
      </c>
      <c r="U997">
        <f ca="1">INDEX(rngParamTypes,$N997,14)</f>
        <v>0</v>
      </c>
      <c r="V997">
        <f ca="1">INDEX(rngParamTypes,$N997,15)</f>
        <v>0</v>
      </c>
      <c r="W997">
        <f ca="1">INDEX(rngParamTypes,$N997,16)</f>
        <v>1</v>
      </c>
      <c r="X997">
        <f ca="1">INDEX(rngParamTypes,$N997,17)</f>
        <v>0</v>
      </c>
      <c r="Y997">
        <f ca="1">INDEX(rngParamTypes,$N997,18)</f>
        <v>0</v>
      </c>
    </row>
    <row r="998" spans="1:25" x14ac:dyDescent="0.2">
      <c r="A998" s="16">
        <v>997</v>
      </c>
      <c r="B998" s="37">
        <v>1</v>
      </c>
      <c r="C998" s="16" t="s">
        <v>2589</v>
      </c>
      <c r="D998" s="16" t="s">
        <v>2589</v>
      </c>
      <c r="E998" s="16"/>
      <c r="F998" s="16" t="s">
        <v>4122</v>
      </c>
      <c r="G998" s="16" t="s">
        <v>4017</v>
      </c>
      <c r="H998" s="16" t="s">
        <v>2588</v>
      </c>
      <c r="I998" s="16" t="s">
        <v>479</v>
      </c>
      <c r="J998" s="16">
        <v>0</v>
      </c>
      <c r="K998" s="16">
        <v>100</v>
      </c>
      <c r="L998" s="16">
        <v>1</v>
      </c>
      <c r="M998" s="16">
        <v>0</v>
      </c>
      <c r="N998">
        <f t="array" aca="1" ref="N998" ca="1">MATCH(TRUE,EXACT(I998,OFFSET(rngParamTypes,0,6,,1)),0)</f>
        <v>192</v>
      </c>
      <c r="O998" t="str">
        <f ca="1">IF((INDEX(rngParamTypes,$N998,7)=I998),"",1)</f>
        <v/>
      </c>
      <c r="P998">
        <f ca="1">INDEX(rngParamTypes,$N998,9)</f>
        <v>0</v>
      </c>
      <c r="Q998">
        <f ca="1">INDEX(rngParamTypes,$N998,10)</f>
        <v>-1</v>
      </c>
      <c r="R998">
        <f ca="1">INDEX(rngParamTypes,$N998,11)</f>
        <v>1</v>
      </c>
      <c r="S998">
        <f ca="1">INDEX(rngParamTypes,$N998,12)</f>
        <v>0</v>
      </c>
      <c r="T998">
        <f ca="1">INDEX(rngParamTypes,$N998,13)</f>
        <v>0</v>
      </c>
      <c r="U998">
        <f ca="1">INDEX(rngParamTypes,$N998,14)</f>
        <v>0</v>
      </c>
      <c r="V998">
        <f ca="1">INDEX(rngParamTypes,$N998,15)</f>
        <v>0</v>
      </c>
      <c r="W998">
        <f ca="1">INDEX(rngParamTypes,$N998,16)</f>
        <v>0</v>
      </c>
      <c r="X998">
        <f ca="1">INDEX(rngParamTypes,$N998,17)</f>
        <v>0</v>
      </c>
      <c r="Y998">
        <f ca="1">INDEX(rngParamTypes,$N998,18)</f>
        <v>0</v>
      </c>
    </row>
    <row r="999" spans="1:25" x14ac:dyDescent="0.2">
      <c r="A999" s="16">
        <v>998</v>
      </c>
      <c r="B999" s="37">
        <v>1</v>
      </c>
      <c r="C999" s="16" t="s">
        <v>2591</v>
      </c>
      <c r="D999" s="16" t="s">
        <v>2591</v>
      </c>
      <c r="E999" s="16"/>
      <c r="F999" s="16" t="s">
        <v>4123</v>
      </c>
      <c r="G999" s="16" t="s">
        <v>4017</v>
      </c>
      <c r="H999" s="16" t="s">
        <v>2590</v>
      </c>
      <c r="I999" s="16" t="s">
        <v>479</v>
      </c>
      <c r="J999" s="16">
        <v>0</v>
      </c>
      <c r="K999" s="16">
        <v>1</v>
      </c>
      <c r="L999" s="16">
        <v>0.30480000000000002</v>
      </c>
      <c r="M999" s="16">
        <v>0</v>
      </c>
      <c r="N999">
        <f t="array" aca="1" ref="N999" ca="1">MATCH(TRUE,EXACT(I999,OFFSET(rngParamTypes,0,6,,1)),0)</f>
        <v>192</v>
      </c>
      <c r="O999" t="str">
        <f ca="1">IF((INDEX(rngParamTypes,$N999,7)=I999),"",1)</f>
        <v/>
      </c>
      <c r="P999">
        <f ca="1">INDEX(rngParamTypes,$N999,9)</f>
        <v>0</v>
      </c>
      <c r="Q999">
        <f ca="1">INDEX(rngParamTypes,$N999,10)</f>
        <v>-1</v>
      </c>
      <c r="R999">
        <f ca="1">INDEX(rngParamTypes,$N999,11)</f>
        <v>1</v>
      </c>
      <c r="S999">
        <f ca="1">INDEX(rngParamTypes,$N999,12)</f>
        <v>0</v>
      </c>
      <c r="T999">
        <f ca="1">INDEX(rngParamTypes,$N999,13)</f>
        <v>0</v>
      </c>
      <c r="U999">
        <f ca="1">INDEX(rngParamTypes,$N999,14)</f>
        <v>0</v>
      </c>
      <c r="V999">
        <f ca="1">INDEX(rngParamTypes,$N999,15)</f>
        <v>0</v>
      </c>
      <c r="W999">
        <f ca="1">INDEX(rngParamTypes,$N999,16)</f>
        <v>0</v>
      </c>
      <c r="X999">
        <f ca="1">INDEX(rngParamTypes,$N999,17)</f>
        <v>0</v>
      </c>
      <c r="Y999">
        <f ca="1">INDEX(rngParamTypes,$N999,18)</f>
        <v>0</v>
      </c>
    </row>
    <row r="1000" spans="1:25" x14ac:dyDescent="0.2">
      <c r="A1000" s="16">
        <v>999</v>
      </c>
      <c r="B1000" s="37">
        <v>1</v>
      </c>
      <c r="C1000" s="16" t="s">
        <v>2593</v>
      </c>
      <c r="D1000" s="16" t="s">
        <v>2593</v>
      </c>
      <c r="E1000" s="16"/>
      <c r="F1000" s="16" t="s">
        <v>4124</v>
      </c>
      <c r="G1000" s="16" t="s">
        <v>481</v>
      </c>
      <c r="H1000" s="16" t="s">
        <v>2592</v>
      </c>
      <c r="I1000" s="16" t="s">
        <v>482</v>
      </c>
      <c r="J1000" s="16">
        <v>0</v>
      </c>
      <c r="K1000" s="16">
        <v>1</v>
      </c>
      <c r="L1000" s="16">
        <v>2.8316846592000001E-2</v>
      </c>
      <c r="M1000" s="16">
        <v>0</v>
      </c>
      <c r="N1000">
        <f t="array" aca="1" ref="N1000" ca="1">MATCH(TRUE,EXACT(I1000,OFFSET(rngParamTypes,0,6,,1)),0)</f>
        <v>195</v>
      </c>
      <c r="O1000" t="str">
        <f ca="1">IF((INDEX(rngParamTypes,$N1000,7)=I1000),"",1)</f>
        <v/>
      </c>
      <c r="P1000">
        <f ca="1">INDEX(rngParamTypes,$N1000,9)</f>
        <v>0</v>
      </c>
      <c r="Q1000">
        <f ca="1">INDEX(rngParamTypes,$N1000,10)</f>
        <v>-3</v>
      </c>
      <c r="R1000">
        <f ca="1">INDEX(rngParamTypes,$N1000,11)</f>
        <v>1</v>
      </c>
      <c r="S1000">
        <f ca="1">INDEX(rngParamTypes,$N1000,12)</f>
        <v>0</v>
      </c>
      <c r="T1000">
        <f ca="1">INDEX(rngParamTypes,$N1000,13)</f>
        <v>0</v>
      </c>
      <c r="U1000">
        <f ca="1">INDEX(rngParamTypes,$N1000,14)</f>
        <v>0</v>
      </c>
      <c r="V1000">
        <f ca="1">INDEX(rngParamTypes,$N1000,15)</f>
        <v>0</v>
      </c>
      <c r="W1000">
        <f ca="1">INDEX(rngParamTypes,$N1000,16)</f>
        <v>0</v>
      </c>
      <c r="X1000">
        <f ca="1">INDEX(rngParamTypes,$N1000,17)</f>
        <v>0</v>
      </c>
      <c r="Y1000">
        <f ca="1">INDEX(rngParamTypes,$N1000,18)</f>
        <v>0</v>
      </c>
    </row>
    <row r="1001" spans="1:25" x14ac:dyDescent="0.2">
      <c r="A1001" s="16">
        <v>1000</v>
      </c>
      <c r="B1001" s="37">
        <v>1</v>
      </c>
      <c r="C1001" s="16" t="s">
        <v>2595</v>
      </c>
      <c r="D1001" s="16" t="s">
        <v>2595</v>
      </c>
      <c r="E1001" s="16"/>
      <c r="F1001" s="16" t="s">
        <v>4125</v>
      </c>
      <c r="G1001" s="16" t="s">
        <v>476</v>
      </c>
      <c r="H1001" s="16" t="s">
        <v>2594</v>
      </c>
      <c r="I1001" s="16" t="s">
        <v>479</v>
      </c>
      <c r="J1001" s="16">
        <v>0</v>
      </c>
      <c r="K1001" s="16">
        <v>1</v>
      </c>
      <c r="L1001" s="16">
        <v>2.5399999999999999E-2</v>
      </c>
      <c r="M1001" s="16">
        <v>0</v>
      </c>
      <c r="N1001">
        <f t="array" aca="1" ref="N1001" ca="1">MATCH(TRUE,EXACT(I1001,OFFSET(rngParamTypes,0,6,,1)),0)</f>
        <v>192</v>
      </c>
      <c r="O1001" t="str">
        <f ca="1">IF((INDEX(rngParamTypes,$N1001,7)=I1001),"",1)</f>
        <v/>
      </c>
      <c r="P1001">
        <f ca="1">INDEX(rngParamTypes,$N1001,9)</f>
        <v>0</v>
      </c>
      <c r="Q1001">
        <f ca="1">INDEX(rngParamTypes,$N1001,10)</f>
        <v>-1</v>
      </c>
      <c r="R1001">
        <f ca="1">INDEX(rngParamTypes,$N1001,11)</f>
        <v>1</v>
      </c>
      <c r="S1001">
        <f ca="1">INDEX(rngParamTypes,$N1001,12)</f>
        <v>0</v>
      </c>
      <c r="T1001">
        <f ca="1">INDEX(rngParamTypes,$N1001,13)</f>
        <v>0</v>
      </c>
      <c r="U1001">
        <f ca="1">INDEX(rngParamTypes,$N1001,14)</f>
        <v>0</v>
      </c>
      <c r="V1001">
        <f ca="1">INDEX(rngParamTypes,$N1001,15)</f>
        <v>0</v>
      </c>
      <c r="W1001">
        <f ca="1">INDEX(rngParamTypes,$N1001,16)</f>
        <v>0</v>
      </c>
      <c r="X1001">
        <f ca="1">INDEX(rngParamTypes,$N1001,17)</f>
        <v>0</v>
      </c>
      <c r="Y1001">
        <f ca="1">INDEX(rngParamTypes,$N1001,18)</f>
        <v>0</v>
      </c>
    </row>
    <row r="1002" spans="1:25" x14ac:dyDescent="0.2">
      <c r="A1002" s="16">
        <v>1001</v>
      </c>
      <c r="B1002" s="37">
        <v>1</v>
      </c>
      <c r="C1002" s="16" t="s">
        <v>2597</v>
      </c>
      <c r="D1002" s="16" t="s">
        <v>2597</v>
      </c>
      <c r="E1002" s="16"/>
      <c r="F1002" s="16" t="s">
        <v>4126</v>
      </c>
      <c r="G1002" s="16" t="s">
        <v>481</v>
      </c>
      <c r="H1002" s="16" t="s">
        <v>2596</v>
      </c>
      <c r="I1002" s="16" t="s">
        <v>482</v>
      </c>
      <c r="J1002" s="16">
        <v>0</v>
      </c>
      <c r="K1002" s="16">
        <v>1</v>
      </c>
      <c r="L1002" s="16">
        <v>1E-3</v>
      </c>
      <c r="M1002" s="16">
        <v>0</v>
      </c>
      <c r="N1002">
        <f t="array" aca="1" ref="N1002" ca="1">MATCH(TRUE,EXACT(I1002,OFFSET(rngParamTypes,0,6,,1)),0)</f>
        <v>195</v>
      </c>
      <c r="O1002" t="str">
        <f ca="1">IF((INDEX(rngParamTypes,$N1002,7)=I1002),"",1)</f>
        <v/>
      </c>
      <c r="P1002">
        <f ca="1">INDEX(rngParamTypes,$N1002,9)</f>
        <v>0</v>
      </c>
      <c r="Q1002">
        <f ca="1">INDEX(rngParamTypes,$N1002,10)</f>
        <v>-3</v>
      </c>
      <c r="R1002">
        <f ca="1">INDEX(rngParamTypes,$N1002,11)</f>
        <v>1</v>
      </c>
      <c r="S1002">
        <f ca="1">INDEX(rngParamTypes,$N1002,12)</f>
        <v>0</v>
      </c>
      <c r="T1002">
        <f ca="1">INDEX(rngParamTypes,$N1002,13)</f>
        <v>0</v>
      </c>
      <c r="U1002">
        <f ca="1">INDEX(rngParamTypes,$N1002,14)</f>
        <v>0</v>
      </c>
      <c r="V1002">
        <f ca="1">INDEX(rngParamTypes,$N1002,15)</f>
        <v>0</v>
      </c>
      <c r="W1002">
        <f ca="1">INDEX(rngParamTypes,$N1002,16)</f>
        <v>0</v>
      </c>
      <c r="X1002">
        <f ca="1">INDEX(rngParamTypes,$N1002,17)</f>
        <v>0</v>
      </c>
      <c r="Y1002">
        <f ca="1">INDEX(rngParamTypes,$N1002,18)</f>
        <v>0</v>
      </c>
    </row>
    <row r="1003" spans="1:25" x14ac:dyDescent="0.2">
      <c r="A1003" s="16">
        <v>1002</v>
      </c>
      <c r="B1003" s="37">
        <v>1</v>
      </c>
      <c r="C1003" s="16" t="s">
        <v>2599</v>
      </c>
      <c r="D1003" s="16" t="s">
        <v>2599</v>
      </c>
      <c r="E1003" s="16"/>
      <c r="F1003" s="16" t="s">
        <v>4127</v>
      </c>
      <c r="G1003" s="16" t="s">
        <v>481</v>
      </c>
      <c r="H1003" s="16" t="s">
        <v>2598</v>
      </c>
      <c r="I1003" s="16" t="s">
        <v>482</v>
      </c>
      <c r="J1003" s="16">
        <v>0</v>
      </c>
      <c r="K1003" s="16">
        <v>1</v>
      </c>
      <c r="L1003" s="16">
        <v>1.136523E-3</v>
      </c>
      <c r="M1003" s="16">
        <v>0</v>
      </c>
      <c r="N1003">
        <f t="array" aca="1" ref="N1003" ca="1">MATCH(TRUE,EXACT(I1003,OFFSET(rngParamTypes,0,6,,1)),0)</f>
        <v>195</v>
      </c>
      <c r="O1003" t="str">
        <f ca="1">IF((INDEX(rngParamTypes,$N1003,7)=I1003),"",1)</f>
        <v/>
      </c>
      <c r="P1003">
        <f ca="1">INDEX(rngParamTypes,$N1003,9)</f>
        <v>0</v>
      </c>
      <c r="Q1003">
        <f ca="1">INDEX(rngParamTypes,$N1003,10)</f>
        <v>-3</v>
      </c>
      <c r="R1003">
        <f ca="1">INDEX(rngParamTypes,$N1003,11)</f>
        <v>1</v>
      </c>
      <c r="S1003">
        <f ca="1">INDEX(rngParamTypes,$N1003,12)</f>
        <v>0</v>
      </c>
      <c r="T1003">
        <f ca="1">INDEX(rngParamTypes,$N1003,13)</f>
        <v>0</v>
      </c>
      <c r="U1003">
        <f ca="1">INDEX(rngParamTypes,$N1003,14)</f>
        <v>0</v>
      </c>
      <c r="V1003">
        <f ca="1">INDEX(rngParamTypes,$N1003,15)</f>
        <v>0</v>
      </c>
      <c r="W1003">
        <f ca="1">INDEX(rngParamTypes,$N1003,16)</f>
        <v>0</v>
      </c>
      <c r="X1003">
        <f ca="1">INDEX(rngParamTypes,$N1003,17)</f>
        <v>0</v>
      </c>
      <c r="Y1003">
        <f ca="1">INDEX(rngParamTypes,$N1003,18)</f>
        <v>0</v>
      </c>
    </row>
    <row r="1004" spans="1:25" x14ac:dyDescent="0.2">
      <c r="A1004" s="16">
        <v>1003</v>
      </c>
      <c r="B1004" s="37">
        <v>1</v>
      </c>
      <c r="C1004" s="16" t="s">
        <v>2601</v>
      </c>
      <c r="D1004" s="16" t="s">
        <v>2601</v>
      </c>
      <c r="E1004" s="16"/>
      <c r="F1004" s="16" t="s">
        <v>4128</v>
      </c>
      <c r="G1004" s="16" t="s">
        <v>481</v>
      </c>
      <c r="H1004" s="16" t="s">
        <v>2600</v>
      </c>
      <c r="I1004" s="16" t="s">
        <v>482</v>
      </c>
      <c r="J1004" s="16">
        <v>0</v>
      </c>
      <c r="K1004" s="16">
        <v>1</v>
      </c>
      <c r="L1004" s="16">
        <v>9.463529E-4</v>
      </c>
      <c r="M1004" s="16">
        <v>0</v>
      </c>
      <c r="N1004">
        <f t="array" aca="1" ref="N1004" ca="1">MATCH(TRUE,EXACT(I1004,OFFSET(rngParamTypes,0,6,,1)),0)</f>
        <v>195</v>
      </c>
      <c r="O1004" t="str">
        <f ca="1">IF((INDEX(rngParamTypes,$N1004,7)=I1004),"",1)</f>
        <v/>
      </c>
      <c r="P1004">
        <f ca="1">INDEX(rngParamTypes,$N1004,9)</f>
        <v>0</v>
      </c>
      <c r="Q1004">
        <f ca="1">INDEX(rngParamTypes,$N1004,10)</f>
        <v>-3</v>
      </c>
      <c r="R1004">
        <f ca="1">INDEX(rngParamTypes,$N1004,11)</f>
        <v>1</v>
      </c>
      <c r="S1004">
        <f ca="1">INDEX(rngParamTypes,$N1004,12)</f>
        <v>0</v>
      </c>
      <c r="T1004">
        <f ca="1">INDEX(rngParamTypes,$N1004,13)</f>
        <v>0</v>
      </c>
      <c r="U1004">
        <f ca="1">INDEX(rngParamTypes,$N1004,14)</f>
        <v>0</v>
      </c>
      <c r="V1004">
        <f ca="1">INDEX(rngParamTypes,$N1004,15)</f>
        <v>0</v>
      </c>
      <c r="W1004">
        <f ca="1">INDEX(rngParamTypes,$N1004,16)</f>
        <v>0</v>
      </c>
      <c r="X1004">
        <f ca="1">INDEX(rngParamTypes,$N1004,17)</f>
        <v>0</v>
      </c>
      <c r="Y1004">
        <f ca="1">INDEX(rngParamTypes,$N1004,18)</f>
        <v>0</v>
      </c>
    </row>
    <row r="1005" spans="1:25" x14ac:dyDescent="0.2">
      <c r="A1005" s="16">
        <v>1004</v>
      </c>
      <c r="B1005" s="37">
        <v>1</v>
      </c>
      <c r="C1005" s="16" t="s">
        <v>2603</v>
      </c>
      <c r="D1005" s="16" t="s">
        <v>2603</v>
      </c>
      <c r="E1005" s="16">
        <v>2</v>
      </c>
      <c r="F1005" s="16" t="s">
        <v>4386</v>
      </c>
      <c r="G1005" s="16" t="s">
        <v>220</v>
      </c>
      <c r="H1005" s="16" t="s">
        <v>2602</v>
      </c>
      <c r="I1005" s="16" t="s">
        <v>221</v>
      </c>
      <c r="J1005" s="16">
        <v>0</v>
      </c>
      <c r="K1005" s="16">
        <v>42.637689999999999</v>
      </c>
      <c r="L1005" s="16">
        <v>1</v>
      </c>
      <c r="M1005" s="16">
        <v>0</v>
      </c>
      <c r="N1005">
        <f t="array" aca="1" ref="N1005" ca="1">MATCH(TRUE,EXACT(I1005,OFFSET(rngParamTypes,0,6,,1)),0)</f>
        <v>87</v>
      </c>
      <c r="O1005" t="str">
        <f ca="1">IF((INDEX(rngParamTypes,$N1005,7)=I1005),"",1)</f>
        <v/>
      </c>
      <c r="P1005">
        <f ca="1">INDEX(rngParamTypes,$N1005,9)</f>
        <v>1</v>
      </c>
      <c r="Q1005">
        <f ca="1">INDEX(rngParamTypes,$N1005,10)</f>
        <v>0</v>
      </c>
      <c r="R1005">
        <f ca="1">INDEX(rngParamTypes,$N1005,11)</f>
        <v>0</v>
      </c>
      <c r="S1005">
        <f ca="1">INDEX(rngParamTypes,$N1005,12)</f>
        <v>0</v>
      </c>
      <c r="T1005">
        <f ca="1">INDEX(rngParamTypes,$N1005,13)</f>
        <v>0</v>
      </c>
      <c r="U1005">
        <f ca="1">INDEX(rngParamTypes,$N1005,14)</f>
        <v>0</v>
      </c>
      <c r="V1005">
        <f ca="1">INDEX(rngParamTypes,$N1005,15)</f>
        <v>0</v>
      </c>
      <c r="W1005">
        <f ca="1">INDEX(rngParamTypes,$N1005,16)</f>
        <v>0</v>
      </c>
      <c r="X1005">
        <f ca="1">INDEX(rngParamTypes,$N1005,17)</f>
        <v>0</v>
      </c>
      <c r="Y1005">
        <f ca="1">INDEX(rngParamTypes,$N1005,18)</f>
        <v>0</v>
      </c>
    </row>
    <row r="1006" spans="1:25" x14ac:dyDescent="0.2">
      <c r="A1006" s="16">
        <v>1005</v>
      </c>
      <c r="B1006" s="37">
        <v>1</v>
      </c>
      <c r="C1006" s="16" t="s">
        <v>2605</v>
      </c>
      <c r="D1006" s="16" t="s">
        <v>2605</v>
      </c>
      <c r="E1006" s="16"/>
      <c r="F1006" s="16" t="s">
        <v>4359</v>
      </c>
      <c r="G1006" s="16" t="s">
        <v>484</v>
      </c>
      <c r="H1006" s="16" t="s">
        <v>2604</v>
      </c>
      <c r="I1006" s="16" t="s">
        <v>494</v>
      </c>
      <c r="J1006" s="16">
        <v>0</v>
      </c>
      <c r="K1006" s="16">
        <v>2.8262356999999998E-2</v>
      </c>
      <c r="L1006" s="16">
        <v>1</v>
      </c>
      <c r="M1006" s="16">
        <v>0</v>
      </c>
      <c r="N1006">
        <f t="array" aca="1" ref="N1006" ca="1">MATCH(TRUE,EXACT(I1006,OFFSET(rngParamTypes,0,6,,1)),0)</f>
        <v>199</v>
      </c>
      <c r="O1006" t="str">
        <f ca="1">IF((INDEX(rngParamTypes,$N1006,7)=I1006),"",1)</f>
        <v/>
      </c>
      <c r="P1006">
        <f ca="1">INDEX(rngParamTypes,$N1006,9)</f>
        <v>0</v>
      </c>
      <c r="Q1006">
        <f ca="1">INDEX(rngParamTypes,$N1006,10)</f>
        <v>3</v>
      </c>
      <c r="R1006">
        <f ca="1">INDEX(rngParamTypes,$N1006,11)</f>
        <v>0</v>
      </c>
      <c r="S1006">
        <f ca="1">INDEX(rngParamTypes,$N1006,12)</f>
        <v>0</v>
      </c>
      <c r="T1006">
        <f ca="1">INDEX(rngParamTypes,$N1006,13)</f>
        <v>0</v>
      </c>
      <c r="U1006">
        <f ca="1">INDEX(rngParamTypes,$N1006,14)</f>
        <v>0</v>
      </c>
      <c r="V1006">
        <f ca="1">INDEX(rngParamTypes,$N1006,15)</f>
        <v>0</v>
      </c>
      <c r="W1006">
        <f ca="1">INDEX(rngParamTypes,$N1006,16)</f>
        <v>0</v>
      </c>
      <c r="X1006">
        <f ca="1">INDEX(rngParamTypes,$N1006,17)</f>
        <v>0</v>
      </c>
      <c r="Y1006">
        <f ca="1">INDEX(rngParamTypes,$N1006,18)</f>
        <v>0</v>
      </c>
    </row>
    <row r="1007" spans="1:25" x14ac:dyDescent="0.2">
      <c r="A1007" s="16">
        <v>1006</v>
      </c>
      <c r="B1007" s="37">
        <v>1</v>
      </c>
      <c r="C1007" s="16" t="s">
        <v>2607</v>
      </c>
      <c r="D1007" s="16" t="s">
        <v>2607</v>
      </c>
      <c r="E1007" s="16"/>
      <c r="F1007" s="16" t="s">
        <v>4360</v>
      </c>
      <c r="G1007" s="16" t="s">
        <v>491</v>
      </c>
      <c r="H1007" s="16" t="s">
        <v>2606</v>
      </c>
      <c r="I1007" s="16" t="s">
        <v>499</v>
      </c>
      <c r="J1007" s="16">
        <v>0</v>
      </c>
      <c r="K1007" s="16">
        <v>2.8262356999999998E-2</v>
      </c>
      <c r="L1007" s="16">
        <v>0.1589873</v>
      </c>
      <c r="M1007" s="16">
        <v>0</v>
      </c>
      <c r="N1007">
        <f t="array" aca="1" ref="N1007" ca="1">MATCH(TRUE,EXACT(I1007,OFFSET(rngParamTypes,0,6,,1)),0)</f>
        <v>201</v>
      </c>
      <c r="O1007" t="str">
        <f ca="1">IF((INDEX(rngParamTypes,$N1007,7)=I1007),"",1)</f>
        <v/>
      </c>
      <c r="P1007">
        <f ca="1">INDEX(rngParamTypes,$N1007,9)</f>
        <v>0</v>
      </c>
      <c r="Q1007">
        <f ca="1">INDEX(rngParamTypes,$N1007,10)</f>
        <v>0</v>
      </c>
      <c r="R1007">
        <f ca="1">INDEX(rngParamTypes,$N1007,11)</f>
        <v>0</v>
      </c>
      <c r="S1007">
        <f ca="1">INDEX(rngParamTypes,$N1007,12)</f>
        <v>0</v>
      </c>
      <c r="T1007">
        <f ca="1">INDEX(rngParamTypes,$N1007,13)</f>
        <v>0</v>
      </c>
      <c r="U1007">
        <f ca="1">INDEX(rngParamTypes,$N1007,14)</f>
        <v>0</v>
      </c>
      <c r="V1007">
        <f ca="1">INDEX(rngParamTypes,$N1007,15)</f>
        <v>0</v>
      </c>
      <c r="W1007">
        <f ca="1">INDEX(rngParamTypes,$N1007,16)</f>
        <v>0</v>
      </c>
      <c r="X1007">
        <f ca="1">INDEX(rngParamTypes,$N1007,17)</f>
        <v>0</v>
      </c>
      <c r="Y1007">
        <f ca="1">INDEX(rngParamTypes,$N1007,18)</f>
        <v>0</v>
      </c>
    </row>
    <row r="1008" spans="1:25" x14ac:dyDescent="0.2">
      <c r="A1008" s="16">
        <v>1007</v>
      </c>
      <c r="B1008" s="37">
        <v>1</v>
      </c>
      <c r="C1008" s="16" t="s">
        <v>2609</v>
      </c>
      <c r="D1008" s="16" t="s">
        <v>2609</v>
      </c>
      <c r="E1008" s="16"/>
      <c r="F1008" s="16" t="s">
        <v>4361</v>
      </c>
      <c r="G1008" s="16" t="s">
        <v>501</v>
      </c>
      <c r="H1008" s="16" t="s">
        <v>2608</v>
      </c>
      <c r="I1008" s="16" t="s">
        <v>502</v>
      </c>
      <c r="J1008" s="16">
        <v>0</v>
      </c>
      <c r="K1008" s="16">
        <v>2.8262356999999998E-2</v>
      </c>
      <c r="L1008" s="16">
        <v>86400</v>
      </c>
      <c r="M1008" s="16">
        <v>0</v>
      </c>
      <c r="N1008">
        <f t="array" aca="1" ref="N1008" ca="1">MATCH(TRUE,EXACT(I1008,OFFSET(rngParamTypes,0,6,,1)),0)</f>
        <v>202</v>
      </c>
      <c r="O1008" t="str">
        <f ca="1">IF((INDEX(rngParamTypes,$N1008,7)=I1008),"",1)</f>
        <v/>
      </c>
      <c r="P1008">
        <f ca="1">INDEX(rngParamTypes,$N1008,9)</f>
        <v>0</v>
      </c>
      <c r="Q1008">
        <f ca="1">INDEX(rngParamTypes,$N1008,10)</f>
        <v>3</v>
      </c>
      <c r="R1008">
        <f ca="1">INDEX(rngParamTypes,$N1008,11)</f>
        <v>-1</v>
      </c>
      <c r="S1008">
        <f ca="1">INDEX(rngParamTypes,$N1008,12)</f>
        <v>0</v>
      </c>
      <c r="T1008">
        <f ca="1">INDEX(rngParamTypes,$N1008,13)</f>
        <v>0</v>
      </c>
      <c r="U1008">
        <f ca="1">INDEX(rngParamTypes,$N1008,14)</f>
        <v>0</v>
      </c>
      <c r="V1008">
        <f ca="1">INDEX(rngParamTypes,$N1008,15)</f>
        <v>0</v>
      </c>
      <c r="W1008">
        <f ca="1">INDEX(rngParamTypes,$N1008,16)</f>
        <v>0</v>
      </c>
      <c r="X1008">
        <f ca="1">INDEX(rngParamTypes,$N1008,17)</f>
        <v>0</v>
      </c>
      <c r="Y1008">
        <f ca="1">INDEX(rngParamTypes,$N1008,18)</f>
        <v>0</v>
      </c>
    </row>
    <row r="1009" spans="1:25" x14ac:dyDescent="0.2">
      <c r="A1009" s="16">
        <v>1008</v>
      </c>
      <c r="B1009" s="37">
        <v>1</v>
      </c>
      <c r="C1009" s="16" t="s">
        <v>2611</v>
      </c>
      <c r="D1009" s="16" t="s">
        <v>2611</v>
      </c>
      <c r="E1009" s="16"/>
      <c r="F1009" s="16" t="s">
        <v>4362</v>
      </c>
      <c r="G1009" s="16" t="s">
        <v>488</v>
      </c>
      <c r="H1009" s="16" t="s">
        <v>2610</v>
      </c>
      <c r="I1009" s="16" t="s">
        <v>497</v>
      </c>
      <c r="J1009" s="16">
        <v>0</v>
      </c>
      <c r="K1009" s="16">
        <v>2.8262356999999998E-2</v>
      </c>
      <c r="L1009" s="16">
        <v>9.2903040000000006E-2</v>
      </c>
      <c r="M1009" s="16">
        <v>0</v>
      </c>
      <c r="N1009">
        <f t="array" aca="1" ref="N1009" ca="1">MATCH(TRUE,EXACT(I1009,OFFSET(rngParamTypes,0,6,,1)),0)</f>
        <v>200</v>
      </c>
      <c r="O1009" t="str">
        <f ca="1">IF((INDEX(rngParamTypes,$N1009,7)=I1009),"",1)</f>
        <v/>
      </c>
      <c r="P1009">
        <f ca="1">INDEX(rngParamTypes,$N1009,9)</f>
        <v>0</v>
      </c>
      <c r="Q1009">
        <f ca="1">INDEX(rngParamTypes,$N1009,10)</f>
        <v>1</v>
      </c>
      <c r="R1009">
        <f ca="1">INDEX(rngParamTypes,$N1009,11)</f>
        <v>0</v>
      </c>
      <c r="S1009">
        <f ca="1">INDEX(rngParamTypes,$N1009,12)</f>
        <v>0</v>
      </c>
      <c r="T1009">
        <f ca="1">INDEX(rngParamTypes,$N1009,13)</f>
        <v>0</v>
      </c>
      <c r="U1009">
        <f ca="1">INDEX(rngParamTypes,$N1009,14)</f>
        <v>0</v>
      </c>
      <c r="V1009">
        <f ca="1">INDEX(rngParamTypes,$N1009,15)</f>
        <v>0</v>
      </c>
      <c r="W1009">
        <f ca="1">INDEX(rngParamTypes,$N1009,16)</f>
        <v>0</v>
      </c>
      <c r="X1009">
        <f ca="1">INDEX(rngParamTypes,$N1009,17)</f>
        <v>0</v>
      </c>
      <c r="Y1009">
        <f ca="1">INDEX(rngParamTypes,$N1009,18)</f>
        <v>0</v>
      </c>
    </row>
    <row r="1010" spans="1:25" x14ac:dyDescent="0.2">
      <c r="A1010" s="16">
        <v>1009</v>
      </c>
      <c r="B1010" s="37">
        <v>1</v>
      </c>
      <c r="C1010" s="16" t="s">
        <v>2613</v>
      </c>
      <c r="D1010" s="16" t="s">
        <v>2613</v>
      </c>
      <c r="E1010" s="16"/>
      <c r="F1010" s="16" t="s">
        <v>4363</v>
      </c>
      <c r="G1010" s="16" t="s">
        <v>491</v>
      </c>
      <c r="H1010" s="16" t="s">
        <v>2612</v>
      </c>
      <c r="I1010" s="16" t="s">
        <v>499</v>
      </c>
      <c r="J1010" s="16">
        <v>0</v>
      </c>
      <c r="K1010" s="16">
        <v>0.99807570000000001</v>
      </c>
      <c r="L1010" s="16">
        <v>1</v>
      </c>
      <c r="M1010" s="16">
        <v>0</v>
      </c>
      <c r="N1010">
        <f t="array" aca="1" ref="N1010" ca="1">MATCH(TRUE,EXACT(I1010,OFFSET(rngParamTypes,0,6,,1)),0)</f>
        <v>201</v>
      </c>
      <c r="O1010" t="str">
        <f ca="1">IF((INDEX(rngParamTypes,$N1010,7)=I1010),"",1)</f>
        <v/>
      </c>
      <c r="P1010">
        <f ca="1">INDEX(rngParamTypes,$N1010,9)</f>
        <v>0</v>
      </c>
      <c r="Q1010">
        <f ca="1">INDEX(rngParamTypes,$N1010,10)</f>
        <v>0</v>
      </c>
      <c r="R1010">
        <f ca="1">INDEX(rngParamTypes,$N1010,11)</f>
        <v>0</v>
      </c>
      <c r="S1010">
        <f ca="1">INDEX(rngParamTypes,$N1010,12)</f>
        <v>0</v>
      </c>
      <c r="T1010">
        <f ca="1">INDEX(rngParamTypes,$N1010,13)</f>
        <v>0</v>
      </c>
      <c r="U1010">
        <f ca="1">INDEX(rngParamTypes,$N1010,14)</f>
        <v>0</v>
      </c>
      <c r="V1010">
        <f ca="1">INDEX(rngParamTypes,$N1010,15)</f>
        <v>0</v>
      </c>
      <c r="W1010">
        <f ca="1">INDEX(rngParamTypes,$N1010,16)</f>
        <v>0</v>
      </c>
      <c r="X1010">
        <f ca="1">INDEX(rngParamTypes,$N1010,17)</f>
        <v>0</v>
      </c>
      <c r="Y1010">
        <f ca="1">INDEX(rngParamTypes,$N1010,18)</f>
        <v>0</v>
      </c>
    </row>
    <row r="1011" spans="1:25" x14ac:dyDescent="0.2">
      <c r="A1011" s="16">
        <v>1010</v>
      </c>
      <c r="B1011" s="37">
        <v>1</v>
      </c>
      <c r="C1011" s="16" t="s">
        <v>2615</v>
      </c>
      <c r="D1011" s="16" t="s">
        <v>2615</v>
      </c>
      <c r="E1011" s="16"/>
      <c r="F1011" s="16" t="s">
        <v>4129</v>
      </c>
      <c r="G1011" s="16" t="s">
        <v>501</v>
      </c>
      <c r="H1011" s="16" t="s">
        <v>2614</v>
      </c>
      <c r="I1011" s="16" t="s">
        <v>502</v>
      </c>
      <c r="J1011" s="16">
        <v>0</v>
      </c>
      <c r="K1011" s="16">
        <v>1</v>
      </c>
      <c r="L1011" s="16">
        <v>86400</v>
      </c>
      <c r="M1011" s="16">
        <v>0</v>
      </c>
      <c r="N1011">
        <f t="array" aca="1" ref="N1011" ca="1">MATCH(TRUE,EXACT(I1011,OFFSET(rngParamTypes,0,6,,1)),0)</f>
        <v>202</v>
      </c>
      <c r="O1011" t="str">
        <f ca="1">IF((INDEX(rngParamTypes,$N1011,7)=I1011),"",1)</f>
        <v/>
      </c>
      <c r="P1011">
        <f ca="1">INDEX(rngParamTypes,$N1011,9)</f>
        <v>0</v>
      </c>
      <c r="Q1011">
        <f ca="1">INDEX(rngParamTypes,$N1011,10)</f>
        <v>3</v>
      </c>
      <c r="R1011">
        <f ca="1">INDEX(rngParamTypes,$N1011,11)</f>
        <v>-1</v>
      </c>
      <c r="S1011">
        <f ca="1">INDEX(rngParamTypes,$N1011,12)</f>
        <v>0</v>
      </c>
      <c r="T1011">
        <f ca="1">INDEX(rngParamTypes,$N1011,13)</f>
        <v>0</v>
      </c>
      <c r="U1011">
        <f ca="1">INDEX(rngParamTypes,$N1011,14)</f>
        <v>0</v>
      </c>
      <c r="V1011">
        <f ca="1">INDEX(rngParamTypes,$N1011,15)</f>
        <v>0</v>
      </c>
      <c r="W1011">
        <f ca="1">INDEX(rngParamTypes,$N1011,16)</f>
        <v>0</v>
      </c>
      <c r="X1011">
        <f ca="1">INDEX(rngParamTypes,$N1011,17)</f>
        <v>0</v>
      </c>
      <c r="Y1011">
        <f ca="1">INDEX(rngParamTypes,$N1011,18)</f>
        <v>0</v>
      </c>
    </row>
    <row r="1012" spans="1:25" x14ac:dyDescent="0.2">
      <c r="A1012" s="16">
        <v>1011</v>
      </c>
      <c r="B1012" s="37">
        <v>1</v>
      </c>
      <c r="C1012" s="16" t="s">
        <v>2617</v>
      </c>
      <c r="D1012" s="16" t="s">
        <v>2617</v>
      </c>
      <c r="E1012" s="16"/>
      <c r="F1012" s="16" t="s">
        <v>4387</v>
      </c>
      <c r="G1012" s="16" t="s">
        <v>659</v>
      </c>
      <c r="H1012" s="16" t="s">
        <v>2616</v>
      </c>
      <c r="I1012" s="16" t="s">
        <v>131</v>
      </c>
      <c r="J1012" s="16">
        <v>0</v>
      </c>
      <c r="K1012" s="16">
        <v>1</v>
      </c>
      <c r="L1012" s="16">
        <v>0.1589873</v>
      </c>
      <c r="M1012" s="16">
        <v>0</v>
      </c>
      <c r="N1012">
        <f t="array" aca="1" ref="N1012" ca="1">MATCH(TRUE,EXACT(I1012,OFFSET(rngParamTypes,0,6,,1)),0)</f>
        <v>42</v>
      </c>
      <c r="O1012" t="str">
        <f ca="1">IF((INDEX(rngParamTypes,$N1012,7)=I1012),"",1)</f>
        <v/>
      </c>
      <c r="P1012">
        <f ca="1">INDEX(rngParamTypes,$N1012,9)</f>
        <v>0</v>
      </c>
      <c r="Q1012">
        <f ca="1">INDEX(rngParamTypes,$N1012,10)</f>
        <v>0</v>
      </c>
      <c r="R1012">
        <f ca="1">INDEX(rngParamTypes,$N1012,11)</f>
        <v>0</v>
      </c>
      <c r="S1012">
        <f ca="1">INDEX(rngParamTypes,$N1012,12)</f>
        <v>0</v>
      </c>
      <c r="T1012">
        <f ca="1">INDEX(rngParamTypes,$N1012,13)</f>
        <v>0</v>
      </c>
      <c r="U1012">
        <f ca="1">INDEX(rngParamTypes,$N1012,14)</f>
        <v>0</v>
      </c>
      <c r="V1012">
        <f ca="1">INDEX(rngParamTypes,$N1012,15)</f>
        <v>0</v>
      </c>
      <c r="W1012">
        <f ca="1">INDEX(rngParamTypes,$N1012,16)</f>
        <v>0</v>
      </c>
      <c r="X1012">
        <f ca="1">INDEX(rngParamTypes,$N1012,17)</f>
        <v>0</v>
      </c>
      <c r="Y1012">
        <f ca="1">INDEX(rngParamTypes,$N1012,18)</f>
        <v>0</v>
      </c>
    </row>
    <row r="1013" spans="1:25" x14ac:dyDescent="0.2">
      <c r="A1013" s="16">
        <v>1012</v>
      </c>
      <c r="B1013" s="37">
        <v>1</v>
      </c>
      <c r="C1013" s="16" t="s">
        <v>2619</v>
      </c>
      <c r="D1013" s="16" t="s">
        <v>2619</v>
      </c>
      <c r="E1013" s="16">
        <v>2</v>
      </c>
      <c r="F1013" s="16" t="s">
        <v>4130</v>
      </c>
      <c r="G1013" s="16" t="s">
        <v>443</v>
      </c>
      <c r="H1013" s="16" t="s">
        <v>2618</v>
      </c>
      <c r="I1013" s="16" t="s">
        <v>444</v>
      </c>
      <c r="J1013" s="16">
        <v>0</v>
      </c>
      <c r="K1013" s="16">
        <v>4.8481399999999996E-6</v>
      </c>
      <c r="L1013" s="16">
        <v>1</v>
      </c>
      <c r="M1013" s="16">
        <v>0</v>
      </c>
      <c r="N1013">
        <f t="array" aca="1" ref="N1013" ca="1">MATCH(TRUE,EXACT(I1013,OFFSET(rngParamTypes,0,6,,1)),0)</f>
        <v>178</v>
      </c>
      <c r="O1013" t="str">
        <f ca="1">IF((INDEX(rngParamTypes,$N1013,7)=I1013),"",1)</f>
        <v/>
      </c>
      <c r="P1013">
        <f ca="1">INDEX(rngParamTypes,$N1013,9)</f>
        <v>0</v>
      </c>
      <c r="Q1013">
        <f ca="1">INDEX(rngParamTypes,$N1013,10)</f>
        <v>0</v>
      </c>
      <c r="R1013">
        <f ca="1">INDEX(rngParamTypes,$N1013,11)</f>
        <v>0</v>
      </c>
      <c r="S1013">
        <f ca="1">INDEX(rngParamTypes,$N1013,12)</f>
        <v>0</v>
      </c>
      <c r="T1013">
        <f ca="1">INDEX(rngParamTypes,$N1013,13)</f>
        <v>0</v>
      </c>
      <c r="U1013">
        <f ca="1">INDEX(rngParamTypes,$N1013,14)</f>
        <v>0</v>
      </c>
      <c r="V1013">
        <f ca="1">INDEX(rngParamTypes,$N1013,15)</f>
        <v>0</v>
      </c>
      <c r="W1013">
        <f ca="1">INDEX(rngParamTypes,$N1013,16)</f>
        <v>1</v>
      </c>
      <c r="X1013">
        <f ca="1">INDEX(rngParamTypes,$N1013,17)</f>
        <v>0</v>
      </c>
      <c r="Y1013">
        <f ca="1">INDEX(rngParamTypes,$N1013,18)</f>
        <v>0</v>
      </c>
    </row>
    <row r="1014" spans="1:25" x14ac:dyDescent="0.2">
      <c r="A1014" s="16">
        <v>1013</v>
      </c>
      <c r="B1014" s="37">
        <v>1</v>
      </c>
      <c r="C1014" s="16" t="s">
        <v>2620</v>
      </c>
      <c r="D1014" s="16" t="s">
        <v>2620</v>
      </c>
      <c r="E1014" s="16"/>
      <c r="F1014" s="16" t="s">
        <v>4131</v>
      </c>
      <c r="G1014" s="16" t="s">
        <v>722</v>
      </c>
      <c r="H1014" s="16" t="s">
        <v>978</v>
      </c>
      <c r="I1014" s="16" t="s">
        <v>20</v>
      </c>
      <c r="J1014" s="16">
        <v>0</v>
      </c>
      <c r="K1014" s="16">
        <v>0.1</v>
      </c>
      <c r="L1014" s="16">
        <v>1</v>
      </c>
      <c r="M1014" s="16">
        <v>0</v>
      </c>
      <c r="N1014">
        <f t="array" aca="1" ref="N1014" ca="1">MATCH(TRUE,EXACT(I1014,OFFSET(rngParamTypes,0,6,,1)),0)</f>
        <v>5</v>
      </c>
      <c r="O1014" t="str">
        <f ca="1">IF((INDEX(rngParamTypes,$N1014,7)=I1014),"",1)</f>
        <v/>
      </c>
      <c r="P1014">
        <f ca="1">INDEX(rngParamTypes,$N1014,9)</f>
        <v>0</v>
      </c>
      <c r="Q1014">
        <f ca="1">INDEX(rngParamTypes,$N1014,10)</f>
        <v>-1</v>
      </c>
      <c r="R1014">
        <f ca="1">INDEX(rngParamTypes,$N1014,11)</f>
        <v>0</v>
      </c>
      <c r="S1014">
        <f ca="1">INDEX(rngParamTypes,$N1014,12)</f>
        <v>0</v>
      </c>
      <c r="T1014">
        <f ca="1">INDEX(rngParamTypes,$N1014,13)</f>
        <v>0</v>
      </c>
      <c r="U1014">
        <f ca="1">INDEX(rngParamTypes,$N1014,14)</f>
        <v>0</v>
      </c>
      <c r="V1014">
        <f ca="1">INDEX(rngParamTypes,$N1014,15)</f>
        <v>0</v>
      </c>
      <c r="W1014">
        <f ca="1">INDEX(rngParamTypes,$N1014,16)</f>
        <v>0</v>
      </c>
      <c r="X1014">
        <f ca="1">INDEX(rngParamTypes,$N1014,17)</f>
        <v>0</v>
      </c>
      <c r="Y1014">
        <f ca="1">INDEX(rngParamTypes,$N1014,18)</f>
        <v>0</v>
      </c>
    </row>
    <row r="1015" spans="1:25" x14ac:dyDescent="0.2">
      <c r="A1015" s="16">
        <v>1014</v>
      </c>
      <c r="B1015" s="37">
        <v>1</v>
      </c>
      <c r="C1015" s="16" t="s">
        <v>2622</v>
      </c>
      <c r="D1015" s="16" t="s">
        <v>2622</v>
      </c>
      <c r="E1015" s="16"/>
      <c r="F1015" s="16" t="s">
        <v>4132</v>
      </c>
      <c r="G1015" s="16" t="s">
        <v>659</v>
      </c>
      <c r="H1015" s="16" t="s">
        <v>2621</v>
      </c>
      <c r="I1015" s="16" t="s">
        <v>131</v>
      </c>
      <c r="J1015" s="16">
        <v>0</v>
      </c>
      <c r="K1015" s="16">
        <v>1</v>
      </c>
      <c r="L1015" s="16">
        <v>1000</v>
      </c>
      <c r="M1015" s="16">
        <v>0</v>
      </c>
      <c r="N1015">
        <f t="array" aca="1" ref="N1015" ca="1">MATCH(TRUE,EXACT(I1015,OFFSET(rngParamTypes,0,6,,1)),0)</f>
        <v>42</v>
      </c>
      <c r="O1015" t="str">
        <f ca="1">IF((INDEX(rngParamTypes,$N1015,7)=I1015),"",1)</f>
        <v/>
      </c>
      <c r="P1015">
        <f ca="1">INDEX(rngParamTypes,$N1015,9)</f>
        <v>0</v>
      </c>
      <c r="Q1015">
        <f ca="1">INDEX(rngParamTypes,$N1015,10)</f>
        <v>0</v>
      </c>
      <c r="R1015">
        <f ca="1">INDEX(rngParamTypes,$N1015,11)</f>
        <v>0</v>
      </c>
      <c r="S1015">
        <f ca="1">INDEX(rngParamTypes,$N1015,12)</f>
        <v>0</v>
      </c>
      <c r="T1015">
        <f ca="1">INDEX(rngParamTypes,$N1015,13)</f>
        <v>0</v>
      </c>
      <c r="U1015">
        <f ca="1">INDEX(rngParamTypes,$N1015,14)</f>
        <v>0</v>
      </c>
      <c r="V1015">
        <f ca="1">INDEX(rngParamTypes,$N1015,15)</f>
        <v>0</v>
      </c>
      <c r="W1015">
        <f ca="1">INDEX(rngParamTypes,$N1015,16)</f>
        <v>0</v>
      </c>
      <c r="X1015">
        <f ca="1">INDEX(rngParamTypes,$N1015,17)</f>
        <v>0</v>
      </c>
      <c r="Y1015">
        <f ca="1">INDEX(rngParamTypes,$N1015,18)</f>
        <v>0</v>
      </c>
    </row>
    <row r="1016" spans="1:25" x14ac:dyDescent="0.2">
      <c r="A1016" s="16">
        <v>1015</v>
      </c>
      <c r="B1016" s="37">
        <v>1</v>
      </c>
      <c r="C1016" s="16" t="s">
        <v>2624</v>
      </c>
      <c r="D1016" s="16" t="s">
        <v>2624</v>
      </c>
      <c r="E1016" s="16"/>
      <c r="F1016" s="16" t="s">
        <v>4133</v>
      </c>
      <c r="G1016" s="16" t="s">
        <v>659</v>
      </c>
      <c r="H1016" s="16" t="s">
        <v>2623</v>
      </c>
      <c r="I1016" s="16" t="s">
        <v>131</v>
      </c>
      <c r="J1016" s="16">
        <v>0</v>
      </c>
      <c r="K1016" s="16">
        <v>1</v>
      </c>
      <c r="L1016" s="16">
        <v>1</v>
      </c>
      <c r="M1016" s="16">
        <v>0</v>
      </c>
      <c r="N1016">
        <f t="array" aca="1" ref="N1016" ca="1">MATCH(TRUE,EXACT(I1016,OFFSET(rngParamTypes,0,6,,1)),0)</f>
        <v>42</v>
      </c>
      <c r="O1016" t="str">
        <f ca="1">IF((INDEX(rngParamTypes,$N1016,7)=I1016),"",1)</f>
        <v/>
      </c>
      <c r="P1016">
        <f ca="1">INDEX(rngParamTypes,$N1016,9)</f>
        <v>0</v>
      </c>
      <c r="Q1016">
        <f ca="1">INDEX(rngParamTypes,$N1016,10)</f>
        <v>0</v>
      </c>
      <c r="R1016">
        <f ca="1">INDEX(rngParamTypes,$N1016,11)</f>
        <v>0</v>
      </c>
      <c r="S1016">
        <f ca="1">INDEX(rngParamTypes,$N1016,12)</f>
        <v>0</v>
      </c>
      <c r="T1016">
        <f ca="1">INDEX(rngParamTypes,$N1016,13)</f>
        <v>0</v>
      </c>
      <c r="U1016">
        <f ca="1">INDEX(rngParamTypes,$N1016,14)</f>
        <v>0</v>
      </c>
      <c r="V1016">
        <f ca="1">INDEX(rngParamTypes,$N1016,15)</f>
        <v>0</v>
      </c>
      <c r="W1016">
        <f ca="1">INDEX(rngParamTypes,$N1016,16)</f>
        <v>0</v>
      </c>
      <c r="X1016">
        <f ca="1">INDEX(rngParamTypes,$N1016,17)</f>
        <v>0</v>
      </c>
      <c r="Y1016">
        <f ca="1">INDEX(rngParamTypes,$N1016,18)</f>
        <v>0</v>
      </c>
    </row>
    <row r="1017" spans="1:25" x14ac:dyDescent="0.2">
      <c r="A1017" s="16">
        <v>1016</v>
      </c>
      <c r="B1017" s="37">
        <v>1</v>
      </c>
      <c r="C1017" s="16" t="s">
        <v>2626</v>
      </c>
      <c r="D1017" s="16" t="s">
        <v>2626</v>
      </c>
      <c r="E1017" s="16">
        <v>2</v>
      </c>
      <c r="F1017" s="16" t="s">
        <v>4364</v>
      </c>
      <c r="G1017" s="16" t="s">
        <v>302</v>
      </c>
      <c r="H1017" s="16" t="s">
        <v>2625</v>
      </c>
      <c r="I1017" s="16" t="s">
        <v>303</v>
      </c>
      <c r="J1017" s="16">
        <v>0</v>
      </c>
      <c r="K1017" s="16">
        <v>9.2903040000000006E-2</v>
      </c>
      <c r="L1017" s="16">
        <v>1</v>
      </c>
      <c r="M1017" s="16">
        <v>0</v>
      </c>
      <c r="N1017">
        <f t="array" aca="1" ref="N1017" ca="1">MATCH(TRUE,EXACT(I1017,OFFSET(rngParamTypes,0,6,,1)),0)</f>
        <v>125</v>
      </c>
      <c r="O1017" t="str">
        <f ca="1">IF((INDEX(rngParamTypes,$N1017,7)=I1017),"",1)</f>
        <v/>
      </c>
      <c r="P1017">
        <f ca="1">INDEX(rngParamTypes,$N1017,9)</f>
        <v>0</v>
      </c>
      <c r="Q1017">
        <f ca="1">INDEX(rngParamTypes,$N1017,10)</f>
        <v>2</v>
      </c>
      <c r="R1017">
        <f ca="1">INDEX(rngParamTypes,$N1017,11)</f>
        <v>0</v>
      </c>
      <c r="S1017">
        <f ca="1">INDEX(rngParamTypes,$N1017,12)</f>
        <v>0</v>
      </c>
      <c r="T1017">
        <f ca="1">INDEX(rngParamTypes,$N1017,13)</f>
        <v>0</v>
      </c>
      <c r="U1017">
        <f ca="1">INDEX(rngParamTypes,$N1017,14)</f>
        <v>0</v>
      </c>
      <c r="V1017">
        <f ca="1">INDEX(rngParamTypes,$N1017,15)</f>
        <v>0</v>
      </c>
      <c r="W1017">
        <f ca="1">INDEX(rngParamTypes,$N1017,16)</f>
        <v>0</v>
      </c>
      <c r="X1017">
        <f ca="1">INDEX(rngParamTypes,$N1017,17)</f>
        <v>0</v>
      </c>
      <c r="Y1017">
        <f ca="1">INDEX(rngParamTypes,$N1017,18)</f>
        <v>0</v>
      </c>
    </row>
    <row r="1018" spans="1:25" x14ac:dyDescent="0.2">
      <c r="A1018" s="16">
        <v>1017</v>
      </c>
      <c r="B1018" s="37">
        <v>1</v>
      </c>
      <c r="C1018" s="16" t="s">
        <v>2627</v>
      </c>
      <c r="D1018" s="16" t="s">
        <v>2627</v>
      </c>
      <c r="E1018" s="16">
        <v>2</v>
      </c>
      <c r="F1018" s="16" t="s">
        <v>4365</v>
      </c>
      <c r="G1018" s="16" t="s">
        <v>302</v>
      </c>
      <c r="H1018" s="16" t="s">
        <v>1538</v>
      </c>
      <c r="I1018" s="16" t="s">
        <v>303</v>
      </c>
      <c r="J1018" s="16">
        <v>0</v>
      </c>
      <c r="K1018" s="16">
        <v>6.4515999999999998E-4</v>
      </c>
      <c r="L1018" s="16">
        <v>1</v>
      </c>
      <c r="M1018" s="16">
        <v>0</v>
      </c>
      <c r="N1018">
        <f t="array" aca="1" ref="N1018" ca="1">MATCH(TRUE,EXACT(I1018,OFFSET(rngParamTypes,0,6,,1)),0)</f>
        <v>125</v>
      </c>
      <c r="O1018" t="str">
        <f ca="1">IF((INDEX(rngParamTypes,$N1018,7)=I1018),"",1)</f>
        <v/>
      </c>
      <c r="P1018">
        <f ca="1">INDEX(rngParamTypes,$N1018,9)</f>
        <v>0</v>
      </c>
      <c r="Q1018">
        <f ca="1">INDEX(rngParamTypes,$N1018,10)</f>
        <v>2</v>
      </c>
      <c r="R1018">
        <f ca="1">INDEX(rngParamTypes,$N1018,11)</f>
        <v>0</v>
      </c>
      <c r="S1018">
        <f ca="1">INDEX(rngParamTypes,$N1018,12)</f>
        <v>0</v>
      </c>
      <c r="T1018">
        <f ca="1">INDEX(rngParamTypes,$N1018,13)</f>
        <v>0</v>
      </c>
      <c r="U1018">
        <f ca="1">INDEX(rngParamTypes,$N1018,14)</f>
        <v>0</v>
      </c>
      <c r="V1018">
        <f ca="1">INDEX(rngParamTypes,$N1018,15)</f>
        <v>0</v>
      </c>
      <c r="W1018">
        <f ca="1">INDEX(rngParamTypes,$N1018,16)</f>
        <v>0</v>
      </c>
      <c r="X1018">
        <f ca="1">INDEX(rngParamTypes,$N1018,17)</f>
        <v>0</v>
      </c>
      <c r="Y1018">
        <f ca="1">INDEX(rngParamTypes,$N1018,18)</f>
        <v>0</v>
      </c>
    </row>
    <row r="1019" spans="1:25" x14ac:dyDescent="0.2">
      <c r="A1019" s="16">
        <v>1018</v>
      </c>
      <c r="B1019" s="37">
        <v>1</v>
      </c>
      <c r="C1019" s="16" t="s">
        <v>2628</v>
      </c>
      <c r="D1019" s="16" t="s">
        <v>2628</v>
      </c>
      <c r="E1019" s="16">
        <v>2</v>
      </c>
      <c r="F1019" s="16" t="s">
        <v>4366</v>
      </c>
      <c r="G1019" s="16" t="s">
        <v>302</v>
      </c>
      <c r="H1019" s="16" t="s">
        <v>2182</v>
      </c>
      <c r="I1019" s="16" t="s">
        <v>303</v>
      </c>
      <c r="J1019" s="16">
        <v>0</v>
      </c>
      <c r="K1019" s="16">
        <v>2589988</v>
      </c>
      <c r="L1019" s="16">
        <v>1</v>
      </c>
      <c r="M1019" s="16">
        <v>0</v>
      </c>
      <c r="N1019">
        <f t="array" aca="1" ref="N1019" ca="1">MATCH(TRUE,EXACT(I1019,OFFSET(rngParamTypes,0,6,,1)),0)</f>
        <v>125</v>
      </c>
      <c r="O1019" t="str">
        <f ca="1">IF((INDEX(rngParamTypes,$N1019,7)=I1019),"",1)</f>
        <v/>
      </c>
      <c r="P1019">
        <f ca="1">INDEX(rngParamTypes,$N1019,9)</f>
        <v>0</v>
      </c>
      <c r="Q1019">
        <f ca="1">INDEX(rngParamTypes,$N1019,10)</f>
        <v>2</v>
      </c>
      <c r="R1019">
        <f ca="1">INDEX(rngParamTypes,$N1019,11)</f>
        <v>0</v>
      </c>
      <c r="S1019">
        <f ca="1">INDEX(rngParamTypes,$N1019,12)</f>
        <v>0</v>
      </c>
      <c r="T1019">
        <f ca="1">INDEX(rngParamTypes,$N1019,13)</f>
        <v>0</v>
      </c>
      <c r="U1019">
        <f ca="1">INDEX(rngParamTypes,$N1019,14)</f>
        <v>0</v>
      </c>
      <c r="V1019">
        <f ca="1">INDEX(rngParamTypes,$N1019,15)</f>
        <v>0</v>
      </c>
      <c r="W1019">
        <f ca="1">INDEX(rngParamTypes,$N1019,16)</f>
        <v>0</v>
      </c>
      <c r="X1019">
        <f ca="1">INDEX(rngParamTypes,$N1019,17)</f>
        <v>0</v>
      </c>
      <c r="Y1019">
        <f ca="1">INDEX(rngParamTypes,$N1019,18)</f>
        <v>0</v>
      </c>
    </row>
    <row r="1020" spans="1:25" x14ac:dyDescent="0.2">
      <c r="A1020" s="16">
        <v>1019</v>
      </c>
      <c r="B1020" s="37">
        <v>1</v>
      </c>
      <c r="C1020" s="16" t="s">
        <v>2630</v>
      </c>
      <c r="D1020" s="16" t="s">
        <v>2630</v>
      </c>
      <c r="E1020" s="16">
        <v>2</v>
      </c>
      <c r="F1020" s="16" t="s">
        <v>4367</v>
      </c>
      <c r="G1020" s="16" t="s">
        <v>302</v>
      </c>
      <c r="H1020" s="16" t="s">
        <v>2629</v>
      </c>
      <c r="I1020" s="16" t="s">
        <v>303</v>
      </c>
      <c r="J1020" s="16">
        <v>0</v>
      </c>
      <c r="K1020" s="16">
        <v>0.83612739999999997</v>
      </c>
      <c r="L1020" s="16">
        <v>1</v>
      </c>
      <c r="M1020" s="16">
        <v>0</v>
      </c>
      <c r="N1020">
        <f t="array" aca="1" ref="N1020" ca="1">MATCH(TRUE,EXACT(I1020,OFFSET(rngParamTypes,0,6,,1)),0)</f>
        <v>125</v>
      </c>
      <c r="O1020" t="str">
        <f ca="1">IF((INDEX(rngParamTypes,$N1020,7)=I1020),"",1)</f>
        <v/>
      </c>
      <c r="P1020">
        <f ca="1">INDEX(rngParamTypes,$N1020,9)</f>
        <v>0</v>
      </c>
      <c r="Q1020">
        <f ca="1">INDEX(rngParamTypes,$N1020,10)</f>
        <v>2</v>
      </c>
      <c r="R1020">
        <f ca="1">INDEX(rngParamTypes,$N1020,11)</f>
        <v>0</v>
      </c>
      <c r="S1020">
        <f ca="1">INDEX(rngParamTypes,$N1020,12)</f>
        <v>0</v>
      </c>
      <c r="T1020">
        <f ca="1">INDEX(rngParamTypes,$N1020,13)</f>
        <v>0</v>
      </c>
      <c r="U1020">
        <f ca="1">INDEX(rngParamTypes,$N1020,14)</f>
        <v>0</v>
      </c>
      <c r="V1020">
        <f ca="1">INDEX(rngParamTypes,$N1020,15)</f>
        <v>0</v>
      </c>
      <c r="W1020">
        <f ca="1">INDEX(rngParamTypes,$N1020,16)</f>
        <v>0</v>
      </c>
      <c r="X1020">
        <f ca="1">INDEX(rngParamTypes,$N1020,17)</f>
        <v>0</v>
      </c>
      <c r="Y1020">
        <f ca="1">INDEX(rngParamTypes,$N1020,18)</f>
        <v>0</v>
      </c>
    </row>
    <row r="1021" spans="1:25" x14ac:dyDescent="0.2">
      <c r="A1021" s="16">
        <v>1020</v>
      </c>
      <c r="B1021" s="37">
        <v>1</v>
      </c>
      <c r="C1021" s="16" t="s">
        <v>2633</v>
      </c>
      <c r="D1021" s="16" t="s">
        <v>2633</v>
      </c>
      <c r="E1021" s="16"/>
      <c r="F1021" s="16" t="s">
        <v>4368</v>
      </c>
      <c r="G1021" s="16" t="s">
        <v>484</v>
      </c>
      <c r="H1021" s="16" t="s">
        <v>2632</v>
      </c>
      <c r="I1021" s="16" t="s">
        <v>494</v>
      </c>
      <c r="J1021" s="16">
        <v>0</v>
      </c>
      <c r="K1021" s="16">
        <v>0.1589873</v>
      </c>
      <c r="L1021" s="16">
        <v>1</v>
      </c>
      <c r="M1021" s="16">
        <v>0</v>
      </c>
      <c r="N1021">
        <f t="array" aca="1" ref="N1021" ca="1">MATCH(TRUE,EXACT(I1021,OFFSET(rngParamTypes,0,6,,1)),0)</f>
        <v>199</v>
      </c>
      <c r="O1021" t="str">
        <f ca="1">IF((INDEX(rngParamTypes,$N1021,7)=I1021),"",1)</f>
        <v/>
      </c>
      <c r="P1021">
        <f ca="1">INDEX(rngParamTypes,$N1021,9)</f>
        <v>0</v>
      </c>
      <c r="Q1021">
        <f ca="1">INDEX(rngParamTypes,$N1021,10)</f>
        <v>3</v>
      </c>
      <c r="R1021">
        <f ca="1">INDEX(rngParamTypes,$N1021,11)</f>
        <v>0</v>
      </c>
      <c r="S1021">
        <f ca="1">INDEX(rngParamTypes,$N1021,12)</f>
        <v>0</v>
      </c>
      <c r="T1021">
        <f ca="1">INDEX(rngParamTypes,$N1021,13)</f>
        <v>0</v>
      </c>
      <c r="U1021">
        <f ca="1">INDEX(rngParamTypes,$N1021,14)</f>
        <v>0</v>
      </c>
      <c r="V1021">
        <f ca="1">INDEX(rngParamTypes,$N1021,15)</f>
        <v>0</v>
      </c>
      <c r="W1021">
        <f ca="1">INDEX(rngParamTypes,$N1021,16)</f>
        <v>0</v>
      </c>
      <c r="X1021">
        <f ca="1">INDEX(rngParamTypes,$N1021,17)</f>
        <v>0</v>
      </c>
      <c r="Y1021">
        <f ca="1">INDEX(rngParamTypes,$N1021,18)</f>
        <v>0</v>
      </c>
    </row>
    <row r="1022" spans="1:25" x14ac:dyDescent="0.2">
      <c r="A1022" s="16">
        <v>1021</v>
      </c>
      <c r="B1022" s="37">
        <v>1</v>
      </c>
      <c r="C1022" s="16" t="s">
        <v>2635</v>
      </c>
      <c r="D1022" s="16" t="s">
        <v>2635</v>
      </c>
      <c r="E1022" s="16"/>
      <c r="F1022" s="16" t="s">
        <v>4369</v>
      </c>
      <c r="G1022" s="16" t="s">
        <v>488</v>
      </c>
      <c r="H1022" s="16" t="s">
        <v>2634</v>
      </c>
      <c r="I1022" s="16" t="s">
        <v>497</v>
      </c>
      <c r="J1022" s="16">
        <v>0</v>
      </c>
      <c r="K1022" s="16">
        <v>0.1589873</v>
      </c>
      <c r="L1022" s="16">
        <v>4046.873</v>
      </c>
      <c r="M1022" s="16">
        <v>0</v>
      </c>
      <c r="N1022">
        <f t="array" aca="1" ref="N1022" ca="1">MATCH(TRUE,EXACT(I1022,OFFSET(rngParamTypes,0,6,,1)),0)</f>
        <v>200</v>
      </c>
      <c r="O1022" t="str">
        <f ca="1">IF((INDEX(rngParamTypes,$N1022,7)=I1022),"",1)</f>
        <v/>
      </c>
      <c r="P1022">
        <f ca="1">INDEX(rngParamTypes,$N1022,9)</f>
        <v>0</v>
      </c>
      <c r="Q1022">
        <f ca="1">INDEX(rngParamTypes,$N1022,10)</f>
        <v>1</v>
      </c>
      <c r="R1022">
        <f ca="1">INDEX(rngParamTypes,$N1022,11)</f>
        <v>0</v>
      </c>
      <c r="S1022">
        <f ca="1">INDEX(rngParamTypes,$N1022,12)</f>
        <v>0</v>
      </c>
      <c r="T1022">
        <f ca="1">INDEX(rngParamTypes,$N1022,13)</f>
        <v>0</v>
      </c>
      <c r="U1022">
        <f ca="1">INDEX(rngParamTypes,$N1022,14)</f>
        <v>0</v>
      </c>
      <c r="V1022">
        <f ca="1">INDEX(rngParamTypes,$N1022,15)</f>
        <v>0</v>
      </c>
      <c r="W1022">
        <f ca="1">INDEX(rngParamTypes,$N1022,16)</f>
        <v>0</v>
      </c>
      <c r="X1022">
        <f ca="1">INDEX(rngParamTypes,$N1022,17)</f>
        <v>0</v>
      </c>
      <c r="Y1022">
        <f ca="1">INDEX(rngParamTypes,$N1022,18)</f>
        <v>0</v>
      </c>
    </row>
    <row r="1023" spans="1:25" x14ac:dyDescent="0.2">
      <c r="A1023" s="16">
        <v>1022</v>
      </c>
      <c r="B1023" s="37">
        <v>1</v>
      </c>
      <c r="C1023" s="16" t="s">
        <v>2637</v>
      </c>
      <c r="D1023" s="16" t="s">
        <v>2637</v>
      </c>
      <c r="E1023" s="16"/>
      <c r="F1023" s="16" t="s">
        <v>4370</v>
      </c>
      <c r="G1023" s="16" t="s">
        <v>491</v>
      </c>
      <c r="H1023" s="16" t="s">
        <v>2636</v>
      </c>
      <c r="I1023" s="16" t="s">
        <v>499</v>
      </c>
      <c r="J1023" s="16">
        <v>0</v>
      </c>
      <c r="K1023" s="16">
        <v>1</v>
      </c>
      <c r="L1023" s="16">
        <v>1</v>
      </c>
      <c r="M1023" s="16">
        <v>0</v>
      </c>
      <c r="N1023">
        <f t="array" aca="1" ref="N1023" ca="1">MATCH(TRUE,EXACT(I1023,OFFSET(rngParamTypes,0,6,,1)),0)</f>
        <v>201</v>
      </c>
      <c r="O1023" t="str">
        <f ca="1">IF((INDEX(rngParamTypes,$N1023,7)=I1023),"",1)</f>
        <v/>
      </c>
      <c r="P1023">
        <f ca="1">INDEX(rngParamTypes,$N1023,9)</f>
        <v>0</v>
      </c>
      <c r="Q1023">
        <f ca="1">INDEX(rngParamTypes,$N1023,10)</f>
        <v>0</v>
      </c>
      <c r="R1023">
        <f ca="1">INDEX(rngParamTypes,$N1023,11)</f>
        <v>0</v>
      </c>
      <c r="S1023">
        <f ca="1">INDEX(rngParamTypes,$N1023,12)</f>
        <v>0</v>
      </c>
      <c r="T1023">
        <f ca="1">INDEX(rngParamTypes,$N1023,13)</f>
        <v>0</v>
      </c>
      <c r="U1023">
        <f ca="1">INDEX(rngParamTypes,$N1023,14)</f>
        <v>0</v>
      </c>
      <c r="V1023">
        <f ca="1">INDEX(rngParamTypes,$N1023,15)</f>
        <v>0</v>
      </c>
      <c r="W1023">
        <f ca="1">INDEX(rngParamTypes,$N1023,16)</f>
        <v>0</v>
      </c>
      <c r="X1023">
        <f ca="1">INDEX(rngParamTypes,$N1023,17)</f>
        <v>0</v>
      </c>
      <c r="Y1023">
        <f ca="1">INDEX(rngParamTypes,$N1023,18)</f>
        <v>0</v>
      </c>
    </row>
    <row r="1024" spans="1:25" x14ac:dyDescent="0.2">
      <c r="A1024" s="16">
        <v>1023</v>
      </c>
      <c r="B1024" s="37">
        <v>1</v>
      </c>
      <c r="C1024" s="16" t="s">
        <v>2639</v>
      </c>
      <c r="D1024" s="16" t="s">
        <v>2639</v>
      </c>
      <c r="E1024" s="16"/>
      <c r="F1024" s="16" t="s">
        <v>4371</v>
      </c>
      <c r="G1024" s="16" t="s">
        <v>501</v>
      </c>
      <c r="H1024" s="16" t="s">
        <v>2638</v>
      </c>
      <c r="I1024" s="16" t="s">
        <v>502</v>
      </c>
      <c r="J1024" s="16">
        <v>0</v>
      </c>
      <c r="K1024" s="16">
        <v>0.1589873</v>
      </c>
      <c r="L1024" s="16">
        <v>86400</v>
      </c>
      <c r="M1024" s="16">
        <v>0</v>
      </c>
      <c r="N1024">
        <f t="array" aca="1" ref="N1024" ca="1">MATCH(TRUE,EXACT(I1024,OFFSET(rngParamTypes,0,6,,1)),0)</f>
        <v>202</v>
      </c>
      <c r="O1024" t="str">
        <f ca="1">IF((INDEX(rngParamTypes,$N1024,7)=I1024),"",1)</f>
        <v/>
      </c>
      <c r="P1024">
        <f ca="1">INDEX(rngParamTypes,$N1024,9)</f>
        <v>0</v>
      </c>
      <c r="Q1024">
        <f ca="1">INDEX(rngParamTypes,$N1024,10)</f>
        <v>3</v>
      </c>
      <c r="R1024">
        <f ca="1">INDEX(rngParamTypes,$N1024,11)</f>
        <v>-1</v>
      </c>
      <c r="S1024">
        <f ca="1">INDEX(rngParamTypes,$N1024,12)</f>
        <v>0</v>
      </c>
      <c r="T1024">
        <f ca="1">INDEX(rngParamTypes,$N1024,13)</f>
        <v>0</v>
      </c>
      <c r="U1024">
        <f ca="1">INDEX(rngParamTypes,$N1024,14)</f>
        <v>0</v>
      </c>
      <c r="V1024">
        <f ca="1">INDEX(rngParamTypes,$N1024,15)</f>
        <v>0</v>
      </c>
      <c r="W1024">
        <f ca="1">INDEX(rngParamTypes,$N1024,16)</f>
        <v>0</v>
      </c>
      <c r="X1024">
        <f ca="1">INDEX(rngParamTypes,$N1024,17)</f>
        <v>0</v>
      </c>
      <c r="Y1024">
        <f ca="1">INDEX(rngParamTypes,$N1024,18)</f>
        <v>0</v>
      </c>
    </row>
    <row r="1025" spans="1:25" x14ac:dyDescent="0.2">
      <c r="A1025" s="16">
        <v>1024</v>
      </c>
      <c r="B1025" s="37">
        <v>1</v>
      </c>
      <c r="C1025" s="16" t="s">
        <v>2641</v>
      </c>
      <c r="D1025" s="16" t="s">
        <v>2641</v>
      </c>
      <c r="E1025" s="16"/>
      <c r="F1025" s="16" t="s">
        <v>4372</v>
      </c>
      <c r="G1025" s="16" t="s">
        <v>659</v>
      </c>
      <c r="H1025" s="16" t="s">
        <v>2640</v>
      </c>
      <c r="I1025" s="16" t="s">
        <v>131</v>
      </c>
      <c r="J1025" s="16">
        <v>0</v>
      </c>
      <c r="K1025" s="16">
        <v>0.1589873</v>
      </c>
      <c r="L1025" s="16">
        <v>28262.357</v>
      </c>
      <c r="M1025" s="16">
        <v>0</v>
      </c>
      <c r="N1025">
        <f t="array" aca="1" ref="N1025" ca="1">MATCH(TRUE,EXACT(I1025,OFFSET(rngParamTypes,0,6,,1)),0)</f>
        <v>42</v>
      </c>
      <c r="O1025" t="str">
        <f ca="1">IF((INDEX(rngParamTypes,$N1025,7)=I1025),"",1)</f>
        <v/>
      </c>
      <c r="P1025">
        <f ca="1">INDEX(rngParamTypes,$N1025,9)</f>
        <v>0</v>
      </c>
      <c r="Q1025">
        <f ca="1">INDEX(rngParamTypes,$N1025,10)</f>
        <v>0</v>
      </c>
      <c r="R1025">
        <f ca="1">INDEX(rngParamTypes,$N1025,11)</f>
        <v>0</v>
      </c>
      <c r="S1025">
        <f ca="1">INDEX(rngParamTypes,$N1025,12)</f>
        <v>0</v>
      </c>
      <c r="T1025">
        <f ca="1">INDEX(rngParamTypes,$N1025,13)</f>
        <v>0</v>
      </c>
      <c r="U1025">
        <f ca="1">INDEX(rngParamTypes,$N1025,14)</f>
        <v>0</v>
      </c>
      <c r="V1025">
        <f ca="1">INDEX(rngParamTypes,$N1025,15)</f>
        <v>0</v>
      </c>
      <c r="W1025">
        <f ca="1">INDEX(rngParamTypes,$N1025,16)</f>
        <v>0</v>
      </c>
      <c r="X1025">
        <f ca="1">INDEX(rngParamTypes,$N1025,17)</f>
        <v>0</v>
      </c>
      <c r="Y1025">
        <f ca="1">INDEX(rngParamTypes,$N1025,18)</f>
        <v>0</v>
      </c>
    </row>
    <row r="1026" spans="1:25" x14ac:dyDescent="0.2">
      <c r="A1026" s="16">
        <v>1025</v>
      </c>
      <c r="B1026" s="37">
        <v>1</v>
      </c>
      <c r="C1026" s="16" t="s">
        <v>2643</v>
      </c>
      <c r="D1026" s="16" t="s">
        <v>2643</v>
      </c>
      <c r="E1026" s="16"/>
      <c r="F1026" s="16" t="s">
        <v>4388</v>
      </c>
      <c r="G1026" s="16" t="s">
        <v>659</v>
      </c>
      <c r="H1026" s="16" t="s">
        <v>2642</v>
      </c>
      <c r="I1026" s="16" t="s">
        <v>131</v>
      </c>
      <c r="J1026" s="16">
        <v>0</v>
      </c>
      <c r="K1026" s="16">
        <v>0.1589873</v>
      </c>
      <c r="L1026" s="16">
        <v>1000000</v>
      </c>
      <c r="M1026" s="16">
        <v>0</v>
      </c>
      <c r="N1026">
        <f t="array" aca="1" ref="N1026" ca="1">MATCH(TRUE,EXACT(I1026,OFFSET(rngParamTypes,0,6,,1)),0)</f>
        <v>42</v>
      </c>
      <c r="O1026" t="str">
        <f ca="1">IF((INDEX(rngParamTypes,$N1026,7)=I1026),"",1)</f>
        <v/>
      </c>
      <c r="P1026">
        <f ca="1">INDEX(rngParamTypes,$N1026,9)</f>
        <v>0</v>
      </c>
      <c r="Q1026">
        <f ca="1">INDEX(rngParamTypes,$N1026,10)</f>
        <v>0</v>
      </c>
      <c r="R1026">
        <f ca="1">INDEX(rngParamTypes,$N1026,11)</f>
        <v>0</v>
      </c>
      <c r="S1026">
        <f ca="1">INDEX(rngParamTypes,$N1026,12)</f>
        <v>0</v>
      </c>
      <c r="T1026">
        <f ca="1">INDEX(rngParamTypes,$N1026,13)</f>
        <v>0</v>
      </c>
      <c r="U1026">
        <f ca="1">INDEX(rngParamTypes,$N1026,14)</f>
        <v>0</v>
      </c>
      <c r="V1026">
        <f ca="1">INDEX(rngParamTypes,$N1026,15)</f>
        <v>0</v>
      </c>
      <c r="W1026">
        <f ca="1">INDEX(rngParamTypes,$N1026,16)</f>
        <v>0</v>
      </c>
      <c r="X1026">
        <f ca="1">INDEX(rngParamTypes,$N1026,17)</f>
        <v>0</v>
      </c>
      <c r="Y1026">
        <f ca="1">INDEX(rngParamTypes,$N1026,18)</f>
        <v>0</v>
      </c>
    </row>
    <row r="1027" spans="1:25" x14ac:dyDescent="0.2">
      <c r="A1027" s="16">
        <v>1026</v>
      </c>
      <c r="B1027" s="37">
        <v>1</v>
      </c>
      <c r="C1027" s="16" t="s">
        <v>2645</v>
      </c>
      <c r="D1027" s="16" t="s">
        <v>2645</v>
      </c>
      <c r="E1027" s="16"/>
      <c r="F1027" s="16" t="s">
        <v>4373</v>
      </c>
      <c r="G1027" s="16" t="s">
        <v>659</v>
      </c>
      <c r="H1027" s="16" t="s">
        <v>2644</v>
      </c>
      <c r="I1027" s="16" t="s">
        <v>131</v>
      </c>
      <c r="J1027" s="16">
        <v>0</v>
      </c>
      <c r="K1027" s="16">
        <v>0.1589873</v>
      </c>
      <c r="L1027" s="16">
        <v>28.262357000000002</v>
      </c>
      <c r="M1027" s="16">
        <v>0</v>
      </c>
      <c r="N1027">
        <f t="array" aca="1" ref="N1027" ca="1">MATCH(TRUE,EXACT(I1027,OFFSET(rngParamTypes,0,6,,1)),0)</f>
        <v>42</v>
      </c>
      <c r="O1027" t="str">
        <f ca="1">IF((INDEX(rngParamTypes,$N1027,7)=I1027),"",1)</f>
        <v/>
      </c>
      <c r="P1027">
        <f ca="1">INDEX(rngParamTypes,$N1027,9)</f>
        <v>0</v>
      </c>
      <c r="Q1027">
        <f ca="1">INDEX(rngParamTypes,$N1027,10)</f>
        <v>0</v>
      </c>
      <c r="R1027">
        <f ca="1">INDEX(rngParamTypes,$N1027,11)</f>
        <v>0</v>
      </c>
      <c r="S1027">
        <f ca="1">INDEX(rngParamTypes,$N1027,12)</f>
        <v>0</v>
      </c>
      <c r="T1027">
        <f ca="1">INDEX(rngParamTypes,$N1027,13)</f>
        <v>0</v>
      </c>
      <c r="U1027">
        <f ca="1">INDEX(rngParamTypes,$N1027,14)</f>
        <v>0</v>
      </c>
      <c r="V1027">
        <f ca="1">INDEX(rngParamTypes,$N1027,15)</f>
        <v>0</v>
      </c>
      <c r="W1027">
        <f ca="1">INDEX(rngParamTypes,$N1027,16)</f>
        <v>0</v>
      </c>
      <c r="X1027">
        <f ca="1">INDEX(rngParamTypes,$N1027,17)</f>
        <v>0</v>
      </c>
      <c r="Y1027">
        <f ca="1">INDEX(rngParamTypes,$N1027,18)</f>
        <v>0</v>
      </c>
    </row>
    <row r="1028" spans="1:25" x14ac:dyDescent="0.2">
      <c r="A1028" s="16">
        <v>1027</v>
      </c>
      <c r="B1028" s="37">
        <v>1</v>
      </c>
      <c r="C1028" s="16" t="s">
        <v>2647</v>
      </c>
      <c r="D1028" s="16" t="s">
        <v>2647</v>
      </c>
      <c r="E1028" s="16"/>
      <c r="F1028" s="16" t="s">
        <v>4389</v>
      </c>
      <c r="G1028" s="16" t="s">
        <v>659</v>
      </c>
      <c r="H1028" s="16" t="s">
        <v>2646</v>
      </c>
      <c r="I1028" s="16" t="s">
        <v>131</v>
      </c>
      <c r="J1028" s="16">
        <v>0</v>
      </c>
      <c r="K1028" s="16">
        <v>0.1589873</v>
      </c>
      <c r="L1028" s="16">
        <v>1000</v>
      </c>
      <c r="M1028" s="16">
        <v>0</v>
      </c>
      <c r="N1028">
        <f t="array" aca="1" ref="N1028" ca="1">MATCH(TRUE,EXACT(I1028,OFFSET(rngParamTypes,0,6,,1)),0)</f>
        <v>42</v>
      </c>
      <c r="O1028" t="str">
        <f ca="1">IF((INDEX(rngParamTypes,$N1028,7)=I1028),"",1)</f>
        <v/>
      </c>
      <c r="P1028">
        <f ca="1">INDEX(rngParamTypes,$N1028,9)</f>
        <v>0</v>
      </c>
      <c r="Q1028">
        <f ca="1">INDEX(rngParamTypes,$N1028,10)</f>
        <v>0</v>
      </c>
      <c r="R1028">
        <f ca="1">INDEX(rngParamTypes,$N1028,11)</f>
        <v>0</v>
      </c>
      <c r="S1028">
        <f ca="1">INDEX(rngParamTypes,$N1028,12)</f>
        <v>0</v>
      </c>
      <c r="T1028">
        <f ca="1">INDEX(rngParamTypes,$N1028,13)</f>
        <v>0</v>
      </c>
      <c r="U1028">
        <f ca="1">INDEX(rngParamTypes,$N1028,14)</f>
        <v>0</v>
      </c>
      <c r="V1028">
        <f ca="1">INDEX(rngParamTypes,$N1028,15)</f>
        <v>0</v>
      </c>
      <c r="W1028">
        <f ca="1">INDEX(rngParamTypes,$N1028,16)</f>
        <v>0</v>
      </c>
      <c r="X1028">
        <f ca="1">INDEX(rngParamTypes,$N1028,17)</f>
        <v>0</v>
      </c>
      <c r="Y1028">
        <f ca="1">INDEX(rngParamTypes,$N1028,18)</f>
        <v>0</v>
      </c>
    </row>
    <row r="1029" spans="1:25" x14ac:dyDescent="0.2">
      <c r="A1029" s="16">
        <v>1028</v>
      </c>
      <c r="B1029" s="37">
        <v>1</v>
      </c>
      <c r="C1029" s="16" t="s">
        <v>2649</v>
      </c>
      <c r="D1029" s="16" t="s">
        <v>2649</v>
      </c>
      <c r="E1029" s="16"/>
      <c r="F1029" s="16" t="s">
        <v>4390</v>
      </c>
      <c r="G1029" s="16" t="s">
        <v>659</v>
      </c>
      <c r="H1029" s="16" t="s">
        <v>2648</v>
      </c>
      <c r="I1029" s="16" t="s">
        <v>131</v>
      </c>
      <c r="J1029" s="16">
        <v>0</v>
      </c>
      <c r="K1029" s="16">
        <v>0.1589873</v>
      </c>
      <c r="L1029" s="16">
        <v>1</v>
      </c>
      <c r="M1029" s="16">
        <v>0</v>
      </c>
      <c r="N1029">
        <f t="array" aca="1" ref="N1029" ca="1">MATCH(TRUE,EXACT(I1029,OFFSET(rngParamTypes,0,6,,1)),0)</f>
        <v>42</v>
      </c>
      <c r="O1029" t="str">
        <f ca="1">IF((INDEX(rngParamTypes,$N1029,7)=I1029),"",1)</f>
        <v/>
      </c>
      <c r="P1029">
        <f ca="1">INDEX(rngParamTypes,$N1029,9)</f>
        <v>0</v>
      </c>
      <c r="Q1029">
        <f ca="1">INDEX(rngParamTypes,$N1029,10)</f>
        <v>0</v>
      </c>
      <c r="R1029">
        <f ca="1">INDEX(rngParamTypes,$N1029,11)</f>
        <v>0</v>
      </c>
      <c r="S1029">
        <f ca="1">INDEX(rngParamTypes,$N1029,12)</f>
        <v>0</v>
      </c>
      <c r="T1029">
        <f ca="1">INDEX(rngParamTypes,$N1029,13)</f>
        <v>0</v>
      </c>
      <c r="U1029">
        <f ca="1">INDEX(rngParamTypes,$N1029,14)</f>
        <v>0</v>
      </c>
      <c r="V1029">
        <f ca="1">INDEX(rngParamTypes,$N1029,15)</f>
        <v>0</v>
      </c>
      <c r="W1029">
        <f ca="1">INDEX(rngParamTypes,$N1029,16)</f>
        <v>0</v>
      </c>
      <c r="X1029">
        <f ca="1">INDEX(rngParamTypes,$N1029,17)</f>
        <v>0</v>
      </c>
      <c r="Y1029">
        <f ca="1">INDEX(rngParamTypes,$N1029,18)</f>
        <v>0</v>
      </c>
    </row>
    <row r="1030" spans="1:25" x14ac:dyDescent="0.2">
      <c r="A1030" s="16">
        <v>1029</v>
      </c>
      <c r="B1030" s="37">
        <v>1</v>
      </c>
      <c r="C1030" s="16" t="s">
        <v>2651</v>
      </c>
      <c r="D1030" s="16" t="s">
        <v>2651</v>
      </c>
      <c r="E1030" s="16"/>
      <c r="F1030" s="16" t="s">
        <v>4134</v>
      </c>
      <c r="G1030" s="16" t="s">
        <v>512</v>
      </c>
      <c r="H1030" s="16" t="s">
        <v>2650</v>
      </c>
      <c r="I1030" s="16" t="s">
        <v>513</v>
      </c>
      <c r="J1030" s="16">
        <v>0</v>
      </c>
      <c r="K1030" s="16">
        <v>1</v>
      </c>
      <c r="L1030" s="16">
        <v>3600</v>
      </c>
      <c r="M1030" s="16">
        <v>0</v>
      </c>
      <c r="N1030">
        <f t="array" aca="1" ref="N1030" ca="1">MATCH(TRUE,EXACT(I1030,OFFSET(rngParamTypes,0,6,,1)),0)</f>
        <v>205</v>
      </c>
      <c r="O1030" t="str">
        <f ca="1">IF((INDEX(rngParamTypes,$N1030,7)=I1030),"",1)</f>
        <v/>
      </c>
      <c r="P1030">
        <f ca="1">INDEX(rngParamTypes,$N1030,9)</f>
        <v>0</v>
      </c>
      <c r="Q1030">
        <f ca="1">INDEX(rngParamTypes,$N1030,10)</f>
        <v>2</v>
      </c>
      <c r="R1030">
        <f ca="1">INDEX(rngParamTypes,$N1030,11)</f>
        <v>-3</v>
      </c>
      <c r="S1030">
        <f ca="1">INDEX(rngParamTypes,$N1030,12)</f>
        <v>0</v>
      </c>
      <c r="T1030">
        <f ca="1">INDEX(rngParamTypes,$N1030,13)</f>
        <v>0</v>
      </c>
      <c r="U1030">
        <f ca="1">INDEX(rngParamTypes,$N1030,14)</f>
        <v>0</v>
      </c>
      <c r="V1030">
        <f ca="1">INDEX(rngParamTypes,$N1030,15)</f>
        <v>0</v>
      </c>
      <c r="W1030">
        <f ca="1">INDEX(rngParamTypes,$N1030,16)</f>
        <v>0</v>
      </c>
      <c r="X1030">
        <f ca="1">INDEX(rngParamTypes,$N1030,17)</f>
        <v>0</v>
      </c>
      <c r="Y1030">
        <f ca="1">INDEX(rngParamTypes,$N1030,18)</f>
        <v>0</v>
      </c>
    </row>
    <row r="1031" spans="1:25" x14ac:dyDescent="0.2">
      <c r="A1031" s="16">
        <v>1030</v>
      </c>
      <c r="B1031" s="37">
        <v>1</v>
      </c>
      <c r="C1031" s="16" t="s">
        <v>2653</v>
      </c>
      <c r="D1031" s="16" t="s">
        <v>2653</v>
      </c>
      <c r="E1031" s="16">
        <v>2</v>
      </c>
      <c r="F1031" s="16" t="s">
        <v>4135</v>
      </c>
      <c r="G1031" s="16" t="s">
        <v>220</v>
      </c>
      <c r="H1031" s="16" t="s">
        <v>2652</v>
      </c>
      <c r="I1031" s="16" t="s">
        <v>221</v>
      </c>
      <c r="J1031" s="16">
        <v>0</v>
      </c>
      <c r="K1031" s="16">
        <v>1000</v>
      </c>
      <c r="L1031" s="16">
        <v>1</v>
      </c>
      <c r="M1031" s="16">
        <v>0</v>
      </c>
      <c r="N1031">
        <f t="array" aca="1" ref="N1031" ca="1">MATCH(TRUE,EXACT(I1031,OFFSET(rngParamTypes,0,6,,1)),0)</f>
        <v>87</v>
      </c>
      <c r="O1031" t="str">
        <f ca="1">IF((INDEX(rngParamTypes,$N1031,7)=I1031),"",1)</f>
        <v/>
      </c>
      <c r="P1031">
        <f ca="1">INDEX(rngParamTypes,$N1031,9)</f>
        <v>1</v>
      </c>
      <c r="Q1031">
        <f ca="1">INDEX(rngParamTypes,$N1031,10)</f>
        <v>0</v>
      </c>
      <c r="R1031">
        <f ca="1">INDEX(rngParamTypes,$N1031,11)</f>
        <v>0</v>
      </c>
      <c r="S1031">
        <f ca="1">INDEX(rngParamTypes,$N1031,12)</f>
        <v>0</v>
      </c>
      <c r="T1031">
        <f ca="1">INDEX(rngParamTypes,$N1031,13)</f>
        <v>0</v>
      </c>
      <c r="U1031">
        <f ca="1">INDEX(rngParamTypes,$N1031,14)</f>
        <v>0</v>
      </c>
      <c r="V1031">
        <f ca="1">INDEX(rngParamTypes,$N1031,15)</f>
        <v>0</v>
      </c>
      <c r="W1031">
        <f ca="1">INDEX(rngParamTypes,$N1031,16)</f>
        <v>0</v>
      </c>
      <c r="X1031">
        <f ca="1">INDEX(rngParamTypes,$N1031,17)</f>
        <v>0</v>
      </c>
      <c r="Y1031">
        <f ca="1">INDEX(rngParamTypes,$N1031,18)</f>
        <v>0</v>
      </c>
    </row>
    <row r="1032" spans="1:25" x14ac:dyDescent="0.2">
      <c r="A1032" s="16">
        <v>1031</v>
      </c>
      <c r="B1032" s="37">
        <v>1</v>
      </c>
      <c r="C1032" s="16" t="s">
        <v>2655</v>
      </c>
      <c r="D1032" s="16" t="s">
        <v>2655</v>
      </c>
      <c r="E1032" s="16">
        <v>2</v>
      </c>
      <c r="F1032" s="16" t="s">
        <v>4136</v>
      </c>
      <c r="G1032" s="16" t="s">
        <v>257</v>
      </c>
      <c r="H1032" s="16" t="s">
        <v>2654</v>
      </c>
      <c r="I1032" s="16" t="s">
        <v>258</v>
      </c>
      <c r="J1032" s="16">
        <v>0</v>
      </c>
      <c r="K1032" s="16">
        <v>1000</v>
      </c>
      <c r="L1032" s="16">
        <v>31558150</v>
      </c>
      <c r="M1032" s="16">
        <v>0</v>
      </c>
      <c r="N1032">
        <f t="array" aca="1" ref="N1032" ca="1">MATCH(TRUE,EXACT(I1032,OFFSET(rngParamTypes,0,6,,1)),0)</f>
        <v>103</v>
      </c>
      <c r="O1032" t="str">
        <f ca="1">IF((INDEX(rngParamTypes,$N1032,7)=I1032),"",1)</f>
        <v/>
      </c>
      <c r="P1032">
        <f ca="1">INDEX(rngParamTypes,$N1032,9)</f>
        <v>1</v>
      </c>
      <c r="Q1032">
        <f ca="1">INDEX(rngParamTypes,$N1032,10)</f>
        <v>0</v>
      </c>
      <c r="R1032">
        <f ca="1">INDEX(rngParamTypes,$N1032,11)</f>
        <v>-1</v>
      </c>
      <c r="S1032">
        <f ca="1">INDEX(rngParamTypes,$N1032,12)</f>
        <v>0</v>
      </c>
      <c r="T1032">
        <f ca="1">INDEX(rngParamTypes,$N1032,13)</f>
        <v>0</v>
      </c>
      <c r="U1032">
        <f ca="1">INDEX(rngParamTypes,$N1032,14)</f>
        <v>0</v>
      </c>
      <c r="V1032">
        <f ca="1">INDEX(rngParamTypes,$N1032,15)</f>
        <v>0</v>
      </c>
      <c r="W1032">
        <f ca="1">INDEX(rngParamTypes,$N1032,16)</f>
        <v>0</v>
      </c>
      <c r="X1032">
        <f ca="1">INDEX(rngParamTypes,$N1032,17)</f>
        <v>0</v>
      </c>
      <c r="Y1032">
        <f ca="1">INDEX(rngParamTypes,$N1032,18)</f>
        <v>0</v>
      </c>
    </row>
    <row r="1033" spans="1:25" x14ac:dyDescent="0.2">
      <c r="A1033" s="16">
        <v>1032</v>
      </c>
      <c r="B1033" s="37">
        <v>1</v>
      </c>
      <c r="C1033" s="16" t="s">
        <v>2657</v>
      </c>
      <c r="D1033" s="16" t="s">
        <v>2657</v>
      </c>
      <c r="E1033" s="16">
        <v>2</v>
      </c>
      <c r="F1033" s="16" t="s">
        <v>4137</v>
      </c>
      <c r="G1033" s="16" t="s">
        <v>257</v>
      </c>
      <c r="H1033" s="16" t="s">
        <v>2656</v>
      </c>
      <c r="I1033" s="16" t="s">
        <v>258</v>
      </c>
      <c r="J1033" s="16">
        <v>0</v>
      </c>
      <c r="K1033" s="16">
        <v>1000</v>
      </c>
      <c r="L1033" s="16">
        <v>86400</v>
      </c>
      <c r="M1033" s="16">
        <v>0</v>
      </c>
      <c r="N1033">
        <f t="array" aca="1" ref="N1033" ca="1">MATCH(TRUE,EXACT(I1033,OFFSET(rngParamTypes,0,6,,1)),0)</f>
        <v>103</v>
      </c>
      <c r="O1033" t="str">
        <f ca="1">IF((INDEX(rngParamTypes,$N1033,7)=I1033),"",1)</f>
        <v/>
      </c>
      <c r="P1033">
        <f ca="1">INDEX(rngParamTypes,$N1033,9)</f>
        <v>1</v>
      </c>
      <c r="Q1033">
        <f ca="1">INDEX(rngParamTypes,$N1033,10)</f>
        <v>0</v>
      </c>
      <c r="R1033">
        <f ca="1">INDEX(rngParamTypes,$N1033,11)</f>
        <v>-1</v>
      </c>
      <c r="S1033">
        <f ca="1">INDEX(rngParamTypes,$N1033,12)</f>
        <v>0</v>
      </c>
      <c r="T1033">
        <f ca="1">INDEX(rngParamTypes,$N1033,13)</f>
        <v>0</v>
      </c>
      <c r="U1033">
        <f ca="1">INDEX(rngParamTypes,$N1033,14)</f>
        <v>0</v>
      </c>
      <c r="V1033">
        <f ca="1">INDEX(rngParamTypes,$N1033,15)</f>
        <v>0</v>
      </c>
      <c r="W1033">
        <f ca="1">INDEX(rngParamTypes,$N1033,16)</f>
        <v>0</v>
      </c>
      <c r="X1033">
        <f ca="1">INDEX(rngParamTypes,$N1033,17)</f>
        <v>0</v>
      </c>
      <c r="Y1033">
        <f ca="1">INDEX(rngParamTypes,$N1033,18)</f>
        <v>0</v>
      </c>
    </row>
    <row r="1034" spans="1:25" x14ac:dyDescent="0.2">
      <c r="A1034" s="16">
        <v>1033</v>
      </c>
      <c r="B1034" s="37">
        <v>1</v>
      </c>
      <c r="C1034" s="16" t="s">
        <v>2659</v>
      </c>
      <c r="D1034" s="16" t="s">
        <v>2659</v>
      </c>
      <c r="E1034" s="16">
        <v>2</v>
      </c>
      <c r="F1034" s="16" t="s">
        <v>4138</v>
      </c>
      <c r="G1034" s="16" t="s">
        <v>257</v>
      </c>
      <c r="H1034" s="16" t="s">
        <v>2658</v>
      </c>
      <c r="I1034" s="16" t="s">
        <v>258</v>
      </c>
      <c r="J1034" s="16">
        <v>0</v>
      </c>
      <c r="K1034" s="16">
        <v>1000</v>
      </c>
      <c r="L1034" s="16">
        <v>3600</v>
      </c>
      <c r="M1034" s="16">
        <v>0</v>
      </c>
      <c r="N1034">
        <f t="array" aca="1" ref="N1034" ca="1">MATCH(TRUE,EXACT(I1034,OFFSET(rngParamTypes,0,6,,1)),0)</f>
        <v>103</v>
      </c>
      <c r="O1034" t="str">
        <f ca="1">IF((INDEX(rngParamTypes,$N1034,7)=I1034),"",1)</f>
        <v/>
      </c>
      <c r="P1034">
        <f ca="1">INDEX(rngParamTypes,$N1034,9)</f>
        <v>1</v>
      </c>
      <c r="Q1034">
        <f ca="1">INDEX(rngParamTypes,$N1034,10)</f>
        <v>0</v>
      </c>
      <c r="R1034">
        <f ca="1">INDEX(rngParamTypes,$N1034,11)</f>
        <v>-1</v>
      </c>
      <c r="S1034">
        <f ca="1">INDEX(rngParamTypes,$N1034,12)</f>
        <v>0</v>
      </c>
      <c r="T1034">
        <f ca="1">INDEX(rngParamTypes,$N1034,13)</f>
        <v>0</v>
      </c>
      <c r="U1034">
        <f ca="1">INDEX(rngParamTypes,$N1034,14)</f>
        <v>0</v>
      </c>
      <c r="V1034">
        <f ca="1">INDEX(rngParamTypes,$N1034,15)</f>
        <v>0</v>
      </c>
      <c r="W1034">
        <f ca="1">INDEX(rngParamTypes,$N1034,16)</f>
        <v>0</v>
      </c>
      <c r="X1034">
        <f ca="1">INDEX(rngParamTypes,$N1034,17)</f>
        <v>0</v>
      </c>
      <c r="Y1034">
        <f ca="1">INDEX(rngParamTypes,$N1034,18)</f>
        <v>0</v>
      </c>
    </row>
    <row r="1035" spans="1:25" x14ac:dyDescent="0.2">
      <c r="A1035" s="16">
        <v>1034</v>
      </c>
      <c r="B1035" s="37">
        <v>1</v>
      </c>
      <c r="C1035" s="16" t="s">
        <v>2661</v>
      </c>
      <c r="D1035" s="16" t="s">
        <v>2661</v>
      </c>
      <c r="E1035" s="16">
        <v>2</v>
      </c>
      <c r="F1035" s="16" t="s">
        <v>4139</v>
      </c>
      <c r="G1035" s="16" t="s">
        <v>257</v>
      </c>
      <c r="H1035" s="16" t="s">
        <v>2660</v>
      </c>
      <c r="I1035" s="16" t="s">
        <v>258</v>
      </c>
      <c r="J1035" s="16">
        <v>0</v>
      </c>
      <c r="K1035" s="16">
        <v>1000</v>
      </c>
      <c r="L1035" s="16">
        <v>60</v>
      </c>
      <c r="M1035" s="16">
        <v>0</v>
      </c>
      <c r="N1035">
        <f t="array" aca="1" ref="N1035" ca="1">MATCH(TRUE,EXACT(I1035,OFFSET(rngParamTypes,0,6,,1)),0)</f>
        <v>103</v>
      </c>
      <c r="O1035" t="str">
        <f ca="1">IF((INDEX(rngParamTypes,$N1035,7)=I1035),"",1)</f>
        <v/>
      </c>
      <c r="P1035">
        <f ca="1">INDEX(rngParamTypes,$N1035,9)</f>
        <v>1</v>
      </c>
      <c r="Q1035">
        <f ca="1">INDEX(rngParamTypes,$N1035,10)</f>
        <v>0</v>
      </c>
      <c r="R1035">
        <f ca="1">INDEX(rngParamTypes,$N1035,11)</f>
        <v>-1</v>
      </c>
      <c r="S1035">
        <f ca="1">INDEX(rngParamTypes,$N1035,12)</f>
        <v>0</v>
      </c>
      <c r="T1035">
        <f ca="1">INDEX(rngParamTypes,$N1035,13)</f>
        <v>0</v>
      </c>
      <c r="U1035">
        <f ca="1">INDEX(rngParamTypes,$N1035,14)</f>
        <v>0</v>
      </c>
      <c r="V1035">
        <f ca="1">INDEX(rngParamTypes,$N1035,15)</f>
        <v>0</v>
      </c>
      <c r="W1035">
        <f ca="1">INDEX(rngParamTypes,$N1035,16)</f>
        <v>0</v>
      </c>
      <c r="X1035">
        <f ca="1">INDEX(rngParamTypes,$N1035,17)</f>
        <v>0</v>
      </c>
      <c r="Y1035">
        <f ca="1">INDEX(rngParamTypes,$N1035,18)</f>
        <v>0</v>
      </c>
    </row>
    <row r="1036" spans="1:25" x14ac:dyDescent="0.2">
      <c r="A1036" s="16">
        <v>1035</v>
      </c>
      <c r="B1036" s="37">
        <v>1</v>
      </c>
      <c r="C1036" s="16" t="s">
        <v>2662</v>
      </c>
      <c r="D1036" s="16" t="s">
        <v>2662</v>
      </c>
      <c r="E1036" s="16"/>
      <c r="F1036" s="16" t="s">
        <v>4140</v>
      </c>
      <c r="G1036" s="16" t="s">
        <v>264</v>
      </c>
      <c r="H1036" s="16" t="s">
        <v>2662</v>
      </c>
      <c r="I1036" s="16" t="s">
        <v>265</v>
      </c>
      <c r="J1036" s="16">
        <v>0</v>
      </c>
      <c r="K1036" s="16">
        <v>1</v>
      </c>
      <c r="L1036" s="16">
        <v>1</v>
      </c>
      <c r="M1036" s="16">
        <v>0</v>
      </c>
      <c r="N1036">
        <f t="array" aca="1" ref="N1036" ca="1">MATCH(TRUE,EXACT(I1036,OFFSET(rngParamTypes,0,6,,1)),0)</f>
        <v>105</v>
      </c>
      <c r="O1036" t="str">
        <f ca="1">IF((INDEX(rngParamTypes,$N1036,7)=I1036),"",1)</f>
        <v/>
      </c>
      <c r="P1036">
        <f ca="1">INDEX(rngParamTypes,$N1036,9)</f>
        <v>0</v>
      </c>
      <c r="Q1036">
        <f ca="1">INDEX(rngParamTypes,$N1036,10)</f>
        <v>0</v>
      </c>
      <c r="R1036">
        <f ca="1">INDEX(rngParamTypes,$N1036,11)</f>
        <v>1</v>
      </c>
      <c r="S1036">
        <f ca="1">INDEX(rngParamTypes,$N1036,12)</f>
        <v>0</v>
      </c>
      <c r="T1036">
        <f ca="1">INDEX(rngParamTypes,$N1036,13)</f>
        <v>0</v>
      </c>
      <c r="U1036">
        <f ca="1">INDEX(rngParamTypes,$N1036,14)</f>
        <v>0</v>
      </c>
      <c r="V1036">
        <f ca="1">INDEX(rngParamTypes,$N1036,15)</f>
        <v>1</v>
      </c>
      <c r="W1036">
        <f ca="1">INDEX(rngParamTypes,$N1036,16)</f>
        <v>0</v>
      </c>
      <c r="X1036">
        <f ca="1">INDEX(rngParamTypes,$N1036,17)</f>
        <v>1</v>
      </c>
      <c r="Y1036">
        <f ca="1">INDEX(rngParamTypes,$N1036,18)</f>
        <v>0</v>
      </c>
    </row>
    <row r="1037" spans="1:25" x14ac:dyDescent="0.2">
      <c r="A1037" s="16">
        <v>1036</v>
      </c>
      <c r="B1037" s="37">
        <v>1</v>
      </c>
      <c r="C1037" s="16" t="s">
        <v>2664</v>
      </c>
      <c r="D1037" s="16" t="s">
        <v>2664</v>
      </c>
      <c r="E1037" s="16"/>
      <c r="F1037" s="16" t="s">
        <v>4141</v>
      </c>
      <c r="G1037" s="16" t="s">
        <v>80</v>
      </c>
      <c r="H1037" s="16" t="s">
        <v>2663</v>
      </c>
      <c r="I1037" s="16" t="s">
        <v>81</v>
      </c>
      <c r="J1037" s="16">
        <v>0</v>
      </c>
      <c r="K1037" s="16">
        <v>1000000000000</v>
      </c>
      <c r="L1037" s="16">
        <v>1</v>
      </c>
      <c r="M1037" s="16">
        <v>0</v>
      </c>
      <c r="N1037">
        <f t="array" aca="1" ref="N1037" ca="1">MATCH(TRUE,EXACT(I1037,OFFSET(rngParamTypes,0,6,,1)),0)</f>
        <v>27</v>
      </c>
      <c r="O1037" t="str">
        <f ca="1">IF((INDEX(rngParamTypes,$N1037,7)=I1037),"",1)</f>
        <v/>
      </c>
      <c r="P1037">
        <f ca="1">INDEX(rngParamTypes,$N1037,9)</f>
        <v>0</v>
      </c>
      <c r="Q1037">
        <f ca="1">INDEX(rngParamTypes,$N1037,10)</f>
        <v>0</v>
      </c>
      <c r="R1037">
        <f ca="1">INDEX(rngParamTypes,$N1037,11)</f>
        <v>-1</v>
      </c>
      <c r="S1037">
        <f ca="1">INDEX(rngParamTypes,$N1037,12)</f>
        <v>0</v>
      </c>
      <c r="T1037">
        <f ca="1">INDEX(rngParamTypes,$N1037,13)</f>
        <v>0</v>
      </c>
      <c r="U1037">
        <f ca="1">INDEX(rngParamTypes,$N1037,14)</f>
        <v>0</v>
      </c>
      <c r="V1037">
        <f ca="1">INDEX(rngParamTypes,$N1037,15)</f>
        <v>0</v>
      </c>
      <c r="W1037">
        <f ca="1">INDEX(rngParamTypes,$N1037,16)</f>
        <v>0</v>
      </c>
      <c r="X1037">
        <f ca="1">INDEX(rngParamTypes,$N1037,17)</f>
        <v>0</v>
      </c>
      <c r="Y1037">
        <f ca="1">INDEX(rngParamTypes,$N1037,18)</f>
        <v>0</v>
      </c>
    </row>
    <row r="1038" spans="1:25" x14ac:dyDescent="0.2">
      <c r="A1038" s="16">
        <v>1037</v>
      </c>
      <c r="B1038" s="37">
        <v>1</v>
      </c>
      <c r="C1038" s="16" t="s">
        <v>2666</v>
      </c>
      <c r="D1038" s="16" t="s">
        <v>2666</v>
      </c>
      <c r="E1038" s="16">
        <v>2</v>
      </c>
      <c r="F1038" s="16" t="s">
        <v>4142</v>
      </c>
      <c r="G1038" s="16" t="s">
        <v>321</v>
      </c>
      <c r="H1038" s="16" t="s">
        <v>2665</v>
      </c>
      <c r="I1038" s="16" t="s">
        <v>322</v>
      </c>
      <c r="J1038" s="16">
        <v>0</v>
      </c>
      <c r="K1038" s="16">
        <v>28316850000</v>
      </c>
      <c r="L1038" s="16">
        <v>1</v>
      </c>
      <c r="M1038" s="16">
        <v>0</v>
      </c>
      <c r="N1038">
        <f t="array" aca="1" ref="N1038" ca="1">MATCH(TRUE,EXACT(I1038,OFFSET(rngParamTypes,0,6,,1)),0)</f>
        <v>134</v>
      </c>
      <c r="O1038" t="str">
        <f ca="1">IF((INDEX(rngParamTypes,$N1038,7)=I1038),"",1)</f>
        <v/>
      </c>
      <c r="P1038">
        <f ca="1">INDEX(rngParamTypes,$N1038,9)</f>
        <v>0</v>
      </c>
      <c r="Q1038">
        <f ca="1">INDEX(rngParamTypes,$N1038,10)</f>
        <v>3</v>
      </c>
      <c r="R1038">
        <f ca="1">INDEX(rngParamTypes,$N1038,11)</f>
        <v>0</v>
      </c>
      <c r="S1038">
        <f ca="1">INDEX(rngParamTypes,$N1038,12)</f>
        <v>0</v>
      </c>
      <c r="T1038">
        <f ca="1">INDEX(rngParamTypes,$N1038,13)</f>
        <v>0</v>
      </c>
      <c r="U1038">
        <f ca="1">INDEX(rngParamTypes,$N1038,14)</f>
        <v>0</v>
      </c>
      <c r="V1038">
        <f ca="1">INDEX(rngParamTypes,$N1038,15)</f>
        <v>0</v>
      </c>
      <c r="W1038">
        <f ca="1">INDEX(rngParamTypes,$N1038,16)</f>
        <v>0</v>
      </c>
      <c r="X1038">
        <f ca="1">INDEX(rngParamTypes,$N1038,17)</f>
        <v>0</v>
      </c>
      <c r="Y1038">
        <f ca="1">INDEX(rngParamTypes,$N1038,18)</f>
        <v>0</v>
      </c>
    </row>
    <row r="1039" spans="1:25" x14ac:dyDescent="0.2">
      <c r="A1039" s="16">
        <v>1038</v>
      </c>
      <c r="B1039" s="37">
        <v>1</v>
      </c>
      <c r="C1039" s="16" t="s">
        <v>2668</v>
      </c>
      <c r="D1039" s="16" t="s">
        <v>2668</v>
      </c>
      <c r="E1039" s="16">
        <v>2</v>
      </c>
      <c r="F1039" s="16" t="s">
        <v>4143</v>
      </c>
      <c r="G1039" s="16" t="s">
        <v>3267</v>
      </c>
      <c r="H1039" s="16" t="s">
        <v>2667</v>
      </c>
      <c r="I1039" s="16" t="s">
        <v>168</v>
      </c>
      <c r="J1039" s="16">
        <v>0</v>
      </c>
      <c r="K1039" s="16">
        <v>1.6021770000000001E-7</v>
      </c>
      <c r="L1039" s="16">
        <v>1</v>
      </c>
      <c r="M1039" s="16">
        <v>0</v>
      </c>
      <c r="N1039">
        <f t="array" aca="1" ref="N1039" ca="1">MATCH(TRUE,EXACT(I1039,OFFSET(rngParamTypes,0,6,,1)),0)</f>
        <v>56</v>
      </c>
      <c r="O1039" t="str">
        <f ca="1">IF((INDEX(rngParamTypes,$N1039,7)=I1039),"",1)</f>
        <v/>
      </c>
      <c r="P1039">
        <f ca="1">INDEX(rngParamTypes,$N1039,9)</f>
        <v>1</v>
      </c>
      <c r="Q1039">
        <f ca="1">INDEX(rngParamTypes,$N1039,10)</f>
        <v>2</v>
      </c>
      <c r="R1039">
        <f ca="1">INDEX(rngParamTypes,$N1039,11)</f>
        <v>-2</v>
      </c>
      <c r="S1039">
        <f ca="1">INDEX(rngParamTypes,$N1039,12)</f>
        <v>0</v>
      </c>
      <c r="T1039">
        <f ca="1">INDEX(rngParamTypes,$N1039,13)</f>
        <v>0</v>
      </c>
      <c r="U1039">
        <f ca="1">INDEX(rngParamTypes,$N1039,14)</f>
        <v>0</v>
      </c>
      <c r="V1039">
        <f ca="1">INDEX(rngParamTypes,$N1039,15)</f>
        <v>0</v>
      </c>
      <c r="W1039">
        <f ca="1">INDEX(rngParamTypes,$N1039,16)</f>
        <v>0</v>
      </c>
      <c r="X1039">
        <f ca="1">INDEX(rngParamTypes,$N1039,17)</f>
        <v>0</v>
      </c>
      <c r="Y1039">
        <f ca="1">INDEX(rngParamTypes,$N1039,18)</f>
        <v>0</v>
      </c>
    </row>
    <row r="1040" spans="1:25" x14ac:dyDescent="0.2">
      <c r="A1040" s="16">
        <v>1039</v>
      </c>
      <c r="B1040" s="37">
        <v>1</v>
      </c>
      <c r="C1040" s="16" t="s">
        <v>2670</v>
      </c>
      <c r="D1040" s="16" t="s">
        <v>2670</v>
      </c>
      <c r="E1040" s="16">
        <v>2</v>
      </c>
      <c r="F1040" s="16" t="s">
        <v>4144</v>
      </c>
      <c r="G1040" s="16" t="s">
        <v>3267</v>
      </c>
      <c r="H1040" s="16" t="s">
        <v>2669</v>
      </c>
      <c r="I1040" s="16" t="s">
        <v>168</v>
      </c>
      <c r="J1040" s="16">
        <v>0</v>
      </c>
      <c r="K1040" s="16">
        <v>105505600</v>
      </c>
      <c r="L1040" s="16">
        <v>1</v>
      </c>
      <c r="M1040" s="16">
        <v>0</v>
      </c>
      <c r="N1040">
        <f t="array" aca="1" ref="N1040" ca="1">MATCH(TRUE,EXACT(I1040,OFFSET(rngParamTypes,0,6,,1)),0)</f>
        <v>56</v>
      </c>
      <c r="O1040" t="str">
        <f ca="1">IF((INDEX(rngParamTypes,$N1040,7)=I1040),"",1)</f>
        <v/>
      </c>
      <c r="P1040">
        <f ca="1">INDEX(rngParamTypes,$N1040,9)</f>
        <v>1</v>
      </c>
      <c r="Q1040">
        <f ca="1">INDEX(rngParamTypes,$N1040,10)</f>
        <v>2</v>
      </c>
      <c r="R1040">
        <f ca="1">INDEX(rngParamTypes,$N1040,11)</f>
        <v>-2</v>
      </c>
      <c r="S1040">
        <f ca="1">INDEX(rngParamTypes,$N1040,12)</f>
        <v>0</v>
      </c>
      <c r="T1040">
        <f ca="1">INDEX(rngParamTypes,$N1040,13)</f>
        <v>0</v>
      </c>
      <c r="U1040">
        <f ca="1">INDEX(rngParamTypes,$N1040,14)</f>
        <v>0</v>
      </c>
      <c r="V1040">
        <f ca="1">INDEX(rngParamTypes,$N1040,15)</f>
        <v>0</v>
      </c>
      <c r="W1040">
        <f ca="1">INDEX(rngParamTypes,$N1040,16)</f>
        <v>0</v>
      </c>
      <c r="X1040">
        <f ca="1">INDEX(rngParamTypes,$N1040,17)</f>
        <v>0</v>
      </c>
      <c r="Y1040">
        <f ca="1">INDEX(rngParamTypes,$N1040,18)</f>
        <v>0</v>
      </c>
    </row>
    <row r="1041" spans="1:25" x14ac:dyDescent="0.2">
      <c r="A1041" s="16">
        <v>1040</v>
      </c>
      <c r="B1041" s="37">
        <v>1</v>
      </c>
      <c r="C1041" s="16" t="s">
        <v>2672</v>
      </c>
      <c r="D1041" s="16" t="s">
        <v>2672</v>
      </c>
      <c r="E1041" s="16"/>
      <c r="F1041" s="16" t="s">
        <v>4145</v>
      </c>
      <c r="G1041" s="16" t="s">
        <v>3314</v>
      </c>
      <c r="H1041" s="16" t="s">
        <v>2671</v>
      </c>
      <c r="I1041" s="16" t="s">
        <v>190</v>
      </c>
      <c r="J1041" s="16">
        <v>0</v>
      </c>
      <c r="K1041" s="16">
        <v>105505600</v>
      </c>
      <c r="L1041" s="16">
        <v>2.8316850000000001E-2</v>
      </c>
      <c r="M1041" s="16">
        <v>0</v>
      </c>
      <c r="N1041">
        <f t="array" aca="1" ref="N1041" ca="1">MATCH(TRUE,EXACT(I1041,OFFSET(rngParamTypes,0,6,,1)),0)</f>
        <v>65</v>
      </c>
      <c r="O1041" t="str">
        <f ca="1">IF((INDEX(rngParamTypes,$N1041,7)=I1041),"",1)</f>
        <v/>
      </c>
      <c r="P1041">
        <f ca="1">INDEX(rngParamTypes,$N1041,9)</f>
        <v>1</v>
      </c>
      <c r="Q1041">
        <f ca="1">INDEX(rngParamTypes,$N1041,10)</f>
        <v>-1</v>
      </c>
      <c r="R1041">
        <f ca="1">INDEX(rngParamTypes,$N1041,11)</f>
        <v>-2</v>
      </c>
      <c r="S1041">
        <f ca="1">INDEX(rngParamTypes,$N1041,12)</f>
        <v>0</v>
      </c>
      <c r="T1041">
        <f ca="1">INDEX(rngParamTypes,$N1041,13)</f>
        <v>0</v>
      </c>
      <c r="U1041">
        <f ca="1">INDEX(rngParamTypes,$N1041,14)</f>
        <v>0</v>
      </c>
      <c r="V1041">
        <f ca="1">INDEX(rngParamTypes,$N1041,15)</f>
        <v>0</v>
      </c>
      <c r="W1041">
        <f ca="1">INDEX(rngParamTypes,$N1041,16)</f>
        <v>0</v>
      </c>
      <c r="X1041">
        <f ca="1">INDEX(rngParamTypes,$N1041,17)</f>
        <v>0</v>
      </c>
      <c r="Y1041">
        <f ca="1">INDEX(rngParamTypes,$N1041,18)</f>
        <v>0</v>
      </c>
    </row>
    <row r="1042" spans="1:25" x14ac:dyDescent="0.2">
      <c r="A1042" s="16">
        <v>1041</v>
      </c>
      <c r="B1042" s="37">
        <v>1</v>
      </c>
      <c r="C1042" s="16" t="s">
        <v>2674</v>
      </c>
      <c r="D1042" s="16" t="s">
        <v>2674</v>
      </c>
      <c r="E1042" s="16"/>
      <c r="F1042" s="16" t="s">
        <v>4146</v>
      </c>
      <c r="G1042" s="16" t="s">
        <v>3314</v>
      </c>
      <c r="H1042" s="16" t="s">
        <v>2673</v>
      </c>
      <c r="I1042" s="16" t="s">
        <v>190</v>
      </c>
      <c r="J1042" s="16">
        <v>0</v>
      </c>
      <c r="K1042" s="16">
        <v>23208000000</v>
      </c>
      <c r="L1042" s="16">
        <v>1</v>
      </c>
      <c r="M1042" s="16">
        <v>0</v>
      </c>
      <c r="N1042">
        <f t="array" aca="1" ref="N1042" ca="1">MATCH(TRUE,EXACT(I1042,OFFSET(rngParamTypes,0,6,,1)),0)</f>
        <v>65</v>
      </c>
      <c r="O1042" t="str">
        <f ca="1">IF((INDEX(rngParamTypes,$N1042,7)=I1042),"",1)</f>
        <v/>
      </c>
      <c r="P1042">
        <f ca="1">INDEX(rngParamTypes,$N1042,9)</f>
        <v>1</v>
      </c>
      <c r="Q1042">
        <f ca="1">INDEX(rngParamTypes,$N1042,10)</f>
        <v>-1</v>
      </c>
      <c r="R1042">
        <f ca="1">INDEX(rngParamTypes,$N1042,11)</f>
        <v>-2</v>
      </c>
      <c r="S1042">
        <f ca="1">INDEX(rngParamTypes,$N1042,12)</f>
        <v>0</v>
      </c>
      <c r="T1042">
        <f ca="1">INDEX(rngParamTypes,$N1042,13)</f>
        <v>0</v>
      </c>
      <c r="U1042">
        <f ca="1">INDEX(rngParamTypes,$N1042,14)</f>
        <v>0</v>
      </c>
      <c r="V1042">
        <f ca="1">INDEX(rngParamTypes,$N1042,15)</f>
        <v>0</v>
      </c>
      <c r="W1042">
        <f ca="1">INDEX(rngParamTypes,$N1042,16)</f>
        <v>0</v>
      </c>
      <c r="X1042">
        <f ca="1">INDEX(rngParamTypes,$N1042,17)</f>
        <v>0</v>
      </c>
      <c r="Y1042">
        <f ca="1">INDEX(rngParamTypes,$N1042,18)</f>
        <v>0</v>
      </c>
    </row>
    <row r="1043" spans="1:25" x14ac:dyDescent="0.2">
      <c r="A1043" s="16">
        <v>1042</v>
      </c>
      <c r="B1043" s="37">
        <v>1</v>
      </c>
      <c r="C1043" s="16" t="s">
        <v>2676</v>
      </c>
      <c r="D1043" s="16" t="s">
        <v>2676</v>
      </c>
      <c r="E1043" s="16">
        <v>2</v>
      </c>
      <c r="F1043" s="16" t="s">
        <v>4147</v>
      </c>
      <c r="G1043" s="16" t="s">
        <v>174</v>
      </c>
      <c r="H1043" s="16" t="s">
        <v>2675</v>
      </c>
      <c r="I1043" s="16" t="s">
        <v>175</v>
      </c>
      <c r="J1043" s="16">
        <v>0</v>
      </c>
      <c r="K1043" s="16">
        <v>105505600</v>
      </c>
      <c r="L1043" s="16">
        <v>0.45359240000000001</v>
      </c>
      <c r="M1043" s="16">
        <v>0</v>
      </c>
      <c r="N1043">
        <f t="array" aca="1" ref="N1043" ca="1">MATCH(TRUE,EXACT(I1043,OFFSET(rngParamTypes,0,6,,1)),0)</f>
        <v>62</v>
      </c>
      <c r="O1043" t="str">
        <f ca="1">IF((INDEX(rngParamTypes,$N1043,7)=I1043),"",1)</f>
        <v/>
      </c>
      <c r="P1043">
        <f ca="1">INDEX(rngParamTypes,$N1043,9)</f>
        <v>0</v>
      </c>
      <c r="Q1043">
        <f ca="1">INDEX(rngParamTypes,$N1043,10)</f>
        <v>2</v>
      </c>
      <c r="R1043">
        <f ca="1">INDEX(rngParamTypes,$N1043,11)</f>
        <v>-2</v>
      </c>
      <c r="S1043">
        <f ca="1">INDEX(rngParamTypes,$N1043,12)</f>
        <v>0</v>
      </c>
      <c r="T1043">
        <f ca="1">INDEX(rngParamTypes,$N1043,13)</f>
        <v>0</v>
      </c>
      <c r="U1043">
        <f ca="1">INDEX(rngParamTypes,$N1043,14)</f>
        <v>0</v>
      </c>
      <c r="V1043">
        <f ca="1">INDEX(rngParamTypes,$N1043,15)</f>
        <v>0</v>
      </c>
      <c r="W1043">
        <f ca="1">INDEX(rngParamTypes,$N1043,16)</f>
        <v>0</v>
      </c>
      <c r="X1043">
        <f ca="1">INDEX(rngParamTypes,$N1043,17)</f>
        <v>0</v>
      </c>
      <c r="Y1043">
        <f ca="1">INDEX(rngParamTypes,$N1043,18)</f>
        <v>0</v>
      </c>
    </row>
    <row r="1044" spans="1:25" x14ac:dyDescent="0.2">
      <c r="A1044" s="16">
        <v>1043</v>
      </c>
      <c r="B1044" s="37">
        <v>1</v>
      </c>
      <c r="C1044" s="16" t="s">
        <v>2678</v>
      </c>
      <c r="D1044" s="16" t="s">
        <v>2678</v>
      </c>
      <c r="E1044" s="16">
        <v>2</v>
      </c>
      <c r="F1044" s="16" t="s">
        <v>4148</v>
      </c>
      <c r="G1044" s="16" t="s">
        <v>3267</v>
      </c>
      <c r="H1044" s="16" t="s">
        <v>2677</v>
      </c>
      <c r="I1044" s="16" t="s">
        <v>168</v>
      </c>
      <c r="J1044" s="16">
        <v>0</v>
      </c>
      <c r="K1044" s="16">
        <v>1000000000000</v>
      </c>
      <c r="L1044" s="16">
        <v>1</v>
      </c>
      <c r="M1044" s="16">
        <v>0</v>
      </c>
      <c r="N1044">
        <f t="array" aca="1" ref="N1044" ca="1">MATCH(TRUE,EXACT(I1044,OFFSET(rngParamTypes,0,6,,1)),0)</f>
        <v>56</v>
      </c>
      <c r="O1044" t="str">
        <f ca="1">IF((INDEX(rngParamTypes,$N1044,7)=I1044),"",1)</f>
        <v/>
      </c>
      <c r="P1044">
        <f ca="1">INDEX(rngParamTypes,$N1044,9)</f>
        <v>1</v>
      </c>
      <c r="Q1044">
        <f ca="1">INDEX(rngParamTypes,$N1044,10)</f>
        <v>2</v>
      </c>
      <c r="R1044">
        <f ca="1">INDEX(rngParamTypes,$N1044,11)</f>
        <v>-2</v>
      </c>
      <c r="S1044">
        <f ca="1">INDEX(rngParamTypes,$N1044,12)</f>
        <v>0</v>
      </c>
      <c r="T1044">
        <f ca="1">INDEX(rngParamTypes,$N1044,13)</f>
        <v>0</v>
      </c>
      <c r="U1044">
        <f ca="1">INDEX(rngParamTypes,$N1044,14)</f>
        <v>0</v>
      </c>
      <c r="V1044">
        <f ca="1">INDEX(rngParamTypes,$N1044,15)</f>
        <v>0</v>
      </c>
      <c r="W1044">
        <f ca="1">INDEX(rngParamTypes,$N1044,16)</f>
        <v>0</v>
      </c>
      <c r="X1044">
        <f ca="1">INDEX(rngParamTypes,$N1044,17)</f>
        <v>0</v>
      </c>
      <c r="Y1044">
        <f ca="1">INDEX(rngParamTypes,$N1044,18)</f>
        <v>0</v>
      </c>
    </row>
    <row r="1045" spans="1:25" x14ac:dyDescent="0.2">
      <c r="A1045" s="16">
        <v>1044</v>
      </c>
      <c r="B1045" s="37">
        <v>1</v>
      </c>
      <c r="C1045" s="16" t="s">
        <v>2680</v>
      </c>
      <c r="D1045" s="16" t="s">
        <v>2680</v>
      </c>
      <c r="E1045" s="16">
        <v>2</v>
      </c>
      <c r="F1045" s="16" t="s">
        <v>4149</v>
      </c>
      <c r="G1045" s="16" t="s">
        <v>532</v>
      </c>
      <c r="H1045" s="16" t="s">
        <v>2679</v>
      </c>
      <c r="I1045" s="16" t="s">
        <v>533</v>
      </c>
      <c r="J1045" s="16">
        <v>0</v>
      </c>
      <c r="K1045" s="16">
        <v>1000000000000</v>
      </c>
      <c r="L1045" s="16">
        <v>31558150</v>
      </c>
      <c r="M1045" s="16">
        <v>0</v>
      </c>
      <c r="N1045">
        <f t="array" aca="1" ref="N1045" ca="1">MATCH(TRUE,EXACT(I1045,OFFSET(rngParamTypes,0,6,,1)),0)</f>
        <v>211</v>
      </c>
      <c r="O1045" t="str">
        <f ca="1">IF((INDEX(rngParamTypes,$N1045,7)=I1045),"",1)</f>
        <v/>
      </c>
      <c r="P1045">
        <f ca="1">INDEX(rngParamTypes,$N1045,9)</f>
        <v>1</v>
      </c>
      <c r="Q1045">
        <f ca="1">INDEX(rngParamTypes,$N1045,10)</f>
        <v>2</v>
      </c>
      <c r="R1045">
        <f ca="1">INDEX(rngParamTypes,$N1045,11)</f>
        <v>-3</v>
      </c>
      <c r="S1045">
        <f ca="1">INDEX(rngParamTypes,$N1045,12)</f>
        <v>0</v>
      </c>
      <c r="T1045">
        <f ca="1">INDEX(rngParamTypes,$N1045,13)</f>
        <v>0</v>
      </c>
      <c r="U1045">
        <f ca="1">INDEX(rngParamTypes,$N1045,14)</f>
        <v>0</v>
      </c>
      <c r="V1045">
        <f ca="1">INDEX(rngParamTypes,$N1045,15)</f>
        <v>0</v>
      </c>
      <c r="W1045">
        <f ca="1">INDEX(rngParamTypes,$N1045,16)</f>
        <v>0</v>
      </c>
      <c r="X1045">
        <f ca="1">INDEX(rngParamTypes,$N1045,17)</f>
        <v>0</v>
      </c>
      <c r="Y1045">
        <f ca="1">INDEX(rngParamTypes,$N1045,18)</f>
        <v>0</v>
      </c>
    </row>
    <row r="1046" spans="1:25" x14ac:dyDescent="0.2">
      <c r="A1046" s="16">
        <v>1045</v>
      </c>
      <c r="B1046" s="37">
        <v>1</v>
      </c>
      <c r="C1046" s="16" t="s">
        <v>2682</v>
      </c>
      <c r="D1046" s="16" t="s">
        <v>2682</v>
      </c>
      <c r="E1046" s="16"/>
      <c r="F1046" s="16" t="s">
        <v>4150</v>
      </c>
      <c r="G1046" s="16" t="s">
        <v>3610</v>
      </c>
      <c r="H1046" s="16" t="s">
        <v>2681</v>
      </c>
      <c r="I1046" s="16" t="s">
        <v>403</v>
      </c>
      <c r="J1046" s="16">
        <v>0</v>
      </c>
      <c r="K1046" s="16">
        <v>1000000000000</v>
      </c>
      <c r="L1046" s="16">
        <v>1</v>
      </c>
      <c r="M1046" s="16">
        <v>0</v>
      </c>
      <c r="N1046">
        <f t="array" aca="1" ref="N1046" ca="1">MATCH(TRUE,EXACT(I1046,OFFSET(rngParamTypes,0,6,,1)),0)</f>
        <v>163</v>
      </c>
      <c r="O1046" t="str">
        <f ca="1">IF((INDEX(rngParamTypes,$N1046,7)=I1046),"",1)</f>
        <v/>
      </c>
      <c r="P1046">
        <f ca="1">INDEX(rngParamTypes,$N1046,9)</f>
        <v>1</v>
      </c>
      <c r="Q1046">
        <f ca="1">INDEX(rngParamTypes,$N1046,10)</f>
        <v>2</v>
      </c>
      <c r="R1046">
        <f ca="1">INDEX(rngParamTypes,$N1046,11)</f>
        <v>-3</v>
      </c>
      <c r="S1046">
        <f ca="1">INDEX(rngParamTypes,$N1046,12)</f>
        <v>-2</v>
      </c>
      <c r="T1046">
        <f ca="1">INDEX(rngParamTypes,$N1046,13)</f>
        <v>0</v>
      </c>
      <c r="U1046">
        <f ca="1">INDEX(rngParamTypes,$N1046,14)</f>
        <v>0</v>
      </c>
      <c r="V1046">
        <f ca="1">INDEX(rngParamTypes,$N1046,15)</f>
        <v>0</v>
      </c>
      <c r="W1046">
        <f ca="1">INDEX(rngParamTypes,$N1046,16)</f>
        <v>0</v>
      </c>
      <c r="X1046">
        <f ca="1">INDEX(rngParamTypes,$N1046,17)</f>
        <v>0</v>
      </c>
      <c r="Y1046">
        <f ca="1">INDEX(rngParamTypes,$N1046,18)</f>
        <v>0</v>
      </c>
    </row>
    <row r="1047" spans="1:25" x14ac:dyDescent="0.2">
      <c r="A1047" s="16">
        <v>1046</v>
      </c>
      <c r="B1047" s="37">
        <v>1</v>
      </c>
      <c r="C1047" s="16" t="s">
        <v>2684</v>
      </c>
      <c r="D1047" s="16" t="s">
        <v>2684</v>
      </c>
      <c r="E1047" s="16">
        <v>2</v>
      </c>
      <c r="F1047" s="16" t="s">
        <v>4374</v>
      </c>
      <c r="G1047" s="16" t="s">
        <v>531</v>
      </c>
      <c r="H1047" s="16" t="s">
        <v>2683</v>
      </c>
      <c r="I1047" s="16" t="s">
        <v>533</v>
      </c>
      <c r="J1047" s="16">
        <v>0</v>
      </c>
      <c r="K1047" s="16">
        <v>3516.8530000000001</v>
      </c>
      <c r="L1047" s="16">
        <v>1</v>
      </c>
      <c r="M1047" s="16">
        <v>0</v>
      </c>
      <c r="N1047">
        <f t="array" aca="1" ref="N1047" ca="1">MATCH(TRUE,EXACT(I1047,OFFSET(rngParamTypes,0,6,,1)),0)</f>
        <v>211</v>
      </c>
      <c r="O1047" t="str">
        <f ca="1">IF((INDEX(rngParamTypes,$N1047,7)=I1047),"",1)</f>
        <v/>
      </c>
      <c r="P1047">
        <f ca="1">INDEX(rngParamTypes,$N1047,9)</f>
        <v>1</v>
      </c>
      <c r="Q1047">
        <f ca="1">INDEX(rngParamTypes,$N1047,10)</f>
        <v>2</v>
      </c>
      <c r="R1047">
        <f ca="1">INDEX(rngParamTypes,$N1047,11)</f>
        <v>-3</v>
      </c>
      <c r="S1047">
        <f ca="1">INDEX(rngParamTypes,$N1047,12)</f>
        <v>0</v>
      </c>
      <c r="T1047">
        <f ca="1">INDEX(rngParamTypes,$N1047,13)</f>
        <v>0</v>
      </c>
      <c r="U1047">
        <f ca="1">INDEX(rngParamTypes,$N1047,14)</f>
        <v>0</v>
      </c>
      <c r="V1047">
        <f ca="1">INDEX(rngParamTypes,$N1047,15)</f>
        <v>0</v>
      </c>
      <c r="W1047">
        <f ca="1">INDEX(rngParamTypes,$N1047,16)</f>
        <v>0</v>
      </c>
      <c r="X1047">
        <f ca="1">INDEX(rngParamTypes,$N1047,17)</f>
        <v>0</v>
      </c>
      <c r="Y1047">
        <f ca="1">INDEX(rngParamTypes,$N1047,18)</f>
        <v>0</v>
      </c>
    </row>
    <row r="1048" spans="1:25" x14ac:dyDescent="0.2">
      <c r="A1048" s="16">
        <v>1047</v>
      </c>
      <c r="B1048" s="37">
        <v>1</v>
      </c>
      <c r="C1048" s="16" t="s">
        <v>2686</v>
      </c>
      <c r="D1048" s="16" t="s">
        <v>2686</v>
      </c>
      <c r="E1048" s="16">
        <v>2</v>
      </c>
      <c r="F1048" s="16" t="s">
        <v>4151</v>
      </c>
      <c r="G1048" s="16" t="s">
        <v>378</v>
      </c>
      <c r="H1048" s="16" t="s">
        <v>2685</v>
      </c>
      <c r="I1048" s="16" t="s">
        <v>379</v>
      </c>
      <c r="J1048" s="16">
        <v>0</v>
      </c>
      <c r="K1048" s="16">
        <v>9964.0159999999996</v>
      </c>
      <c r="L1048" s="16">
        <v>1</v>
      </c>
      <c r="M1048" s="16">
        <v>0</v>
      </c>
      <c r="N1048">
        <f t="array" aca="1" ref="N1048" ca="1">MATCH(TRUE,EXACT(I1048,OFFSET(rngParamTypes,0,6,,1)),0)</f>
        <v>154</v>
      </c>
      <c r="O1048" t="str">
        <f ca="1">IF((INDEX(rngParamTypes,$N1048,7)=I1048),"",1)</f>
        <v/>
      </c>
      <c r="P1048">
        <f ca="1">INDEX(rngParamTypes,$N1048,9)</f>
        <v>1</v>
      </c>
      <c r="Q1048">
        <f ca="1">INDEX(rngParamTypes,$N1048,10)</f>
        <v>1</v>
      </c>
      <c r="R1048">
        <f ca="1">INDEX(rngParamTypes,$N1048,11)</f>
        <v>-2</v>
      </c>
      <c r="S1048">
        <f ca="1">INDEX(rngParamTypes,$N1048,12)</f>
        <v>0</v>
      </c>
      <c r="T1048">
        <f ca="1">INDEX(rngParamTypes,$N1048,13)</f>
        <v>0</v>
      </c>
      <c r="U1048">
        <f ca="1">INDEX(rngParamTypes,$N1048,14)</f>
        <v>0</v>
      </c>
      <c r="V1048">
        <f ca="1">INDEX(rngParamTypes,$N1048,15)</f>
        <v>0</v>
      </c>
      <c r="W1048">
        <f ca="1">INDEX(rngParamTypes,$N1048,16)</f>
        <v>0</v>
      </c>
      <c r="X1048">
        <f ca="1">INDEX(rngParamTypes,$N1048,17)</f>
        <v>0</v>
      </c>
      <c r="Y1048">
        <f ca="1">INDEX(rngParamTypes,$N1048,18)</f>
        <v>0</v>
      </c>
    </row>
    <row r="1049" spans="1:25" x14ac:dyDescent="0.2">
      <c r="A1049" s="16">
        <v>1048</v>
      </c>
      <c r="B1049" s="37">
        <v>1</v>
      </c>
      <c r="C1049" s="16" t="s">
        <v>2688</v>
      </c>
      <c r="D1049" s="16" t="s">
        <v>2688</v>
      </c>
      <c r="E1049" s="16"/>
      <c r="F1049" s="16" t="s">
        <v>4152</v>
      </c>
      <c r="G1049" s="16" t="s">
        <v>382</v>
      </c>
      <c r="H1049" s="16" t="s">
        <v>2687</v>
      </c>
      <c r="I1049" s="16" t="s">
        <v>383</v>
      </c>
      <c r="J1049" s="16">
        <v>0</v>
      </c>
      <c r="K1049" s="16">
        <v>925.68740000000003</v>
      </c>
      <c r="L1049" s="16">
        <v>1</v>
      </c>
      <c r="M1049" s="16">
        <v>0</v>
      </c>
      <c r="N1049">
        <f t="array" aca="1" ref="N1049" ca="1">MATCH(TRUE,EXACT(I1049,OFFSET(rngParamTypes,0,6,,1)),0)</f>
        <v>155</v>
      </c>
      <c r="O1049" t="str">
        <f ca="1">IF((INDEX(rngParamTypes,$N1049,7)=I1049),"",1)</f>
        <v/>
      </c>
      <c r="P1049">
        <f ca="1">INDEX(rngParamTypes,$N1049,9)</f>
        <v>1</v>
      </c>
      <c r="Q1049">
        <f ca="1">INDEX(rngParamTypes,$N1049,10)</f>
        <v>3</v>
      </c>
      <c r="R1049">
        <f ca="1">INDEX(rngParamTypes,$N1049,11)</f>
        <v>-2</v>
      </c>
      <c r="S1049">
        <f ca="1">INDEX(rngParamTypes,$N1049,12)</f>
        <v>0</v>
      </c>
      <c r="T1049">
        <f ca="1">INDEX(rngParamTypes,$N1049,13)</f>
        <v>0</v>
      </c>
      <c r="U1049">
        <f ca="1">INDEX(rngParamTypes,$N1049,14)</f>
        <v>0</v>
      </c>
      <c r="V1049">
        <f ca="1">INDEX(rngParamTypes,$N1049,15)</f>
        <v>0</v>
      </c>
      <c r="W1049">
        <f ca="1">INDEX(rngParamTypes,$N1049,16)</f>
        <v>0</v>
      </c>
      <c r="X1049">
        <f ca="1">INDEX(rngParamTypes,$N1049,17)</f>
        <v>0</v>
      </c>
      <c r="Y1049">
        <f ca="1">INDEX(rngParamTypes,$N1049,18)</f>
        <v>0</v>
      </c>
    </row>
    <row r="1050" spans="1:25" x14ac:dyDescent="0.2">
      <c r="A1050" s="16">
        <v>1049</v>
      </c>
      <c r="B1050" s="37">
        <v>1</v>
      </c>
      <c r="C1050" s="16" t="s">
        <v>2690</v>
      </c>
      <c r="D1050" s="16" t="s">
        <v>2690</v>
      </c>
      <c r="E1050" s="16"/>
      <c r="F1050" s="16" t="s">
        <v>4153</v>
      </c>
      <c r="G1050" s="16" t="s">
        <v>385</v>
      </c>
      <c r="H1050" s="16" t="s">
        <v>2689</v>
      </c>
      <c r="I1050" s="16" t="s">
        <v>387</v>
      </c>
      <c r="J1050" s="16">
        <v>0</v>
      </c>
      <c r="K1050" s="16">
        <v>9964.0159999999996</v>
      </c>
      <c r="L1050" s="16">
        <v>0.30480000000000002</v>
      </c>
      <c r="M1050" s="16">
        <v>0</v>
      </c>
      <c r="N1050">
        <f t="array" aca="1" ref="N1050" ca="1">MATCH(TRUE,EXACT(I1050,OFFSET(rngParamTypes,0,6,,1)),0)</f>
        <v>156</v>
      </c>
      <c r="O1050" t="str">
        <f ca="1">IF((INDEX(rngParamTypes,$N1050,7)=I1050),"",1)</f>
        <v/>
      </c>
      <c r="P1050">
        <f ca="1">INDEX(rngParamTypes,$N1050,9)</f>
        <v>1</v>
      </c>
      <c r="Q1050">
        <f ca="1">INDEX(rngParamTypes,$N1050,10)</f>
        <v>0</v>
      </c>
      <c r="R1050">
        <f ca="1">INDEX(rngParamTypes,$N1050,11)</f>
        <v>-2</v>
      </c>
      <c r="S1050">
        <f ca="1">INDEX(rngParamTypes,$N1050,12)</f>
        <v>0</v>
      </c>
      <c r="T1050">
        <f ca="1">INDEX(rngParamTypes,$N1050,13)</f>
        <v>0</v>
      </c>
      <c r="U1050">
        <f ca="1">INDEX(rngParamTypes,$N1050,14)</f>
        <v>0</v>
      </c>
      <c r="V1050">
        <f ca="1">INDEX(rngParamTypes,$N1050,15)</f>
        <v>0</v>
      </c>
      <c r="W1050">
        <f ca="1">INDEX(rngParamTypes,$N1050,16)</f>
        <v>0</v>
      </c>
      <c r="X1050">
        <f ca="1">INDEX(rngParamTypes,$N1050,17)</f>
        <v>0</v>
      </c>
      <c r="Y1050">
        <f ca="1">INDEX(rngParamTypes,$N1050,18)</f>
        <v>0</v>
      </c>
    </row>
    <row r="1051" spans="1:25" x14ac:dyDescent="0.2">
      <c r="A1051" s="16">
        <v>1050</v>
      </c>
      <c r="B1051" s="37">
        <v>1</v>
      </c>
      <c r="C1051" s="16" t="s">
        <v>2692</v>
      </c>
      <c r="D1051" s="16" t="s">
        <v>2692</v>
      </c>
      <c r="E1051" s="16">
        <v>2</v>
      </c>
      <c r="F1051" s="16" t="s">
        <v>4154</v>
      </c>
      <c r="G1051" s="16" t="s">
        <v>415</v>
      </c>
      <c r="H1051" s="16" t="s">
        <v>2691</v>
      </c>
      <c r="I1051" s="16" t="s">
        <v>416</v>
      </c>
      <c r="J1051" s="16">
        <v>0</v>
      </c>
      <c r="K1051" s="16">
        <v>9964.0159999999996</v>
      </c>
      <c r="L1051" s="16">
        <v>9.2903040000000006E-2</v>
      </c>
      <c r="M1051" s="16">
        <v>0</v>
      </c>
      <c r="N1051">
        <f t="array" aca="1" ref="N1051" ca="1">MATCH(TRUE,EXACT(I1051,OFFSET(rngParamTypes,0,6,,1)),0)</f>
        <v>167</v>
      </c>
      <c r="O1051" t="str">
        <f ca="1">IF((INDEX(rngParamTypes,$N1051,7)=I1051),"",1)</f>
        <v/>
      </c>
      <c r="P1051">
        <f ca="1">INDEX(rngParamTypes,$N1051,9)</f>
        <v>1</v>
      </c>
      <c r="Q1051">
        <f ca="1">INDEX(rngParamTypes,$N1051,10)</f>
        <v>-1</v>
      </c>
      <c r="R1051">
        <f ca="1">INDEX(rngParamTypes,$N1051,11)</f>
        <v>-2</v>
      </c>
      <c r="S1051">
        <f ca="1">INDEX(rngParamTypes,$N1051,12)</f>
        <v>0</v>
      </c>
      <c r="T1051">
        <f ca="1">INDEX(rngParamTypes,$N1051,13)</f>
        <v>0</v>
      </c>
      <c r="U1051">
        <f ca="1">INDEX(rngParamTypes,$N1051,14)</f>
        <v>0</v>
      </c>
      <c r="V1051">
        <f ca="1">INDEX(rngParamTypes,$N1051,15)</f>
        <v>0</v>
      </c>
      <c r="W1051">
        <f ca="1">INDEX(rngParamTypes,$N1051,16)</f>
        <v>0</v>
      </c>
      <c r="X1051">
        <f ca="1">INDEX(rngParamTypes,$N1051,17)</f>
        <v>0</v>
      </c>
      <c r="Y1051">
        <f ca="1">INDEX(rngParamTypes,$N1051,18)</f>
        <v>0</v>
      </c>
    </row>
    <row r="1052" spans="1:25" x14ac:dyDescent="0.2">
      <c r="A1052" s="16">
        <v>1051</v>
      </c>
      <c r="B1052" s="37">
        <v>1</v>
      </c>
      <c r="C1052" s="16" t="s">
        <v>2694</v>
      </c>
      <c r="D1052" s="16" t="s">
        <v>2694</v>
      </c>
      <c r="E1052" s="16">
        <v>2</v>
      </c>
      <c r="F1052" s="16" t="s">
        <v>4155</v>
      </c>
      <c r="G1052" s="16" t="s">
        <v>378</v>
      </c>
      <c r="H1052" s="16" t="s">
        <v>2693</v>
      </c>
      <c r="I1052" s="16" t="s">
        <v>379</v>
      </c>
      <c r="J1052" s="16">
        <v>0</v>
      </c>
      <c r="K1052" s="16">
        <v>8896.4429999999993</v>
      </c>
      <c r="L1052" s="16">
        <v>1</v>
      </c>
      <c r="M1052" s="16">
        <v>0</v>
      </c>
      <c r="N1052">
        <f t="array" aca="1" ref="N1052" ca="1">MATCH(TRUE,EXACT(I1052,OFFSET(rngParamTypes,0,6,,1)),0)</f>
        <v>154</v>
      </c>
      <c r="O1052" t="str">
        <f ca="1">IF((INDEX(rngParamTypes,$N1052,7)=I1052),"",1)</f>
        <v/>
      </c>
      <c r="P1052">
        <f ca="1">INDEX(rngParamTypes,$N1052,9)</f>
        <v>1</v>
      </c>
      <c r="Q1052">
        <f ca="1">INDEX(rngParamTypes,$N1052,10)</f>
        <v>1</v>
      </c>
      <c r="R1052">
        <f ca="1">INDEX(rngParamTypes,$N1052,11)</f>
        <v>-2</v>
      </c>
      <c r="S1052">
        <f ca="1">INDEX(rngParamTypes,$N1052,12)</f>
        <v>0</v>
      </c>
      <c r="T1052">
        <f ca="1">INDEX(rngParamTypes,$N1052,13)</f>
        <v>0</v>
      </c>
      <c r="U1052">
        <f ca="1">INDEX(rngParamTypes,$N1052,14)</f>
        <v>0</v>
      </c>
      <c r="V1052">
        <f ca="1">INDEX(rngParamTypes,$N1052,15)</f>
        <v>0</v>
      </c>
      <c r="W1052">
        <f ca="1">INDEX(rngParamTypes,$N1052,16)</f>
        <v>0</v>
      </c>
      <c r="X1052">
        <f ca="1">INDEX(rngParamTypes,$N1052,17)</f>
        <v>0</v>
      </c>
      <c r="Y1052">
        <f ca="1">INDEX(rngParamTypes,$N1052,18)</f>
        <v>0</v>
      </c>
    </row>
    <row r="1053" spans="1:25" x14ac:dyDescent="0.2">
      <c r="A1053" s="16">
        <v>1052</v>
      </c>
      <c r="B1053" s="37">
        <v>1</v>
      </c>
      <c r="C1053" s="16" t="s">
        <v>2696</v>
      </c>
      <c r="D1053" s="16" t="s">
        <v>2696</v>
      </c>
      <c r="E1053" s="16"/>
      <c r="F1053" s="16" t="s">
        <v>4156</v>
      </c>
      <c r="G1053" s="16" t="s">
        <v>3417</v>
      </c>
      <c r="H1053" s="16" t="s">
        <v>2695</v>
      </c>
      <c r="I1053" s="16" t="s">
        <v>168</v>
      </c>
      <c r="J1053" s="16">
        <v>0</v>
      </c>
      <c r="K1053" s="16">
        <v>2711.636</v>
      </c>
      <c r="L1053" s="16">
        <v>1</v>
      </c>
      <c r="M1053" s="16">
        <v>0</v>
      </c>
      <c r="N1053">
        <f t="array" aca="1" ref="N1053" ca="1">MATCH(TRUE,EXACT(I1053,OFFSET(rngParamTypes,0,6,,1)),0)</f>
        <v>56</v>
      </c>
      <c r="O1053" t="str">
        <f ca="1">IF((INDEX(rngParamTypes,$N1053,7)=I1053),"",1)</f>
        <v/>
      </c>
      <c r="P1053">
        <f ca="1">INDEX(rngParamTypes,$N1053,9)</f>
        <v>1</v>
      </c>
      <c r="Q1053">
        <f ca="1">INDEX(rngParamTypes,$N1053,10)</f>
        <v>2</v>
      </c>
      <c r="R1053">
        <f ca="1">INDEX(rngParamTypes,$N1053,11)</f>
        <v>-2</v>
      </c>
      <c r="S1053">
        <f ca="1">INDEX(rngParamTypes,$N1053,12)</f>
        <v>0</v>
      </c>
      <c r="T1053">
        <f ca="1">INDEX(rngParamTypes,$N1053,13)</f>
        <v>0</v>
      </c>
      <c r="U1053">
        <f ca="1">INDEX(rngParamTypes,$N1053,14)</f>
        <v>0</v>
      </c>
      <c r="V1053">
        <f ca="1">INDEX(rngParamTypes,$N1053,15)</f>
        <v>0</v>
      </c>
      <c r="W1053">
        <f ca="1">INDEX(rngParamTypes,$N1053,16)</f>
        <v>0</v>
      </c>
      <c r="X1053">
        <f ca="1">INDEX(rngParamTypes,$N1053,17)</f>
        <v>0</v>
      </c>
      <c r="Y1053">
        <f ca="1">INDEX(rngParamTypes,$N1053,18)</f>
        <v>0</v>
      </c>
    </row>
    <row r="1054" spans="1:25" x14ac:dyDescent="0.2">
      <c r="A1054" s="16">
        <v>1053</v>
      </c>
      <c r="B1054" s="37">
        <v>1</v>
      </c>
      <c r="C1054" s="16" t="s">
        <v>2698</v>
      </c>
      <c r="D1054" s="16" t="s">
        <v>2698</v>
      </c>
      <c r="E1054" s="16"/>
      <c r="F1054" s="16" t="s">
        <v>4157</v>
      </c>
      <c r="G1054" s="16" t="s">
        <v>382</v>
      </c>
      <c r="H1054" s="16" t="s">
        <v>2697</v>
      </c>
      <c r="I1054" s="16" t="s">
        <v>383</v>
      </c>
      <c r="J1054" s="16">
        <v>0</v>
      </c>
      <c r="K1054" s="16">
        <v>826.50670000000002</v>
      </c>
      <c r="L1054" s="16">
        <v>1</v>
      </c>
      <c r="M1054" s="16">
        <v>0</v>
      </c>
      <c r="N1054">
        <f t="array" aca="1" ref="N1054" ca="1">MATCH(TRUE,EXACT(I1054,OFFSET(rngParamTypes,0,6,,1)),0)</f>
        <v>155</v>
      </c>
      <c r="O1054" t="str">
        <f ca="1">IF((INDEX(rngParamTypes,$N1054,7)=I1054),"",1)</f>
        <v/>
      </c>
      <c r="P1054">
        <f ca="1">INDEX(rngParamTypes,$N1054,9)</f>
        <v>1</v>
      </c>
      <c r="Q1054">
        <f ca="1">INDEX(rngParamTypes,$N1054,10)</f>
        <v>3</v>
      </c>
      <c r="R1054">
        <f ca="1">INDEX(rngParamTypes,$N1054,11)</f>
        <v>-2</v>
      </c>
      <c r="S1054">
        <f ca="1">INDEX(rngParamTypes,$N1054,12)</f>
        <v>0</v>
      </c>
      <c r="T1054">
        <f ca="1">INDEX(rngParamTypes,$N1054,13)</f>
        <v>0</v>
      </c>
      <c r="U1054">
        <f ca="1">INDEX(rngParamTypes,$N1054,14)</f>
        <v>0</v>
      </c>
      <c r="V1054">
        <f ca="1">INDEX(rngParamTypes,$N1054,15)</f>
        <v>0</v>
      </c>
      <c r="W1054">
        <f ca="1">INDEX(rngParamTypes,$N1054,16)</f>
        <v>0</v>
      </c>
      <c r="X1054">
        <f ca="1">INDEX(rngParamTypes,$N1054,17)</f>
        <v>0</v>
      </c>
      <c r="Y1054">
        <f ca="1">INDEX(rngParamTypes,$N1054,18)</f>
        <v>0</v>
      </c>
    </row>
    <row r="1055" spans="1:25" x14ac:dyDescent="0.2">
      <c r="A1055" s="16">
        <v>1054</v>
      </c>
      <c r="B1055" s="37">
        <v>1</v>
      </c>
      <c r="C1055" s="16" t="s">
        <v>2700</v>
      </c>
      <c r="D1055" s="16" t="s">
        <v>2700</v>
      </c>
      <c r="E1055" s="16"/>
      <c r="F1055" s="16" t="s">
        <v>4158</v>
      </c>
      <c r="G1055" s="16" t="s">
        <v>3417</v>
      </c>
      <c r="H1055" s="16" t="s">
        <v>2699</v>
      </c>
      <c r="I1055" s="16" t="s">
        <v>168</v>
      </c>
      <c r="J1055" s="16">
        <v>0</v>
      </c>
      <c r="K1055" s="16">
        <v>14317440</v>
      </c>
      <c r="L1055" s="16">
        <v>1</v>
      </c>
      <c r="M1055" s="16">
        <v>0</v>
      </c>
      <c r="N1055">
        <f t="array" aca="1" ref="N1055" ca="1">MATCH(TRUE,EXACT(I1055,OFFSET(rngParamTypes,0,6,,1)),0)</f>
        <v>56</v>
      </c>
      <c r="O1055" t="str">
        <f ca="1">IF((INDEX(rngParamTypes,$N1055,7)=I1055),"",1)</f>
        <v/>
      </c>
      <c r="P1055">
        <f ca="1">INDEX(rngParamTypes,$N1055,9)</f>
        <v>1</v>
      </c>
      <c r="Q1055">
        <f ca="1">INDEX(rngParamTypes,$N1055,10)</f>
        <v>2</v>
      </c>
      <c r="R1055">
        <f ca="1">INDEX(rngParamTypes,$N1055,11)</f>
        <v>-2</v>
      </c>
      <c r="S1055">
        <f ca="1">INDEX(rngParamTypes,$N1055,12)</f>
        <v>0</v>
      </c>
      <c r="T1055">
        <f ca="1">INDEX(rngParamTypes,$N1055,13)</f>
        <v>0</v>
      </c>
      <c r="U1055">
        <f ca="1">INDEX(rngParamTypes,$N1055,14)</f>
        <v>0</v>
      </c>
      <c r="V1055">
        <f ca="1">INDEX(rngParamTypes,$N1055,15)</f>
        <v>0</v>
      </c>
      <c r="W1055">
        <f ca="1">INDEX(rngParamTypes,$N1055,16)</f>
        <v>0</v>
      </c>
      <c r="X1055">
        <f ca="1">INDEX(rngParamTypes,$N1055,17)</f>
        <v>0</v>
      </c>
      <c r="Y1055">
        <f ca="1">INDEX(rngParamTypes,$N1055,18)</f>
        <v>0</v>
      </c>
    </row>
    <row r="1056" spans="1:25" x14ac:dyDescent="0.2">
      <c r="A1056" s="16">
        <v>1055</v>
      </c>
      <c r="B1056" s="37">
        <v>1</v>
      </c>
      <c r="C1056" s="16" t="s">
        <v>2702</v>
      </c>
      <c r="D1056" s="16" t="s">
        <v>2702</v>
      </c>
      <c r="E1056" s="16"/>
      <c r="F1056" s="16" t="s">
        <v>4159</v>
      </c>
      <c r="G1056" s="16" t="s">
        <v>3314</v>
      </c>
      <c r="H1056" s="16" t="s">
        <v>2701</v>
      </c>
      <c r="I1056" s="16" t="s">
        <v>190</v>
      </c>
      <c r="J1056" s="16">
        <v>0</v>
      </c>
      <c r="K1056" s="16">
        <v>14317440</v>
      </c>
      <c r="L1056" s="16">
        <v>0.1589873</v>
      </c>
      <c r="M1056" s="16">
        <v>0</v>
      </c>
      <c r="N1056">
        <f t="array" aca="1" ref="N1056" ca="1">MATCH(TRUE,EXACT(I1056,OFFSET(rngParamTypes,0,6,,1)),0)</f>
        <v>65</v>
      </c>
      <c r="O1056" t="str">
        <f ca="1">IF((INDEX(rngParamTypes,$N1056,7)=I1056),"",1)</f>
        <v/>
      </c>
      <c r="P1056">
        <f ca="1">INDEX(rngParamTypes,$N1056,9)</f>
        <v>1</v>
      </c>
      <c r="Q1056">
        <f ca="1">INDEX(rngParamTypes,$N1056,10)</f>
        <v>-1</v>
      </c>
      <c r="R1056">
        <f ca="1">INDEX(rngParamTypes,$N1056,11)</f>
        <v>-2</v>
      </c>
      <c r="S1056">
        <f ca="1">INDEX(rngParamTypes,$N1056,12)</f>
        <v>0</v>
      </c>
      <c r="T1056">
        <f ca="1">INDEX(rngParamTypes,$N1056,13)</f>
        <v>0</v>
      </c>
      <c r="U1056">
        <f ca="1">INDEX(rngParamTypes,$N1056,14)</f>
        <v>0</v>
      </c>
      <c r="V1056">
        <f ca="1">INDEX(rngParamTypes,$N1056,15)</f>
        <v>0</v>
      </c>
      <c r="W1056">
        <f ca="1">INDEX(rngParamTypes,$N1056,16)</f>
        <v>0</v>
      </c>
      <c r="X1056">
        <f ca="1">INDEX(rngParamTypes,$N1056,17)</f>
        <v>0</v>
      </c>
      <c r="Y1056">
        <f ca="1">INDEX(rngParamTypes,$N1056,18)</f>
        <v>0</v>
      </c>
    </row>
    <row r="1057" spans="1:25" x14ac:dyDescent="0.2">
      <c r="A1057" s="16">
        <v>1056</v>
      </c>
      <c r="B1057" s="37">
        <v>1</v>
      </c>
      <c r="C1057" s="16" t="s">
        <v>2704</v>
      </c>
      <c r="D1057" s="16" t="s">
        <v>2704</v>
      </c>
      <c r="E1057" s="16"/>
      <c r="F1057" s="16" t="s">
        <v>4160</v>
      </c>
      <c r="G1057" s="16" t="s">
        <v>1657</v>
      </c>
      <c r="H1057" s="16" t="s">
        <v>2703</v>
      </c>
      <c r="I1057" s="16" t="s">
        <v>379</v>
      </c>
      <c r="J1057" s="16">
        <v>0</v>
      </c>
      <c r="K1057" s="16">
        <v>14317440</v>
      </c>
      <c r="L1057" s="16">
        <v>0.30480000000000002</v>
      </c>
      <c r="M1057" s="16">
        <v>0</v>
      </c>
      <c r="N1057">
        <f t="array" aca="1" ref="N1057" ca="1">MATCH(TRUE,EXACT(I1057,OFFSET(rngParamTypes,0,6,,1)),0)</f>
        <v>154</v>
      </c>
      <c r="O1057" t="str">
        <f ca="1">IF((INDEX(rngParamTypes,$N1057,7)=I1057),"",1)</f>
        <v/>
      </c>
      <c r="P1057">
        <f ca="1">INDEX(rngParamTypes,$N1057,9)</f>
        <v>1</v>
      </c>
      <c r="Q1057">
        <f ca="1">INDEX(rngParamTypes,$N1057,10)</f>
        <v>1</v>
      </c>
      <c r="R1057">
        <f ca="1">INDEX(rngParamTypes,$N1057,11)</f>
        <v>-2</v>
      </c>
      <c r="S1057">
        <f ca="1">INDEX(rngParamTypes,$N1057,12)</f>
        <v>0</v>
      </c>
      <c r="T1057">
        <f ca="1">INDEX(rngParamTypes,$N1057,13)</f>
        <v>0</v>
      </c>
      <c r="U1057">
        <f ca="1">INDEX(rngParamTypes,$N1057,14)</f>
        <v>0</v>
      </c>
      <c r="V1057">
        <f ca="1">INDEX(rngParamTypes,$N1057,15)</f>
        <v>0</v>
      </c>
      <c r="W1057">
        <f ca="1">INDEX(rngParamTypes,$N1057,16)</f>
        <v>0</v>
      </c>
      <c r="X1057">
        <f ca="1">INDEX(rngParamTypes,$N1057,17)</f>
        <v>0</v>
      </c>
      <c r="Y1057">
        <f ca="1">INDEX(rngParamTypes,$N1057,18)</f>
        <v>0</v>
      </c>
    </row>
    <row r="1058" spans="1:25" x14ac:dyDescent="0.2">
      <c r="A1058" s="16">
        <v>1057</v>
      </c>
      <c r="B1058" s="37">
        <v>1</v>
      </c>
      <c r="C1058" s="16" t="s">
        <v>2706</v>
      </c>
      <c r="D1058" s="16" t="s">
        <v>2706</v>
      </c>
      <c r="E1058" s="16"/>
      <c r="F1058" s="16" t="s">
        <v>4161</v>
      </c>
      <c r="G1058" s="16" t="s">
        <v>385</v>
      </c>
      <c r="H1058" s="16" t="s">
        <v>2705</v>
      </c>
      <c r="I1058" s="16" t="s">
        <v>387</v>
      </c>
      <c r="J1058" s="16">
        <v>0</v>
      </c>
      <c r="K1058" s="16">
        <v>8896.4429999999993</v>
      </c>
      <c r="L1058" s="16">
        <v>0.30480000000000002</v>
      </c>
      <c r="M1058" s="16">
        <v>0</v>
      </c>
      <c r="N1058">
        <f t="array" aca="1" ref="N1058" ca="1">MATCH(TRUE,EXACT(I1058,OFFSET(rngParamTypes,0,6,,1)),0)</f>
        <v>156</v>
      </c>
      <c r="O1058" t="str">
        <f ca="1">IF((INDEX(rngParamTypes,$N1058,7)=I1058),"",1)</f>
        <v/>
      </c>
      <c r="P1058">
        <f ca="1">INDEX(rngParamTypes,$N1058,9)</f>
        <v>1</v>
      </c>
      <c r="Q1058">
        <f ca="1">INDEX(rngParamTypes,$N1058,10)</f>
        <v>0</v>
      </c>
      <c r="R1058">
        <f ca="1">INDEX(rngParamTypes,$N1058,11)</f>
        <v>-2</v>
      </c>
      <c r="S1058">
        <f ca="1">INDEX(rngParamTypes,$N1058,12)</f>
        <v>0</v>
      </c>
      <c r="T1058">
        <f ca="1">INDEX(rngParamTypes,$N1058,13)</f>
        <v>0</v>
      </c>
      <c r="U1058">
        <f ca="1">INDEX(rngParamTypes,$N1058,14)</f>
        <v>0</v>
      </c>
      <c r="V1058">
        <f ca="1">INDEX(rngParamTypes,$N1058,15)</f>
        <v>0</v>
      </c>
      <c r="W1058">
        <f ca="1">INDEX(rngParamTypes,$N1058,16)</f>
        <v>0</v>
      </c>
      <c r="X1058">
        <f ca="1">INDEX(rngParamTypes,$N1058,17)</f>
        <v>0</v>
      </c>
      <c r="Y1058">
        <f ca="1">INDEX(rngParamTypes,$N1058,18)</f>
        <v>0</v>
      </c>
    </row>
    <row r="1059" spans="1:25" x14ac:dyDescent="0.2">
      <c r="A1059" s="16">
        <v>1058</v>
      </c>
      <c r="B1059" s="37">
        <v>1</v>
      </c>
      <c r="C1059" s="16" t="s">
        <v>2708</v>
      </c>
      <c r="D1059" s="16" t="s">
        <v>2708</v>
      </c>
      <c r="E1059" s="16">
        <v>2</v>
      </c>
      <c r="F1059" s="16" t="s">
        <v>4162</v>
      </c>
      <c r="G1059" s="16" t="s">
        <v>3270</v>
      </c>
      <c r="H1059" s="16" t="s">
        <v>2707</v>
      </c>
      <c r="I1059" s="16" t="s">
        <v>416</v>
      </c>
      <c r="J1059" s="16">
        <v>0</v>
      </c>
      <c r="K1059" s="16">
        <v>95760.52</v>
      </c>
      <c r="L1059" s="16">
        <v>1</v>
      </c>
      <c r="M1059" s="16">
        <v>0</v>
      </c>
      <c r="N1059">
        <f t="array" aca="1" ref="N1059" ca="1">MATCH(TRUE,EXACT(I1059,OFFSET(rngParamTypes,0,6,,1)),0)</f>
        <v>167</v>
      </c>
      <c r="O1059" t="str">
        <f ca="1">IF((INDEX(rngParamTypes,$N1059,7)=I1059),"",1)</f>
        <v/>
      </c>
      <c r="P1059">
        <f ca="1">INDEX(rngParamTypes,$N1059,9)</f>
        <v>1</v>
      </c>
      <c r="Q1059">
        <f ca="1">INDEX(rngParamTypes,$N1059,10)</f>
        <v>-1</v>
      </c>
      <c r="R1059">
        <f ca="1">INDEX(rngParamTypes,$N1059,11)</f>
        <v>-2</v>
      </c>
      <c r="S1059">
        <f ca="1">INDEX(rngParamTypes,$N1059,12)</f>
        <v>0</v>
      </c>
      <c r="T1059">
        <f ca="1">INDEX(rngParamTypes,$N1059,13)</f>
        <v>0</v>
      </c>
      <c r="U1059">
        <f ca="1">INDEX(rngParamTypes,$N1059,14)</f>
        <v>0</v>
      </c>
      <c r="V1059">
        <f ca="1">INDEX(rngParamTypes,$N1059,15)</f>
        <v>0</v>
      </c>
      <c r="W1059">
        <f ca="1">INDEX(rngParamTypes,$N1059,16)</f>
        <v>0</v>
      </c>
      <c r="X1059">
        <f ca="1">INDEX(rngParamTypes,$N1059,17)</f>
        <v>0</v>
      </c>
      <c r="Y1059">
        <f ca="1">INDEX(rngParamTypes,$N1059,18)</f>
        <v>0</v>
      </c>
    </row>
    <row r="1060" spans="1:25" x14ac:dyDescent="0.2">
      <c r="A1060" s="16">
        <v>1059</v>
      </c>
      <c r="B1060" s="37">
        <v>1</v>
      </c>
      <c r="C1060" s="16" t="s">
        <v>2710</v>
      </c>
      <c r="D1060" s="16" t="s">
        <v>2710</v>
      </c>
      <c r="E1060" s="16">
        <v>2</v>
      </c>
      <c r="F1060" s="16" t="s">
        <v>4163</v>
      </c>
      <c r="G1060" s="16" t="s">
        <v>3270</v>
      </c>
      <c r="H1060" s="16" t="s">
        <v>2709</v>
      </c>
      <c r="I1060" s="16" t="s">
        <v>416</v>
      </c>
      <c r="J1060" s="16">
        <v>0</v>
      </c>
      <c r="K1060" s="16">
        <v>13789510</v>
      </c>
      <c r="L1060" s="16">
        <v>1</v>
      </c>
      <c r="M1060" s="16">
        <v>0</v>
      </c>
      <c r="N1060">
        <f t="array" aca="1" ref="N1060" ca="1">MATCH(TRUE,EXACT(I1060,OFFSET(rngParamTypes,0,6,,1)),0)</f>
        <v>167</v>
      </c>
      <c r="O1060" t="str">
        <f ca="1">IF((INDEX(rngParamTypes,$N1060,7)=I1060),"",1)</f>
        <v/>
      </c>
      <c r="P1060">
        <f ca="1">INDEX(rngParamTypes,$N1060,9)</f>
        <v>1</v>
      </c>
      <c r="Q1060">
        <f ca="1">INDEX(rngParamTypes,$N1060,10)</f>
        <v>-1</v>
      </c>
      <c r="R1060">
        <f ca="1">INDEX(rngParamTypes,$N1060,11)</f>
        <v>-2</v>
      </c>
      <c r="S1060">
        <f ca="1">INDEX(rngParamTypes,$N1060,12)</f>
        <v>0</v>
      </c>
      <c r="T1060">
        <f ca="1">INDEX(rngParamTypes,$N1060,13)</f>
        <v>0</v>
      </c>
      <c r="U1060">
        <f ca="1">INDEX(rngParamTypes,$N1060,14)</f>
        <v>0</v>
      </c>
      <c r="V1060">
        <f ca="1">INDEX(rngParamTypes,$N1060,15)</f>
        <v>0</v>
      </c>
      <c r="W1060">
        <f ca="1">INDEX(rngParamTypes,$N1060,16)</f>
        <v>0</v>
      </c>
      <c r="X1060">
        <f ca="1">INDEX(rngParamTypes,$N1060,17)</f>
        <v>0</v>
      </c>
      <c r="Y1060">
        <f ca="1">INDEX(rngParamTypes,$N1060,18)</f>
        <v>0</v>
      </c>
    </row>
    <row r="1061" spans="1:25" x14ac:dyDescent="0.2">
      <c r="A1061" s="16">
        <v>1060</v>
      </c>
      <c r="B1061" s="37">
        <v>1</v>
      </c>
      <c r="C1061" s="16" t="s">
        <v>2712</v>
      </c>
      <c r="D1061" s="16" t="s">
        <v>2712</v>
      </c>
      <c r="E1061" s="16">
        <v>2</v>
      </c>
      <c r="F1061" s="16" t="s">
        <v>4164</v>
      </c>
      <c r="G1061" s="16" t="s">
        <v>220</v>
      </c>
      <c r="H1061" s="16" t="s">
        <v>2711</v>
      </c>
      <c r="I1061" s="16" t="s">
        <v>221</v>
      </c>
      <c r="J1061" s="16">
        <v>0</v>
      </c>
      <c r="K1061" s="16">
        <v>1016.047</v>
      </c>
      <c r="L1061" s="16">
        <v>1</v>
      </c>
      <c r="M1061" s="16">
        <v>0</v>
      </c>
      <c r="N1061">
        <f t="array" aca="1" ref="N1061" ca="1">MATCH(TRUE,EXACT(I1061,OFFSET(rngParamTypes,0,6,,1)),0)</f>
        <v>87</v>
      </c>
      <c r="O1061" t="str">
        <f ca="1">IF((INDEX(rngParamTypes,$N1061,7)=I1061),"",1)</f>
        <v/>
      </c>
      <c r="P1061">
        <f ca="1">INDEX(rngParamTypes,$N1061,9)</f>
        <v>1</v>
      </c>
      <c r="Q1061">
        <f ca="1">INDEX(rngParamTypes,$N1061,10)</f>
        <v>0</v>
      </c>
      <c r="R1061">
        <f ca="1">INDEX(rngParamTypes,$N1061,11)</f>
        <v>0</v>
      </c>
      <c r="S1061">
        <f ca="1">INDEX(rngParamTypes,$N1061,12)</f>
        <v>0</v>
      </c>
      <c r="T1061">
        <f ca="1">INDEX(rngParamTypes,$N1061,13)</f>
        <v>0</v>
      </c>
      <c r="U1061">
        <f ca="1">INDEX(rngParamTypes,$N1061,14)</f>
        <v>0</v>
      </c>
      <c r="V1061">
        <f ca="1">INDEX(rngParamTypes,$N1061,15)</f>
        <v>0</v>
      </c>
      <c r="W1061">
        <f ca="1">INDEX(rngParamTypes,$N1061,16)</f>
        <v>0</v>
      </c>
      <c r="X1061">
        <f ca="1">INDEX(rngParamTypes,$N1061,17)</f>
        <v>0</v>
      </c>
      <c r="Y1061">
        <f ca="1">INDEX(rngParamTypes,$N1061,18)</f>
        <v>0</v>
      </c>
    </row>
    <row r="1062" spans="1:25" x14ac:dyDescent="0.2">
      <c r="A1062" s="16">
        <v>1061</v>
      </c>
      <c r="B1062" s="37">
        <v>1</v>
      </c>
      <c r="C1062" s="16" t="s">
        <v>2714</v>
      </c>
      <c r="D1062" s="16" t="s">
        <v>2714</v>
      </c>
      <c r="E1062" s="16">
        <v>2</v>
      </c>
      <c r="F1062" s="16" t="s">
        <v>4165</v>
      </c>
      <c r="G1062" s="16" t="s">
        <v>257</v>
      </c>
      <c r="H1062" s="16" t="s">
        <v>2713</v>
      </c>
      <c r="I1062" s="16" t="s">
        <v>258</v>
      </c>
      <c r="J1062" s="16">
        <v>0</v>
      </c>
      <c r="K1062" s="16">
        <v>1016.047</v>
      </c>
      <c r="L1062" s="16">
        <v>31558150</v>
      </c>
      <c r="M1062" s="16">
        <v>0</v>
      </c>
      <c r="N1062">
        <f t="array" aca="1" ref="N1062" ca="1">MATCH(TRUE,EXACT(I1062,OFFSET(rngParamTypes,0,6,,1)),0)</f>
        <v>103</v>
      </c>
      <c r="O1062" t="str">
        <f ca="1">IF((INDEX(rngParamTypes,$N1062,7)=I1062),"",1)</f>
        <v/>
      </c>
      <c r="P1062">
        <f ca="1">INDEX(rngParamTypes,$N1062,9)</f>
        <v>1</v>
      </c>
      <c r="Q1062">
        <f ca="1">INDEX(rngParamTypes,$N1062,10)</f>
        <v>0</v>
      </c>
      <c r="R1062">
        <f ca="1">INDEX(rngParamTypes,$N1062,11)</f>
        <v>-1</v>
      </c>
      <c r="S1062">
        <f ca="1">INDEX(rngParamTypes,$N1062,12)</f>
        <v>0</v>
      </c>
      <c r="T1062">
        <f ca="1">INDEX(rngParamTypes,$N1062,13)</f>
        <v>0</v>
      </c>
      <c r="U1062">
        <f ca="1">INDEX(rngParamTypes,$N1062,14)</f>
        <v>0</v>
      </c>
      <c r="V1062">
        <f ca="1">INDEX(rngParamTypes,$N1062,15)</f>
        <v>0</v>
      </c>
      <c r="W1062">
        <f ca="1">INDEX(rngParamTypes,$N1062,16)</f>
        <v>0</v>
      </c>
      <c r="X1062">
        <f ca="1">INDEX(rngParamTypes,$N1062,17)</f>
        <v>0</v>
      </c>
      <c r="Y1062">
        <f ca="1">INDEX(rngParamTypes,$N1062,18)</f>
        <v>0</v>
      </c>
    </row>
    <row r="1063" spans="1:25" x14ac:dyDescent="0.2">
      <c r="A1063" s="16">
        <v>1062</v>
      </c>
      <c r="B1063" s="37">
        <v>1</v>
      </c>
      <c r="C1063" s="16" t="s">
        <v>2716</v>
      </c>
      <c r="D1063" s="16" t="s">
        <v>2716</v>
      </c>
      <c r="E1063" s="16">
        <v>2</v>
      </c>
      <c r="F1063" s="16" t="s">
        <v>4166</v>
      </c>
      <c r="G1063" s="16" t="s">
        <v>257</v>
      </c>
      <c r="H1063" s="16" t="s">
        <v>2715</v>
      </c>
      <c r="I1063" s="16" t="s">
        <v>258</v>
      </c>
      <c r="J1063" s="16">
        <v>0</v>
      </c>
      <c r="K1063" s="16">
        <v>1016.047</v>
      </c>
      <c r="L1063" s="16">
        <v>86400</v>
      </c>
      <c r="M1063" s="16">
        <v>0</v>
      </c>
      <c r="N1063">
        <f t="array" aca="1" ref="N1063" ca="1">MATCH(TRUE,EXACT(I1063,OFFSET(rngParamTypes,0,6,,1)),0)</f>
        <v>103</v>
      </c>
      <c r="O1063" t="str">
        <f ca="1">IF((INDEX(rngParamTypes,$N1063,7)=I1063),"",1)</f>
        <v/>
      </c>
      <c r="P1063">
        <f ca="1">INDEX(rngParamTypes,$N1063,9)</f>
        <v>1</v>
      </c>
      <c r="Q1063">
        <f ca="1">INDEX(rngParamTypes,$N1063,10)</f>
        <v>0</v>
      </c>
      <c r="R1063">
        <f ca="1">INDEX(rngParamTypes,$N1063,11)</f>
        <v>-1</v>
      </c>
      <c r="S1063">
        <f ca="1">INDEX(rngParamTypes,$N1063,12)</f>
        <v>0</v>
      </c>
      <c r="T1063">
        <f ca="1">INDEX(rngParamTypes,$N1063,13)</f>
        <v>0</v>
      </c>
      <c r="U1063">
        <f ca="1">INDEX(rngParamTypes,$N1063,14)</f>
        <v>0</v>
      </c>
      <c r="V1063">
        <f ca="1">INDEX(rngParamTypes,$N1063,15)</f>
        <v>0</v>
      </c>
      <c r="W1063">
        <f ca="1">INDEX(rngParamTypes,$N1063,16)</f>
        <v>0</v>
      </c>
      <c r="X1063">
        <f ca="1">INDEX(rngParamTypes,$N1063,17)</f>
        <v>0</v>
      </c>
      <c r="Y1063">
        <f ca="1">INDEX(rngParamTypes,$N1063,18)</f>
        <v>0</v>
      </c>
    </row>
    <row r="1064" spans="1:25" x14ac:dyDescent="0.2">
      <c r="A1064" s="16">
        <v>1063</v>
      </c>
      <c r="B1064" s="37">
        <v>1</v>
      </c>
      <c r="C1064" s="16" t="s">
        <v>2718</v>
      </c>
      <c r="D1064" s="16" t="s">
        <v>2718</v>
      </c>
      <c r="E1064" s="16">
        <v>2</v>
      </c>
      <c r="F1064" s="16" t="s">
        <v>4167</v>
      </c>
      <c r="G1064" s="16" t="s">
        <v>257</v>
      </c>
      <c r="H1064" s="16" t="s">
        <v>2717</v>
      </c>
      <c r="I1064" s="16" t="s">
        <v>258</v>
      </c>
      <c r="J1064" s="16">
        <v>0</v>
      </c>
      <c r="K1064" s="16">
        <v>1016.047</v>
      </c>
      <c r="L1064" s="16">
        <v>3600</v>
      </c>
      <c r="M1064" s="16">
        <v>0</v>
      </c>
      <c r="N1064">
        <f t="array" aca="1" ref="N1064" ca="1">MATCH(TRUE,EXACT(I1064,OFFSET(rngParamTypes,0,6,,1)),0)</f>
        <v>103</v>
      </c>
      <c r="O1064" t="str">
        <f ca="1">IF((INDEX(rngParamTypes,$N1064,7)=I1064),"",1)</f>
        <v/>
      </c>
      <c r="P1064">
        <f ca="1">INDEX(rngParamTypes,$N1064,9)</f>
        <v>1</v>
      </c>
      <c r="Q1064">
        <f ca="1">INDEX(rngParamTypes,$N1064,10)</f>
        <v>0</v>
      </c>
      <c r="R1064">
        <f ca="1">INDEX(rngParamTypes,$N1064,11)</f>
        <v>-1</v>
      </c>
      <c r="S1064">
        <f ca="1">INDEX(rngParamTypes,$N1064,12)</f>
        <v>0</v>
      </c>
      <c r="T1064">
        <f ca="1">INDEX(rngParamTypes,$N1064,13)</f>
        <v>0</v>
      </c>
      <c r="U1064">
        <f ca="1">INDEX(rngParamTypes,$N1064,14)</f>
        <v>0</v>
      </c>
      <c r="V1064">
        <f ca="1">INDEX(rngParamTypes,$N1064,15)</f>
        <v>0</v>
      </c>
      <c r="W1064">
        <f ca="1">INDEX(rngParamTypes,$N1064,16)</f>
        <v>0</v>
      </c>
      <c r="X1064">
        <f ca="1">INDEX(rngParamTypes,$N1064,17)</f>
        <v>0</v>
      </c>
      <c r="Y1064">
        <f ca="1">INDEX(rngParamTypes,$N1064,18)</f>
        <v>0</v>
      </c>
    </row>
    <row r="1065" spans="1:25" x14ac:dyDescent="0.2">
      <c r="A1065" s="16">
        <v>1064</v>
      </c>
      <c r="B1065" s="37">
        <v>1</v>
      </c>
      <c r="C1065" s="16" t="s">
        <v>2720</v>
      </c>
      <c r="D1065" s="16" t="s">
        <v>2720</v>
      </c>
      <c r="E1065" s="16">
        <v>2</v>
      </c>
      <c r="F1065" s="16" t="s">
        <v>4168</v>
      </c>
      <c r="G1065" s="16" t="s">
        <v>257</v>
      </c>
      <c r="H1065" s="16" t="s">
        <v>2719</v>
      </c>
      <c r="I1065" s="16" t="s">
        <v>258</v>
      </c>
      <c r="J1065" s="16">
        <v>0</v>
      </c>
      <c r="K1065" s="16">
        <v>1016.047</v>
      </c>
      <c r="L1065" s="16">
        <v>60</v>
      </c>
      <c r="M1065" s="16">
        <v>0</v>
      </c>
      <c r="N1065">
        <f t="array" aca="1" ref="N1065" ca="1">MATCH(TRUE,EXACT(I1065,OFFSET(rngParamTypes,0,6,,1)),0)</f>
        <v>103</v>
      </c>
      <c r="O1065" t="str">
        <f ca="1">IF((INDEX(rngParamTypes,$N1065,7)=I1065),"",1)</f>
        <v/>
      </c>
      <c r="P1065">
        <f ca="1">INDEX(rngParamTypes,$N1065,9)</f>
        <v>1</v>
      </c>
      <c r="Q1065">
        <f ca="1">INDEX(rngParamTypes,$N1065,10)</f>
        <v>0</v>
      </c>
      <c r="R1065">
        <f ca="1">INDEX(rngParamTypes,$N1065,11)</f>
        <v>-1</v>
      </c>
      <c r="S1065">
        <f ca="1">INDEX(rngParamTypes,$N1065,12)</f>
        <v>0</v>
      </c>
      <c r="T1065">
        <f ca="1">INDEX(rngParamTypes,$N1065,13)</f>
        <v>0</v>
      </c>
      <c r="U1065">
        <f ca="1">INDEX(rngParamTypes,$N1065,14)</f>
        <v>0</v>
      </c>
      <c r="V1065">
        <f ca="1">INDEX(rngParamTypes,$N1065,15)</f>
        <v>0</v>
      </c>
      <c r="W1065">
        <f ca="1">INDEX(rngParamTypes,$N1065,16)</f>
        <v>0</v>
      </c>
      <c r="X1065">
        <f ca="1">INDEX(rngParamTypes,$N1065,17)</f>
        <v>0</v>
      </c>
      <c r="Y1065">
        <f ca="1">INDEX(rngParamTypes,$N1065,18)</f>
        <v>0</v>
      </c>
    </row>
    <row r="1066" spans="1:25" x14ac:dyDescent="0.2">
      <c r="A1066" s="16">
        <v>1065</v>
      </c>
      <c r="B1066" s="37">
        <v>1</v>
      </c>
      <c r="C1066" s="16" t="s">
        <v>2722</v>
      </c>
      <c r="D1066" s="16" t="s">
        <v>2722</v>
      </c>
      <c r="E1066" s="16">
        <v>2</v>
      </c>
      <c r="F1066" s="16" t="s">
        <v>4169</v>
      </c>
      <c r="G1066" s="16" t="s">
        <v>220</v>
      </c>
      <c r="H1066" s="16" t="s">
        <v>2721</v>
      </c>
      <c r="I1066" s="16" t="s">
        <v>221</v>
      </c>
      <c r="J1066" s="16">
        <v>0</v>
      </c>
      <c r="K1066" s="16">
        <v>907.18470000000002</v>
      </c>
      <c r="L1066" s="16">
        <v>1</v>
      </c>
      <c r="M1066" s="16">
        <v>0</v>
      </c>
      <c r="N1066">
        <f t="array" aca="1" ref="N1066" ca="1">MATCH(TRUE,EXACT(I1066,OFFSET(rngParamTypes,0,6,,1)),0)</f>
        <v>87</v>
      </c>
      <c r="O1066" t="str">
        <f ca="1">IF((INDEX(rngParamTypes,$N1066,7)=I1066),"",1)</f>
        <v/>
      </c>
      <c r="P1066">
        <f ca="1">INDEX(rngParamTypes,$N1066,9)</f>
        <v>1</v>
      </c>
      <c r="Q1066">
        <f ca="1">INDEX(rngParamTypes,$N1066,10)</f>
        <v>0</v>
      </c>
      <c r="R1066">
        <f ca="1">INDEX(rngParamTypes,$N1066,11)</f>
        <v>0</v>
      </c>
      <c r="S1066">
        <f ca="1">INDEX(rngParamTypes,$N1066,12)</f>
        <v>0</v>
      </c>
      <c r="T1066">
        <f ca="1">INDEX(rngParamTypes,$N1066,13)</f>
        <v>0</v>
      </c>
      <c r="U1066">
        <f ca="1">INDEX(rngParamTypes,$N1066,14)</f>
        <v>0</v>
      </c>
      <c r="V1066">
        <f ca="1">INDEX(rngParamTypes,$N1066,15)</f>
        <v>0</v>
      </c>
      <c r="W1066">
        <f ca="1">INDEX(rngParamTypes,$N1066,16)</f>
        <v>0</v>
      </c>
      <c r="X1066">
        <f ca="1">INDEX(rngParamTypes,$N1066,17)</f>
        <v>0</v>
      </c>
      <c r="Y1066">
        <f ca="1">INDEX(rngParamTypes,$N1066,18)</f>
        <v>0</v>
      </c>
    </row>
    <row r="1067" spans="1:25" x14ac:dyDescent="0.2">
      <c r="A1067" s="16">
        <v>1066</v>
      </c>
      <c r="B1067" s="37">
        <v>1</v>
      </c>
      <c r="C1067" s="16" t="s">
        <v>2724</v>
      </c>
      <c r="D1067" s="16" t="s">
        <v>2724</v>
      </c>
      <c r="E1067" s="16">
        <v>2</v>
      </c>
      <c r="F1067" s="16" t="s">
        <v>4170</v>
      </c>
      <c r="G1067" s="16" t="s">
        <v>257</v>
      </c>
      <c r="H1067" s="16" t="s">
        <v>2723</v>
      </c>
      <c r="I1067" s="16" t="s">
        <v>258</v>
      </c>
      <c r="J1067" s="16">
        <v>0</v>
      </c>
      <c r="K1067" s="16">
        <v>907.18470000000002</v>
      </c>
      <c r="L1067" s="16">
        <v>31558150</v>
      </c>
      <c r="M1067" s="16">
        <v>0</v>
      </c>
      <c r="N1067">
        <f t="array" aca="1" ref="N1067" ca="1">MATCH(TRUE,EXACT(I1067,OFFSET(rngParamTypes,0,6,,1)),0)</f>
        <v>103</v>
      </c>
      <c r="O1067" t="str">
        <f ca="1">IF((INDEX(rngParamTypes,$N1067,7)=I1067),"",1)</f>
        <v/>
      </c>
      <c r="P1067">
        <f ca="1">INDEX(rngParamTypes,$N1067,9)</f>
        <v>1</v>
      </c>
      <c r="Q1067">
        <f ca="1">INDEX(rngParamTypes,$N1067,10)</f>
        <v>0</v>
      </c>
      <c r="R1067">
        <f ca="1">INDEX(rngParamTypes,$N1067,11)</f>
        <v>-1</v>
      </c>
      <c r="S1067">
        <f ca="1">INDEX(rngParamTypes,$N1067,12)</f>
        <v>0</v>
      </c>
      <c r="T1067">
        <f ca="1">INDEX(rngParamTypes,$N1067,13)</f>
        <v>0</v>
      </c>
      <c r="U1067">
        <f ca="1">INDEX(rngParamTypes,$N1067,14)</f>
        <v>0</v>
      </c>
      <c r="V1067">
        <f ca="1">INDEX(rngParamTypes,$N1067,15)</f>
        <v>0</v>
      </c>
      <c r="W1067">
        <f ca="1">INDEX(rngParamTypes,$N1067,16)</f>
        <v>0</v>
      </c>
      <c r="X1067">
        <f ca="1">INDEX(rngParamTypes,$N1067,17)</f>
        <v>0</v>
      </c>
      <c r="Y1067">
        <f ca="1">INDEX(rngParamTypes,$N1067,18)</f>
        <v>0</v>
      </c>
    </row>
    <row r="1068" spans="1:25" x14ac:dyDescent="0.2">
      <c r="A1068" s="16">
        <v>1067</v>
      </c>
      <c r="B1068" s="37">
        <v>1</v>
      </c>
      <c r="C1068" s="16" t="s">
        <v>2726</v>
      </c>
      <c r="D1068" s="16" t="s">
        <v>2726</v>
      </c>
      <c r="E1068" s="16">
        <v>2</v>
      </c>
      <c r="F1068" s="16" t="s">
        <v>4171</v>
      </c>
      <c r="G1068" s="16" t="s">
        <v>257</v>
      </c>
      <c r="H1068" s="16" t="s">
        <v>2725</v>
      </c>
      <c r="I1068" s="16" t="s">
        <v>258</v>
      </c>
      <c r="J1068" s="16">
        <v>0</v>
      </c>
      <c r="K1068" s="16">
        <v>907.18470000000002</v>
      </c>
      <c r="L1068" s="16">
        <v>86400</v>
      </c>
      <c r="M1068" s="16">
        <v>0</v>
      </c>
      <c r="N1068">
        <f t="array" aca="1" ref="N1068" ca="1">MATCH(TRUE,EXACT(I1068,OFFSET(rngParamTypes,0,6,,1)),0)</f>
        <v>103</v>
      </c>
      <c r="O1068" t="str">
        <f ca="1">IF((INDEX(rngParamTypes,$N1068,7)=I1068),"",1)</f>
        <v/>
      </c>
      <c r="P1068">
        <f ca="1">INDEX(rngParamTypes,$N1068,9)</f>
        <v>1</v>
      </c>
      <c r="Q1068">
        <f ca="1">INDEX(rngParamTypes,$N1068,10)</f>
        <v>0</v>
      </c>
      <c r="R1068">
        <f ca="1">INDEX(rngParamTypes,$N1068,11)</f>
        <v>-1</v>
      </c>
      <c r="S1068">
        <f ca="1">INDEX(rngParamTypes,$N1068,12)</f>
        <v>0</v>
      </c>
      <c r="T1068">
        <f ca="1">INDEX(rngParamTypes,$N1068,13)</f>
        <v>0</v>
      </c>
      <c r="U1068">
        <f ca="1">INDEX(rngParamTypes,$N1068,14)</f>
        <v>0</v>
      </c>
      <c r="V1068">
        <f ca="1">INDEX(rngParamTypes,$N1068,15)</f>
        <v>0</v>
      </c>
      <c r="W1068">
        <f ca="1">INDEX(rngParamTypes,$N1068,16)</f>
        <v>0</v>
      </c>
      <c r="X1068">
        <f ca="1">INDEX(rngParamTypes,$N1068,17)</f>
        <v>0</v>
      </c>
      <c r="Y1068">
        <f ca="1">INDEX(rngParamTypes,$N1068,18)</f>
        <v>0</v>
      </c>
    </row>
    <row r="1069" spans="1:25" x14ac:dyDescent="0.2">
      <c r="A1069" s="16">
        <v>1068</v>
      </c>
      <c r="B1069" s="37">
        <v>1</v>
      </c>
      <c r="C1069" s="16" t="s">
        <v>2728</v>
      </c>
      <c r="D1069" s="16" t="s">
        <v>2728</v>
      </c>
      <c r="E1069" s="16"/>
      <c r="F1069" s="16" t="s">
        <v>4172</v>
      </c>
      <c r="G1069" s="16" t="s">
        <v>3806</v>
      </c>
      <c r="H1069" s="16" t="s">
        <v>2727</v>
      </c>
      <c r="I1069" s="16" t="s">
        <v>244</v>
      </c>
      <c r="J1069" s="16">
        <v>0</v>
      </c>
      <c r="K1069" s="16">
        <v>9764.8549999999996</v>
      </c>
      <c r="L1069" s="16">
        <v>1</v>
      </c>
      <c r="M1069" s="16">
        <v>0</v>
      </c>
      <c r="N1069">
        <f t="array" aca="1" ref="N1069" ca="1">MATCH(TRUE,EXACT(I1069,OFFSET(rngParamTypes,0,6,,1)),0)</f>
        <v>96</v>
      </c>
      <c r="O1069" t="str">
        <f ca="1">IF((INDEX(rngParamTypes,$N1069,7)=I1069),"",1)</f>
        <v/>
      </c>
      <c r="P1069">
        <f ca="1">INDEX(rngParamTypes,$N1069,9)</f>
        <v>1</v>
      </c>
      <c r="Q1069">
        <f ca="1">INDEX(rngParamTypes,$N1069,10)</f>
        <v>-2</v>
      </c>
      <c r="R1069">
        <f ca="1">INDEX(rngParamTypes,$N1069,11)</f>
        <v>0</v>
      </c>
      <c r="S1069">
        <f ca="1">INDEX(rngParamTypes,$N1069,12)</f>
        <v>0</v>
      </c>
      <c r="T1069">
        <f ca="1">INDEX(rngParamTypes,$N1069,13)</f>
        <v>0</v>
      </c>
      <c r="U1069">
        <f ca="1">INDEX(rngParamTypes,$N1069,14)</f>
        <v>0</v>
      </c>
      <c r="V1069">
        <f ca="1">INDEX(rngParamTypes,$N1069,15)</f>
        <v>0</v>
      </c>
      <c r="W1069">
        <f ca="1">INDEX(rngParamTypes,$N1069,16)</f>
        <v>0</v>
      </c>
      <c r="X1069">
        <f ca="1">INDEX(rngParamTypes,$N1069,17)</f>
        <v>0</v>
      </c>
      <c r="Y1069">
        <f ca="1">INDEX(rngParamTypes,$N1069,18)</f>
        <v>0</v>
      </c>
    </row>
    <row r="1070" spans="1:25" x14ac:dyDescent="0.2">
      <c r="A1070" s="16">
        <v>1069</v>
      </c>
      <c r="B1070" s="37">
        <v>1</v>
      </c>
      <c r="C1070" s="16" t="s">
        <v>2730</v>
      </c>
      <c r="D1070" s="16" t="s">
        <v>2730</v>
      </c>
      <c r="E1070" s="16">
        <v>2</v>
      </c>
      <c r="F1070" s="16" t="s">
        <v>4173</v>
      </c>
      <c r="G1070" s="16" t="s">
        <v>257</v>
      </c>
      <c r="H1070" s="16" t="s">
        <v>2729</v>
      </c>
      <c r="I1070" s="16" t="s">
        <v>258</v>
      </c>
      <c r="J1070" s="16">
        <v>0</v>
      </c>
      <c r="K1070" s="16">
        <v>907.18470000000002</v>
      </c>
      <c r="L1070" s="16">
        <v>3600</v>
      </c>
      <c r="M1070" s="16">
        <v>0</v>
      </c>
      <c r="N1070">
        <f t="array" aca="1" ref="N1070" ca="1">MATCH(TRUE,EXACT(I1070,OFFSET(rngParamTypes,0,6,,1)),0)</f>
        <v>103</v>
      </c>
      <c r="O1070" t="str">
        <f ca="1">IF((INDEX(rngParamTypes,$N1070,7)=I1070),"",1)</f>
        <v/>
      </c>
      <c r="P1070">
        <f ca="1">INDEX(rngParamTypes,$N1070,9)</f>
        <v>1</v>
      </c>
      <c r="Q1070">
        <f ca="1">INDEX(rngParamTypes,$N1070,10)</f>
        <v>0</v>
      </c>
      <c r="R1070">
        <f ca="1">INDEX(rngParamTypes,$N1070,11)</f>
        <v>-1</v>
      </c>
      <c r="S1070">
        <f ca="1">INDEX(rngParamTypes,$N1070,12)</f>
        <v>0</v>
      </c>
      <c r="T1070">
        <f ca="1">INDEX(rngParamTypes,$N1070,13)</f>
        <v>0</v>
      </c>
      <c r="U1070">
        <f ca="1">INDEX(rngParamTypes,$N1070,14)</f>
        <v>0</v>
      </c>
      <c r="V1070">
        <f ca="1">INDEX(rngParamTypes,$N1070,15)</f>
        <v>0</v>
      </c>
      <c r="W1070">
        <f ca="1">INDEX(rngParamTypes,$N1070,16)</f>
        <v>0</v>
      </c>
      <c r="X1070">
        <f ca="1">INDEX(rngParamTypes,$N1070,17)</f>
        <v>0</v>
      </c>
      <c r="Y1070">
        <f ca="1">INDEX(rngParamTypes,$N1070,18)</f>
        <v>0</v>
      </c>
    </row>
    <row r="1071" spans="1:25" x14ac:dyDescent="0.2">
      <c r="A1071" s="16">
        <v>1070</v>
      </c>
      <c r="B1071" s="37">
        <v>1</v>
      </c>
      <c r="C1071" s="16" t="s">
        <v>2732</v>
      </c>
      <c r="D1071" s="16" t="s">
        <v>2732</v>
      </c>
      <c r="E1071" s="16">
        <v>2</v>
      </c>
      <c r="F1071" s="16" t="s">
        <v>4174</v>
      </c>
      <c r="G1071" s="16" t="s">
        <v>257</v>
      </c>
      <c r="H1071" s="16" t="s">
        <v>2731</v>
      </c>
      <c r="I1071" s="16" t="s">
        <v>258</v>
      </c>
      <c r="J1071" s="16">
        <v>0</v>
      </c>
      <c r="K1071" s="16">
        <v>907.18470000000002</v>
      </c>
      <c r="L1071" s="16">
        <v>60</v>
      </c>
      <c r="M1071" s="16">
        <v>0</v>
      </c>
      <c r="N1071">
        <f t="array" aca="1" ref="N1071" ca="1">MATCH(TRUE,EXACT(I1071,OFFSET(rngParamTypes,0,6,,1)),0)</f>
        <v>103</v>
      </c>
      <c r="O1071" t="str">
        <f ca="1">IF((INDEX(rngParamTypes,$N1071,7)=I1071),"",1)</f>
        <v/>
      </c>
      <c r="P1071">
        <f ca="1">INDEX(rngParamTypes,$N1071,9)</f>
        <v>1</v>
      </c>
      <c r="Q1071">
        <f ca="1">INDEX(rngParamTypes,$N1071,10)</f>
        <v>0</v>
      </c>
      <c r="R1071">
        <f ca="1">INDEX(rngParamTypes,$N1071,11)</f>
        <v>-1</v>
      </c>
      <c r="S1071">
        <f ca="1">INDEX(rngParamTypes,$N1071,12)</f>
        <v>0</v>
      </c>
      <c r="T1071">
        <f ca="1">INDEX(rngParamTypes,$N1071,13)</f>
        <v>0</v>
      </c>
      <c r="U1071">
        <f ca="1">INDEX(rngParamTypes,$N1071,14)</f>
        <v>0</v>
      </c>
      <c r="V1071">
        <f ca="1">INDEX(rngParamTypes,$N1071,15)</f>
        <v>0</v>
      </c>
      <c r="W1071">
        <f ca="1">INDEX(rngParamTypes,$N1071,16)</f>
        <v>0</v>
      </c>
      <c r="X1071">
        <f ca="1">INDEX(rngParamTypes,$N1071,17)</f>
        <v>0</v>
      </c>
      <c r="Y1071">
        <f ca="1">INDEX(rngParamTypes,$N1071,18)</f>
        <v>0</v>
      </c>
    </row>
    <row r="1072" spans="1:25" x14ac:dyDescent="0.2">
      <c r="A1072" s="16">
        <v>1071</v>
      </c>
      <c r="B1072" s="37">
        <v>1</v>
      </c>
      <c r="C1072" s="16" t="s">
        <v>2733</v>
      </c>
      <c r="D1072" s="16" t="s">
        <v>2733</v>
      </c>
      <c r="E1072" s="16">
        <v>2</v>
      </c>
      <c r="F1072" s="16" t="s">
        <v>4175</v>
      </c>
      <c r="G1072" s="16" t="s">
        <v>3270</v>
      </c>
      <c r="H1072" s="16" t="s">
        <v>2733</v>
      </c>
      <c r="I1072" s="16" t="s">
        <v>416</v>
      </c>
      <c r="J1072" s="16">
        <v>0</v>
      </c>
      <c r="K1072" s="16">
        <v>133.32239999999999</v>
      </c>
      <c r="L1072" s="16">
        <v>1</v>
      </c>
      <c r="M1072" s="16">
        <v>0</v>
      </c>
      <c r="N1072">
        <f t="array" aca="1" ref="N1072" ca="1">MATCH(TRUE,EXACT(I1072,OFFSET(rngParamTypes,0,6,,1)),0)</f>
        <v>167</v>
      </c>
      <c r="O1072" t="str">
        <f ca="1">IF((INDEX(rngParamTypes,$N1072,7)=I1072),"",1)</f>
        <v/>
      </c>
      <c r="P1072">
        <f ca="1">INDEX(rngParamTypes,$N1072,9)</f>
        <v>1</v>
      </c>
      <c r="Q1072">
        <f ca="1">INDEX(rngParamTypes,$N1072,10)</f>
        <v>-1</v>
      </c>
      <c r="R1072">
        <f ca="1">INDEX(rngParamTypes,$N1072,11)</f>
        <v>-2</v>
      </c>
      <c r="S1072">
        <f ca="1">INDEX(rngParamTypes,$N1072,12)</f>
        <v>0</v>
      </c>
      <c r="T1072">
        <f ca="1">INDEX(rngParamTypes,$N1072,13)</f>
        <v>0</v>
      </c>
      <c r="U1072">
        <f ca="1">INDEX(rngParamTypes,$N1072,14)</f>
        <v>0</v>
      </c>
      <c r="V1072">
        <f ca="1">INDEX(rngParamTypes,$N1072,15)</f>
        <v>0</v>
      </c>
      <c r="W1072">
        <f ca="1">INDEX(rngParamTypes,$N1072,16)</f>
        <v>0</v>
      </c>
      <c r="X1072">
        <f ca="1">INDEX(rngParamTypes,$N1072,17)</f>
        <v>0</v>
      </c>
      <c r="Y1072">
        <f ca="1">INDEX(rngParamTypes,$N1072,18)</f>
        <v>0</v>
      </c>
    </row>
    <row r="1073" spans="1:25" x14ac:dyDescent="0.2">
      <c r="A1073" s="16">
        <v>1072</v>
      </c>
      <c r="B1073" s="37">
        <v>1</v>
      </c>
      <c r="C1073" s="16" t="s">
        <v>2735</v>
      </c>
      <c r="D1073" s="16" t="s">
        <v>2735</v>
      </c>
      <c r="E1073" s="16">
        <v>2</v>
      </c>
      <c r="F1073" s="16" t="s">
        <v>4176</v>
      </c>
      <c r="G1073" s="16" t="s">
        <v>3624</v>
      </c>
      <c r="H1073" s="16" t="s">
        <v>2734</v>
      </c>
      <c r="I1073" s="16" t="s">
        <v>533</v>
      </c>
      <c r="J1073" s="16">
        <v>0</v>
      </c>
      <c r="K1073" s="16">
        <v>1000000000000</v>
      </c>
      <c r="L1073" s="16">
        <v>1</v>
      </c>
      <c r="M1073" s="16">
        <v>0</v>
      </c>
      <c r="N1073">
        <f t="array" aca="1" ref="N1073" ca="1">MATCH(TRUE,EXACT(I1073,OFFSET(rngParamTypes,0,6,,1)),0)</f>
        <v>211</v>
      </c>
      <c r="O1073" t="str">
        <f ca="1">IF((INDEX(rngParamTypes,$N1073,7)=I1073),"",1)</f>
        <v/>
      </c>
      <c r="P1073">
        <f ca="1">INDEX(rngParamTypes,$N1073,9)</f>
        <v>1</v>
      </c>
      <c r="Q1073">
        <f ca="1">INDEX(rngParamTypes,$N1073,10)</f>
        <v>2</v>
      </c>
      <c r="R1073">
        <f ca="1">INDEX(rngParamTypes,$N1073,11)</f>
        <v>-3</v>
      </c>
      <c r="S1073">
        <f ca="1">INDEX(rngParamTypes,$N1073,12)</f>
        <v>0</v>
      </c>
      <c r="T1073">
        <f ca="1">INDEX(rngParamTypes,$N1073,13)</f>
        <v>0</v>
      </c>
      <c r="U1073">
        <f ca="1">INDEX(rngParamTypes,$N1073,14)</f>
        <v>0</v>
      </c>
      <c r="V1073">
        <f ca="1">INDEX(rngParamTypes,$N1073,15)</f>
        <v>0</v>
      </c>
      <c r="W1073">
        <f ca="1">INDEX(rngParamTypes,$N1073,16)</f>
        <v>0</v>
      </c>
      <c r="X1073">
        <f ca="1">INDEX(rngParamTypes,$N1073,17)</f>
        <v>0</v>
      </c>
      <c r="Y1073">
        <f ca="1">INDEX(rngParamTypes,$N1073,18)</f>
        <v>0</v>
      </c>
    </row>
    <row r="1074" spans="1:25" x14ac:dyDescent="0.2">
      <c r="A1074" s="16">
        <v>1073</v>
      </c>
      <c r="B1074" s="37">
        <v>1</v>
      </c>
      <c r="C1074" s="16" t="s">
        <v>2737</v>
      </c>
      <c r="D1074" s="16" t="s">
        <v>2737</v>
      </c>
      <c r="E1074" s="16">
        <v>2</v>
      </c>
      <c r="F1074" s="16" t="s">
        <v>4177</v>
      </c>
      <c r="G1074" s="16" t="s">
        <v>3267</v>
      </c>
      <c r="H1074" s="16" t="s">
        <v>2736</v>
      </c>
      <c r="I1074" s="16" t="s">
        <v>168</v>
      </c>
      <c r="J1074" s="16">
        <v>0</v>
      </c>
      <c r="K1074" s="16">
        <v>3600000000000000</v>
      </c>
      <c r="L1074" s="16">
        <v>1</v>
      </c>
      <c r="M1074" s="16">
        <v>0</v>
      </c>
      <c r="N1074">
        <f t="array" aca="1" ref="N1074" ca="1">MATCH(TRUE,EXACT(I1074,OFFSET(rngParamTypes,0,6,,1)),0)</f>
        <v>56</v>
      </c>
      <c r="O1074" t="str">
        <f ca="1">IF((INDEX(rngParamTypes,$N1074,7)=I1074),"",1)</f>
        <v/>
      </c>
      <c r="P1074">
        <f ca="1">INDEX(rngParamTypes,$N1074,9)</f>
        <v>1</v>
      </c>
      <c r="Q1074">
        <f ca="1">INDEX(rngParamTypes,$N1074,10)</f>
        <v>2</v>
      </c>
      <c r="R1074">
        <f ca="1">INDEX(rngParamTypes,$N1074,11)</f>
        <v>-2</v>
      </c>
      <c r="S1074">
        <f ca="1">INDEX(rngParamTypes,$N1074,12)</f>
        <v>0</v>
      </c>
      <c r="T1074">
        <f ca="1">INDEX(rngParamTypes,$N1074,13)</f>
        <v>0</v>
      </c>
      <c r="U1074">
        <f ca="1">INDEX(rngParamTypes,$N1074,14)</f>
        <v>0</v>
      </c>
      <c r="V1074">
        <f ca="1">INDEX(rngParamTypes,$N1074,15)</f>
        <v>0</v>
      </c>
      <c r="W1074">
        <f ca="1">INDEX(rngParamTypes,$N1074,16)</f>
        <v>0</v>
      </c>
      <c r="X1074">
        <f ca="1">INDEX(rngParamTypes,$N1074,17)</f>
        <v>0</v>
      </c>
      <c r="Y1074">
        <f ca="1">INDEX(rngParamTypes,$N1074,18)</f>
        <v>0</v>
      </c>
    </row>
    <row r="1075" spans="1:25" x14ac:dyDescent="0.2">
      <c r="A1075" s="16">
        <v>1074</v>
      </c>
      <c r="B1075" s="37">
        <v>1</v>
      </c>
      <c r="C1075" s="16" t="s">
        <v>2739</v>
      </c>
      <c r="D1075" s="16" t="s">
        <v>2739</v>
      </c>
      <c r="E1075" s="16">
        <v>2</v>
      </c>
      <c r="F1075" s="16" t="s">
        <v>4178</v>
      </c>
      <c r="G1075" s="16" t="s">
        <v>3668</v>
      </c>
      <c r="H1075" s="16" t="s">
        <v>2738</v>
      </c>
      <c r="I1075" s="16" t="s">
        <v>46</v>
      </c>
      <c r="J1075" s="16">
        <v>0</v>
      </c>
      <c r="K1075" s="16">
        <v>9.9999999999999995E-7</v>
      </c>
      <c r="L1075" s="16">
        <v>1</v>
      </c>
      <c r="M1075" s="16">
        <v>0</v>
      </c>
      <c r="N1075">
        <f t="array" aca="1" ref="N1075" ca="1">MATCH(TRUE,EXACT(I1075,OFFSET(rngParamTypes,0,6,,1)),0)</f>
        <v>15</v>
      </c>
      <c r="O1075" t="str">
        <f ca="1">IF((INDEX(rngParamTypes,$N1075,7)=I1075),"",1)</f>
        <v/>
      </c>
      <c r="P1075">
        <f ca="1">INDEX(rngParamTypes,$N1075,9)</f>
        <v>0</v>
      </c>
      <c r="Q1075">
        <f ca="1">INDEX(rngParamTypes,$N1075,10)</f>
        <v>0</v>
      </c>
      <c r="R1075">
        <f ca="1">INDEX(rngParamTypes,$N1075,11)</f>
        <v>0</v>
      </c>
      <c r="S1075">
        <f ca="1">INDEX(rngParamTypes,$N1075,12)</f>
        <v>1</v>
      </c>
      <c r="T1075">
        <f ca="1">INDEX(rngParamTypes,$N1075,13)</f>
        <v>0</v>
      </c>
      <c r="U1075">
        <f ca="1">INDEX(rngParamTypes,$N1075,14)</f>
        <v>0</v>
      </c>
      <c r="V1075">
        <f ca="1">INDEX(rngParamTypes,$N1075,15)</f>
        <v>0</v>
      </c>
      <c r="W1075">
        <f ca="1">INDEX(rngParamTypes,$N1075,16)</f>
        <v>0</v>
      </c>
      <c r="X1075">
        <f ca="1">INDEX(rngParamTypes,$N1075,17)</f>
        <v>0</v>
      </c>
      <c r="Y1075">
        <f ca="1">INDEX(rngParamTypes,$N1075,18)</f>
        <v>0</v>
      </c>
    </row>
    <row r="1076" spans="1:25" x14ac:dyDescent="0.2">
      <c r="A1076" s="16">
        <v>1075</v>
      </c>
      <c r="B1076" s="37">
        <v>1</v>
      </c>
      <c r="C1076" s="16" t="s">
        <v>2741</v>
      </c>
      <c r="D1076" s="16" t="s">
        <v>2741</v>
      </c>
      <c r="E1076" s="16"/>
      <c r="F1076" s="16" t="s">
        <v>4179</v>
      </c>
      <c r="G1076" s="16" t="s">
        <v>57</v>
      </c>
      <c r="H1076" s="16" t="s">
        <v>2740</v>
      </c>
      <c r="I1076" s="16" t="s">
        <v>58</v>
      </c>
      <c r="J1076" s="16">
        <v>0</v>
      </c>
      <c r="K1076" s="16">
        <v>0.01</v>
      </c>
      <c r="L1076" s="16">
        <v>1</v>
      </c>
      <c r="M1076" s="16">
        <v>0</v>
      </c>
      <c r="N1076">
        <f t="array" aca="1" ref="N1076" ca="1">MATCH(TRUE,EXACT(I1076,OFFSET(rngParamTypes,0,6,,1)),0)</f>
        <v>22</v>
      </c>
      <c r="O1076" t="str">
        <f ca="1">IF((INDEX(rngParamTypes,$N1076,7)=I1076),"",1)</f>
        <v/>
      </c>
      <c r="P1076">
        <f ca="1">INDEX(rngParamTypes,$N1076,9)</f>
        <v>0</v>
      </c>
      <c r="Q1076">
        <f ca="1">INDEX(rngParamTypes,$N1076,10)</f>
        <v>-2</v>
      </c>
      <c r="R1076">
        <f ca="1">INDEX(rngParamTypes,$N1076,11)</f>
        <v>0</v>
      </c>
      <c r="S1076">
        <f ca="1">INDEX(rngParamTypes,$N1076,12)</f>
        <v>1</v>
      </c>
      <c r="T1076">
        <f ca="1">INDEX(rngParamTypes,$N1076,13)</f>
        <v>0</v>
      </c>
      <c r="U1076">
        <f ca="1">INDEX(rngParamTypes,$N1076,14)</f>
        <v>0</v>
      </c>
      <c r="V1076">
        <f ca="1">INDEX(rngParamTypes,$N1076,15)</f>
        <v>0</v>
      </c>
      <c r="W1076">
        <f ca="1">INDEX(rngParamTypes,$N1076,16)</f>
        <v>0</v>
      </c>
      <c r="X1076">
        <f ca="1">INDEX(rngParamTypes,$N1076,17)</f>
        <v>0</v>
      </c>
      <c r="Y1076">
        <f ca="1">INDEX(rngParamTypes,$N1076,18)</f>
        <v>0</v>
      </c>
    </row>
    <row r="1077" spans="1:25" x14ac:dyDescent="0.2">
      <c r="A1077" s="16">
        <v>1076</v>
      </c>
      <c r="B1077" s="37">
        <v>1</v>
      </c>
      <c r="C1077" s="16" t="s">
        <v>2743</v>
      </c>
      <c r="D1077" s="16" t="s">
        <v>2743</v>
      </c>
      <c r="E1077" s="16"/>
      <c r="F1077" s="16" t="s">
        <v>4180</v>
      </c>
      <c r="G1077" s="16" t="s">
        <v>57</v>
      </c>
      <c r="H1077" s="16" t="s">
        <v>2742</v>
      </c>
      <c r="I1077" s="16" t="s">
        <v>58</v>
      </c>
      <c r="J1077" s="16">
        <v>0</v>
      </c>
      <c r="K1077" s="16">
        <v>9.9999999999999995E-7</v>
      </c>
      <c r="L1077" s="16">
        <v>6.4515999999999998E-4</v>
      </c>
      <c r="M1077" s="16">
        <v>0</v>
      </c>
      <c r="N1077">
        <f t="array" aca="1" ref="N1077" ca="1">MATCH(TRUE,EXACT(I1077,OFFSET(rngParamTypes,0,6,,1)),0)</f>
        <v>22</v>
      </c>
      <c r="O1077" t="str">
        <f ca="1">IF((INDEX(rngParamTypes,$N1077,7)=I1077),"",1)</f>
        <v/>
      </c>
      <c r="P1077">
        <f ca="1">INDEX(rngParamTypes,$N1077,9)</f>
        <v>0</v>
      </c>
      <c r="Q1077">
        <f ca="1">INDEX(rngParamTypes,$N1077,10)</f>
        <v>-2</v>
      </c>
      <c r="R1077">
        <f ca="1">INDEX(rngParamTypes,$N1077,11)</f>
        <v>0</v>
      </c>
      <c r="S1077">
        <f ca="1">INDEX(rngParamTypes,$N1077,12)</f>
        <v>1</v>
      </c>
      <c r="T1077">
        <f ca="1">INDEX(rngParamTypes,$N1077,13)</f>
        <v>0</v>
      </c>
      <c r="U1077">
        <f ca="1">INDEX(rngParamTypes,$N1077,14)</f>
        <v>0</v>
      </c>
      <c r="V1077">
        <f ca="1">INDEX(rngParamTypes,$N1077,15)</f>
        <v>0</v>
      </c>
      <c r="W1077">
        <f ca="1">INDEX(rngParamTypes,$N1077,16)</f>
        <v>0</v>
      </c>
      <c r="X1077">
        <f ca="1">INDEX(rngParamTypes,$N1077,17)</f>
        <v>0</v>
      </c>
      <c r="Y1077">
        <f ca="1">INDEX(rngParamTypes,$N1077,18)</f>
        <v>0</v>
      </c>
    </row>
    <row r="1078" spans="1:25" x14ac:dyDescent="0.2">
      <c r="A1078" s="16">
        <v>1077</v>
      </c>
      <c r="B1078" s="37">
        <v>1</v>
      </c>
      <c r="C1078" s="16" t="s">
        <v>2745</v>
      </c>
      <c r="D1078" s="16" t="s">
        <v>2745</v>
      </c>
      <c r="E1078" s="16">
        <v>2</v>
      </c>
      <c r="F1078" s="16" t="s">
        <v>4181</v>
      </c>
      <c r="G1078" s="16" t="s">
        <v>3270</v>
      </c>
      <c r="H1078" s="16" t="s">
        <v>2744</v>
      </c>
      <c r="I1078" s="16" t="s">
        <v>416</v>
      </c>
      <c r="J1078" s="16">
        <v>0</v>
      </c>
      <c r="K1078" s="16">
        <v>0.1</v>
      </c>
      <c r="L1078" s="16">
        <v>1</v>
      </c>
      <c r="M1078" s="16">
        <v>0</v>
      </c>
      <c r="N1078">
        <f t="array" aca="1" ref="N1078" ca="1">MATCH(TRUE,EXACT(I1078,OFFSET(rngParamTypes,0,6,,1)),0)</f>
        <v>167</v>
      </c>
      <c r="O1078" t="str">
        <f ca="1">IF((INDEX(rngParamTypes,$N1078,7)=I1078),"",1)</f>
        <v/>
      </c>
      <c r="P1078">
        <f ca="1">INDEX(rngParamTypes,$N1078,9)</f>
        <v>1</v>
      </c>
      <c r="Q1078">
        <f ca="1">INDEX(rngParamTypes,$N1078,10)</f>
        <v>-1</v>
      </c>
      <c r="R1078">
        <f ca="1">INDEX(rngParamTypes,$N1078,11)</f>
        <v>-2</v>
      </c>
      <c r="S1078">
        <f ca="1">INDEX(rngParamTypes,$N1078,12)</f>
        <v>0</v>
      </c>
      <c r="T1078">
        <f ca="1">INDEX(rngParamTypes,$N1078,13)</f>
        <v>0</v>
      </c>
      <c r="U1078">
        <f ca="1">INDEX(rngParamTypes,$N1078,14)</f>
        <v>0</v>
      </c>
      <c r="V1078">
        <f ca="1">INDEX(rngParamTypes,$N1078,15)</f>
        <v>0</v>
      </c>
      <c r="W1078">
        <f ca="1">INDEX(rngParamTypes,$N1078,16)</f>
        <v>0</v>
      </c>
      <c r="X1078">
        <f ca="1">INDEX(rngParamTypes,$N1078,17)</f>
        <v>0</v>
      </c>
      <c r="Y1078">
        <f ca="1">INDEX(rngParamTypes,$N1078,18)</f>
        <v>0</v>
      </c>
    </row>
    <row r="1079" spans="1:25" x14ac:dyDescent="0.2">
      <c r="A1079" s="16">
        <v>1078</v>
      </c>
      <c r="B1079" s="37">
        <v>1</v>
      </c>
      <c r="C1079" s="16" t="s">
        <v>2747</v>
      </c>
      <c r="D1079" s="16" t="s">
        <v>2747</v>
      </c>
      <c r="E1079" s="16"/>
      <c r="F1079" s="16" t="s">
        <v>4182</v>
      </c>
      <c r="G1079" s="16" t="s">
        <v>3256</v>
      </c>
      <c r="H1079" s="16" t="s">
        <v>2746</v>
      </c>
      <c r="I1079" s="16" t="s">
        <v>93</v>
      </c>
      <c r="J1079" s="16">
        <v>0</v>
      </c>
      <c r="K1079" s="16">
        <v>9.9999999999999995E-7</v>
      </c>
      <c r="L1079" s="16">
        <v>1</v>
      </c>
      <c r="M1079" s="16">
        <v>0</v>
      </c>
      <c r="N1079">
        <f t="array" aca="1" ref="N1079" ca="1">MATCH(TRUE,EXACT(I1079,OFFSET(rngParamTypes,0,6,,1)),0)</f>
        <v>30</v>
      </c>
      <c r="O1079" t="str">
        <f ca="1">IF((INDEX(rngParamTypes,$N1079,7)=I1079),"",1)</f>
        <v/>
      </c>
      <c r="P1079">
        <f ca="1">INDEX(rngParamTypes,$N1079,9)</f>
        <v>0</v>
      </c>
      <c r="Q1079">
        <f ca="1">INDEX(rngParamTypes,$N1079,10)</f>
        <v>0</v>
      </c>
      <c r="R1079">
        <f ca="1">INDEX(rngParamTypes,$N1079,11)</f>
        <v>1</v>
      </c>
      <c r="S1079">
        <f ca="1">INDEX(rngParamTypes,$N1079,12)</f>
        <v>1</v>
      </c>
      <c r="T1079">
        <f ca="1">INDEX(rngParamTypes,$N1079,13)</f>
        <v>0</v>
      </c>
      <c r="U1079">
        <f ca="1">INDEX(rngParamTypes,$N1079,14)</f>
        <v>0</v>
      </c>
      <c r="V1079">
        <f ca="1">INDEX(rngParamTypes,$N1079,15)</f>
        <v>0</v>
      </c>
      <c r="W1079">
        <f ca="1">INDEX(rngParamTypes,$N1079,16)</f>
        <v>0</v>
      </c>
      <c r="X1079">
        <f ca="1">INDEX(rngParamTypes,$N1079,17)</f>
        <v>0</v>
      </c>
      <c r="Y1079">
        <f ca="1">INDEX(rngParamTypes,$N1079,18)</f>
        <v>0</v>
      </c>
    </row>
    <row r="1080" spans="1:25" x14ac:dyDescent="0.2">
      <c r="A1080" s="16">
        <v>1079</v>
      </c>
      <c r="B1080" s="37">
        <v>1</v>
      </c>
      <c r="C1080" s="16" t="s">
        <v>2749</v>
      </c>
      <c r="D1080" s="16" t="s">
        <v>2749</v>
      </c>
      <c r="E1080" s="16">
        <v>2</v>
      </c>
      <c r="F1080" s="16" t="s">
        <v>4183</v>
      </c>
      <c r="G1080" s="16" t="s">
        <v>3322</v>
      </c>
      <c r="H1080" s="16" t="s">
        <v>2748</v>
      </c>
      <c r="I1080" s="16" t="s">
        <v>551</v>
      </c>
      <c r="J1080" s="16">
        <v>0</v>
      </c>
      <c r="K1080" s="16">
        <v>4.1840000000000002E-2</v>
      </c>
      <c r="L1080" s="16">
        <v>1</v>
      </c>
      <c r="M1080" s="16">
        <v>0</v>
      </c>
      <c r="N1080">
        <f t="array" aca="1" ref="N1080" ca="1">MATCH(TRUE,EXACT(I1080,OFFSET(rngParamTypes,0,6,,1)),0)</f>
        <v>216</v>
      </c>
      <c r="O1080" t="str">
        <f ca="1">IF((INDEX(rngParamTypes,$N1080,7)=I1080),"",1)</f>
        <v/>
      </c>
      <c r="P1080">
        <f ca="1">INDEX(rngParamTypes,$N1080,9)</f>
        <v>1</v>
      </c>
      <c r="Q1080">
        <f ca="1">INDEX(rngParamTypes,$N1080,10)</f>
        <v>0</v>
      </c>
      <c r="R1080">
        <f ca="1">INDEX(rngParamTypes,$N1080,11)</f>
        <v>-3</v>
      </c>
      <c r="S1080">
        <f ca="1">INDEX(rngParamTypes,$N1080,12)</f>
        <v>0</v>
      </c>
      <c r="T1080">
        <f ca="1">INDEX(rngParamTypes,$N1080,13)</f>
        <v>0</v>
      </c>
      <c r="U1080">
        <f ca="1">INDEX(rngParamTypes,$N1080,14)</f>
        <v>0</v>
      </c>
      <c r="V1080">
        <f ca="1">INDEX(rngParamTypes,$N1080,15)</f>
        <v>0</v>
      </c>
      <c r="W1080">
        <f ca="1">INDEX(rngParamTypes,$N1080,16)</f>
        <v>0</v>
      </c>
      <c r="X1080">
        <f ca="1">INDEX(rngParamTypes,$N1080,17)</f>
        <v>0</v>
      </c>
      <c r="Y1080">
        <f ca="1">INDEX(rngParamTypes,$N1080,18)</f>
        <v>0</v>
      </c>
    </row>
    <row r="1081" spans="1:25" x14ac:dyDescent="0.2">
      <c r="A1081" s="16">
        <v>1080</v>
      </c>
      <c r="B1081" s="37">
        <v>1</v>
      </c>
      <c r="C1081" s="16" t="s">
        <v>2750</v>
      </c>
      <c r="D1081" s="16" t="s">
        <v>2750</v>
      </c>
      <c r="E1081" s="16"/>
      <c r="F1081" s="16" t="s">
        <v>4432</v>
      </c>
      <c r="G1081" s="16" t="s">
        <v>80</v>
      </c>
      <c r="H1081" s="16"/>
      <c r="I1081" s="16" t="s">
        <v>81</v>
      </c>
      <c r="J1081" s="16">
        <v>0</v>
      </c>
      <c r="K1081" s="16">
        <v>37000</v>
      </c>
      <c r="L1081" s="16">
        <v>1</v>
      </c>
      <c r="M1081" s="16">
        <v>0</v>
      </c>
      <c r="N1081">
        <f t="array" aca="1" ref="N1081" ca="1">MATCH(TRUE,EXACT(I1081,OFFSET(rngParamTypes,0,6,,1)),0)</f>
        <v>27</v>
      </c>
      <c r="O1081" t="str">
        <f ca="1">IF((INDEX(rngParamTypes,$N1081,7)=I1081),"",1)</f>
        <v/>
      </c>
      <c r="P1081">
        <f ca="1">INDEX(rngParamTypes,$N1081,9)</f>
        <v>0</v>
      </c>
      <c r="Q1081">
        <f ca="1">INDEX(rngParamTypes,$N1081,10)</f>
        <v>0</v>
      </c>
      <c r="R1081">
        <f ca="1">INDEX(rngParamTypes,$N1081,11)</f>
        <v>-1</v>
      </c>
      <c r="S1081">
        <f ca="1">INDEX(rngParamTypes,$N1081,12)</f>
        <v>0</v>
      </c>
      <c r="T1081">
        <f ca="1">INDEX(rngParamTypes,$N1081,13)</f>
        <v>0</v>
      </c>
      <c r="U1081">
        <f ca="1">INDEX(rngParamTypes,$N1081,14)</f>
        <v>0</v>
      </c>
      <c r="V1081">
        <f ca="1">INDEX(rngParamTypes,$N1081,15)</f>
        <v>0</v>
      </c>
      <c r="W1081">
        <f ca="1">INDEX(rngParamTypes,$N1081,16)</f>
        <v>0</v>
      </c>
      <c r="X1081">
        <f ca="1">INDEX(rngParamTypes,$N1081,17)</f>
        <v>0</v>
      </c>
      <c r="Y1081">
        <f ca="1">INDEX(rngParamTypes,$N1081,18)</f>
        <v>0</v>
      </c>
    </row>
    <row r="1082" spans="1:25" x14ac:dyDescent="0.2">
      <c r="A1082" s="16">
        <v>1081</v>
      </c>
      <c r="B1082" s="37">
        <v>1</v>
      </c>
      <c r="C1082" s="16" t="s">
        <v>2752</v>
      </c>
      <c r="D1082" s="16" t="s">
        <v>2752</v>
      </c>
      <c r="E1082" s="16"/>
      <c r="F1082" s="16" t="s">
        <v>4184</v>
      </c>
      <c r="G1082" s="16" t="s">
        <v>80</v>
      </c>
      <c r="H1082" s="16" t="s">
        <v>2751</v>
      </c>
      <c r="I1082" s="16" t="s">
        <v>81</v>
      </c>
      <c r="J1082" s="16">
        <v>0</v>
      </c>
      <c r="K1082" s="16">
        <v>37000</v>
      </c>
      <c r="L1082" s="16">
        <v>1</v>
      </c>
      <c r="M1082" s="16">
        <v>0</v>
      </c>
      <c r="N1082">
        <f t="array" aca="1" ref="N1082" ca="1">MATCH(TRUE,EXACT(I1082,OFFSET(rngParamTypes,0,6,,1)),0)</f>
        <v>27</v>
      </c>
      <c r="O1082" t="str">
        <f ca="1">IF((INDEX(rngParamTypes,$N1082,7)=I1082),"",1)</f>
        <v/>
      </c>
      <c r="P1082">
        <f ca="1">INDEX(rngParamTypes,$N1082,9)</f>
        <v>0</v>
      </c>
      <c r="Q1082">
        <f ca="1">INDEX(rngParamTypes,$N1082,10)</f>
        <v>0</v>
      </c>
      <c r="R1082">
        <f ca="1">INDEX(rngParamTypes,$N1082,11)</f>
        <v>-1</v>
      </c>
      <c r="S1082">
        <f ca="1">INDEX(rngParamTypes,$N1082,12)</f>
        <v>0</v>
      </c>
      <c r="T1082">
        <f ca="1">INDEX(rngParamTypes,$N1082,13)</f>
        <v>0</v>
      </c>
      <c r="U1082">
        <f ca="1">INDEX(rngParamTypes,$N1082,14)</f>
        <v>0</v>
      </c>
      <c r="V1082">
        <f ca="1">INDEX(rngParamTypes,$N1082,15)</f>
        <v>0</v>
      </c>
      <c r="W1082">
        <f ca="1">INDEX(rngParamTypes,$N1082,16)</f>
        <v>0</v>
      </c>
      <c r="X1082">
        <f ca="1">INDEX(rngParamTypes,$N1082,17)</f>
        <v>0</v>
      </c>
      <c r="Y1082">
        <f ca="1">INDEX(rngParamTypes,$N1082,18)</f>
        <v>0</v>
      </c>
    </row>
    <row r="1083" spans="1:25" x14ac:dyDescent="0.2">
      <c r="A1083" s="16">
        <v>1082</v>
      </c>
      <c r="B1083" s="37">
        <v>1</v>
      </c>
      <c r="C1083" s="16" t="s">
        <v>2754</v>
      </c>
      <c r="D1083" s="16" t="s">
        <v>2754</v>
      </c>
      <c r="E1083" s="16">
        <v>2</v>
      </c>
      <c r="F1083" s="16" t="s">
        <v>4185</v>
      </c>
      <c r="G1083" s="16" t="s">
        <v>3367</v>
      </c>
      <c r="H1083" s="16" t="s">
        <v>2753</v>
      </c>
      <c r="I1083" s="16" t="s">
        <v>131</v>
      </c>
      <c r="J1083" s="16">
        <v>0</v>
      </c>
      <c r="K1083" s="16">
        <v>9.9999999999999995E-7</v>
      </c>
      <c r="L1083" s="16">
        <v>1</v>
      </c>
      <c r="M1083" s="16">
        <v>0</v>
      </c>
      <c r="N1083">
        <f t="array" aca="1" ref="N1083" ca="1">MATCH(TRUE,EXACT(I1083,OFFSET(rngParamTypes,0,6,,1)),0)</f>
        <v>42</v>
      </c>
      <c r="O1083" t="str">
        <f ca="1">IF((INDEX(rngParamTypes,$N1083,7)=I1083),"",1)</f>
        <v/>
      </c>
      <c r="P1083">
        <f ca="1">INDEX(rngParamTypes,$N1083,9)</f>
        <v>0</v>
      </c>
      <c r="Q1083">
        <f ca="1">INDEX(rngParamTypes,$N1083,10)</f>
        <v>0</v>
      </c>
      <c r="R1083">
        <f ca="1">INDEX(rngParamTypes,$N1083,11)</f>
        <v>0</v>
      </c>
      <c r="S1083">
        <f ca="1">INDEX(rngParamTypes,$N1083,12)</f>
        <v>0</v>
      </c>
      <c r="T1083">
        <f ca="1">INDEX(rngParamTypes,$N1083,13)</f>
        <v>0</v>
      </c>
      <c r="U1083">
        <f ca="1">INDEX(rngParamTypes,$N1083,14)</f>
        <v>0</v>
      </c>
      <c r="V1083">
        <f ca="1">INDEX(rngParamTypes,$N1083,15)</f>
        <v>0</v>
      </c>
      <c r="W1083">
        <f ca="1">INDEX(rngParamTypes,$N1083,16)</f>
        <v>0</v>
      </c>
      <c r="X1083">
        <f ca="1">INDEX(rngParamTypes,$N1083,17)</f>
        <v>0</v>
      </c>
      <c r="Y1083">
        <f ca="1">INDEX(rngParamTypes,$N1083,18)</f>
        <v>0</v>
      </c>
    </row>
    <row r="1084" spans="1:25" x14ac:dyDescent="0.2">
      <c r="A1084" s="16">
        <v>1083</v>
      </c>
      <c r="B1084" s="37">
        <v>1</v>
      </c>
      <c r="C1084" s="16" t="s">
        <v>2756</v>
      </c>
      <c r="D1084" s="16" t="s">
        <v>2756</v>
      </c>
      <c r="E1084" s="16"/>
      <c r="F1084" s="16" t="s">
        <v>4186</v>
      </c>
      <c r="G1084" s="16" t="s">
        <v>134</v>
      </c>
      <c r="H1084" s="16" t="s">
        <v>2755</v>
      </c>
      <c r="I1084" s="16" t="s">
        <v>135</v>
      </c>
      <c r="J1084" s="16">
        <v>0</v>
      </c>
      <c r="K1084" s="16">
        <v>9.9999999999999995E-7</v>
      </c>
      <c r="L1084" s="16">
        <v>1</v>
      </c>
      <c r="M1084" s="16">
        <v>0</v>
      </c>
      <c r="N1084">
        <f t="array" aca="1" ref="N1084" ca="1">MATCH(TRUE,EXACT(I1084,OFFSET(rngParamTypes,0,6,,1)),0)</f>
        <v>48</v>
      </c>
      <c r="O1084" t="str">
        <f ca="1">IF((INDEX(rngParamTypes,$N1084,7)=I1084),"",1)</f>
        <v/>
      </c>
      <c r="P1084">
        <f ca="1">INDEX(rngParamTypes,$N1084,9)</f>
        <v>-1</v>
      </c>
      <c r="Q1084">
        <f ca="1">INDEX(rngParamTypes,$N1084,10)</f>
        <v>-2</v>
      </c>
      <c r="R1084">
        <f ca="1">INDEX(rngParamTypes,$N1084,11)</f>
        <v>4</v>
      </c>
      <c r="S1084">
        <f ca="1">INDEX(rngParamTypes,$N1084,12)</f>
        <v>2</v>
      </c>
      <c r="T1084">
        <f ca="1">INDEX(rngParamTypes,$N1084,13)</f>
        <v>0</v>
      </c>
      <c r="U1084">
        <f ca="1">INDEX(rngParamTypes,$N1084,14)</f>
        <v>0</v>
      </c>
      <c r="V1084">
        <f ca="1">INDEX(rngParamTypes,$N1084,15)</f>
        <v>0</v>
      </c>
      <c r="W1084">
        <f ca="1">INDEX(rngParamTypes,$N1084,16)</f>
        <v>0</v>
      </c>
      <c r="X1084">
        <f ca="1">INDEX(rngParamTypes,$N1084,17)</f>
        <v>0</v>
      </c>
      <c r="Y1084">
        <f ca="1">INDEX(rngParamTypes,$N1084,18)</f>
        <v>0</v>
      </c>
    </row>
    <row r="1085" spans="1:25" x14ac:dyDescent="0.2">
      <c r="A1085" s="16">
        <v>1084</v>
      </c>
      <c r="B1085" s="37">
        <v>1</v>
      </c>
      <c r="C1085" s="16" t="s">
        <v>2758</v>
      </c>
      <c r="D1085" s="16" t="s">
        <v>2758</v>
      </c>
      <c r="E1085" s="16"/>
      <c r="F1085" s="16" t="s">
        <v>4187</v>
      </c>
      <c r="G1085" s="16" t="s">
        <v>138</v>
      </c>
      <c r="H1085" s="16" t="s">
        <v>2757</v>
      </c>
      <c r="I1085" s="16" t="s">
        <v>139</v>
      </c>
      <c r="J1085" s="16">
        <v>0</v>
      </c>
      <c r="K1085" s="16">
        <v>9.9999999999999995E-7</v>
      </c>
      <c r="L1085" s="16">
        <v>1</v>
      </c>
      <c r="M1085" s="16">
        <v>0</v>
      </c>
      <c r="N1085">
        <f t="array" aca="1" ref="N1085" ca="1">MATCH(TRUE,EXACT(I1085,OFFSET(rngParamTypes,0,6,,1)),0)</f>
        <v>49</v>
      </c>
      <c r="O1085" t="str">
        <f ca="1">IF((INDEX(rngParamTypes,$N1085,7)=I1085),"",1)</f>
        <v/>
      </c>
      <c r="P1085">
        <f ca="1">INDEX(rngParamTypes,$N1085,9)</f>
        <v>-1</v>
      </c>
      <c r="Q1085">
        <f ca="1">INDEX(rngParamTypes,$N1085,10)</f>
        <v>-3</v>
      </c>
      <c r="R1085">
        <f ca="1">INDEX(rngParamTypes,$N1085,11)</f>
        <v>4</v>
      </c>
      <c r="S1085">
        <f ca="1">INDEX(rngParamTypes,$N1085,12)</f>
        <v>2</v>
      </c>
      <c r="T1085">
        <f ca="1">INDEX(rngParamTypes,$N1085,13)</f>
        <v>0</v>
      </c>
      <c r="U1085">
        <f ca="1">INDEX(rngParamTypes,$N1085,14)</f>
        <v>0</v>
      </c>
      <c r="V1085">
        <f ca="1">INDEX(rngParamTypes,$N1085,15)</f>
        <v>0</v>
      </c>
      <c r="W1085">
        <f ca="1">INDEX(rngParamTypes,$N1085,16)</f>
        <v>0</v>
      </c>
      <c r="X1085">
        <f ca="1">INDEX(rngParamTypes,$N1085,17)</f>
        <v>0</v>
      </c>
      <c r="Y1085">
        <f ca="1">INDEX(rngParamTypes,$N1085,18)</f>
        <v>0</v>
      </c>
    </row>
    <row r="1086" spans="1:25" x14ac:dyDescent="0.2">
      <c r="A1086" s="16">
        <v>1085</v>
      </c>
      <c r="B1086" s="37">
        <v>1</v>
      </c>
      <c r="C1086" s="16" t="s">
        <v>2760</v>
      </c>
      <c r="D1086" s="16" t="s">
        <v>2760</v>
      </c>
      <c r="E1086" s="16">
        <v>2</v>
      </c>
      <c r="F1086" s="16" t="s">
        <v>4188</v>
      </c>
      <c r="G1086" s="16" t="s">
        <v>220</v>
      </c>
      <c r="H1086" s="16" t="s">
        <v>2759</v>
      </c>
      <c r="I1086" s="16" t="s">
        <v>221</v>
      </c>
      <c r="J1086" s="16">
        <v>0</v>
      </c>
      <c r="K1086" s="16">
        <v>1.0000000000000001E-9</v>
      </c>
      <c r="L1086" s="16">
        <v>1</v>
      </c>
      <c r="M1086" s="16">
        <v>0</v>
      </c>
      <c r="N1086">
        <f t="array" aca="1" ref="N1086" ca="1">MATCH(TRUE,EXACT(I1086,OFFSET(rngParamTypes,0,6,,1)),0)</f>
        <v>87</v>
      </c>
      <c r="O1086" t="str">
        <f ca="1">IF((INDEX(rngParamTypes,$N1086,7)=I1086),"",1)</f>
        <v/>
      </c>
      <c r="P1086">
        <f ca="1">INDEX(rngParamTypes,$N1086,9)</f>
        <v>1</v>
      </c>
      <c r="Q1086">
        <f ca="1">INDEX(rngParamTypes,$N1086,10)</f>
        <v>0</v>
      </c>
      <c r="R1086">
        <f ca="1">INDEX(rngParamTypes,$N1086,11)</f>
        <v>0</v>
      </c>
      <c r="S1086">
        <f ca="1">INDEX(rngParamTypes,$N1086,12)</f>
        <v>0</v>
      </c>
      <c r="T1086">
        <f ca="1">INDEX(rngParamTypes,$N1086,13)</f>
        <v>0</v>
      </c>
      <c r="U1086">
        <f ca="1">INDEX(rngParamTypes,$N1086,14)</f>
        <v>0</v>
      </c>
      <c r="V1086">
        <f ca="1">INDEX(rngParamTypes,$N1086,15)</f>
        <v>0</v>
      </c>
      <c r="W1086">
        <f ca="1">INDEX(rngParamTypes,$N1086,16)</f>
        <v>0</v>
      </c>
      <c r="X1086">
        <f ca="1">INDEX(rngParamTypes,$N1086,17)</f>
        <v>0</v>
      </c>
      <c r="Y1086">
        <f ca="1">INDEX(rngParamTypes,$N1086,18)</f>
        <v>0</v>
      </c>
    </row>
    <row r="1087" spans="1:25" x14ac:dyDescent="0.2">
      <c r="A1087" s="16">
        <v>1086</v>
      </c>
      <c r="B1087" s="37">
        <v>1</v>
      </c>
      <c r="C1087" s="16" t="s">
        <v>2762</v>
      </c>
      <c r="D1087" s="16" t="s">
        <v>2762</v>
      </c>
      <c r="E1087" s="16">
        <v>2</v>
      </c>
      <c r="F1087" s="16" t="s">
        <v>4189</v>
      </c>
      <c r="G1087" s="16" t="s">
        <v>3253</v>
      </c>
      <c r="H1087" s="16" t="s">
        <v>2761</v>
      </c>
      <c r="I1087" s="16" t="s">
        <v>252</v>
      </c>
      <c r="J1087" s="16">
        <v>0</v>
      </c>
      <c r="K1087" s="16">
        <v>1E-3</v>
      </c>
      <c r="L1087" s="16">
        <v>1</v>
      </c>
      <c r="M1087" s="16">
        <v>0</v>
      </c>
      <c r="N1087">
        <f t="array" aca="1" ref="N1087" ca="1">MATCH(TRUE,EXACT(I1087,OFFSET(rngParamTypes,0,6,,1)),0)</f>
        <v>99</v>
      </c>
      <c r="O1087" t="str">
        <f ca="1">IF((INDEX(rngParamTypes,$N1087,7)=I1087),"",1)</f>
        <v/>
      </c>
      <c r="P1087">
        <f ca="1">INDEX(rngParamTypes,$N1087,9)</f>
        <v>1</v>
      </c>
      <c r="Q1087">
        <f ca="1">INDEX(rngParamTypes,$N1087,10)</f>
        <v>-3</v>
      </c>
      <c r="R1087">
        <f ca="1">INDEX(rngParamTypes,$N1087,11)</f>
        <v>0</v>
      </c>
      <c r="S1087">
        <f ca="1">INDEX(rngParamTypes,$N1087,12)</f>
        <v>0</v>
      </c>
      <c r="T1087">
        <f ca="1">INDEX(rngParamTypes,$N1087,13)</f>
        <v>0</v>
      </c>
      <c r="U1087">
        <f ca="1">INDEX(rngParamTypes,$N1087,14)</f>
        <v>0</v>
      </c>
      <c r="V1087">
        <f ca="1">INDEX(rngParamTypes,$N1087,15)</f>
        <v>0</v>
      </c>
      <c r="W1087">
        <f ca="1">INDEX(rngParamTypes,$N1087,16)</f>
        <v>0</v>
      </c>
      <c r="X1087">
        <f ca="1">INDEX(rngParamTypes,$N1087,17)</f>
        <v>0</v>
      </c>
      <c r="Y1087">
        <f ca="1">INDEX(rngParamTypes,$N1087,18)</f>
        <v>0</v>
      </c>
    </row>
    <row r="1088" spans="1:25" x14ac:dyDescent="0.2">
      <c r="A1088" s="16">
        <v>1087</v>
      </c>
      <c r="B1088" s="37">
        <v>1</v>
      </c>
      <c r="C1088" s="16" t="s">
        <v>2764</v>
      </c>
      <c r="D1088" s="16" t="s">
        <v>2764</v>
      </c>
      <c r="E1088" s="16"/>
      <c r="F1088" s="16" t="s">
        <v>4190</v>
      </c>
      <c r="G1088" s="16" t="s">
        <v>3929</v>
      </c>
      <c r="H1088" s="16" t="s">
        <v>2763</v>
      </c>
      <c r="I1088" s="16" t="s">
        <v>154</v>
      </c>
      <c r="J1088" s="16">
        <v>0</v>
      </c>
      <c r="K1088" s="16">
        <v>9.9999999999999995E-7</v>
      </c>
      <c r="L1088" s="16">
        <v>1</v>
      </c>
      <c r="M1088" s="16">
        <v>0</v>
      </c>
      <c r="N1088">
        <f t="array" aca="1" ref="N1088" ca="1">MATCH(TRUE,EXACT(I1088,OFFSET(rngParamTypes,0,6,,1)),0)</f>
        <v>52</v>
      </c>
      <c r="O1088" t="str">
        <f ca="1">IF((INDEX(rngParamTypes,$N1088,7)=I1088),"",1)</f>
        <v/>
      </c>
      <c r="P1088">
        <f ca="1">INDEX(rngParamTypes,$N1088,9)</f>
        <v>0</v>
      </c>
      <c r="Q1088">
        <f ca="1">INDEX(rngParamTypes,$N1088,10)</f>
        <v>0</v>
      </c>
      <c r="R1088">
        <f ca="1">INDEX(rngParamTypes,$N1088,11)</f>
        <v>1</v>
      </c>
      <c r="S1088">
        <f ca="1">INDEX(rngParamTypes,$N1088,12)</f>
        <v>0</v>
      </c>
      <c r="T1088">
        <f ca="1">INDEX(rngParamTypes,$N1088,13)</f>
        <v>0</v>
      </c>
      <c r="U1088">
        <f ca="1">INDEX(rngParamTypes,$N1088,14)</f>
        <v>0</v>
      </c>
      <c r="V1088">
        <f ca="1">INDEX(rngParamTypes,$N1088,15)</f>
        <v>0</v>
      </c>
      <c r="W1088">
        <f ca="1">INDEX(rngParamTypes,$N1088,16)</f>
        <v>0</v>
      </c>
      <c r="X1088">
        <f ca="1">INDEX(rngParamTypes,$N1088,17)</f>
        <v>0</v>
      </c>
      <c r="Y1088">
        <f ca="1">INDEX(rngParamTypes,$N1088,18)</f>
        <v>0</v>
      </c>
    </row>
    <row r="1089" spans="1:25" x14ac:dyDescent="0.2">
      <c r="A1089" s="16">
        <v>1088</v>
      </c>
      <c r="B1089" s="37">
        <v>1</v>
      </c>
      <c r="C1089" s="16" t="s">
        <v>2766</v>
      </c>
      <c r="D1089" s="16" t="s">
        <v>2766</v>
      </c>
      <c r="E1089" s="16"/>
      <c r="F1089" s="16" t="s">
        <v>4191</v>
      </c>
      <c r="G1089" s="16" t="s">
        <v>157</v>
      </c>
      <c r="H1089" s="16" t="s">
        <v>2765</v>
      </c>
      <c r="I1089" s="16" t="s">
        <v>158</v>
      </c>
      <c r="J1089" s="16">
        <v>0</v>
      </c>
      <c r="K1089" s="16">
        <v>9.9999999999999995E-7</v>
      </c>
      <c r="L1089" s="16">
        <v>1</v>
      </c>
      <c r="M1089" s="16">
        <v>0</v>
      </c>
      <c r="N1089">
        <f t="array" aca="1" ref="N1089" ca="1">MATCH(TRUE,EXACT(I1089,OFFSET(rngParamTypes,0,6,,1)),0)</f>
        <v>54</v>
      </c>
      <c r="O1089" t="str">
        <f ca="1">IF((INDEX(rngParamTypes,$N1089,7)=I1089),"",1)</f>
        <v/>
      </c>
      <c r="P1089">
        <f ca="1">INDEX(rngParamTypes,$N1089,9)</f>
        <v>0</v>
      </c>
      <c r="Q1089">
        <f ca="1">INDEX(rngParamTypes,$N1089,10)</f>
        <v>-1</v>
      </c>
      <c r="R1089">
        <f ca="1">INDEX(rngParamTypes,$N1089,11)</f>
        <v>1</v>
      </c>
      <c r="S1089">
        <f ca="1">INDEX(rngParamTypes,$N1089,12)</f>
        <v>0</v>
      </c>
      <c r="T1089">
        <f ca="1">INDEX(rngParamTypes,$N1089,13)</f>
        <v>0</v>
      </c>
      <c r="U1089">
        <f ca="1">INDEX(rngParamTypes,$N1089,14)</f>
        <v>0</v>
      </c>
      <c r="V1089">
        <f ca="1">INDEX(rngParamTypes,$N1089,15)</f>
        <v>0</v>
      </c>
      <c r="W1089">
        <f ca="1">INDEX(rngParamTypes,$N1089,16)</f>
        <v>0</v>
      </c>
      <c r="X1089">
        <f ca="1">INDEX(rngParamTypes,$N1089,17)</f>
        <v>0</v>
      </c>
      <c r="Y1089">
        <f ca="1">INDEX(rngParamTypes,$N1089,18)</f>
        <v>0</v>
      </c>
    </row>
    <row r="1090" spans="1:25" x14ac:dyDescent="0.2">
      <c r="A1090" s="16">
        <v>1089</v>
      </c>
      <c r="B1090" s="37">
        <v>1</v>
      </c>
      <c r="C1090" s="16" t="s">
        <v>2768</v>
      </c>
      <c r="D1090" s="16" t="s">
        <v>2768</v>
      </c>
      <c r="E1090" s="16"/>
      <c r="F1090" s="16" t="s">
        <v>4192</v>
      </c>
      <c r="G1090" s="16" t="s">
        <v>37</v>
      </c>
      <c r="H1090" s="16" t="s">
        <v>2767</v>
      </c>
      <c r="I1090" s="16" t="s">
        <v>160</v>
      </c>
      <c r="J1090" s="16">
        <v>0</v>
      </c>
      <c r="K1090" s="16">
        <v>9.9999999999999995E-7</v>
      </c>
      <c r="L1090" s="16">
        <v>1</v>
      </c>
      <c r="M1090" s="16">
        <v>0</v>
      </c>
      <c r="N1090">
        <f t="array" aca="1" ref="N1090" ca="1">MATCH(TRUE,EXACT(I1090,OFFSET(rngParamTypes,0,6,,1)),0)</f>
        <v>55</v>
      </c>
      <c r="O1090" t="str">
        <f ca="1">IF((INDEX(rngParamTypes,$N1090,7)=I1090),"",1)</f>
        <v/>
      </c>
      <c r="P1090">
        <f ca="1">INDEX(rngParamTypes,$N1090,9)</f>
        <v>0</v>
      </c>
      <c r="Q1090">
        <f ca="1">INDEX(rngParamTypes,$N1090,10)</f>
        <v>0</v>
      </c>
      <c r="R1090">
        <f ca="1">INDEX(rngParamTypes,$N1090,11)</f>
        <v>-1</v>
      </c>
      <c r="S1090">
        <f ca="1">INDEX(rngParamTypes,$N1090,12)</f>
        <v>0</v>
      </c>
      <c r="T1090">
        <f ca="1">INDEX(rngParamTypes,$N1090,13)</f>
        <v>0</v>
      </c>
      <c r="U1090">
        <f ca="1">INDEX(rngParamTypes,$N1090,14)</f>
        <v>0</v>
      </c>
      <c r="V1090">
        <f ca="1">INDEX(rngParamTypes,$N1090,15)</f>
        <v>0</v>
      </c>
      <c r="W1090">
        <f ca="1">INDEX(rngParamTypes,$N1090,16)</f>
        <v>0</v>
      </c>
      <c r="X1090">
        <f ca="1">INDEX(rngParamTypes,$N1090,17)</f>
        <v>0</v>
      </c>
      <c r="Y1090">
        <f ca="1">INDEX(rngParamTypes,$N1090,18)</f>
        <v>0</v>
      </c>
    </row>
    <row r="1091" spans="1:25" x14ac:dyDescent="0.2">
      <c r="A1091" s="16">
        <v>1090</v>
      </c>
      <c r="B1091" s="37">
        <v>1</v>
      </c>
      <c r="C1091" s="16" t="s">
        <v>2770</v>
      </c>
      <c r="D1091" s="16" t="s">
        <v>2770</v>
      </c>
      <c r="E1091" s="16">
        <v>2</v>
      </c>
      <c r="F1091" s="16" t="s">
        <v>4193</v>
      </c>
      <c r="G1091" s="16" t="s">
        <v>3267</v>
      </c>
      <c r="H1091" s="16" t="s">
        <v>2769</v>
      </c>
      <c r="I1091" s="16" t="s">
        <v>168</v>
      </c>
      <c r="J1091" s="16">
        <v>0</v>
      </c>
      <c r="K1091" s="16">
        <v>9.9999999999999995E-7</v>
      </c>
      <c r="L1091" s="16">
        <v>1</v>
      </c>
      <c r="M1091" s="16">
        <v>0</v>
      </c>
      <c r="N1091">
        <f t="array" aca="1" ref="N1091" ca="1">MATCH(TRUE,EXACT(I1091,OFFSET(rngParamTypes,0,6,,1)),0)</f>
        <v>56</v>
      </c>
      <c r="O1091" t="str">
        <f ca="1">IF((INDEX(rngParamTypes,$N1091,7)=I1091),"",1)</f>
        <v/>
      </c>
      <c r="P1091">
        <f ca="1">INDEX(rngParamTypes,$N1091,9)</f>
        <v>1</v>
      </c>
      <c r="Q1091">
        <f ca="1">INDEX(rngParamTypes,$N1091,10)</f>
        <v>2</v>
      </c>
      <c r="R1091">
        <f ca="1">INDEX(rngParamTypes,$N1091,11)</f>
        <v>-2</v>
      </c>
      <c r="S1091">
        <f ca="1">INDEX(rngParamTypes,$N1091,12)</f>
        <v>0</v>
      </c>
      <c r="T1091">
        <f ca="1">INDEX(rngParamTypes,$N1091,13)</f>
        <v>0</v>
      </c>
      <c r="U1091">
        <f ca="1">INDEX(rngParamTypes,$N1091,14)</f>
        <v>0</v>
      </c>
      <c r="V1091">
        <f ca="1">INDEX(rngParamTypes,$N1091,15)</f>
        <v>0</v>
      </c>
      <c r="W1091">
        <f ca="1">INDEX(rngParamTypes,$N1091,16)</f>
        <v>0</v>
      </c>
      <c r="X1091">
        <f ca="1">INDEX(rngParamTypes,$N1091,17)</f>
        <v>0</v>
      </c>
      <c r="Y1091">
        <f ca="1">INDEX(rngParamTypes,$N1091,18)</f>
        <v>0</v>
      </c>
    </row>
    <row r="1092" spans="1:25" x14ac:dyDescent="0.2">
      <c r="A1092" s="16">
        <v>1091</v>
      </c>
      <c r="B1092" s="37">
        <v>1</v>
      </c>
      <c r="C1092" s="16" t="s">
        <v>2772</v>
      </c>
      <c r="D1092" s="16" t="s">
        <v>2772</v>
      </c>
      <c r="E1092" s="16">
        <v>2</v>
      </c>
      <c r="F1092" s="16" t="s">
        <v>4194</v>
      </c>
      <c r="G1092" s="16" t="s">
        <v>4053</v>
      </c>
      <c r="H1092" s="16" t="s">
        <v>2771</v>
      </c>
      <c r="I1092" s="16" t="s">
        <v>290</v>
      </c>
      <c r="J1092" s="16">
        <v>0</v>
      </c>
      <c r="K1092" s="16">
        <v>9.9999999999999995E-7</v>
      </c>
      <c r="L1092" s="16">
        <v>1</v>
      </c>
      <c r="M1092" s="16">
        <v>0</v>
      </c>
      <c r="N1092">
        <f t="array" aca="1" ref="N1092" ca="1">MATCH(TRUE,EXACT(I1092,OFFSET(rngParamTypes,0,6,,1)),0)</f>
        <v>109</v>
      </c>
      <c r="O1092" t="str">
        <f ca="1">IF((INDEX(rngParamTypes,$N1092,7)=I1092),"",1)</f>
        <v/>
      </c>
      <c r="P1092">
        <f ca="1">INDEX(rngParamTypes,$N1092,9)</f>
        <v>0</v>
      </c>
      <c r="Q1092">
        <f ca="1">INDEX(rngParamTypes,$N1092,10)</f>
        <v>1</v>
      </c>
      <c r="R1092">
        <f ca="1">INDEX(rngParamTypes,$N1092,11)</f>
        <v>0</v>
      </c>
      <c r="S1092">
        <f ca="1">INDEX(rngParamTypes,$N1092,12)</f>
        <v>0</v>
      </c>
      <c r="T1092">
        <f ca="1">INDEX(rngParamTypes,$N1092,13)</f>
        <v>0</v>
      </c>
      <c r="U1092">
        <f ca="1">INDEX(rngParamTypes,$N1092,14)</f>
        <v>0</v>
      </c>
      <c r="V1092">
        <f ca="1">INDEX(rngParamTypes,$N1092,15)</f>
        <v>0</v>
      </c>
      <c r="W1092">
        <f ca="1">INDEX(rngParamTypes,$N1092,16)</f>
        <v>0</v>
      </c>
      <c r="X1092">
        <f ca="1">INDEX(rngParamTypes,$N1092,17)</f>
        <v>0</v>
      </c>
      <c r="Y1092">
        <f ca="1">INDEX(rngParamTypes,$N1092,18)</f>
        <v>0</v>
      </c>
    </row>
    <row r="1093" spans="1:25" x14ac:dyDescent="0.2">
      <c r="A1093" s="16">
        <v>1092</v>
      </c>
      <c r="B1093" s="37">
        <v>1</v>
      </c>
      <c r="C1093" s="16" t="s">
        <v>2774</v>
      </c>
      <c r="D1093" s="16" t="s">
        <v>2774</v>
      </c>
      <c r="E1093" s="16">
        <v>2</v>
      </c>
      <c r="F1093" s="16" t="s">
        <v>4195</v>
      </c>
      <c r="G1093" s="16" t="s">
        <v>296</v>
      </c>
      <c r="H1093" s="16" t="s">
        <v>2773</v>
      </c>
      <c r="I1093" s="16" t="s">
        <v>297</v>
      </c>
      <c r="J1093" s="16">
        <v>0</v>
      </c>
      <c r="K1093" s="16">
        <v>9.9999999999999995E-7</v>
      </c>
      <c r="L1093" s="16">
        <v>1</v>
      </c>
      <c r="M1093" s="16">
        <v>0</v>
      </c>
      <c r="N1093">
        <f t="array" aca="1" ref="N1093" ca="1">MATCH(TRUE,EXACT(I1093,OFFSET(rngParamTypes,0,6,,1)),0)</f>
        <v>123</v>
      </c>
      <c r="O1093" t="str">
        <f ca="1">IF((INDEX(rngParamTypes,$N1093,7)=I1093),"",1)</f>
        <v/>
      </c>
      <c r="P1093">
        <f ca="1">INDEX(rngParamTypes,$N1093,9)</f>
        <v>0</v>
      </c>
      <c r="Q1093">
        <f ca="1">INDEX(rngParamTypes,$N1093,10)</f>
        <v>1</v>
      </c>
      <c r="R1093">
        <f ca="1">INDEX(rngParamTypes,$N1093,11)</f>
        <v>-1</v>
      </c>
      <c r="S1093">
        <f ca="1">INDEX(rngParamTypes,$N1093,12)</f>
        <v>0</v>
      </c>
      <c r="T1093">
        <f ca="1">INDEX(rngParamTypes,$N1093,13)</f>
        <v>0</v>
      </c>
      <c r="U1093">
        <f ca="1">INDEX(rngParamTypes,$N1093,14)</f>
        <v>0</v>
      </c>
      <c r="V1093">
        <f ca="1">INDEX(rngParamTypes,$N1093,15)</f>
        <v>0</v>
      </c>
      <c r="W1093">
        <f ca="1">INDEX(rngParamTypes,$N1093,16)</f>
        <v>0</v>
      </c>
      <c r="X1093">
        <f ca="1">INDEX(rngParamTypes,$N1093,17)</f>
        <v>0</v>
      </c>
      <c r="Y1093">
        <f ca="1">INDEX(rngParamTypes,$N1093,18)</f>
        <v>0</v>
      </c>
    </row>
    <row r="1094" spans="1:25" x14ac:dyDescent="0.2">
      <c r="A1094" s="16">
        <v>1093</v>
      </c>
      <c r="B1094" s="37">
        <v>1</v>
      </c>
      <c r="C1094" s="16" t="s">
        <v>2776</v>
      </c>
      <c r="D1094" s="16" t="s">
        <v>2776</v>
      </c>
      <c r="E1094" s="16">
        <v>2</v>
      </c>
      <c r="F1094" s="16" t="s">
        <v>4196</v>
      </c>
      <c r="G1094" s="16" t="s">
        <v>302</v>
      </c>
      <c r="H1094" s="16" t="s">
        <v>2775</v>
      </c>
      <c r="I1094" s="16" t="s">
        <v>303</v>
      </c>
      <c r="J1094" s="16">
        <v>0</v>
      </c>
      <c r="K1094" s="16">
        <v>9.9999999999999998E-13</v>
      </c>
      <c r="L1094" s="16">
        <v>1</v>
      </c>
      <c r="M1094" s="16">
        <v>0</v>
      </c>
      <c r="N1094">
        <f t="array" aca="1" ref="N1094" ca="1">MATCH(TRUE,EXACT(I1094,OFFSET(rngParamTypes,0,6,,1)),0)</f>
        <v>125</v>
      </c>
      <c r="O1094" t="str">
        <f ca="1">IF((INDEX(rngParamTypes,$N1094,7)=I1094),"",1)</f>
        <v/>
      </c>
      <c r="P1094">
        <f ca="1">INDEX(rngParamTypes,$N1094,9)</f>
        <v>0</v>
      </c>
      <c r="Q1094">
        <f ca="1">INDEX(rngParamTypes,$N1094,10)</f>
        <v>2</v>
      </c>
      <c r="R1094">
        <f ca="1">INDEX(rngParamTypes,$N1094,11)</f>
        <v>0</v>
      </c>
      <c r="S1094">
        <f ca="1">INDEX(rngParamTypes,$N1094,12)</f>
        <v>0</v>
      </c>
      <c r="T1094">
        <f ca="1">INDEX(rngParamTypes,$N1094,13)</f>
        <v>0</v>
      </c>
      <c r="U1094">
        <f ca="1">INDEX(rngParamTypes,$N1094,14)</f>
        <v>0</v>
      </c>
      <c r="V1094">
        <f ca="1">INDEX(rngParamTypes,$N1094,15)</f>
        <v>0</v>
      </c>
      <c r="W1094">
        <f ca="1">INDEX(rngParamTypes,$N1094,16)</f>
        <v>0</v>
      </c>
      <c r="X1094">
        <f ca="1">INDEX(rngParamTypes,$N1094,17)</f>
        <v>0</v>
      </c>
      <c r="Y1094">
        <f ca="1">INDEX(rngParamTypes,$N1094,18)</f>
        <v>0</v>
      </c>
    </row>
    <row r="1095" spans="1:25" x14ac:dyDescent="0.2">
      <c r="A1095" s="16">
        <v>1094</v>
      </c>
      <c r="B1095" s="37">
        <v>1</v>
      </c>
      <c r="C1095" s="16" t="s">
        <v>2778</v>
      </c>
      <c r="D1095" s="16" t="s">
        <v>2778</v>
      </c>
      <c r="E1095" s="16">
        <v>2</v>
      </c>
      <c r="F1095" s="16" t="s">
        <v>4197</v>
      </c>
      <c r="G1095" s="16" t="s">
        <v>321</v>
      </c>
      <c r="H1095" s="16" t="s">
        <v>2777</v>
      </c>
      <c r="I1095" s="16" t="s">
        <v>322</v>
      </c>
      <c r="J1095" s="16">
        <v>0</v>
      </c>
      <c r="K1095" s="16">
        <v>9.9999999999999998E-13</v>
      </c>
      <c r="L1095" s="16">
        <v>1</v>
      </c>
      <c r="M1095" s="16">
        <v>0</v>
      </c>
      <c r="N1095">
        <f t="array" aca="1" ref="N1095" ca="1">MATCH(TRUE,EXACT(I1095,OFFSET(rngParamTypes,0,6,,1)),0)</f>
        <v>134</v>
      </c>
      <c r="O1095" t="str">
        <f ca="1">IF((INDEX(rngParamTypes,$N1095,7)=I1095),"",1)</f>
        <v/>
      </c>
      <c r="P1095">
        <f ca="1">INDEX(rngParamTypes,$N1095,9)</f>
        <v>0</v>
      </c>
      <c r="Q1095">
        <f ca="1">INDEX(rngParamTypes,$N1095,10)</f>
        <v>3</v>
      </c>
      <c r="R1095">
        <f ca="1">INDEX(rngParamTypes,$N1095,11)</f>
        <v>0</v>
      </c>
      <c r="S1095">
        <f ca="1">INDEX(rngParamTypes,$N1095,12)</f>
        <v>0</v>
      </c>
      <c r="T1095">
        <f ca="1">INDEX(rngParamTypes,$N1095,13)</f>
        <v>0</v>
      </c>
      <c r="U1095">
        <f ca="1">INDEX(rngParamTypes,$N1095,14)</f>
        <v>0</v>
      </c>
      <c r="V1095">
        <f ca="1">INDEX(rngParamTypes,$N1095,15)</f>
        <v>0</v>
      </c>
      <c r="W1095">
        <f ca="1">INDEX(rngParamTypes,$N1095,16)</f>
        <v>0</v>
      </c>
      <c r="X1095">
        <f ca="1">INDEX(rngParamTypes,$N1095,17)</f>
        <v>0</v>
      </c>
      <c r="Y1095">
        <f ca="1">INDEX(rngParamTypes,$N1095,18)</f>
        <v>0</v>
      </c>
    </row>
    <row r="1096" spans="1:25" x14ac:dyDescent="0.2">
      <c r="A1096" s="16">
        <v>1095</v>
      </c>
      <c r="B1096" s="37">
        <v>1</v>
      </c>
      <c r="C1096" s="16" t="s">
        <v>2780</v>
      </c>
      <c r="D1096" s="16" t="s">
        <v>2780</v>
      </c>
      <c r="E1096" s="16">
        <v>2</v>
      </c>
      <c r="F1096" s="16" t="s">
        <v>4375</v>
      </c>
      <c r="G1096" s="16" t="s">
        <v>3270</v>
      </c>
      <c r="H1096" s="16" t="s">
        <v>2779</v>
      </c>
      <c r="I1096" s="16" t="s">
        <v>416</v>
      </c>
      <c r="J1096" s="16">
        <v>0</v>
      </c>
      <c r="K1096" s="16">
        <v>0.13332240000000001</v>
      </c>
      <c r="L1096" s="16">
        <v>1</v>
      </c>
      <c r="M1096" s="16">
        <v>0</v>
      </c>
      <c r="N1096">
        <f t="array" aca="1" ref="N1096" ca="1">MATCH(TRUE,EXACT(I1096,OFFSET(rngParamTypes,0,6,,1)),0)</f>
        <v>167</v>
      </c>
      <c r="O1096" t="str">
        <f ca="1">IF((INDEX(rngParamTypes,$N1096,7)=I1096),"",1)</f>
        <v/>
      </c>
      <c r="P1096">
        <f ca="1">INDEX(rngParamTypes,$N1096,9)</f>
        <v>1</v>
      </c>
      <c r="Q1096">
        <f ca="1">INDEX(rngParamTypes,$N1096,10)</f>
        <v>-1</v>
      </c>
      <c r="R1096">
        <f ca="1">INDEX(rngParamTypes,$N1096,11)</f>
        <v>-2</v>
      </c>
      <c r="S1096">
        <f ca="1">INDEX(rngParamTypes,$N1096,12)</f>
        <v>0</v>
      </c>
      <c r="T1096">
        <f ca="1">INDEX(rngParamTypes,$N1096,13)</f>
        <v>0</v>
      </c>
      <c r="U1096">
        <f ca="1">INDEX(rngParamTypes,$N1096,14)</f>
        <v>0</v>
      </c>
      <c r="V1096">
        <f ca="1">INDEX(rngParamTypes,$N1096,15)</f>
        <v>0</v>
      </c>
      <c r="W1096">
        <f ca="1">INDEX(rngParamTypes,$N1096,16)</f>
        <v>0</v>
      </c>
      <c r="X1096">
        <f ca="1">INDEX(rngParamTypes,$N1096,17)</f>
        <v>0</v>
      </c>
      <c r="Y1096">
        <f ca="1">INDEX(rngParamTypes,$N1096,18)</f>
        <v>0</v>
      </c>
    </row>
    <row r="1097" spans="1:25" x14ac:dyDescent="0.2">
      <c r="A1097" s="16">
        <v>1096</v>
      </c>
      <c r="B1097" s="37">
        <v>1</v>
      </c>
      <c r="C1097" s="16" t="s">
        <v>2782</v>
      </c>
      <c r="D1097" s="16" t="s">
        <v>2782</v>
      </c>
      <c r="E1097" s="16">
        <v>2</v>
      </c>
      <c r="F1097" s="16" t="s">
        <v>4198</v>
      </c>
      <c r="G1097" s="16" t="s">
        <v>361</v>
      </c>
      <c r="H1097" s="16" t="s">
        <v>2781</v>
      </c>
      <c r="I1097" s="16" t="s">
        <v>362</v>
      </c>
      <c r="J1097" s="16">
        <v>0</v>
      </c>
      <c r="K1097" s="16">
        <v>9.9999999999999995E-7</v>
      </c>
      <c r="L1097" s="16">
        <v>1</v>
      </c>
      <c r="M1097" s="16">
        <v>0</v>
      </c>
      <c r="N1097">
        <f t="array" aca="1" ref="N1097" ca="1">MATCH(TRUE,EXACT(I1097,OFFSET(rngParamTypes,0,6,,1)),0)</f>
        <v>148</v>
      </c>
      <c r="O1097" t="str">
        <f ca="1">IF((INDEX(rngParamTypes,$N1097,7)=I1097),"",1)</f>
        <v/>
      </c>
      <c r="P1097">
        <f ca="1">INDEX(rngParamTypes,$N1097,9)</f>
        <v>0</v>
      </c>
      <c r="Q1097">
        <f ca="1">INDEX(rngParamTypes,$N1097,10)</f>
        <v>0</v>
      </c>
      <c r="R1097">
        <f ca="1">INDEX(rngParamTypes,$N1097,11)</f>
        <v>0</v>
      </c>
      <c r="S1097">
        <f ca="1">INDEX(rngParamTypes,$N1097,12)</f>
        <v>0</v>
      </c>
      <c r="T1097">
        <f ca="1">INDEX(rngParamTypes,$N1097,13)</f>
        <v>0</v>
      </c>
      <c r="U1097">
        <f ca="1">INDEX(rngParamTypes,$N1097,14)</f>
        <v>1</v>
      </c>
      <c r="V1097">
        <f ca="1">INDEX(rngParamTypes,$N1097,15)</f>
        <v>0</v>
      </c>
      <c r="W1097">
        <f ca="1">INDEX(rngParamTypes,$N1097,16)</f>
        <v>0</v>
      </c>
      <c r="X1097">
        <f ca="1">INDEX(rngParamTypes,$N1097,17)</f>
        <v>0</v>
      </c>
      <c r="Y1097">
        <f ca="1">INDEX(rngParamTypes,$N1097,18)</f>
        <v>0</v>
      </c>
    </row>
    <row r="1098" spans="1:25" x14ac:dyDescent="0.2">
      <c r="A1098" s="16">
        <v>1097</v>
      </c>
      <c r="B1098" s="37">
        <v>1</v>
      </c>
      <c r="C1098" s="16" t="s">
        <v>2784</v>
      </c>
      <c r="D1098" s="16" t="s">
        <v>2784</v>
      </c>
      <c r="E1098" s="16">
        <v>2</v>
      </c>
      <c r="F1098" s="16" t="s">
        <v>4199</v>
      </c>
      <c r="G1098" s="16" t="s">
        <v>378</v>
      </c>
      <c r="H1098" s="16" t="s">
        <v>2783</v>
      </c>
      <c r="I1098" s="16" t="s">
        <v>379</v>
      </c>
      <c r="J1098" s="16">
        <v>0</v>
      </c>
      <c r="K1098" s="16">
        <v>9.9999999999999995E-7</v>
      </c>
      <c r="L1098" s="16">
        <v>1</v>
      </c>
      <c r="M1098" s="16">
        <v>0</v>
      </c>
      <c r="N1098">
        <f t="array" aca="1" ref="N1098" ca="1">MATCH(TRUE,EXACT(I1098,OFFSET(rngParamTypes,0,6,,1)),0)</f>
        <v>154</v>
      </c>
      <c r="O1098" t="str">
        <f ca="1">IF((INDEX(rngParamTypes,$N1098,7)=I1098),"",1)</f>
        <v/>
      </c>
      <c r="P1098">
        <f ca="1">INDEX(rngParamTypes,$N1098,9)</f>
        <v>1</v>
      </c>
      <c r="Q1098">
        <f ca="1">INDEX(rngParamTypes,$N1098,10)</f>
        <v>1</v>
      </c>
      <c r="R1098">
        <f ca="1">INDEX(rngParamTypes,$N1098,11)</f>
        <v>-2</v>
      </c>
      <c r="S1098">
        <f ca="1">INDEX(rngParamTypes,$N1098,12)</f>
        <v>0</v>
      </c>
      <c r="T1098">
        <f ca="1">INDEX(rngParamTypes,$N1098,13)</f>
        <v>0</v>
      </c>
      <c r="U1098">
        <f ca="1">INDEX(rngParamTypes,$N1098,14)</f>
        <v>0</v>
      </c>
      <c r="V1098">
        <f ca="1">INDEX(rngParamTypes,$N1098,15)</f>
        <v>0</v>
      </c>
      <c r="W1098">
        <f ca="1">INDEX(rngParamTypes,$N1098,16)</f>
        <v>0</v>
      </c>
      <c r="X1098">
        <f ca="1">INDEX(rngParamTypes,$N1098,17)</f>
        <v>0</v>
      </c>
      <c r="Y1098">
        <f ca="1">INDEX(rngParamTypes,$N1098,18)</f>
        <v>0</v>
      </c>
    </row>
    <row r="1099" spans="1:25" x14ac:dyDescent="0.2">
      <c r="A1099" s="16">
        <v>1098</v>
      </c>
      <c r="B1099" s="37">
        <v>1</v>
      </c>
      <c r="C1099" s="16" t="s">
        <v>2785</v>
      </c>
      <c r="D1099" s="16" t="s">
        <v>2785</v>
      </c>
      <c r="E1099" s="16">
        <v>2</v>
      </c>
      <c r="F1099" s="16" t="s">
        <v>4200</v>
      </c>
      <c r="G1099" s="16" t="s">
        <v>125</v>
      </c>
      <c r="H1099" s="16" t="s">
        <v>2785</v>
      </c>
      <c r="I1099" s="16" t="s">
        <v>131</v>
      </c>
      <c r="J1099" s="16">
        <v>0</v>
      </c>
      <c r="K1099" s="16">
        <v>1</v>
      </c>
      <c r="L1099" s="16">
        <v>1</v>
      </c>
      <c r="M1099" s="16">
        <v>0</v>
      </c>
      <c r="N1099">
        <f t="array" aca="1" ref="N1099" ca="1">MATCH(TRUE,EXACT(I1099,OFFSET(rngParamTypes,0,6,,1)),0)</f>
        <v>42</v>
      </c>
      <c r="O1099" t="str">
        <f ca="1">IF((INDEX(rngParamTypes,$N1099,7)=I1099),"",1)</f>
        <v/>
      </c>
      <c r="P1099">
        <f ca="1">INDEX(rngParamTypes,$N1099,9)</f>
        <v>0</v>
      </c>
      <c r="Q1099">
        <f ca="1">INDEX(rngParamTypes,$N1099,10)</f>
        <v>0</v>
      </c>
      <c r="R1099">
        <f ca="1">INDEX(rngParamTypes,$N1099,11)</f>
        <v>0</v>
      </c>
      <c r="S1099">
        <f ca="1">INDEX(rngParamTypes,$N1099,12)</f>
        <v>0</v>
      </c>
      <c r="T1099">
        <f ca="1">INDEX(rngParamTypes,$N1099,13)</f>
        <v>0</v>
      </c>
      <c r="U1099">
        <f ca="1">INDEX(rngParamTypes,$N1099,14)</f>
        <v>0</v>
      </c>
      <c r="V1099">
        <f ca="1">INDEX(rngParamTypes,$N1099,15)</f>
        <v>0</v>
      </c>
      <c r="W1099">
        <f ca="1">INDEX(rngParamTypes,$N1099,16)</f>
        <v>0</v>
      </c>
      <c r="X1099">
        <f ca="1">INDEX(rngParamTypes,$N1099,17)</f>
        <v>0</v>
      </c>
      <c r="Y1099">
        <f ca="1">INDEX(rngParamTypes,$N1099,18)</f>
        <v>0</v>
      </c>
    </row>
    <row r="1100" spans="1:25" x14ac:dyDescent="0.2">
      <c r="A1100" s="16">
        <v>1099</v>
      </c>
      <c r="B1100" s="37">
        <v>1</v>
      </c>
      <c r="C1100" s="16" t="s">
        <v>2787</v>
      </c>
      <c r="D1100" s="16" t="s">
        <v>2787</v>
      </c>
      <c r="E1100" s="16"/>
      <c r="F1100" s="16" t="s">
        <v>4201</v>
      </c>
      <c r="G1100" s="16" t="s">
        <v>3610</v>
      </c>
      <c r="H1100" s="16" t="s">
        <v>2786</v>
      </c>
      <c r="I1100" s="16" t="s">
        <v>403</v>
      </c>
      <c r="J1100" s="16">
        <v>0</v>
      </c>
      <c r="K1100" s="16">
        <v>9.9999999999999995E-7</v>
      </c>
      <c r="L1100" s="16">
        <v>1</v>
      </c>
      <c r="M1100" s="16">
        <v>0</v>
      </c>
      <c r="N1100">
        <f t="array" aca="1" ref="N1100" ca="1">MATCH(TRUE,EXACT(I1100,OFFSET(rngParamTypes,0,6,,1)),0)</f>
        <v>163</v>
      </c>
      <c r="O1100" t="str">
        <f ca="1">IF((INDEX(rngParamTypes,$N1100,7)=I1100),"",1)</f>
        <v/>
      </c>
      <c r="P1100">
        <f ca="1">INDEX(rngParamTypes,$N1100,9)</f>
        <v>1</v>
      </c>
      <c r="Q1100">
        <f ca="1">INDEX(rngParamTypes,$N1100,10)</f>
        <v>2</v>
      </c>
      <c r="R1100">
        <f ca="1">INDEX(rngParamTypes,$N1100,11)</f>
        <v>-3</v>
      </c>
      <c r="S1100">
        <f ca="1">INDEX(rngParamTypes,$N1100,12)</f>
        <v>-2</v>
      </c>
      <c r="T1100">
        <f ca="1">INDEX(rngParamTypes,$N1100,13)</f>
        <v>0</v>
      </c>
      <c r="U1100">
        <f ca="1">INDEX(rngParamTypes,$N1100,14)</f>
        <v>0</v>
      </c>
      <c r="V1100">
        <f ca="1">INDEX(rngParamTypes,$N1100,15)</f>
        <v>0</v>
      </c>
      <c r="W1100">
        <f ca="1">INDEX(rngParamTypes,$N1100,16)</f>
        <v>0</v>
      </c>
      <c r="X1100">
        <f ca="1">INDEX(rngParamTypes,$N1100,17)</f>
        <v>0</v>
      </c>
      <c r="Y1100">
        <f ca="1">INDEX(rngParamTypes,$N1100,18)</f>
        <v>0</v>
      </c>
    </row>
    <row r="1101" spans="1:25" x14ac:dyDescent="0.2">
      <c r="A1101" s="16">
        <v>1100</v>
      </c>
      <c r="B1101" s="37">
        <v>1</v>
      </c>
      <c r="C1101" s="16" t="s">
        <v>2789</v>
      </c>
      <c r="D1101" s="16" t="s">
        <v>2789</v>
      </c>
      <c r="E1101" s="16"/>
      <c r="F1101" s="16" t="s">
        <v>4202</v>
      </c>
      <c r="G1101" s="16" t="s">
        <v>411</v>
      </c>
      <c r="H1101" s="16" t="s">
        <v>2788</v>
      </c>
      <c r="I1101" s="16" t="s">
        <v>412</v>
      </c>
      <c r="J1101" s="16">
        <v>0</v>
      </c>
      <c r="K1101" s="16">
        <v>9.9999999999999995E-7</v>
      </c>
      <c r="L1101" s="16">
        <v>0.30480000000000002</v>
      </c>
      <c r="M1101" s="16">
        <v>0</v>
      </c>
      <c r="N1101">
        <f t="array" aca="1" ref="N1101" ca="1">MATCH(TRUE,EXACT(I1101,OFFSET(rngParamTypes,0,6,,1)),0)</f>
        <v>166</v>
      </c>
      <c r="O1101" t="str">
        <f ca="1">IF((INDEX(rngParamTypes,$N1101,7)=I1101),"",1)</f>
        <v/>
      </c>
      <c r="P1101">
        <f ca="1">INDEX(rngParamTypes,$N1101,9)</f>
        <v>1</v>
      </c>
      <c r="Q1101">
        <f ca="1">INDEX(rngParamTypes,$N1101,10)</f>
        <v>1</v>
      </c>
      <c r="R1101">
        <f ca="1">INDEX(rngParamTypes,$N1101,11)</f>
        <v>-3</v>
      </c>
      <c r="S1101">
        <f ca="1">INDEX(rngParamTypes,$N1101,12)</f>
        <v>-2</v>
      </c>
      <c r="T1101">
        <f ca="1">INDEX(rngParamTypes,$N1101,13)</f>
        <v>0</v>
      </c>
      <c r="U1101">
        <f ca="1">INDEX(rngParamTypes,$N1101,14)</f>
        <v>0</v>
      </c>
      <c r="V1101">
        <f ca="1">INDEX(rngParamTypes,$N1101,15)</f>
        <v>0</v>
      </c>
      <c r="W1101">
        <f ca="1">INDEX(rngParamTypes,$N1101,16)</f>
        <v>0</v>
      </c>
      <c r="X1101">
        <f ca="1">INDEX(rngParamTypes,$N1101,17)</f>
        <v>0</v>
      </c>
      <c r="Y1101">
        <f ca="1">INDEX(rngParamTypes,$N1101,18)</f>
        <v>0</v>
      </c>
    </row>
    <row r="1102" spans="1:25" x14ac:dyDescent="0.2">
      <c r="A1102" s="16">
        <v>1101</v>
      </c>
      <c r="B1102" s="37">
        <v>1</v>
      </c>
      <c r="C1102" s="16" t="s">
        <v>2791</v>
      </c>
      <c r="D1102" s="16" t="s">
        <v>2791</v>
      </c>
      <c r="E1102" s="16"/>
      <c r="F1102" s="16" t="s">
        <v>4203</v>
      </c>
      <c r="G1102" s="16" t="s">
        <v>411</v>
      </c>
      <c r="H1102" s="16" t="s">
        <v>2790</v>
      </c>
      <c r="I1102" s="16" t="s">
        <v>412</v>
      </c>
      <c r="J1102" s="16">
        <v>0</v>
      </c>
      <c r="K1102" s="16">
        <v>9.9999999999999995E-7</v>
      </c>
      <c r="L1102" s="16">
        <v>1</v>
      </c>
      <c r="M1102" s="16">
        <v>0</v>
      </c>
      <c r="N1102">
        <f t="array" aca="1" ref="N1102" ca="1">MATCH(TRUE,EXACT(I1102,OFFSET(rngParamTypes,0,6,,1)),0)</f>
        <v>166</v>
      </c>
      <c r="O1102" t="str">
        <f ca="1">IF((INDEX(rngParamTypes,$N1102,7)=I1102),"",1)</f>
        <v/>
      </c>
      <c r="P1102">
        <f ca="1">INDEX(rngParamTypes,$N1102,9)</f>
        <v>1</v>
      </c>
      <c r="Q1102">
        <f ca="1">INDEX(rngParamTypes,$N1102,10)</f>
        <v>1</v>
      </c>
      <c r="R1102">
        <f ca="1">INDEX(rngParamTypes,$N1102,11)</f>
        <v>-3</v>
      </c>
      <c r="S1102">
        <f ca="1">INDEX(rngParamTypes,$N1102,12)</f>
        <v>-2</v>
      </c>
      <c r="T1102">
        <f ca="1">INDEX(rngParamTypes,$N1102,13)</f>
        <v>0</v>
      </c>
      <c r="U1102">
        <f ca="1">INDEX(rngParamTypes,$N1102,14)</f>
        <v>0</v>
      </c>
      <c r="V1102">
        <f ca="1">INDEX(rngParamTypes,$N1102,15)</f>
        <v>0</v>
      </c>
      <c r="W1102">
        <f ca="1">INDEX(rngParamTypes,$N1102,16)</f>
        <v>0</v>
      </c>
      <c r="X1102">
        <f ca="1">INDEX(rngParamTypes,$N1102,17)</f>
        <v>0</v>
      </c>
      <c r="Y1102">
        <f ca="1">INDEX(rngParamTypes,$N1102,18)</f>
        <v>0</v>
      </c>
    </row>
    <row r="1103" spans="1:25" x14ac:dyDescent="0.2">
      <c r="A1103" s="16">
        <v>1102</v>
      </c>
      <c r="B1103" s="37">
        <v>1</v>
      </c>
      <c r="C1103" s="16" t="s">
        <v>2793</v>
      </c>
      <c r="D1103" s="16" t="s">
        <v>2793</v>
      </c>
      <c r="E1103" s="16">
        <v>2</v>
      </c>
      <c r="F1103" s="16" t="s">
        <v>4204</v>
      </c>
      <c r="G1103" s="16" t="s">
        <v>3270</v>
      </c>
      <c r="H1103" s="16" t="s">
        <v>2792</v>
      </c>
      <c r="I1103" s="16" t="s">
        <v>416</v>
      </c>
      <c r="J1103" s="16">
        <v>0</v>
      </c>
      <c r="K1103" s="16">
        <v>9.9999999999999995E-7</v>
      </c>
      <c r="L1103" s="16">
        <v>1</v>
      </c>
      <c r="M1103" s="16">
        <v>0</v>
      </c>
      <c r="N1103">
        <f t="array" aca="1" ref="N1103" ca="1">MATCH(TRUE,EXACT(I1103,OFFSET(rngParamTypes,0,6,,1)),0)</f>
        <v>167</v>
      </c>
      <c r="O1103" t="str">
        <f ca="1">IF((INDEX(rngParamTypes,$N1103,7)=I1103),"",1)</f>
        <v/>
      </c>
      <c r="P1103">
        <f ca="1">INDEX(rngParamTypes,$N1103,9)</f>
        <v>1</v>
      </c>
      <c r="Q1103">
        <f ca="1">INDEX(rngParamTypes,$N1103,10)</f>
        <v>-1</v>
      </c>
      <c r="R1103">
        <f ca="1">INDEX(rngParamTypes,$N1103,11)</f>
        <v>-2</v>
      </c>
      <c r="S1103">
        <f ca="1">INDEX(rngParamTypes,$N1103,12)</f>
        <v>0</v>
      </c>
      <c r="T1103">
        <f ca="1">INDEX(rngParamTypes,$N1103,13)</f>
        <v>0</v>
      </c>
      <c r="U1103">
        <f ca="1">INDEX(rngParamTypes,$N1103,14)</f>
        <v>0</v>
      </c>
      <c r="V1103">
        <f ca="1">INDEX(rngParamTypes,$N1103,15)</f>
        <v>0</v>
      </c>
      <c r="W1103">
        <f ca="1">INDEX(rngParamTypes,$N1103,16)</f>
        <v>0</v>
      </c>
      <c r="X1103">
        <f ca="1">INDEX(rngParamTypes,$N1103,17)</f>
        <v>0</v>
      </c>
      <c r="Y1103">
        <f ca="1">INDEX(rngParamTypes,$N1103,18)</f>
        <v>0</v>
      </c>
    </row>
    <row r="1104" spans="1:25" x14ac:dyDescent="0.2">
      <c r="A1104" s="16">
        <v>1103</v>
      </c>
      <c r="B1104" s="37">
        <v>1</v>
      </c>
      <c r="C1104" s="16" t="s">
        <v>2795</v>
      </c>
      <c r="D1104" s="16" t="s">
        <v>2795</v>
      </c>
      <c r="E1104" s="16">
        <v>2</v>
      </c>
      <c r="F1104" s="16" t="s">
        <v>4205</v>
      </c>
      <c r="G1104" s="16" t="s">
        <v>3270</v>
      </c>
      <c r="H1104" s="16" t="s">
        <v>2794</v>
      </c>
      <c r="I1104" s="16" t="s">
        <v>416</v>
      </c>
      <c r="J1104" s="16">
        <v>0</v>
      </c>
      <c r="K1104" s="16">
        <v>6.8947569999999996E-3</v>
      </c>
      <c r="L1104" s="16">
        <v>1</v>
      </c>
      <c r="M1104" s="16">
        <v>0</v>
      </c>
      <c r="N1104">
        <f t="array" aca="1" ref="N1104" ca="1">MATCH(TRUE,EXACT(I1104,OFFSET(rngParamTypes,0,6,,1)),0)</f>
        <v>167</v>
      </c>
      <c r="O1104" t="str">
        <f ca="1">IF((INDEX(rngParamTypes,$N1104,7)=I1104),"",1)</f>
        <v/>
      </c>
      <c r="P1104">
        <f ca="1">INDEX(rngParamTypes,$N1104,9)</f>
        <v>1</v>
      </c>
      <c r="Q1104">
        <f ca="1">INDEX(rngParamTypes,$N1104,10)</f>
        <v>-1</v>
      </c>
      <c r="R1104">
        <f ca="1">INDEX(rngParamTypes,$N1104,11)</f>
        <v>-2</v>
      </c>
      <c r="S1104">
        <f ca="1">INDEX(rngParamTypes,$N1104,12)</f>
        <v>0</v>
      </c>
      <c r="T1104">
        <f ca="1">INDEX(rngParamTypes,$N1104,13)</f>
        <v>0</v>
      </c>
      <c r="U1104">
        <f ca="1">INDEX(rngParamTypes,$N1104,14)</f>
        <v>0</v>
      </c>
      <c r="V1104">
        <f ca="1">INDEX(rngParamTypes,$N1104,15)</f>
        <v>0</v>
      </c>
      <c r="W1104">
        <f ca="1">INDEX(rngParamTypes,$N1104,16)</f>
        <v>0</v>
      </c>
      <c r="X1104">
        <f ca="1">INDEX(rngParamTypes,$N1104,17)</f>
        <v>0</v>
      </c>
      <c r="Y1104">
        <f ca="1">INDEX(rngParamTypes,$N1104,18)</f>
        <v>0</v>
      </c>
    </row>
    <row r="1105" spans="1:25" x14ac:dyDescent="0.2">
      <c r="A1105" s="16">
        <v>1104</v>
      </c>
      <c r="B1105" s="37">
        <v>1</v>
      </c>
      <c r="C1105" s="16" t="s">
        <v>2797</v>
      </c>
      <c r="D1105" s="16" t="s">
        <v>2797</v>
      </c>
      <c r="E1105" s="16">
        <v>2</v>
      </c>
      <c r="F1105" s="16" t="s">
        <v>4206</v>
      </c>
      <c r="G1105" s="16" t="s">
        <v>443</v>
      </c>
      <c r="H1105" s="16" t="s">
        <v>2796</v>
      </c>
      <c r="I1105" s="16" t="s">
        <v>444</v>
      </c>
      <c r="J1105" s="16">
        <v>0</v>
      </c>
      <c r="K1105" s="16">
        <v>9.9999999999999995E-7</v>
      </c>
      <c r="L1105" s="16">
        <v>1</v>
      </c>
      <c r="M1105" s="16">
        <v>0</v>
      </c>
      <c r="N1105">
        <f t="array" aca="1" ref="N1105" ca="1">MATCH(TRUE,EXACT(I1105,OFFSET(rngParamTypes,0,6,,1)),0)</f>
        <v>178</v>
      </c>
      <c r="O1105" t="str">
        <f ca="1">IF((INDEX(rngParamTypes,$N1105,7)=I1105),"",1)</f>
        <v/>
      </c>
      <c r="P1105">
        <f ca="1">INDEX(rngParamTypes,$N1105,9)</f>
        <v>0</v>
      </c>
      <c r="Q1105">
        <f ca="1">INDEX(rngParamTypes,$N1105,10)</f>
        <v>0</v>
      </c>
      <c r="R1105">
        <f ca="1">INDEX(rngParamTypes,$N1105,11)</f>
        <v>0</v>
      </c>
      <c r="S1105">
        <f ca="1">INDEX(rngParamTypes,$N1105,12)</f>
        <v>0</v>
      </c>
      <c r="T1105">
        <f ca="1">INDEX(rngParamTypes,$N1105,13)</f>
        <v>0</v>
      </c>
      <c r="U1105">
        <f ca="1">INDEX(rngParamTypes,$N1105,14)</f>
        <v>0</v>
      </c>
      <c r="V1105">
        <f ca="1">INDEX(rngParamTypes,$N1105,15)</f>
        <v>0</v>
      </c>
      <c r="W1105">
        <f ca="1">INDEX(rngParamTypes,$N1105,16)</f>
        <v>1</v>
      </c>
      <c r="X1105">
        <f ca="1">INDEX(rngParamTypes,$N1105,17)</f>
        <v>0</v>
      </c>
      <c r="Y1105">
        <f ca="1">INDEX(rngParamTypes,$N1105,18)</f>
        <v>0</v>
      </c>
    </row>
    <row r="1106" spans="1:25" x14ac:dyDescent="0.2">
      <c r="A1106" s="16">
        <v>1105</v>
      </c>
      <c r="B1106" s="37">
        <v>1</v>
      </c>
      <c r="C1106" s="16" t="s">
        <v>2799</v>
      </c>
      <c r="D1106" s="16" t="s">
        <v>2799</v>
      </c>
      <c r="E1106" s="16"/>
      <c r="F1106" s="16" t="s">
        <v>4207</v>
      </c>
      <c r="G1106" s="16" t="s">
        <v>3621</v>
      </c>
      <c r="H1106" s="16" t="s">
        <v>2798</v>
      </c>
      <c r="I1106" s="16" t="s">
        <v>466</v>
      </c>
      <c r="J1106" s="16">
        <v>0</v>
      </c>
      <c r="K1106" s="16">
        <v>9.9999999999999995E-7</v>
      </c>
      <c r="L1106" s="16">
        <v>1</v>
      </c>
      <c r="M1106" s="16">
        <v>0</v>
      </c>
      <c r="N1106">
        <f t="array" aca="1" ref="N1106" ca="1">MATCH(TRUE,EXACT(I1106,OFFSET(rngParamTypes,0,6,,1)),0)</f>
        <v>187</v>
      </c>
      <c r="O1106" t="str">
        <f ca="1">IF((INDEX(rngParamTypes,$N1106,7)=I1106),"",1)</f>
        <v/>
      </c>
      <c r="P1106">
        <f ca="1">INDEX(rngParamTypes,$N1106,9)</f>
        <v>-1</v>
      </c>
      <c r="Q1106">
        <f ca="1">INDEX(rngParamTypes,$N1106,10)</f>
        <v>-2</v>
      </c>
      <c r="R1106">
        <f ca="1">INDEX(rngParamTypes,$N1106,11)</f>
        <v>3</v>
      </c>
      <c r="S1106">
        <f ca="1">INDEX(rngParamTypes,$N1106,12)</f>
        <v>2</v>
      </c>
      <c r="T1106">
        <f ca="1">INDEX(rngParamTypes,$N1106,13)</f>
        <v>0</v>
      </c>
      <c r="U1106">
        <f ca="1">INDEX(rngParamTypes,$N1106,14)</f>
        <v>0</v>
      </c>
      <c r="V1106">
        <f ca="1">INDEX(rngParamTypes,$N1106,15)</f>
        <v>0</v>
      </c>
      <c r="W1106">
        <f ca="1">INDEX(rngParamTypes,$N1106,16)</f>
        <v>0</v>
      </c>
      <c r="X1106">
        <f ca="1">INDEX(rngParamTypes,$N1106,17)</f>
        <v>0</v>
      </c>
      <c r="Y1106">
        <f ca="1">INDEX(rngParamTypes,$N1106,18)</f>
        <v>0</v>
      </c>
    </row>
    <row r="1107" spans="1:25" x14ac:dyDescent="0.2">
      <c r="A1107" s="16">
        <v>1106</v>
      </c>
      <c r="B1107" s="37">
        <v>1</v>
      </c>
      <c r="C1107" s="16" t="s">
        <v>2801</v>
      </c>
      <c r="D1107" s="16" t="s">
        <v>2801</v>
      </c>
      <c r="E1107" s="16">
        <v>2</v>
      </c>
      <c r="F1107" s="16" t="s">
        <v>4208</v>
      </c>
      <c r="G1107" s="16" t="s">
        <v>469</v>
      </c>
      <c r="H1107" s="16" t="s">
        <v>2800</v>
      </c>
      <c r="I1107" s="16" t="s">
        <v>470</v>
      </c>
      <c r="J1107" s="16">
        <v>0</v>
      </c>
      <c r="K1107" s="16">
        <v>9.9999999999999995E-7</v>
      </c>
      <c r="L1107" s="16">
        <v>1</v>
      </c>
      <c r="M1107" s="16">
        <v>0</v>
      </c>
      <c r="N1107">
        <f t="array" aca="1" ref="N1107" ca="1">MATCH(TRUE,EXACT(I1107,OFFSET(rngParamTypes,0,6,,1)),0)</f>
        <v>190</v>
      </c>
      <c r="O1107" t="str">
        <f ca="1">IF((INDEX(rngParamTypes,$N1107,7)=I1107),"",1)</f>
        <v/>
      </c>
      <c r="P1107">
        <f ca="1">INDEX(rngParamTypes,$N1107,9)</f>
        <v>0</v>
      </c>
      <c r="Q1107">
        <f ca="1">INDEX(rngParamTypes,$N1107,10)</f>
        <v>0</v>
      </c>
      <c r="R1107">
        <f ca="1">INDEX(rngParamTypes,$N1107,11)</f>
        <v>1</v>
      </c>
      <c r="S1107">
        <f ca="1">INDEX(rngParamTypes,$N1107,12)</f>
        <v>0</v>
      </c>
      <c r="T1107">
        <f ca="1">INDEX(rngParamTypes,$N1107,13)</f>
        <v>0</v>
      </c>
      <c r="U1107">
        <f ca="1">INDEX(rngParamTypes,$N1107,14)</f>
        <v>0</v>
      </c>
      <c r="V1107">
        <f ca="1">INDEX(rngParamTypes,$N1107,15)</f>
        <v>0</v>
      </c>
      <c r="W1107">
        <f ca="1">INDEX(rngParamTypes,$N1107,16)</f>
        <v>0</v>
      </c>
      <c r="X1107">
        <f ca="1">INDEX(rngParamTypes,$N1107,17)</f>
        <v>0</v>
      </c>
      <c r="Y1107">
        <f ca="1">INDEX(rngParamTypes,$N1107,18)</f>
        <v>0</v>
      </c>
    </row>
    <row r="1108" spans="1:25" x14ac:dyDescent="0.2">
      <c r="A1108" s="16">
        <v>1107</v>
      </c>
      <c r="B1108" s="37">
        <v>1</v>
      </c>
      <c r="C1108" s="16" t="s">
        <v>2803</v>
      </c>
      <c r="D1108" s="16" t="s">
        <v>2803</v>
      </c>
      <c r="E1108" s="16"/>
      <c r="F1108" s="16" t="s">
        <v>4209</v>
      </c>
      <c r="G1108" s="16" t="s">
        <v>4017</v>
      </c>
      <c r="H1108" s="16" t="s">
        <v>2802</v>
      </c>
      <c r="I1108" s="16" t="s">
        <v>479</v>
      </c>
      <c r="J1108" s="16">
        <v>0</v>
      </c>
      <c r="K1108" s="16">
        <v>9.9999999999999995E-7</v>
      </c>
      <c r="L1108" s="16">
        <v>0.30480000000000002</v>
      </c>
      <c r="M1108" s="16">
        <v>0</v>
      </c>
      <c r="N1108">
        <f t="array" aca="1" ref="N1108" ca="1">MATCH(TRUE,EXACT(I1108,OFFSET(rngParamTypes,0,6,,1)),0)</f>
        <v>192</v>
      </c>
      <c r="O1108" t="str">
        <f ca="1">IF((INDEX(rngParamTypes,$N1108,7)=I1108),"",1)</f>
        <v/>
      </c>
      <c r="P1108">
        <f ca="1">INDEX(rngParamTypes,$N1108,9)</f>
        <v>0</v>
      </c>
      <c r="Q1108">
        <f ca="1">INDEX(rngParamTypes,$N1108,10)</f>
        <v>-1</v>
      </c>
      <c r="R1108">
        <f ca="1">INDEX(rngParamTypes,$N1108,11)</f>
        <v>1</v>
      </c>
      <c r="S1108">
        <f ca="1">INDEX(rngParamTypes,$N1108,12)</f>
        <v>0</v>
      </c>
      <c r="T1108">
        <f ca="1">INDEX(rngParamTypes,$N1108,13)</f>
        <v>0</v>
      </c>
      <c r="U1108">
        <f ca="1">INDEX(rngParamTypes,$N1108,14)</f>
        <v>0</v>
      </c>
      <c r="V1108">
        <f ca="1">INDEX(rngParamTypes,$N1108,15)</f>
        <v>0</v>
      </c>
      <c r="W1108">
        <f ca="1">INDEX(rngParamTypes,$N1108,16)</f>
        <v>0</v>
      </c>
      <c r="X1108">
        <f ca="1">INDEX(rngParamTypes,$N1108,17)</f>
        <v>0</v>
      </c>
      <c r="Y1108">
        <f ca="1">INDEX(rngParamTypes,$N1108,18)</f>
        <v>0</v>
      </c>
    </row>
    <row r="1109" spans="1:25" x14ac:dyDescent="0.2">
      <c r="A1109" s="16">
        <v>1108</v>
      </c>
      <c r="B1109" s="37">
        <v>1</v>
      </c>
      <c r="C1109" s="16" t="s">
        <v>2805</v>
      </c>
      <c r="D1109" s="16" t="s">
        <v>2805</v>
      </c>
      <c r="E1109" s="16"/>
      <c r="F1109" s="16" t="s">
        <v>4210</v>
      </c>
      <c r="G1109" s="16" t="s">
        <v>4017</v>
      </c>
      <c r="H1109" s="16" t="s">
        <v>2804</v>
      </c>
      <c r="I1109" s="16" t="s">
        <v>479</v>
      </c>
      <c r="J1109" s="16">
        <v>0</v>
      </c>
      <c r="K1109" s="16">
        <v>9.9999999999999995E-7</v>
      </c>
      <c r="L1109" s="16">
        <v>1</v>
      </c>
      <c r="M1109" s="16">
        <v>0</v>
      </c>
      <c r="N1109">
        <f t="array" aca="1" ref="N1109" ca="1">MATCH(TRUE,EXACT(I1109,OFFSET(rngParamTypes,0,6,,1)),0)</f>
        <v>192</v>
      </c>
      <c r="O1109" t="str">
        <f ca="1">IF((INDEX(rngParamTypes,$N1109,7)=I1109),"",1)</f>
        <v/>
      </c>
      <c r="P1109">
        <f ca="1">INDEX(rngParamTypes,$N1109,9)</f>
        <v>0</v>
      </c>
      <c r="Q1109">
        <f ca="1">INDEX(rngParamTypes,$N1109,10)</f>
        <v>-1</v>
      </c>
      <c r="R1109">
        <f ca="1">INDEX(rngParamTypes,$N1109,11)</f>
        <v>1</v>
      </c>
      <c r="S1109">
        <f ca="1">INDEX(rngParamTypes,$N1109,12)</f>
        <v>0</v>
      </c>
      <c r="T1109">
        <f ca="1">INDEX(rngParamTypes,$N1109,13)</f>
        <v>0</v>
      </c>
      <c r="U1109">
        <f ca="1">INDEX(rngParamTypes,$N1109,14)</f>
        <v>0</v>
      </c>
      <c r="V1109">
        <f ca="1">INDEX(rngParamTypes,$N1109,15)</f>
        <v>0</v>
      </c>
      <c r="W1109">
        <f ca="1">INDEX(rngParamTypes,$N1109,16)</f>
        <v>0</v>
      </c>
      <c r="X1109">
        <f ca="1">INDEX(rngParamTypes,$N1109,17)</f>
        <v>0</v>
      </c>
      <c r="Y1109">
        <f ca="1">INDEX(rngParamTypes,$N1109,18)</f>
        <v>0</v>
      </c>
    </row>
    <row r="1110" spans="1:25" x14ac:dyDescent="0.2">
      <c r="A1110" s="16">
        <v>1109</v>
      </c>
      <c r="B1110" s="37">
        <v>1</v>
      </c>
      <c r="C1110" s="16" t="s">
        <v>2807</v>
      </c>
      <c r="D1110" s="16" t="s">
        <v>2807</v>
      </c>
      <c r="E1110" s="16"/>
      <c r="F1110" s="16" t="s">
        <v>4211</v>
      </c>
      <c r="G1110" s="16" t="s">
        <v>3602</v>
      </c>
      <c r="H1110" s="16" t="s">
        <v>2806</v>
      </c>
      <c r="I1110" s="16" t="s">
        <v>518</v>
      </c>
      <c r="J1110" s="16">
        <v>0</v>
      </c>
      <c r="K1110" s="16">
        <v>9.9999999999999995E-7</v>
      </c>
      <c r="L1110" s="16">
        <v>1</v>
      </c>
      <c r="M1110" s="16">
        <v>0</v>
      </c>
      <c r="N1110">
        <f t="array" aca="1" ref="N1110" ca="1">MATCH(TRUE,EXACT(I1110,OFFSET(rngParamTypes,0,6,,1)),0)</f>
        <v>206</v>
      </c>
      <c r="O1110" t="str">
        <f ca="1">IF((INDEX(rngParamTypes,$N1110,7)=I1110),"",1)</f>
        <v/>
      </c>
      <c r="P1110">
        <f ca="1">INDEX(rngParamTypes,$N1110,9)</f>
        <v>1</v>
      </c>
      <c r="Q1110">
        <f ca="1">INDEX(rngParamTypes,$N1110,10)</f>
        <v>0</v>
      </c>
      <c r="R1110">
        <f ca="1">INDEX(rngParamTypes,$N1110,11)</f>
        <v>-2</v>
      </c>
      <c r="S1110">
        <f ca="1">INDEX(rngParamTypes,$N1110,12)</f>
        <v>-1</v>
      </c>
      <c r="T1110">
        <f ca="1">INDEX(rngParamTypes,$N1110,13)</f>
        <v>0</v>
      </c>
      <c r="U1110">
        <f ca="1">INDEX(rngParamTypes,$N1110,14)</f>
        <v>0</v>
      </c>
      <c r="V1110">
        <f ca="1">INDEX(rngParamTypes,$N1110,15)</f>
        <v>0</v>
      </c>
      <c r="W1110">
        <f ca="1">INDEX(rngParamTypes,$N1110,16)</f>
        <v>0</v>
      </c>
      <c r="X1110">
        <f ca="1">INDEX(rngParamTypes,$N1110,17)</f>
        <v>0</v>
      </c>
      <c r="Y1110">
        <f ca="1">INDEX(rngParamTypes,$N1110,18)</f>
        <v>0</v>
      </c>
    </row>
    <row r="1111" spans="1:25" x14ac:dyDescent="0.2">
      <c r="A1111" s="16">
        <v>1110</v>
      </c>
      <c r="B1111" s="37">
        <v>1</v>
      </c>
      <c r="C1111" s="16" t="s">
        <v>2809</v>
      </c>
      <c r="D1111" s="16" t="s">
        <v>2809</v>
      </c>
      <c r="E1111" s="16"/>
      <c r="F1111" s="16" t="s">
        <v>4212</v>
      </c>
      <c r="G1111" s="16" t="s">
        <v>521</v>
      </c>
      <c r="H1111" s="16" t="s">
        <v>2808</v>
      </c>
      <c r="I1111" s="16" t="s">
        <v>522</v>
      </c>
      <c r="J1111" s="16">
        <v>0</v>
      </c>
      <c r="K1111" s="16">
        <v>9.9999999999999995E-7</v>
      </c>
      <c r="L1111" s="16">
        <v>1</v>
      </c>
      <c r="M1111" s="16">
        <v>0</v>
      </c>
      <c r="N1111">
        <f t="array" aca="1" ref="N1111" ca="1">MATCH(TRUE,EXACT(I1111,OFFSET(rngParamTypes,0,6,,1)),0)</f>
        <v>208</v>
      </c>
      <c r="O1111" t="str">
        <f ca="1">IF((INDEX(rngParamTypes,$N1111,7)=I1111),"",1)</f>
        <v/>
      </c>
      <c r="P1111">
        <f ca="1">INDEX(rngParamTypes,$N1111,9)</f>
        <v>1</v>
      </c>
      <c r="Q1111">
        <f ca="1">INDEX(rngParamTypes,$N1111,10)</f>
        <v>2</v>
      </c>
      <c r="R1111">
        <f ca="1">INDEX(rngParamTypes,$N1111,11)</f>
        <v>-3</v>
      </c>
      <c r="S1111">
        <f ca="1">INDEX(rngParamTypes,$N1111,12)</f>
        <v>-1</v>
      </c>
      <c r="T1111">
        <f ca="1">INDEX(rngParamTypes,$N1111,13)</f>
        <v>0</v>
      </c>
      <c r="U1111">
        <f ca="1">INDEX(rngParamTypes,$N1111,14)</f>
        <v>0</v>
      </c>
      <c r="V1111">
        <f ca="1">INDEX(rngParamTypes,$N1111,15)</f>
        <v>0</v>
      </c>
      <c r="W1111">
        <f ca="1">INDEX(rngParamTypes,$N1111,16)</f>
        <v>0</v>
      </c>
      <c r="X1111">
        <f ca="1">INDEX(rngParamTypes,$N1111,17)</f>
        <v>0</v>
      </c>
      <c r="Y1111">
        <f ca="1">INDEX(rngParamTypes,$N1111,18)</f>
        <v>0</v>
      </c>
    </row>
    <row r="1112" spans="1:25" x14ac:dyDescent="0.2">
      <c r="A1112" s="16">
        <v>1111</v>
      </c>
      <c r="B1112" s="37">
        <v>1</v>
      </c>
      <c r="C1112" s="16" t="s">
        <v>2811</v>
      </c>
      <c r="D1112" s="16" t="s">
        <v>2811</v>
      </c>
      <c r="E1112" s="16"/>
      <c r="F1112" s="16" t="s">
        <v>4213</v>
      </c>
      <c r="G1112" s="16" t="s">
        <v>528</v>
      </c>
      <c r="H1112" s="16" t="s">
        <v>2810</v>
      </c>
      <c r="I1112" s="16" t="s">
        <v>529</v>
      </c>
      <c r="J1112" s="16">
        <v>0</v>
      </c>
      <c r="K1112" s="16">
        <v>9.9999999999999995E-7</v>
      </c>
      <c r="L1112" s="16">
        <v>0.30480000000000002</v>
      </c>
      <c r="M1112" s="16">
        <v>0</v>
      </c>
      <c r="N1112">
        <f t="array" aca="1" ref="N1112" ca="1">MATCH(TRUE,EXACT(I1112,OFFSET(rngParamTypes,0,6,,1)),0)</f>
        <v>210</v>
      </c>
      <c r="O1112" t="str">
        <f ca="1">IF((INDEX(rngParamTypes,$N1112,7)=I1112),"",1)</f>
        <v/>
      </c>
      <c r="P1112">
        <f ca="1">INDEX(rngParamTypes,$N1112,9)</f>
        <v>1</v>
      </c>
      <c r="Q1112">
        <f ca="1">INDEX(rngParamTypes,$N1112,10)</f>
        <v>1</v>
      </c>
      <c r="R1112">
        <f ca="1">INDEX(rngParamTypes,$N1112,11)</f>
        <v>-3</v>
      </c>
      <c r="S1112">
        <f ca="1">INDEX(rngParamTypes,$N1112,12)</f>
        <v>-1</v>
      </c>
      <c r="T1112">
        <f ca="1">INDEX(rngParamTypes,$N1112,13)</f>
        <v>0</v>
      </c>
      <c r="U1112">
        <f ca="1">INDEX(rngParamTypes,$N1112,14)</f>
        <v>0</v>
      </c>
      <c r="V1112">
        <f ca="1">INDEX(rngParamTypes,$N1112,15)</f>
        <v>0</v>
      </c>
      <c r="W1112">
        <f ca="1">INDEX(rngParamTypes,$N1112,16)</f>
        <v>0</v>
      </c>
      <c r="X1112">
        <f ca="1">INDEX(rngParamTypes,$N1112,17)</f>
        <v>0</v>
      </c>
      <c r="Y1112">
        <f ca="1">INDEX(rngParamTypes,$N1112,18)</f>
        <v>0</v>
      </c>
    </row>
    <row r="1113" spans="1:25" x14ac:dyDescent="0.2">
      <c r="A1113" s="16">
        <v>1112</v>
      </c>
      <c r="B1113" s="37">
        <v>1</v>
      </c>
      <c r="C1113" s="16" t="s">
        <v>2813</v>
      </c>
      <c r="D1113" s="16" t="s">
        <v>2813</v>
      </c>
      <c r="E1113" s="16"/>
      <c r="F1113" s="16" t="s">
        <v>4214</v>
      </c>
      <c r="G1113" s="16" t="s">
        <v>528</v>
      </c>
      <c r="H1113" s="16" t="s">
        <v>2812</v>
      </c>
      <c r="I1113" s="16" t="s">
        <v>529</v>
      </c>
      <c r="J1113" s="16">
        <v>0</v>
      </c>
      <c r="K1113" s="16">
        <v>9.9999999999999995E-7</v>
      </c>
      <c r="L1113" s="16">
        <v>1</v>
      </c>
      <c r="M1113" s="16">
        <v>0</v>
      </c>
      <c r="N1113">
        <f t="array" aca="1" ref="N1113" ca="1">MATCH(TRUE,EXACT(I1113,OFFSET(rngParamTypes,0,6,,1)),0)</f>
        <v>210</v>
      </c>
      <c r="O1113" t="str">
        <f ca="1">IF((INDEX(rngParamTypes,$N1113,7)=I1113),"",1)</f>
        <v/>
      </c>
      <c r="P1113">
        <f ca="1">INDEX(rngParamTypes,$N1113,9)</f>
        <v>1</v>
      </c>
      <c r="Q1113">
        <f ca="1">INDEX(rngParamTypes,$N1113,10)</f>
        <v>1</v>
      </c>
      <c r="R1113">
        <f ca="1">INDEX(rngParamTypes,$N1113,11)</f>
        <v>-3</v>
      </c>
      <c r="S1113">
        <f ca="1">INDEX(rngParamTypes,$N1113,12)</f>
        <v>-1</v>
      </c>
      <c r="T1113">
        <f ca="1">INDEX(rngParamTypes,$N1113,13)</f>
        <v>0</v>
      </c>
      <c r="U1113">
        <f ca="1">INDEX(rngParamTypes,$N1113,14)</f>
        <v>0</v>
      </c>
      <c r="V1113">
        <f ca="1">INDEX(rngParamTypes,$N1113,15)</f>
        <v>0</v>
      </c>
      <c r="W1113">
        <f ca="1">INDEX(rngParamTypes,$N1113,16)</f>
        <v>0</v>
      </c>
      <c r="X1113">
        <f ca="1">INDEX(rngParamTypes,$N1113,17)</f>
        <v>0</v>
      </c>
      <c r="Y1113">
        <f ca="1">INDEX(rngParamTypes,$N1113,18)</f>
        <v>0</v>
      </c>
    </row>
    <row r="1114" spans="1:25" x14ac:dyDescent="0.2">
      <c r="A1114" s="16">
        <v>1113</v>
      </c>
      <c r="B1114" s="37">
        <v>1</v>
      </c>
      <c r="C1114" s="16" t="s">
        <v>2815</v>
      </c>
      <c r="D1114" s="16" t="s">
        <v>2815</v>
      </c>
      <c r="E1114" s="16">
        <v>2</v>
      </c>
      <c r="F1114" s="16" t="s">
        <v>4215</v>
      </c>
      <c r="G1114" s="16" t="s">
        <v>3624</v>
      </c>
      <c r="H1114" s="16" t="s">
        <v>2814</v>
      </c>
      <c r="I1114" s="16" t="s">
        <v>533</v>
      </c>
      <c r="J1114" s="16">
        <v>0</v>
      </c>
      <c r="K1114" s="16">
        <v>9.9999999999999995E-7</v>
      </c>
      <c r="L1114" s="16">
        <v>1</v>
      </c>
      <c r="M1114" s="16">
        <v>0</v>
      </c>
      <c r="N1114">
        <f t="array" aca="1" ref="N1114" ca="1">MATCH(TRUE,EXACT(I1114,OFFSET(rngParamTypes,0,6,,1)),0)</f>
        <v>211</v>
      </c>
      <c r="O1114" t="str">
        <f ca="1">IF((INDEX(rngParamTypes,$N1114,7)=I1114),"",1)</f>
        <v/>
      </c>
      <c r="P1114">
        <f ca="1">INDEX(rngParamTypes,$N1114,9)</f>
        <v>1</v>
      </c>
      <c r="Q1114">
        <f ca="1">INDEX(rngParamTypes,$N1114,10)</f>
        <v>2</v>
      </c>
      <c r="R1114">
        <f ca="1">INDEX(rngParamTypes,$N1114,11)</f>
        <v>-3</v>
      </c>
      <c r="S1114">
        <f ca="1">INDEX(rngParamTypes,$N1114,12)</f>
        <v>0</v>
      </c>
      <c r="T1114">
        <f ca="1">INDEX(rngParamTypes,$N1114,13)</f>
        <v>0</v>
      </c>
      <c r="U1114">
        <f ca="1">INDEX(rngParamTypes,$N1114,14)</f>
        <v>0</v>
      </c>
      <c r="V1114">
        <f ca="1">INDEX(rngParamTypes,$N1114,15)</f>
        <v>0</v>
      </c>
      <c r="W1114">
        <f ca="1">INDEX(rngParamTypes,$N1114,16)</f>
        <v>0</v>
      </c>
      <c r="X1114">
        <f ca="1">INDEX(rngParamTypes,$N1114,17)</f>
        <v>0</v>
      </c>
      <c r="Y1114">
        <f ca="1">INDEX(rngParamTypes,$N1114,18)</f>
        <v>0</v>
      </c>
    </row>
    <row r="1115" spans="1:25" x14ac:dyDescent="0.2">
      <c r="A1115" s="16">
        <v>1114</v>
      </c>
      <c r="B1115" s="37">
        <v>1</v>
      </c>
      <c r="C1115" s="16" t="s">
        <v>2817</v>
      </c>
      <c r="D1115" s="16" t="s">
        <v>2817</v>
      </c>
      <c r="E1115" s="16"/>
      <c r="F1115" s="16" t="s">
        <v>4216</v>
      </c>
      <c r="G1115" s="16" t="s">
        <v>559</v>
      </c>
      <c r="H1115" s="16" t="s">
        <v>2816</v>
      </c>
      <c r="I1115" s="16" t="s">
        <v>560</v>
      </c>
      <c r="J1115" s="16">
        <v>0</v>
      </c>
      <c r="K1115" s="16">
        <v>9.9999999999999995E-7</v>
      </c>
      <c r="L1115" s="16">
        <v>1</v>
      </c>
      <c r="M1115" s="16">
        <v>0</v>
      </c>
      <c r="N1115">
        <f t="array" aca="1" ref="N1115" ca="1">MATCH(TRUE,EXACT(I1115,OFFSET(rngParamTypes,0,6,,1)),0)</f>
        <v>226</v>
      </c>
      <c r="O1115" t="str">
        <f ca="1">IF((INDEX(rngParamTypes,$N1115,7)=I1115),"",1)</f>
        <v/>
      </c>
      <c r="P1115">
        <f ca="1">INDEX(rngParamTypes,$N1115,9)</f>
        <v>1</v>
      </c>
      <c r="Q1115">
        <f ca="1">INDEX(rngParamTypes,$N1115,10)</f>
        <v>-1</v>
      </c>
      <c r="R1115">
        <f ca="1">INDEX(rngParamTypes,$N1115,11)</f>
        <v>-3</v>
      </c>
      <c r="S1115">
        <f ca="1">INDEX(rngParamTypes,$N1115,12)</f>
        <v>0</v>
      </c>
      <c r="T1115">
        <f ca="1">INDEX(rngParamTypes,$N1115,13)</f>
        <v>0</v>
      </c>
      <c r="U1115">
        <f ca="1">INDEX(rngParamTypes,$N1115,14)</f>
        <v>0</v>
      </c>
      <c r="V1115">
        <f ca="1">INDEX(rngParamTypes,$N1115,15)</f>
        <v>0</v>
      </c>
      <c r="W1115">
        <f ca="1">INDEX(rngParamTypes,$N1115,16)</f>
        <v>0</v>
      </c>
      <c r="X1115">
        <f ca="1">INDEX(rngParamTypes,$N1115,17)</f>
        <v>0</v>
      </c>
      <c r="Y1115">
        <f ca="1">INDEX(rngParamTypes,$N1115,18)</f>
        <v>0</v>
      </c>
    </row>
    <row r="1116" spans="1:25" x14ac:dyDescent="0.2">
      <c r="A1116" s="16">
        <v>1115</v>
      </c>
      <c r="B1116" s="37">
        <v>1</v>
      </c>
      <c r="C1116" s="16" t="s">
        <v>2819</v>
      </c>
      <c r="D1116" s="16" t="s">
        <v>2819</v>
      </c>
      <c r="E1116" s="16"/>
      <c r="F1116" s="16" t="s">
        <v>4217</v>
      </c>
      <c r="G1116" s="16" t="s">
        <v>568</v>
      </c>
      <c r="H1116" s="16" t="s">
        <v>2818</v>
      </c>
      <c r="I1116" s="16" t="s">
        <v>569</v>
      </c>
      <c r="J1116" s="16">
        <v>0</v>
      </c>
      <c r="K1116" s="16">
        <v>9.9999999999999995E-7</v>
      </c>
      <c r="L1116" s="16">
        <v>1</v>
      </c>
      <c r="M1116" s="16">
        <v>0</v>
      </c>
      <c r="N1116">
        <f t="array" aca="1" ref="N1116" ca="1">MATCH(TRUE,EXACT(I1116,OFFSET(rngParamTypes,0,6,,1)),0)</f>
        <v>229</v>
      </c>
      <c r="O1116" t="str">
        <f ca="1">IF((INDEX(rngParamTypes,$N1116,7)=I1116),"",1)</f>
        <v/>
      </c>
      <c r="P1116">
        <f ca="1">INDEX(rngParamTypes,$N1116,9)</f>
        <v>1</v>
      </c>
      <c r="Q1116">
        <f ca="1">INDEX(rngParamTypes,$N1116,10)</f>
        <v>2</v>
      </c>
      <c r="R1116">
        <f ca="1">INDEX(rngParamTypes,$N1116,11)</f>
        <v>-2</v>
      </c>
      <c r="S1116">
        <f ca="1">INDEX(rngParamTypes,$N1116,12)</f>
        <v>-1</v>
      </c>
      <c r="T1116">
        <f ca="1">INDEX(rngParamTypes,$N1116,13)</f>
        <v>0</v>
      </c>
      <c r="U1116">
        <f ca="1">INDEX(rngParamTypes,$N1116,14)</f>
        <v>0</v>
      </c>
      <c r="V1116">
        <f ca="1">INDEX(rngParamTypes,$N1116,15)</f>
        <v>0</v>
      </c>
      <c r="W1116">
        <f ca="1">INDEX(rngParamTypes,$N1116,16)</f>
        <v>0</v>
      </c>
      <c r="X1116">
        <f ca="1">INDEX(rngParamTypes,$N1116,17)</f>
        <v>0</v>
      </c>
      <c r="Y1116">
        <f ca="1">INDEX(rngParamTypes,$N1116,18)</f>
        <v>0</v>
      </c>
    </row>
    <row r="1117" spans="1:25" x14ac:dyDescent="0.2">
      <c r="A1117" s="16">
        <v>1116</v>
      </c>
      <c r="B1117" s="37">
        <v>1</v>
      </c>
      <c r="C1117" s="16" t="s">
        <v>2821</v>
      </c>
      <c r="D1117" s="16" t="s">
        <v>2821</v>
      </c>
      <c r="E1117" s="16"/>
      <c r="F1117" s="16" t="s">
        <v>4218</v>
      </c>
      <c r="G1117" s="16" t="s">
        <v>525</v>
      </c>
      <c r="H1117" s="16" t="s">
        <v>2820</v>
      </c>
      <c r="I1117" s="16" t="s">
        <v>526</v>
      </c>
      <c r="J1117" s="16">
        <v>0</v>
      </c>
      <c r="K1117" s="16">
        <v>10</v>
      </c>
      <c r="L1117" s="16">
        <v>1</v>
      </c>
      <c r="M1117" s="16">
        <v>0</v>
      </c>
      <c r="N1117">
        <f t="array" aca="1" ref="N1117" ca="1">MATCH(TRUE,EXACT(I1117,OFFSET(rngParamTypes,0,6,,1)),0)</f>
        <v>209</v>
      </c>
      <c r="O1117" t="str">
        <f ca="1">IF((INDEX(rngParamTypes,$N1117,7)=I1117),"",1)</f>
        <v/>
      </c>
      <c r="P1117">
        <f ca="1">INDEX(rngParamTypes,$N1117,9)</f>
        <v>1</v>
      </c>
      <c r="Q1117">
        <f ca="1">INDEX(rngParamTypes,$N1117,10)</f>
        <v>2</v>
      </c>
      <c r="R1117">
        <f ca="1">INDEX(rngParamTypes,$N1117,11)</f>
        <v>-3</v>
      </c>
      <c r="S1117">
        <f ca="1">INDEX(rngParamTypes,$N1117,12)</f>
        <v>-1</v>
      </c>
      <c r="T1117">
        <f ca="1">INDEX(rngParamTypes,$N1117,13)</f>
        <v>0</v>
      </c>
      <c r="U1117">
        <f ca="1">INDEX(rngParamTypes,$N1117,14)</f>
        <v>0</v>
      </c>
      <c r="V1117">
        <f ca="1">INDEX(rngParamTypes,$N1117,15)</f>
        <v>0</v>
      </c>
      <c r="W1117">
        <f ca="1">INDEX(rngParamTypes,$N1117,16)</f>
        <v>0</v>
      </c>
      <c r="X1117">
        <f ca="1">INDEX(rngParamTypes,$N1117,17)</f>
        <v>0</v>
      </c>
      <c r="Y1117">
        <f ca="1">INDEX(rngParamTypes,$N1117,18)</f>
        <v>0</v>
      </c>
    </row>
    <row r="1118" spans="1:25" x14ac:dyDescent="0.2">
      <c r="A1118" s="16">
        <v>1117</v>
      </c>
      <c r="B1118" s="37">
        <v>1</v>
      </c>
      <c r="C1118" s="16" t="s">
        <v>2823</v>
      </c>
      <c r="D1118" s="16" t="s">
        <v>2823</v>
      </c>
      <c r="E1118" s="16"/>
      <c r="F1118" s="16" t="s">
        <v>4219</v>
      </c>
      <c r="G1118" s="16" t="s">
        <v>659</v>
      </c>
      <c r="H1118" s="16" t="s">
        <v>2822</v>
      </c>
      <c r="I1118" s="16" t="s">
        <v>131</v>
      </c>
      <c r="J1118" s="16">
        <v>0</v>
      </c>
      <c r="K1118" s="16">
        <v>0.01</v>
      </c>
      <c r="L1118" s="16">
        <v>1</v>
      </c>
      <c r="M1118" s="16">
        <v>0</v>
      </c>
      <c r="N1118">
        <f t="array" aca="1" ref="N1118" ca="1">MATCH(TRUE,EXACT(I1118,OFFSET(rngParamTypes,0,6,,1)),0)</f>
        <v>42</v>
      </c>
      <c r="O1118" t="str">
        <f ca="1">IF((INDEX(rngParamTypes,$N1118,7)=I1118),"",1)</f>
        <v/>
      </c>
      <c r="P1118">
        <f ca="1">INDEX(rngParamTypes,$N1118,9)</f>
        <v>0</v>
      </c>
      <c r="Q1118">
        <f ca="1">INDEX(rngParamTypes,$N1118,10)</f>
        <v>0</v>
      </c>
      <c r="R1118">
        <f ca="1">INDEX(rngParamTypes,$N1118,11)</f>
        <v>0</v>
      </c>
      <c r="S1118">
        <f ca="1">INDEX(rngParamTypes,$N1118,12)</f>
        <v>0</v>
      </c>
      <c r="T1118">
        <f ca="1">INDEX(rngParamTypes,$N1118,13)</f>
        <v>0</v>
      </c>
      <c r="U1118">
        <f ca="1">INDEX(rngParamTypes,$N1118,14)</f>
        <v>0</v>
      </c>
      <c r="V1118">
        <f ca="1">INDEX(rngParamTypes,$N1118,15)</f>
        <v>0</v>
      </c>
      <c r="W1118">
        <f ca="1">INDEX(rngParamTypes,$N1118,16)</f>
        <v>0</v>
      </c>
      <c r="X1118">
        <f ca="1">INDEX(rngParamTypes,$N1118,17)</f>
        <v>0</v>
      </c>
      <c r="Y1118">
        <f ca="1">INDEX(rngParamTypes,$N1118,18)</f>
        <v>0</v>
      </c>
    </row>
    <row r="1119" spans="1:25" x14ac:dyDescent="0.2">
      <c r="A1119" s="16">
        <v>1118</v>
      </c>
      <c r="B1119" s="37">
        <v>1</v>
      </c>
      <c r="C1119" s="16" t="s">
        <v>2825</v>
      </c>
      <c r="D1119" s="16" t="s">
        <v>2825</v>
      </c>
      <c r="E1119" s="16"/>
      <c r="F1119" s="16" t="s">
        <v>4220</v>
      </c>
      <c r="G1119" s="16" t="s">
        <v>659</v>
      </c>
      <c r="H1119" s="16" t="s">
        <v>2824</v>
      </c>
      <c r="I1119" s="16" t="s">
        <v>131</v>
      </c>
      <c r="J1119" s="16">
        <v>0</v>
      </c>
      <c r="K1119" s="16">
        <v>9.9999999999999995E-7</v>
      </c>
      <c r="L1119" s="16">
        <v>1</v>
      </c>
      <c r="M1119" s="16">
        <v>0</v>
      </c>
      <c r="N1119">
        <f t="array" aca="1" ref="N1119" ca="1">MATCH(TRUE,EXACT(I1119,OFFSET(rngParamTypes,0,6,,1)),0)</f>
        <v>42</v>
      </c>
      <c r="O1119" t="str">
        <f ca="1">IF((INDEX(rngParamTypes,$N1119,7)=I1119),"",1)</f>
        <v/>
      </c>
      <c r="P1119">
        <f ca="1">INDEX(rngParamTypes,$N1119,9)</f>
        <v>0</v>
      </c>
      <c r="Q1119">
        <f ca="1">INDEX(rngParamTypes,$N1119,10)</f>
        <v>0</v>
      </c>
      <c r="R1119">
        <f ca="1">INDEX(rngParamTypes,$N1119,11)</f>
        <v>0</v>
      </c>
      <c r="S1119">
        <f ca="1">INDEX(rngParamTypes,$N1119,12)</f>
        <v>0</v>
      </c>
      <c r="T1119">
        <f ca="1">INDEX(rngParamTypes,$N1119,13)</f>
        <v>0</v>
      </c>
      <c r="U1119">
        <f ca="1">INDEX(rngParamTypes,$N1119,14)</f>
        <v>0</v>
      </c>
      <c r="V1119">
        <f ca="1">INDEX(rngParamTypes,$N1119,15)</f>
        <v>0</v>
      </c>
      <c r="W1119">
        <f ca="1">INDEX(rngParamTypes,$N1119,16)</f>
        <v>0</v>
      </c>
      <c r="X1119">
        <f ca="1">INDEX(rngParamTypes,$N1119,17)</f>
        <v>0</v>
      </c>
      <c r="Y1119">
        <f ca="1">INDEX(rngParamTypes,$N1119,18)</f>
        <v>0</v>
      </c>
    </row>
    <row r="1120" spans="1:25" x14ac:dyDescent="0.2">
      <c r="A1120" s="16">
        <v>1119</v>
      </c>
      <c r="B1120" s="37">
        <v>1</v>
      </c>
      <c r="C1120" s="16" t="s">
        <v>2827</v>
      </c>
      <c r="D1120" s="16" t="s">
        <v>2827</v>
      </c>
      <c r="E1120" s="16">
        <v>2</v>
      </c>
      <c r="F1120" s="16" t="s">
        <v>4221</v>
      </c>
      <c r="G1120" s="16" t="s">
        <v>3322</v>
      </c>
      <c r="H1120" s="16" t="s">
        <v>2826</v>
      </c>
      <c r="I1120" s="16" t="s">
        <v>551</v>
      </c>
      <c r="J1120" s="16">
        <v>0</v>
      </c>
      <c r="K1120" s="16">
        <v>10000</v>
      </c>
      <c r="L1120" s="16">
        <v>1</v>
      </c>
      <c r="M1120" s="16">
        <v>0</v>
      </c>
      <c r="N1120">
        <f t="array" aca="1" ref="N1120" ca="1">MATCH(TRUE,EXACT(I1120,OFFSET(rngParamTypes,0,6,,1)),0)</f>
        <v>216</v>
      </c>
      <c r="O1120" t="str">
        <f ca="1">IF((INDEX(rngParamTypes,$N1120,7)=I1120),"",1)</f>
        <v/>
      </c>
      <c r="P1120">
        <f ca="1">INDEX(rngParamTypes,$N1120,9)</f>
        <v>1</v>
      </c>
      <c r="Q1120">
        <f ca="1">INDEX(rngParamTypes,$N1120,10)</f>
        <v>0</v>
      </c>
      <c r="R1120">
        <f ca="1">INDEX(rngParamTypes,$N1120,11)</f>
        <v>-3</v>
      </c>
      <c r="S1120">
        <f ca="1">INDEX(rngParamTypes,$N1120,12)</f>
        <v>0</v>
      </c>
      <c r="T1120">
        <f ca="1">INDEX(rngParamTypes,$N1120,13)</f>
        <v>0</v>
      </c>
      <c r="U1120">
        <f ca="1">INDEX(rngParamTypes,$N1120,14)</f>
        <v>0</v>
      </c>
      <c r="V1120">
        <f ca="1">INDEX(rngParamTypes,$N1120,15)</f>
        <v>0</v>
      </c>
      <c r="W1120">
        <f ca="1">INDEX(rngParamTypes,$N1120,16)</f>
        <v>0</v>
      </c>
      <c r="X1120">
        <f ca="1">INDEX(rngParamTypes,$N1120,17)</f>
        <v>0</v>
      </c>
      <c r="Y1120">
        <f ca="1">INDEX(rngParamTypes,$N1120,18)</f>
        <v>0</v>
      </c>
    </row>
    <row r="1121" spans="1:25" x14ac:dyDescent="0.2">
      <c r="A1121" s="16">
        <v>1120</v>
      </c>
      <c r="B1121" s="37">
        <v>1</v>
      </c>
      <c r="C1121" s="16" t="s">
        <v>2829</v>
      </c>
      <c r="D1121" s="16" t="s">
        <v>2829</v>
      </c>
      <c r="E1121" s="16"/>
      <c r="F1121" s="16" t="s">
        <v>4222</v>
      </c>
      <c r="G1121" s="16" t="s">
        <v>586</v>
      </c>
      <c r="H1121" s="16" t="s">
        <v>2828</v>
      </c>
      <c r="I1121" s="16" t="s">
        <v>131</v>
      </c>
      <c r="J1121" s="16">
        <v>0</v>
      </c>
      <c r="K1121" s="16">
        <v>1E-3</v>
      </c>
      <c r="L1121" s="16">
        <v>1</v>
      </c>
      <c r="M1121" s="16">
        <v>0</v>
      </c>
      <c r="N1121">
        <f t="array" aca="1" ref="N1121" ca="1">MATCH(TRUE,EXACT(I1121,OFFSET(rngParamTypes,0,6,,1)),0)</f>
        <v>42</v>
      </c>
      <c r="O1121" t="str">
        <f ca="1">IF((INDEX(rngParamTypes,$N1121,7)=I1121),"",1)</f>
        <v/>
      </c>
      <c r="P1121">
        <f ca="1">INDEX(rngParamTypes,$N1121,9)</f>
        <v>0</v>
      </c>
      <c r="Q1121">
        <f ca="1">INDEX(rngParamTypes,$N1121,10)</f>
        <v>0</v>
      </c>
      <c r="R1121">
        <f ca="1">INDEX(rngParamTypes,$N1121,11)</f>
        <v>0</v>
      </c>
      <c r="S1121">
        <f ca="1">INDEX(rngParamTypes,$N1121,12)</f>
        <v>0</v>
      </c>
      <c r="T1121">
        <f ca="1">INDEX(rngParamTypes,$N1121,13)</f>
        <v>0</v>
      </c>
      <c r="U1121">
        <f ca="1">INDEX(rngParamTypes,$N1121,14)</f>
        <v>0</v>
      </c>
      <c r="V1121">
        <f ca="1">INDEX(rngParamTypes,$N1121,15)</f>
        <v>0</v>
      </c>
      <c r="W1121">
        <f ca="1">INDEX(rngParamTypes,$N1121,16)</f>
        <v>0</v>
      </c>
      <c r="X1121">
        <f ca="1">INDEX(rngParamTypes,$N1121,17)</f>
        <v>0</v>
      </c>
      <c r="Y1121">
        <f ca="1">INDEX(rngParamTypes,$N1121,18)</f>
        <v>0</v>
      </c>
    </row>
    <row r="1122" spans="1:25" x14ac:dyDescent="0.2">
      <c r="A1122" s="16">
        <v>1121</v>
      </c>
      <c r="B1122" s="37">
        <v>1</v>
      </c>
      <c r="C1122" s="16" t="s">
        <v>2831</v>
      </c>
      <c r="D1122" s="16" t="s">
        <v>2831</v>
      </c>
      <c r="E1122" s="16">
        <v>2</v>
      </c>
      <c r="F1122" s="16" t="s">
        <v>4223</v>
      </c>
      <c r="G1122" s="16" t="s">
        <v>3322</v>
      </c>
      <c r="H1122" s="16" t="s">
        <v>2830</v>
      </c>
      <c r="I1122" s="16" t="s">
        <v>551</v>
      </c>
      <c r="J1122" s="16">
        <v>0</v>
      </c>
      <c r="K1122" s="16">
        <v>1000000</v>
      </c>
      <c r="L1122" s="16">
        <v>1</v>
      </c>
      <c r="M1122" s="16">
        <v>0</v>
      </c>
      <c r="N1122">
        <f t="array" aca="1" ref="N1122" ca="1">MATCH(TRUE,EXACT(I1122,OFFSET(rngParamTypes,0,6,,1)),0)</f>
        <v>216</v>
      </c>
      <c r="O1122" t="str">
        <f ca="1">IF((INDEX(rngParamTypes,$N1122,7)=I1122),"",1)</f>
        <v/>
      </c>
      <c r="P1122">
        <f ca="1">INDEX(rngParamTypes,$N1122,9)</f>
        <v>1</v>
      </c>
      <c r="Q1122">
        <f ca="1">INDEX(rngParamTypes,$N1122,10)</f>
        <v>0</v>
      </c>
      <c r="R1122">
        <f ca="1">INDEX(rngParamTypes,$N1122,11)</f>
        <v>-3</v>
      </c>
      <c r="S1122">
        <f ca="1">INDEX(rngParamTypes,$N1122,12)</f>
        <v>0</v>
      </c>
      <c r="T1122">
        <f ca="1">INDEX(rngParamTypes,$N1122,13)</f>
        <v>0</v>
      </c>
      <c r="U1122">
        <f ca="1">INDEX(rngParamTypes,$N1122,14)</f>
        <v>0</v>
      </c>
      <c r="V1122">
        <f ca="1">INDEX(rngParamTypes,$N1122,15)</f>
        <v>0</v>
      </c>
      <c r="W1122">
        <f ca="1">INDEX(rngParamTypes,$N1122,16)</f>
        <v>0</v>
      </c>
      <c r="X1122">
        <f ca="1">INDEX(rngParamTypes,$N1122,17)</f>
        <v>0</v>
      </c>
      <c r="Y1122">
        <f ca="1">INDEX(rngParamTypes,$N1122,18)</f>
        <v>0</v>
      </c>
    </row>
    <row r="1123" spans="1:25" x14ac:dyDescent="0.2">
      <c r="A1123" s="16">
        <v>1122</v>
      </c>
      <c r="B1123" s="37">
        <v>1</v>
      </c>
      <c r="C1123" s="16" t="s">
        <v>2833</v>
      </c>
      <c r="D1123" s="16" t="s">
        <v>2833</v>
      </c>
      <c r="E1123" s="16"/>
      <c r="F1123" s="16" t="s">
        <v>4224</v>
      </c>
      <c r="G1123" s="16" t="s">
        <v>586</v>
      </c>
      <c r="H1123" s="16" t="s">
        <v>2832</v>
      </c>
      <c r="I1123" s="16" t="s">
        <v>131</v>
      </c>
      <c r="J1123" s="16">
        <v>0</v>
      </c>
      <c r="K1123" s="16">
        <v>1</v>
      </c>
      <c r="L1123" s="16">
        <v>1</v>
      </c>
      <c r="M1123" s="16">
        <v>0</v>
      </c>
      <c r="N1123">
        <f t="array" aca="1" ref="N1123" ca="1">MATCH(TRUE,EXACT(I1123,OFFSET(rngParamTypes,0,6,,1)),0)</f>
        <v>42</v>
      </c>
      <c r="O1123" t="str">
        <f ca="1">IF((INDEX(rngParamTypes,$N1123,7)=I1123),"",1)</f>
        <v/>
      </c>
      <c r="P1123">
        <f ca="1">INDEX(rngParamTypes,$N1123,9)</f>
        <v>0</v>
      </c>
      <c r="Q1123">
        <f ca="1">INDEX(rngParamTypes,$N1123,10)</f>
        <v>0</v>
      </c>
      <c r="R1123">
        <f ca="1">INDEX(rngParamTypes,$N1123,11)</f>
        <v>0</v>
      </c>
      <c r="S1123">
        <f ca="1">INDEX(rngParamTypes,$N1123,12)</f>
        <v>0</v>
      </c>
      <c r="T1123">
        <f ca="1">INDEX(rngParamTypes,$N1123,13)</f>
        <v>0</v>
      </c>
      <c r="U1123">
        <f ca="1">INDEX(rngParamTypes,$N1123,14)</f>
        <v>0</v>
      </c>
      <c r="V1123">
        <f ca="1">INDEX(rngParamTypes,$N1123,15)</f>
        <v>0</v>
      </c>
      <c r="W1123">
        <f ca="1">INDEX(rngParamTypes,$N1123,16)</f>
        <v>0</v>
      </c>
      <c r="X1123">
        <f ca="1">INDEX(rngParamTypes,$N1123,17)</f>
        <v>0</v>
      </c>
      <c r="Y1123">
        <f ca="1">INDEX(rngParamTypes,$N1123,18)</f>
        <v>0</v>
      </c>
    </row>
    <row r="1124" spans="1:25" x14ac:dyDescent="0.2">
      <c r="A1124" s="16">
        <v>1123</v>
      </c>
      <c r="B1124" s="37">
        <v>1</v>
      </c>
      <c r="C1124" s="16" t="s">
        <v>2835</v>
      </c>
      <c r="D1124" s="16" t="s">
        <v>2835</v>
      </c>
      <c r="E1124" s="16"/>
      <c r="F1124" s="16" t="s">
        <v>4225</v>
      </c>
      <c r="G1124" s="16" t="s">
        <v>575</v>
      </c>
      <c r="H1124" s="16" t="s">
        <v>2834</v>
      </c>
      <c r="I1124" s="16" t="s">
        <v>576</v>
      </c>
      <c r="J1124" s="16">
        <v>0</v>
      </c>
      <c r="K1124" s="16">
        <v>1000</v>
      </c>
      <c r="L1124" s="16">
        <v>1</v>
      </c>
      <c r="M1124" s="16">
        <v>0</v>
      </c>
      <c r="N1124">
        <f t="array" aca="1" ref="N1124" ca="1">MATCH(TRUE,EXACT(I1124,OFFSET(rngParamTypes,0,6,,1)),0)</f>
        <v>231</v>
      </c>
      <c r="O1124" t="str">
        <f ca="1">IF((INDEX(rngParamTypes,$N1124,7)=I1124),"",1)</f>
        <v/>
      </c>
      <c r="P1124">
        <f ca="1">INDEX(rngParamTypes,$N1124,9)</f>
        <v>1</v>
      </c>
      <c r="Q1124">
        <f ca="1">INDEX(rngParamTypes,$N1124,10)</f>
        <v>1</v>
      </c>
      <c r="R1124">
        <f ca="1">INDEX(rngParamTypes,$N1124,11)</f>
        <v>-2</v>
      </c>
      <c r="S1124">
        <f ca="1">INDEX(rngParamTypes,$N1124,12)</f>
        <v>-1</v>
      </c>
      <c r="T1124">
        <f ca="1">INDEX(rngParamTypes,$N1124,13)</f>
        <v>0</v>
      </c>
      <c r="U1124">
        <f ca="1">INDEX(rngParamTypes,$N1124,14)</f>
        <v>0</v>
      </c>
      <c r="V1124">
        <f ca="1">INDEX(rngParamTypes,$N1124,15)</f>
        <v>0</v>
      </c>
      <c r="W1124">
        <f ca="1">INDEX(rngParamTypes,$N1124,16)</f>
        <v>0</v>
      </c>
      <c r="X1124">
        <f ca="1">INDEX(rngParamTypes,$N1124,17)</f>
        <v>0</v>
      </c>
      <c r="Y1124">
        <f ca="1">INDEX(rngParamTypes,$N1124,18)</f>
        <v>0</v>
      </c>
    </row>
    <row r="1125" spans="1:25" x14ac:dyDescent="0.2">
      <c r="A1125" s="16">
        <v>1124</v>
      </c>
      <c r="B1125" s="37">
        <v>1</v>
      </c>
      <c r="C1125" s="16" t="s">
        <v>2837</v>
      </c>
      <c r="D1125" s="16" t="s">
        <v>2837</v>
      </c>
      <c r="E1125" s="16">
        <v>2</v>
      </c>
      <c r="F1125" s="16" t="s">
        <v>4226</v>
      </c>
      <c r="G1125" s="16" t="s">
        <v>469</v>
      </c>
      <c r="H1125" s="16" t="s">
        <v>2836</v>
      </c>
      <c r="I1125" s="16" t="s">
        <v>470</v>
      </c>
      <c r="J1125" s="16">
        <v>0</v>
      </c>
      <c r="K1125" s="16">
        <v>604800</v>
      </c>
      <c r="L1125" s="16">
        <v>1</v>
      </c>
      <c r="M1125" s="16">
        <v>0</v>
      </c>
      <c r="N1125">
        <f t="array" aca="1" ref="N1125" ca="1">MATCH(TRUE,EXACT(I1125,OFFSET(rngParamTypes,0,6,,1)),0)</f>
        <v>190</v>
      </c>
      <c r="O1125" t="str">
        <f ca="1">IF((INDEX(rngParamTypes,$N1125,7)=I1125),"",1)</f>
        <v/>
      </c>
      <c r="P1125">
        <f ca="1">INDEX(rngParamTypes,$N1125,9)</f>
        <v>0</v>
      </c>
      <c r="Q1125">
        <f ca="1">INDEX(rngParamTypes,$N1125,10)</f>
        <v>0</v>
      </c>
      <c r="R1125">
        <f ca="1">INDEX(rngParamTypes,$N1125,11)</f>
        <v>1</v>
      </c>
      <c r="S1125">
        <f ca="1">INDEX(rngParamTypes,$N1125,12)</f>
        <v>0</v>
      </c>
      <c r="T1125">
        <f ca="1">INDEX(rngParamTypes,$N1125,13)</f>
        <v>0</v>
      </c>
      <c r="U1125">
        <f ca="1">INDEX(rngParamTypes,$N1125,14)</f>
        <v>0</v>
      </c>
      <c r="V1125">
        <f ca="1">INDEX(rngParamTypes,$N1125,15)</f>
        <v>0</v>
      </c>
      <c r="W1125">
        <f ca="1">INDEX(rngParamTypes,$N1125,16)</f>
        <v>0</v>
      </c>
      <c r="X1125">
        <f ca="1">INDEX(rngParamTypes,$N1125,17)</f>
        <v>0</v>
      </c>
      <c r="Y1125">
        <f ca="1">INDEX(rngParamTypes,$N1125,18)</f>
        <v>0</v>
      </c>
    </row>
    <row r="1126" spans="1:25" x14ac:dyDescent="0.2">
      <c r="A1126" s="16">
        <v>1125</v>
      </c>
      <c r="B1126" s="37">
        <v>1</v>
      </c>
      <c r="C1126" s="16" t="s">
        <v>2839</v>
      </c>
      <c r="D1126" s="16" t="s">
        <v>2839</v>
      </c>
      <c r="E1126" s="16"/>
      <c r="F1126" s="16" t="s">
        <v>4227</v>
      </c>
      <c r="G1126" s="16" t="s">
        <v>127</v>
      </c>
      <c r="H1126" s="16" t="s">
        <v>2838</v>
      </c>
      <c r="I1126" s="16" t="s">
        <v>131</v>
      </c>
      <c r="J1126" s="16">
        <v>0</v>
      </c>
      <c r="K1126" s="16">
        <v>0.01</v>
      </c>
      <c r="L1126" s="16">
        <v>1</v>
      </c>
      <c r="M1126" s="16">
        <v>0</v>
      </c>
      <c r="N1126">
        <f t="array" aca="1" ref="N1126" ca="1">MATCH(TRUE,EXACT(I1126,OFFSET(rngParamTypes,0,6,,1)),0)</f>
        <v>42</v>
      </c>
      <c r="O1126" t="str">
        <f ca="1">IF((INDEX(rngParamTypes,$N1126,7)=I1126),"",1)</f>
        <v/>
      </c>
      <c r="P1126">
        <f ca="1">INDEX(rngParamTypes,$N1126,9)</f>
        <v>0</v>
      </c>
      <c r="Q1126">
        <f ca="1">INDEX(rngParamTypes,$N1126,10)</f>
        <v>0</v>
      </c>
      <c r="R1126">
        <f ca="1">INDEX(rngParamTypes,$N1126,11)</f>
        <v>0</v>
      </c>
      <c r="S1126">
        <f ca="1">INDEX(rngParamTypes,$N1126,12)</f>
        <v>0</v>
      </c>
      <c r="T1126">
        <f ca="1">INDEX(rngParamTypes,$N1126,13)</f>
        <v>0</v>
      </c>
      <c r="U1126">
        <f ca="1">INDEX(rngParamTypes,$N1126,14)</f>
        <v>0</v>
      </c>
      <c r="V1126">
        <f ca="1">INDEX(rngParamTypes,$N1126,15)</f>
        <v>0</v>
      </c>
      <c r="W1126">
        <f ca="1">INDEX(rngParamTypes,$N1126,16)</f>
        <v>0</v>
      </c>
      <c r="X1126">
        <f ca="1">INDEX(rngParamTypes,$N1126,17)</f>
        <v>0</v>
      </c>
      <c r="Y1126">
        <f ca="1">INDEX(rngParamTypes,$N1126,18)</f>
        <v>0</v>
      </c>
    </row>
    <row r="1127" spans="1:25" x14ac:dyDescent="0.2">
      <c r="A1127" s="16">
        <v>1126</v>
      </c>
      <c r="B1127" s="37">
        <v>1</v>
      </c>
      <c r="C1127" s="16" t="s">
        <v>2841</v>
      </c>
      <c r="D1127" s="16" t="s">
        <v>2841</v>
      </c>
      <c r="E1127" s="16"/>
      <c r="F1127" s="16" t="s">
        <v>4228</v>
      </c>
      <c r="G1127" s="16" t="s">
        <v>127</v>
      </c>
      <c r="H1127" s="16" t="s">
        <v>2840</v>
      </c>
      <c r="I1127" s="16" t="s">
        <v>131</v>
      </c>
      <c r="J1127" s="16">
        <v>0</v>
      </c>
      <c r="K1127" s="16">
        <v>9.9999999999999995E-7</v>
      </c>
      <c r="L1127" s="16">
        <v>1</v>
      </c>
      <c r="M1127" s="16">
        <v>0</v>
      </c>
      <c r="N1127">
        <f t="array" aca="1" ref="N1127" ca="1">MATCH(TRUE,EXACT(I1127,OFFSET(rngParamTypes,0,6,,1)),0)</f>
        <v>42</v>
      </c>
      <c r="O1127" t="str">
        <f ca="1">IF((INDEX(rngParamTypes,$N1127,7)=I1127),"",1)</f>
        <v/>
      </c>
      <c r="P1127">
        <f ca="1">INDEX(rngParamTypes,$N1127,9)</f>
        <v>0</v>
      </c>
      <c r="Q1127">
        <f ca="1">INDEX(rngParamTypes,$N1127,10)</f>
        <v>0</v>
      </c>
      <c r="R1127">
        <f ca="1">INDEX(rngParamTypes,$N1127,11)</f>
        <v>0</v>
      </c>
      <c r="S1127">
        <f ca="1">INDEX(rngParamTypes,$N1127,12)</f>
        <v>0</v>
      </c>
      <c r="T1127">
        <f ca="1">INDEX(rngParamTypes,$N1127,13)</f>
        <v>0</v>
      </c>
      <c r="U1127">
        <f ca="1">INDEX(rngParamTypes,$N1127,14)</f>
        <v>0</v>
      </c>
      <c r="V1127">
        <f ca="1">INDEX(rngParamTypes,$N1127,15)</f>
        <v>0</v>
      </c>
      <c r="W1127">
        <f ca="1">INDEX(rngParamTypes,$N1127,16)</f>
        <v>0</v>
      </c>
      <c r="X1127">
        <f ca="1">INDEX(rngParamTypes,$N1127,17)</f>
        <v>0</v>
      </c>
      <c r="Y1127">
        <f ca="1">INDEX(rngParamTypes,$N1127,18)</f>
        <v>0</v>
      </c>
    </row>
    <row r="1128" spans="1:25" x14ac:dyDescent="0.2">
      <c r="A1128" s="16">
        <v>1127</v>
      </c>
      <c r="B1128" s="37">
        <v>1</v>
      </c>
      <c r="C1128" s="16" t="s">
        <v>2843</v>
      </c>
      <c r="D1128" s="16" t="s">
        <v>2843</v>
      </c>
      <c r="E1128" s="16">
        <v>2</v>
      </c>
      <c r="F1128" s="16" t="s">
        <v>4229</v>
      </c>
      <c r="G1128" s="16" t="s">
        <v>4230</v>
      </c>
      <c r="H1128" s="16" t="s">
        <v>2842</v>
      </c>
      <c r="I1128" s="16" t="s">
        <v>290</v>
      </c>
      <c r="J1128" s="16">
        <v>0</v>
      </c>
      <c r="K1128" s="16">
        <v>0.91439999999999999</v>
      </c>
      <c r="L1128" s="16">
        <v>1</v>
      </c>
      <c r="M1128" s="16">
        <v>0</v>
      </c>
      <c r="N1128">
        <f t="array" aca="1" ref="N1128" ca="1">MATCH(TRUE,EXACT(I1128,OFFSET(rngParamTypes,0,6,,1)),0)</f>
        <v>109</v>
      </c>
      <c r="O1128" t="str">
        <f ca="1">IF((INDEX(rngParamTypes,$N1128,7)=I1128),"",1)</f>
        <v/>
      </c>
      <c r="P1128">
        <f ca="1">INDEX(rngParamTypes,$N1128,9)</f>
        <v>0</v>
      </c>
      <c r="Q1128">
        <f ca="1">INDEX(rngParamTypes,$N1128,10)</f>
        <v>1</v>
      </c>
      <c r="R1128">
        <f ca="1">INDEX(rngParamTypes,$N1128,11)</f>
        <v>0</v>
      </c>
      <c r="S1128">
        <f ca="1">INDEX(rngParamTypes,$N1128,12)</f>
        <v>0</v>
      </c>
      <c r="T1128">
        <f ca="1">INDEX(rngParamTypes,$N1128,13)</f>
        <v>0</v>
      </c>
      <c r="U1128">
        <f ca="1">INDEX(rngParamTypes,$N1128,14)</f>
        <v>0</v>
      </c>
      <c r="V1128">
        <f ca="1">INDEX(rngParamTypes,$N1128,15)</f>
        <v>0</v>
      </c>
      <c r="W1128">
        <f ca="1">INDEX(rngParamTypes,$N1128,16)</f>
        <v>0</v>
      </c>
      <c r="X1128">
        <f ca="1">INDEX(rngParamTypes,$N1128,17)</f>
        <v>0</v>
      </c>
      <c r="Y1128">
        <f ca="1">INDEX(rngParamTypes,$N1128,18)</f>
        <v>0</v>
      </c>
    </row>
    <row r="1129" spans="1:25" x14ac:dyDescent="0.2">
      <c r="A1129" s="16">
        <v>1128</v>
      </c>
      <c r="B1129" s="37">
        <v>1</v>
      </c>
      <c r="C1129" s="16" t="s">
        <v>2631</v>
      </c>
      <c r="D1129" s="16" t="s">
        <v>2631</v>
      </c>
      <c r="E1129" s="16">
        <v>2</v>
      </c>
      <c r="F1129" s="16" t="s">
        <v>4231</v>
      </c>
      <c r="G1129" s="16" t="s">
        <v>302</v>
      </c>
      <c r="H1129" s="16" t="s">
        <v>2629</v>
      </c>
      <c r="I1129" s="16" t="s">
        <v>303</v>
      </c>
      <c r="J1129" s="16">
        <v>0</v>
      </c>
      <c r="K1129" s="16">
        <v>0.83612735999999999</v>
      </c>
      <c r="L1129" s="16">
        <v>1</v>
      </c>
      <c r="M1129" s="16">
        <v>0</v>
      </c>
      <c r="N1129">
        <f t="array" aca="1" ref="N1129" ca="1">MATCH(TRUE,EXACT(I1129,OFFSET(rngParamTypes,0,6,,1)),0)</f>
        <v>125</v>
      </c>
      <c r="O1129" t="str">
        <f ca="1">IF((INDEX(rngParamTypes,$N1129,7)=I1129),"",1)</f>
        <v/>
      </c>
      <c r="P1129">
        <f ca="1">INDEX(rngParamTypes,$N1129,9)</f>
        <v>0</v>
      </c>
      <c r="Q1129">
        <f ca="1">INDEX(rngParamTypes,$N1129,10)</f>
        <v>2</v>
      </c>
      <c r="R1129">
        <f ca="1">INDEX(rngParamTypes,$N1129,11)</f>
        <v>0</v>
      </c>
      <c r="S1129">
        <f ca="1">INDEX(rngParamTypes,$N1129,12)</f>
        <v>0</v>
      </c>
      <c r="T1129">
        <f ca="1">INDEX(rngParamTypes,$N1129,13)</f>
        <v>0</v>
      </c>
      <c r="U1129">
        <f ca="1">INDEX(rngParamTypes,$N1129,14)</f>
        <v>0</v>
      </c>
      <c r="V1129">
        <f ca="1">INDEX(rngParamTypes,$N1129,15)</f>
        <v>0</v>
      </c>
      <c r="W1129">
        <f ca="1">INDEX(rngParamTypes,$N1129,16)</f>
        <v>0</v>
      </c>
      <c r="X1129">
        <f ca="1">INDEX(rngParamTypes,$N1129,17)</f>
        <v>0</v>
      </c>
      <c r="Y1129">
        <f ca="1">INDEX(rngParamTypes,$N1129,18)</f>
        <v>0</v>
      </c>
    </row>
    <row r="1130" spans="1:25" x14ac:dyDescent="0.2">
      <c r="A1130" s="16">
        <v>1129</v>
      </c>
      <c r="B1130" s="37">
        <v>1</v>
      </c>
      <c r="C1130" s="16" t="s">
        <v>2844</v>
      </c>
      <c r="D1130" s="16" t="s">
        <v>2844</v>
      </c>
      <c r="E1130" s="16">
        <v>2</v>
      </c>
      <c r="F1130" s="16" t="s">
        <v>4232</v>
      </c>
      <c r="G1130" s="16" t="s">
        <v>321</v>
      </c>
      <c r="H1130" s="16" t="s">
        <v>986</v>
      </c>
      <c r="I1130" s="16" t="s">
        <v>322</v>
      </c>
      <c r="J1130" s="16">
        <v>0</v>
      </c>
      <c r="K1130" s="16">
        <v>0.76455490000000004</v>
      </c>
      <c r="L1130" s="16">
        <v>1</v>
      </c>
      <c r="M1130" s="16">
        <v>0</v>
      </c>
      <c r="N1130">
        <f t="array" aca="1" ref="N1130" ca="1">MATCH(TRUE,EXACT(I1130,OFFSET(rngParamTypes,0,6,,1)),0)</f>
        <v>134</v>
      </c>
      <c r="O1130" t="str">
        <f ca="1">IF((INDEX(rngParamTypes,$N1130,7)=I1130),"",1)</f>
        <v/>
      </c>
      <c r="P1130">
        <f ca="1">INDEX(rngParamTypes,$N1130,9)</f>
        <v>0</v>
      </c>
      <c r="Q1130">
        <f ca="1">INDEX(rngParamTypes,$N1130,10)</f>
        <v>3</v>
      </c>
      <c r="R1130">
        <f ca="1">INDEX(rngParamTypes,$N1130,11)</f>
        <v>0</v>
      </c>
      <c r="S1130">
        <f ca="1">INDEX(rngParamTypes,$N1130,12)</f>
        <v>0</v>
      </c>
      <c r="T1130">
        <f ca="1">INDEX(rngParamTypes,$N1130,13)</f>
        <v>0</v>
      </c>
      <c r="U1130">
        <f ca="1">INDEX(rngParamTypes,$N1130,14)</f>
        <v>0</v>
      </c>
      <c r="V1130">
        <f ca="1">INDEX(rngParamTypes,$N1130,15)</f>
        <v>0</v>
      </c>
      <c r="W1130">
        <f ca="1">INDEX(rngParamTypes,$N1130,16)</f>
        <v>0</v>
      </c>
      <c r="X1130">
        <f ca="1">INDEX(rngParamTypes,$N1130,17)</f>
        <v>0</v>
      </c>
      <c r="Y1130">
        <f ca="1">INDEX(rngParamTypes,$N1130,18)</f>
        <v>0</v>
      </c>
    </row>
    <row r="1131" spans="1:25" x14ac:dyDescent="0.2">
      <c r="A1131" s="16">
        <v>1130</v>
      </c>
      <c r="B1131" s="37">
        <v>1</v>
      </c>
      <c r="C1131" s="16" t="s">
        <v>2846</v>
      </c>
      <c r="D1131" s="16" t="s">
        <v>2846</v>
      </c>
      <c r="E1131" s="16">
        <v>2</v>
      </c>
      <c r="F1131" s="16" t="s">
        <v>4233</v>
      </c>
      <c r="G1131" s="16" t="s">
        <v>3540</v>
      </c>
      <c r="H1131" s="16" t="s">
        <v>2845</v>
      </c>
      <c r="I1131" s="16" t="s">
        <v>290</v>
      </c>
      <c r="J1131" s="16">
        <v>0</v>
      </c>
      <c r="K1131" s="16">
        <v>0.91439919999999997</v>
      </c>
      <c r="L1131" s="16">
        <v>1</v>
      </c>
      <c r="M1131" s="16">
        <v>0</v>
      </c>
      <c r="N1131">
        <f t="array" aca="1" ref="N1131" ca="1">MATCH(TRUE,EXACT(I1131,OFFSET(rngParamTypes,0,6,,1)),0)</f>
        <v>109</v>
      </c>
      <c r="O1131" t="str">
        <f ca="1">IF((INDEX(rngParamTypes,$N1131,7)=I1131),"",1)</f>
        <v/>
      </c>
      <c r="P1131">
        <f ca="1">INDEX(rngParamTypes,$N1131,9)</f>
        <v>0</v>
      </c>
      <c r="Q1131">
        <f ca="1">INDEX(rngParamTypes,$N1131,10)</f>
        <v>1</v>
      </c>
      <c r="R1131">
        <f ca="1">INDEX(rngParamTypes,$N1131,11)</f>
        <v>0</v>
      </c>
      <c r="S1131">
        <f ca="1">INDEX(rngParamTypes,$N1131,12)</f>
        <v>0</v>
      </c>
      <c r="T1131">
        <f ca="1">INDEX(rngParamTypes,$N1131,13)</f>
        <v>0</v>
      </c>
      <c r="U1131">
        <f ca="1">INDEX(rngParamTypes,$N1131,14)</f>
        <v>0</v>
      </c>
      <c r="V1131">
        <f ca="1">INDEX(rngParamTypes,$N1131,15)</f>
        <v>0</v>
      </c>
      <c r="W1131">
        <f ca="1">INDEX(rngParamTypes,$N1131,16)</f>
        <v>0</v>
      </c>
      <c r="X1131">
        <f ca="1">INDEX(rngParamTypes,$N1131,17)</f>
        <v>0</v>
      </c>
      <c r="Y1131">
        <f ca="1">INDEX(rngParamTypes,$N1131,18)</f>
        <v>0</v>
      </c>
    </row>
    <row r="1132" spans="1:25" x14ac:dyDescent="0.2">
      <c r="A1132" s="16">
        <v>1131</v>
      </c>
      <c r="B1132" s="37">
        <v>1</v>
      </c>
      <c r="C1132" s="16" t="s">
        <v>2848</v>
      </c>
      <c r="D1132" s="16" t="s">
        <v>2848</v>
      </c>
      <c r="E1132" s="16">
        <v>2</v>
      </c>
      <c r="F1132" s="16" t="s">
        <v>4234</v>
      </c>
      <c r="G1132" s="16" t="s">
        <v>3540</v>
      </c>
      <c r="H1132" s="16" t="s">
        <v>2847</v>
      </c>
      <c r="I1132" s="16" t="s">
        <v>290</v>
      </c>
      <c r="J1132" s="16">
        <v>0</v>
      </c>
      <c r="K1132" s="16">
        <v>36</v>
      </c>
      <c r="L1132" s="16">
        <v>39.370113000000003</v>
      </c>
      <c r="M1132" s="16">
        <v>0</v>
      </c>
      <c r="N1132">
        <f t="array" aca="1" ref="N1132" ca="1">MATCH(TRUE,EXACT(I1132,OFFSET(rngParamTypes,0,6,,1)),0)</f>
        <v>109</v>
      </c>
      <c r="O1132" t="str">
        <f ca="1">IF((INDEX(rngParamTypes,$N1132,7)=I1132),"",1)</f>
        <v/>
      </c>
      <c r="P1132">
        <f ca="1">INDEX(rngParamTypes,$N1132,9)</f>
        <v>0</v>
      </c>
      <c r="Q1132">
        <f ca="1">INDEX(rngParamTypes,$N1132,10)</f>
        <v>1</v>
      </c>
      <c r="R1132">
        <f ca="1">INDEX(rngParamTypes,$N1132,11)</f>
        <v>0</v>
      </c>
      <c r="S1132">
        <f ca="1">INDEX(rngParamTypes,$N1132,12)</f>
        <v>0</v>
      </c>
      <c r="T1132">
        <f ca="1">INDEX(rngParamTypes,$N1132,13)</f>
        <v>0</v>
      </c>
      <c r="U1132">
        <f ca="1">INDEX(rngParamTypes,$N1132,14)</f>
        <v>0</v>
      </c>
      <c r="V1132">
        <f ca="1">INDEX(rngParamTypes,$N1132,15)</f>
        <v>0</v>
      </c>
      <c r="W1132">
        <f ca="1">INDEX(rngParamTypes,$N1132,16)</f>
        <v>0</v>
      </c>
      <c r="X1132">
        <f ca="1">INDEX(rngParamTypes,$N1132,17)</f>
        <v>0</v>
      </c>
      <c r="Y1132">
        <f ca="1">INDEX(rngParamTypes,$N1132,18)</f>
        <v>0</v>
      </c>
    </row>
    <row r="1133" spans="1:25" x14ac:dyDescent="0.2">
      <c r="A1133" s="16">
        <v>1132</v>
      </c>
      <c r="B1133" s="37">
        <v>1</v>
      </c>
      <c r="C1133" s="16" t="s">
        <v>2850</v>
      </c>
      <c r="D1133" s="16" t="s">
        <v>2850</v>
      </c>
      <c r="E1133" s="16">
        <v>2</v>
      </c>
      <c r="F1133" s="16" t="s">
        <v>4235</v>
      </c>
      <c r="G1133" s="16" t="s">
        <v>3540</v>
      </c>
      <c r="H1133" s="16" t="s">
        <v>2849</v>
      </c>
      <c r="I1133" s="16" t="s">
        <v>290</v>
      </c>
      <c r="J1133" s="16">
        <v>0</v>
      </c>
      <c r="K1133" s="16">
        <v>0.91439179500000001</v>
      </c>
      <c r="L1133" s="16">
        <v>1</v>
      </c>
      <c r="M1133" s="16">
        <v>0</v>
      </c>
      <c r="N1133">
        <f t="array" aca="1" ref="N1133" ca="1">MATCH(TRUE,EXACT(I1133,OFFSET(rngParamTypes,0,6,,1)),0)</f>
        <v>109</v>
      </c>
      <c r="O1133" t="str">
        <f ca="1">IF((INDEX(rngParamTypes,$N1133,7)=I1133),"",1)</f>
        <v/>
      </c>
      <c r="P1133">
        <f ca="1">INDEX(rngParamTypes,$N1133,9)</f>
        <v>0</v>
      </c>
      <c r="Q1133">
        <f ca="1">INDEX(rngParamTypes,$N1133,10)</f>
        <v>1</v>
      </c>
      <c r="R1133">
        <f ca="1">INDEX(rngParamTypes,$N1133,11)</f>
        <v>0</v>
      </c>
      <c r="S1133">
        <f ca="1">INDEX(rngParamTypes,$N1133,12)</f>
        <v>0</v>
      </c>
      <c r="T1133">
        <f ca="1">INDEX(rngParamTypes,$N1133,13)</f>
        <v>0</v>
      </c>
      <c r="U1133">
        <f ca="1">INDEX(rngParamTypes,$N1133,14)</f>
        <v>0</v>
      </c>
      <c r="V1133">
        <f ca="1">INDEX(rngParamTypes,$N1133,15)</f>
        <v>0</v>
      </c>
      <c r="W1133">
        <f ca="1">INDEX(rngParamTypes,$N1133,16)</f>
        <v>0</v>
      </c>
      <c r="X1133">
        <f ca="1">INDEX(rngParamTypes,$N1133,17)</f>
        <v>0</v>
      </c>
      <c r="Y1133">
        <f ca="1">INDEX(rngParamTypes,$N1133,18)</f>
        <v>0</v>
      </c>
    </row>
    <row r="1134" spans="1:25" x14ac:dyDescent="0.2">
      <c r="A1134" s="16">
        <v>1133</v>
      </c>
      <c r="B1134" s="37">
        <v>1</v>
      </c>
      <c r="C1134" s="16" t="s">
        <v>2852</v>
      </c>
      <c r="D1134" s="16" t="s">
        <v>2852</v>
      </c>
      <c r="E1134" s="16">
        <v>2</v>
      </c>
      <c r="F1134" s="16" t="s">
        <v>4236</v>
      </c>
      <c r="G1134" s="16" t="s">
        <v>3540</v>
      </c>
      <c r="H1134" s="16" t="s">
        <v>2851</v>
      </c>
      <c r="I1134" s="16" t="s">
        <v>290</v>
      </c>
      <c r="J1134" s="16">
        <v>0</v>
      </c>
      <c r="K1134" s="16">
        <v>0.91439179500000001</v>
      </c>
      <c r="L1134" s="16">
        <v>1</v>
      </c>
      <c r="M1134" s="16">
        <v>0</v>
      </c>
      <c r="N1134">
        <f t="array" aca="1" ref="N1134" ca="1">MATCH(TRUE,EXACT(I1134,OFFSET(rngParamTypes,0,6,,1)),0)</f>
        <v>109</v>
      </c>
      <c r="O1134" t="str">
        <f ca="1">IF((INDEX(rngParamTypes,$N1134,7)=I1134),"",1)</f>
        <v/>
      </c>
      <c r="P1134">
        <f ca="1">INDEX(rngParamTypes,$N1134,9)</f>
        <v>0</v>
      </c>
      <c r="Q1134">
        <f ca="1">INDEX(rngParamTypes,$N1134,10)</f>
        <v>1</v>
      </c>
      <c r="R1134">
        <f ca="1">INDEX(rngParamTypes,$N1134,11)</f>
        <v>0</v>
      </c>
      <c r="S1134">
        <f ca="1">INDEX(rngParamTypes,$N1134,12)</f>
        <v>0</v>
      </c>
      <c r="T1134">
        <f ca="1">INDEX(rngParamTypes,$N1134,13)</f>
        <v>0</v>
      </c>
      <c r="U1134">
        <f ca="1">INDEX(rngParamTypes,$N1134,14)</f>
        <v>0</v>
      </c>
      <c r="V1134">
        <f ca="1">INDEX(rngParamTypes,$N1134,15)</f>
        <v>0</v>
      </c>
      <c r="W1134">
        <f ca="1">INDEX(rngParamTypes,$N1134,16)</f>
        <v>0</v>
      </c>
      <c r="X1134">
        <f ca="1">INDEX(rngParamTypes,$N1134,17)</f>
        <v>0</v>
      </c>
      <c r="Y1134">
        <f ca="1">INDEX(rngParamTypes,$N1134,18)</f>
        <v>0</v>
      </c>
    </row>
    <row r="1135" spans="1:25" x14ac:dyDescent="0.2">
      <c r="A1135" s="16">
        <v>1134</v>
      </c>
      <c r="B1135" s="37">
        <v>1</v>
      </c>
      <c r="C1135" s="16" t="s">
        <v>2854</v>
      </c>
      <c r="D1135" s="16" t="s">
        <v>2854</v>
      </c>
      <c r="E1135" s="16">
        <v>2</v>
      </c>
      <c r="F1135" s="16" t="s">
        <v>4237</v>
      </c>
      <c r="G1135" s="16" t="s">
        <v>3540</v>
      </c>
      <c r="H1135" s="16" t="s">
        <v>2853</v>
      </c>
      <c r="I1135" s="16" t="s">
        <v>290</v>
      </c>
      <c r="J1135" s="16">
        <v>0</v>
      </c>
      <c r="K1135" s="16">
        <v>36</v>
      </c>
      <c r="L1135" s="16">
        <v>39.370142000000001</v>
      </c>
      <c r="M1135" s="16">
        <v>0</v>
      </c>
      <c r="N1135">
        <f t="array" aca="1" ref="N1135" ca="1">MATCH(TRUE,EXACT(I1135,OFFSET(rngParamTypes,0,6,,1)),0)</f>
        <v>109</v>
      </c>
      <c r="O1135" t="str">
        <f ca="1">IF((INDEX(rngParamTypes,$N1135,7)=I1135),"",1)</f>
        <v/>
      </c>
      <c r="P1135">
        <f ca="1">INDEX(rngParamTypes,$N1135,9)</f>
        <v>0</v>
      </c>
      <c r="Q1135">
        <f ca="1">INDEX(rngParamTypes,$N1135,10)</f>
        <v>1</v>
      </c>
      <c r="R1135">
        <f ca="1">INDEX(rngParamTypes,$N1135,11)</f>
        <v>0</v>
      </c>
      <c r="S1135">
        <f ca="1">INDEX(rngParamTypes,$N1135,12)</f>
        <v>0</v>
      </c>
      <c r="T1135">
        <f ca="1">INDEX(rngParamTypes,$N1135,13)</f>
        <v>0</v>
      </c>
      <c r="U1135">
        <f ca="1">INDEX(rngParamTypes,$N1135,14)</f>
        <v>0</v>
      </c>
      <c r="V1135">
        <f ca="1">INDEX(rngParamTypes,$N1135,15)</f>
        <v>0</v>
      </c>
      <c r="W1135">
        <f ca="1">INDEX(rngParamTypes,$N1135,16)</f>
        <v>0</v>
      </c>
      <c r="X1135">
        <f ca="1">INDEX(rngParamTypes,$N1135,17)</f>
        <v>0</v>
      </c>
      <c r="Y1135">
        <f ca="1">INDEX(rngParamTypes,$N1135,18)</f>
        <v>0</v>
      </c>
    </row>
    <row r="1136" spans="1:25" x14ac:dyDescent="0.2">
      <c r="A1136" s="16">
        <v>1135</v>
      </c>
      <c r="B1136" s="37">
        <v>1</v>
      </c>
      <c r="C1136" s="16" t="s">
        <v>2856</v>
      </c>
      <c r="D1136" s="16" t="s">
        <v>2856</v>
      </c>
      <c r="E1136" s="16">
        <v>2</v>
      </c>
      <c r="F1136" s="16" t="s">
        <v>4376</v>
      </c>
      <c r="G1136" s="16" t="s">
        <v>3540</v>
      </c>
      <c r="H1136" s="16" t="s">
        <v>2855</v>
      </c>
      <c r="I1136" s="16" t="s">
        <v>290</v>
      </c>
      <c r="J1136" s="16">
        <v>0</v>
      </c>
      <c r="K1136" s="16">
        <v>0.91439523</v>
      </c>
      <c r="L1136" s="16">
        <v>1</v>
      </c>
      <c r="M1136" s="16">
        <v>0</v>
      </c>
      <c r="N1136">
        <f t="array" aca="1" ref="N1136" ca="1">MATCH(TRUE,EXACT(I1136,OFFSET(rngParamTypes,0,6,,1)),0)</f>
        <v>109</v>
      </c>
      <c r="O1136" t="str">
        <f ca="1">IF((INDEX(rngParamTypes,$N1136,7)=I1136),"",1)</f>
        <v/>
      </c>
      <c r="P1136">
        <f ca="1">INDEX(rngParamTypes,$N1136,9)</f>
        <v>0</v>
      </c>
      <c r="Q1136">
        <f ca="1">INDEX(rngParamTypes,$N1136,10)</f>
        <v>1</v>
      </c>
      <c r="R1136">
        <f ca="1">INDEX(rngParamTypes,$N1136,11)</f>
        <v>0</v>
      </c>
      <c r="S1136">
        <f ca="1">INDEX(rngParamTypes,$N1136,12)</f>
        <v>0</v>
      </c>
      <c r="T1136">
        <f ca="1">INDEX(rngParamTypes,$N1136,13)</f>
        <v>0</v>
      </c>
      <c r="U1136">
        <f ca="1">INDEX(rngParamTypes,$N1136,14)</f>
        <v>0</v>
      </c>
      <c r="V1136">
        <f ca="1">INDEX(rngParamTypes,$N1136,15)</f>
        <v>0</v>
      </c>
      <c r="W1136">
        <f ca="1">INDEX(rngParamTypes,$N1136,16)</f>
        <v>0</v>
      </c>
      <c r="X1136">
        <f ca="1">INDEX(rngParamTypes,$N1136,17)</f>
        <v>0</v>
      </c>
      <c r="Y1136">
        <f ca="1">INDEX(rngParamTypes,$N1136,18)</f>
        <v>0</v>
      </c>
    </row>
    <row r="1137" spans="1:25" x14ac:dyDescent="0.2">
      <c r="A1137" s="16">
        <v>1136</v>
      </c>
      <c r="B1137" s="37">
        <v>1</v>
      </c>
      <c r="C1137" s="16" t="s">
        <v>2858</v>
      </c>
      <c r="D1137" s="16" t="s">
        <v>2858</v>
      </c>
      <c r="E1137" s="16">
        <v>2</v>
      </c>
      <c r="F1137" s="16" t="s">
        <v>4377</v>
      </c>
      <c r="G1137" s="16" t="s">
        <v>3540</v>
      </c>
      <c r="H1137" s="16" t="s">
        <v>2857</v>
      </c>
      <c r="I1137" s="16" t="s">
        <v>290</v>
      </c>
      <c r="J1137" s="16">
        <v>0</v>
      </c>
      <c r="K1137" s="16">
        <v>0.91439879999999996</v>
      </c>
      <c r="L1137" s="16">
        <v>1</v>
      </c>
      <c r="M1137" s="16">
        <v>0</v>
      </c>
      <c r="N1137">
        <f t="array" aca="1" ref="N1137" ca="1">MATCH(TRUE,EXACT(I1137,OFFSET(rngParamTypes,0,6,,1)),0)</f>
        <v>109</v>
      </c>
      <c r="O1137" t="str">
        <f ca="1">IF((INDEX(rngParamTypes,$N1137,7)=I1137),"",1)</f>
        <v/>
      </c>
      <c r="P1137">
        <f ca="1">INDEX(rngParamTypes,$N1137,9)</f>
        <v>0</v>
      </c>
      <c r="Q1137">
        <f ca="1">INDEX(rngParamTypes,$N1137,10)</f>
        <v>1</v>
      </c>
      <c r="R1137">
        <f ca="1">INDEX(rngParamTypes,$N1137,11)</f>
        <v>0</v>
      </c>
      <c r="S1137">
        <f ca="1">INDEX(rngParamTypes,$N1137,12)</f>
        <v>0</v>
      </c>
      <c r="T1137">
        <f ca="1">INDEX(rngParamTypes,$N1137,13)</f>
        <v>0</v>
      </c>
      <c r="U1137">
        <f ca="1">INDEX(rngParamTypes,$N1137,14)</f>
        <v>0</v>
      </c>
      <c r="V1137">
        <f ca="1">INDEX(rngParamTypes,$N1137,15)</f>
        <v>0</v>
      </c>
      <c r="W1137">
        <f ca="1">INDEX(rngParamTypes,$N1137,16)</f>
        <v>0</v>
      </c>
      <c r="X1137">
        <f ca="1">INDEX(rngParamTypes,$N1137,17)</f>
        <v>0</v>
      </c>
      <c r="Y1137">
        <f ca="1">INDEX(rngParamTypes,$N1137,18)</f>
        <v>0</v>
      </c>
    </row>
    <row r="1138" spans="1:25" x14ac:dyDescent="0.2">
      <c r="A1138" s="16">
        <v>1137</v>
      </c>
      <c r="B1138" s="37">
        <v>1</v>
      </c>
      <c r="C1138" s="16" t="s">
        <v>2860</v>
      </c>
      <c r="D1138" s="16" t="s">
        <v>2860</v>
      </c>
      <c r="E1138" s="16">
        <v>2</v>
      </c>
      <c r="F1138" s="16" t="s">
        <v>4378</v>
      </c>
      <c r="G1138" s="16" t="s">
        <v>3540</v>
      </c>
      <c r="H1138" s="16" t="s">
        <v>2859</v>
      </c>
      <c r="I1138" s="16" t="s">
        <v>290</v>
      </c>
      <c r="J1138" s="16">
        <v>0</v>
      </c>
      <c r="K1138" s="16">
        <v>0.9143985</v>
      </c>
      <c r="L1138" s="16">
        <v>1</v>
      </c>
      <c r="M1138" s="16">
        <v>0</v>
      </c>
      <c r="N1138">
        <f t="array" aca="1" ref="N1138" ca="1">MATCH(TRUE,EXACT(I1138,OFFSET(rngParamTypes,0,6,,1)),0)</f>
        <v>109</v>
      </c>
      <c r="O1138" t="str">
        <f ca="1">IF((INDEX(rngParamTypes,$N1138,7)=I1138),"",1)</f>
        <v/>
      </c>
      <c r="P1138">
        <f ca="1">INDEX(rngParamTypes,$N1138,9)</f>
        <v>0</v>
      </c>
      <c r="Q1138">
        <f ca="1">INDEX(rngParamTypes,$N1138,10)</f>
        <v>1</v>
      </c>
      <c r="R1138">
        <f ca="1">INDEX(rngParamTypes,$N1138,11)</f>
        <v>0</v>
      </c>
      <c r="S1138">
        <f ca="1">INDEX(rngParamTypes,$N1138,12)</f>
        <v>0</v>
      </c>
      <c r="T1138">
        <f ca="1">INDEX(rngParamTypes,$N1138,13)</f>
        <v>0</v>
      </c>
      <c r="U1138">
        <f ca="1">INDEX(rngParamTypes,$N1138,14)</f>
        <v>0</v>
      </c>
      <c r="V1138">
        <f ca="1">INDEX(rngParamTypes,$N1138,15)</f>
        <v>0</v>
      </c>
      <c r="W1138">
        <f ca="1">INDEX(rngParamTypes,$N1138,16)</f>
        <v>0</v>
      </c>
      <c r="X1138">
        <f ca="1">INDEX(rngParamTypes,$N1138,17)</f>
        <v>0</v>
      </c>
      <c r="Y1138">
        <f ca="1">INDEX(rngParamTypes,$N1138,18)</f>
        <v>0</v>
      </c>
    </row>
    <row r="1139" spans="1:25" x14ac:dyDescent="0.2">
      <c r="A1139" s="16">
        <v>1138</v>
      </c>
      <c r="B1139" s="37">
        <v>1</v>
      </c>
      <c r="C1139" s="16" t="s">
        <v>2862</v>
      </c>
      <c r="D1139" s="16" t="s">
        <v>2862</v>
      </c>
      <c r="E1139" s="16">
        <v>2</v>
      </c>
      <c r="F1139" s="16" t="s">
        <v>4238</v>
      </c>
      <c r="G1139" s="16" t="s">
        <v>3540</v>
      </c>
      <c r="H1139" s="16" t="s">
        <v>2861</v>
      </c>
      <c r="I1139" s="16" t="s">
        <v>290</v>
      </c>
      <c r="J1139" s="16">
        <v>0</v>
      </c>
      <c r="K1139" s="16">
        <v>36</v>
      </c>
      <c r="L1139" s="16">
        <v>39.370147000000003</v>
      </c>
      <c r="M1139" s="16">
        <v>0</v>
      </c>
      <c r="N1139">
        <f t="array" aca="1" ref="N1139" ca="1">MATCH(TRUE,EXACT(I1139,OFFSET(rngParamTypes,0,6,,1)),0)</f>
        <v>109</v>
      </c>
      <c r="O1139" t="str">
        <f ca="1">IF((INDEX(rngParamTypes,$N1139,7)=I1139),"",1)</f>
        <v/>
      </c>
      <c r="P1139">
        <f ca="1">INDEX(rngParamTypes,$N1139,9)</f>
        <v>0</v>
      </c>
      <c r="Q1139">
        <f ca="1">INDEX(rngParamTypes,$N1139,10)</f>
        <v>1</v>
      </c>
      <c r="R1139">
        <f ca="1">INDEX(rngParamTypes,$N1139,11)</f>
        <v>0</v>
      </c>
      <c r="S1139">
        <f ca="1">INDEX(rngParamTypes,$N1139,12)</f>
        <v>0</v>
      </c>
      <c r="T1139">
        <f ca="1">INDEX(rngParamTypes,$N1139,13)</f>
        <v>0</v>
      </c>
      <c r="U1139">
        <f ca="1">INDEX(rngParamTypes,$N1139,14)</f>
        <v>0</v>
      </c>
      <c r="V1139">
        <f ca="1">INDEX(rngParamTypes,$N1139,15)</f>
        <v>0</v>
      </c>
      <c r="W1139">
        <f ca="1">INDEX(rngParamTypes,$N1139,16)</f>
        <v>0</v>
      </c>
      <c r="X1139">
        <f ca="1">INDEX(rngParamTypes,$N1139,17)</f>
        <v>0</v>
      </c>
      <c r="Y1139">
        <f ca="1">INDEX(rngParamTypes,$N1139,18)</f>
        <v>0</v>
      </c>
    </row>
    <row r="1140" spans="1:25" x14ac:dyDescent="0.2">
      <c r="A1140" s="16">
        <v>1139</v>
      </c>
      <c r="B1140" s="37">
        <v>1</v>
      </c>
      <c r="C1140" s="16" t="s">
        <v>2863</v>
      </c>
      <c r="D1140" s="16" t="s">
        <v>2863</v>
      </c>
      <c r="E1140" s="16">
        <v>2</v>
      </c>
      <c r="F1140" s="16" t="s">
        <v>4379</v>
      </c>
      <c r="G1140" s="16" t="s">
        <v>469</v>
      </c>
      <c r="H1140" s="16" t="s">
        <v>680</v>
      </c>
      <c r="I1140" s="16" t="s">
        <v>470</v>
      </c>
      <c r="J1140" s="16">
        <v>0</v>
      </c>
      <c r="K1140" s="16">
        <v>3155815000000</v>
      </c>
      <c r="L1140" s="16">
        <v>1</v>
      </c>
      <c r="M1140" s="16">
        <v>0</v>
      </c>
      <c r="N1140">
        <f t="array" aca="1" ref="N1140" ca="1">MATCH(TRUE,EXACT(I1140,OFFSET(rngParamTypes,0,6,,1)),0)</f>
        <v>190</v>
      </c>
      <c r="O1140" t="str">
        <f ca="1">IF((INDEX(rngParamTypes,$N1140,7)=I1140),"",1)</f>
        <v/>
      </c>
      <c r="P1140">
        <f ca="1">INDEX(rngParamTypes,$N1140,9)</f>
        <v>0</v>
      </c>
      <c r="Q1140">
        <f ca="1">INDEX(rngParamTypes,$N1140,10)</f>
        <v>0</v>
      </c>
      <c r="R1140">
        <f ca="1">INDEX(rngParamTypes,$N1140,11)</f>
        <v>1</v>
      </c>
      <c r="S1140">
        <f ca="1">INDEX(rngParamTypes,$N1140,12)</f>
        <v>0</v>
      </c>
      <c r="T1140">
        <f ca="1">INDEX(rngParamTypes,$N1140,13)</f>
        <v>0</v>
      </c>
      <c r="U1140">
        <f ca="1">INDEX(rngParamTypes,$N1140,14)</f>
        <v>0</v>
      </c>
      <c r="V1140">
        <f ca="1">INDEX(rngParamTypes,$N1140,15)</f>
        <v>0</v>
      </c>
      <c r="W1140">
        <f ca="1">INDEX(rngParamTypes,$N1140,16)</f>
        <v>0</v>
      </c>
      <c r="X1140">
        <f ca="1">INDEX(rngParamTypes,$N1140,17)</f>
        <v>0</v>
      </c>
      <c r="Y1140">
        <f ca="1">INDEX(rngParamTypes,$N1140,18)</f>
        <v>0</v>
      </c>
    </row>
    <row r="1141" spans="1:25" x14ac:dyDescent="0.2">
      <c r="A1141" s="16"/>
      <c r="B1141" s="37"/>
      <c r="C1141" s="16"/>
      <c r="D1141" s="16"/>
      <c r="E1141" s="16"/>
      <c r="F1141" s="16"/>
      <c r="G1141" s="16"/>
      <c r="H1141" s="16"/>
      <c r="I1141" s="16"/>
      <c r="J1141" s="16"/>
      <c r="K1141" s="16"/>
      <c r="L1141" s="16"/>
      <c r="M1141" s="16"/>
    </row>
    <row r="1142" spans="1:25" x14ac:dyDescent="0.2">
      <c r="A1142" s="16"/>
      <c r="B1142" s="37"/>
      <c r="C1142" s="16"/>
      <c r="D1142" s="16"/>
      <c r="E1142" s="16"/>
      <c r="F1142" s="16"/>
      <c r="G1142" s="16"/>
      <c r="H1142" s="16"/>
      <c r="I1142" s="16"/>
      <c r="J1142" s="16"/>
      <c r="K1142" s="16"/>
      <c r="L1142" s="16"/>
      <c r="M1142" s="16"/>
    </row>
    <row r="1143" spans="1:25" x14ac:dyDescent="0.2">
      <c r="A1143" s="16"/>
      <c r="B1143" s="37"/>
      <c r="C1143" s="16"/>
      <c r="D1143" s="16"/>
      <c r="E1143" s="16"/>
      <c r="F1143" s="16"/>
      <c r="G1143" s="16"/>
      <c r="H1143" s="16"/>
      <c r="I1143" s="16"/>
      <c r="J1143" s="16"/>
      <c r="K1143" s="16"/>
      <c r="L1143" s="16"/>
      <c r="M1143" s="16"/>
    </row>
    <row r="1144" spans="1:25" x14ac:dyDescent="0.2">
      <c r="A1144" s="16"/>
      <c r="B1144" s="37"/>
      <c r="C1144" s="16"/>
      <c r="D1144" s="16"/>
      <c r="E1144" s="16"/>
      <c r="F1144" s="16"/>
      <c r="G1144" s="16"/>
      <c r="H1144" s="16"/>
      <c r="I1144" s="16"/>
      <c r="J1144" s="16"/>
      <c r="K1144" s="16"/>
      <c r="L1144" s="16"/>
      <c r="M1144" s="16"/>
    </row>
    <row r="1145" spans="1:25" x14ac:dyDescent="0.2">
      <c r="A1145" s="16"/>
      <c r="B1145" s="37"/>
      <c r="C1145" s="16"/>
      <c r="D1145" s="16"/>
      <c r="E1145" s="16"/>
      <c r="F1145" s="16"/>
      <c r="G1145" s="16"/>
      <c r="H1145" s="16"/>
      <c r="I1145" s="16"/>
      <c r="J1145" s="16"/>
      <c r="K1145" s="16"/>
      <c r="L1145" s="16"/>
      <c r="M1145" s="16"/>
    </row>
    <row r="1146" spans="1:25" x14ac:dyDescent="0.2">
      <c r="A1146" s="16"/>
      <c r="B1146" s="37"/>
      <c r="C1146" s="16"/>
      <c r="D1146" s="16"/>
      <c r="E1146" s="16"/>
      <c r="F1146" s="16"/>
      <c r="G1146" s="16"/>
      <c r="H1146" s="16"/>
      <c r="I1146" s="16"/>
      <c r="J1146" s="16"/>
      <c r="K1146" s="16"/>
      <c r="L1146" s="16"/>
      <c r="M1146" s="16"/>
    </row>
    <row r="1147" spans="1:25" x14ac:dyDescent="0.2">
      <c r="A1147" s="16"/>
      <c r="B1147" s="37"/>
      <c r="C1147" s="16"/>
      <c r="D1147" s="16"/>
      <c r="E1147" s="16"/>
      <c r="F1147" s="16"/>
      <c r="G1147" s="16"/>
      <c r="H1147" s="16"/>
      <c r="I1147" s="16"/>
      <c r="J1147" s="16"/>
      <c r="K1147" s="16"/>
      <c r="L1147" s="16"/>
      <c r="M1147" s="16"/>
    </row>
    <row r="1148" spans="1:25" x14ac:dyDescent="0.2">
      <c r="A1148" s="16"/>
      <c r="B1148" s="37"/>
      <c r="C1148" s="16"/>
      <c r="D1148" s="16"/>
      <c r="E1148" s="16"/>
      <c r="F1148" s="16"/>
      <c r="G1148" s="16"/>
      <c r="H1148" s="16"/>
      <c r="I1148" s="16"/>
      <c r="J1148" s="16"/>
      <c r="K1148" s="16"/>
      <c r="L1148" s="16"/>
      <c r="M1148" s="16"/>
    </row>
    <row r="1149" spans="1:25" x14ac:dyDescent="0.2">
      <c r="A1149" s="16"/>
      <c r="B1149" s="37"/>
      <c r="C1149" s="16"/>
      <c r="D1149" s="16"/>
      <c r="E1149" s="16"/>
      <c r="F1149" s="16"/>
      <c r="G1149" s="16"/>
      <c r="H1149" s="16"/>
      <c r="I1149" s="16"/>
      <c r="J1149" s="16"/>
      <c r="K1149" s="16"/>
      <c r="L1149" s="16"/>
      <c r="M1149" s="16"/>
    </row>
    <row r="1150" spans="1:25" x14ac:dyDescent="0.2">
      <c r="A1150" s="16"/>
      <c r="B1150" s="37"/>
      <c r="C1150" s="16"/>
      <c r="D1150" s="16"/>
      <c r="E1150" s="16"/>
      <c r="F1150" s="16"/>
      <c r="G1150" s="16"/>
      <c r="H1150" s="16"/>
      <c r="I1150" s="16"/>
      <c r="J1150" s="16"/>
      <c r="K1150" s="16"/>
      <c r="L1150" s="16"/>
      <c r="M1150" s="16"/>
    </row>
    <row r="1151" spans="1:25" x14ac:dyDescent="0.2">
      <c r="A1151" s="16"/>
      <c r="B1151" s="37"/>
      <c r="C1151" s="16"/>
      <c r="D1151" s="16"/>
      <c r="E1151" s="16"/>
      <c r="F1151" s="16"/>
      <c r="G1151" s="16"/>
      <c r="H1151" s="16"/>
      <c r="I1151" s="16"/>
      <c r="J1151" s="16"/>
      <c r="K1151" s="16"/>
      <c r="L1151" s="16"/>
      <c r="M1151" s="16"/>
    </row>
    <row r="1152" spans="1:25" x14ac:dyDescent="0.2">
      <c r="A1152" s="16"/>
      <c r="B1152" s="37"/>
      <c r="C1152" s="16"/>
      <c r="D1152" s="16"/>
      <c r="E1152" s="16"/>
      <c r="F1152" s="16"/>
      <c r="G1152" s="16"/>
      <c r="H1152" s="16"/>
      <c r="I1152" s="16"/>
      <c r="J1152" s="16"/>
      <c r="K1152" s="16"/>
      <c r="L1152" s="16"/>
      <c r="M1152" s="16"/>
    </row>
    <row r="1153" spans="1:13" x14ac:dyDescent="0.2">
      <c r="A1153" s="16"/>
      <c r="B1153" s="37"/>
      <c r="C1153" s="16"/>
      <c r="D1153" s="16"/>
      <c r="E1153" s="16"/>
      <c r="F1153" s="16"/>
      <c r="G1153" s="16"/>
      <c r="H1153" s="16"/>
      <c r="I1153" s="16"/>
      <c r="J1153" s="16"/>
      <c r="K1153" s="16"/>
      <c r="L1153" s="16"/>
      <c r="M1153" s="16"/>
    </row>
    <row r="1154" spans="1:13" x14ac:dyDescent="0.2">
      <c r="A1154" s="16"/>
      <c r="B1154" s="37"/>
      <c r="C1154" s="16"/>
      <c r="D1154" s="16"/>
      <c r="E1154" s="16"/>
      <c r="F1154" s="16"/>
      <c r="G1154" s="16"/>
      <c r="H1154" s="16"/>
      <c r="I1154" s="16"/>
      <c r="J1154" s="16"/>
      <c r="K1154" s="16"/>
      <c r="L1154" s="16"/>
      <c r="M1154" s="16"/>
    </row>
    <row r="1155" spans="1:13" x14ac:dyDescent="0.2">
      <c r="A1155" s="16"/>
      <c r="B1155" s="37"/>
      <c r="C1155" s="16"/>
      <c r="D1155" s="16"/>
      <c r="E1155" s="16"/>
      <c r="F1155" s="16"/>
      <c r="G1155" s="16"/>
      <c r="H1155" s="16"/>
      <c r="I1155" s="16"/>
      <c r="J1155" s="16"/>
      <c r="K1155" s="16"/>
      <c r="L1155" s="16"/>
      <c r="M1155" s="16"/>
    </row>
    <row r="1156" spans="1:13" x14ac:dyDescent="0.2">
      <c r="A1156" s="16"/>
      <c r="B1156" s="37"/>
      <c r="C1156" s="16"/>
      <c r="D1156" s="16"/>
      <c r="E1156" s="16"/>
      <c r="F1156" s="16"/>
      <c r="G1156" s="16"/>
      <c r="H1156" s="16"/>
      <c r="I1156" s="16"/>
      <c r="J1156" s="16"/>
      <c r="K1156" s="16"/>
      <c r="L1156" s="16"/>
      <c r="M1156" s="16"/>
    </row>
    <row r="1157" spans="1:13" x14ac:dyDescent="0.2">
      <c r="A1157" s="16"/>
      <c r="B1157" s="37"/>
      <c r="C1157" s="16"/>
      <c r="D1157" s="16"/>
      <c r="E1157" s="16"/>
      <c r="F1157" s="16"/>
      <c r="G1157" s="16"/>
      <c r="H1157" s="16"/>
      <c r="I1157" s="16"/>
      <c r="J1157" s="16"/>
      <c r="K1157" s="16"/>
      <c r="L1157" s="16"/>
      <c r="M1157" s="16"/>
    </row>
    <row r="1158" spans="1:13" x14ac:dyDescent="0.2">
      <c r="A1158" s="16"/>
      <c r="B1158" s="37"/>
      <c r="C1158" s="16"/>
      <c r="D1158" s="16"/>
      <c r="E1158" s="16"/>
      <c r="F1158" s="16"/>
      <c r="G1158" s="16"/>
      <c r="H1158" s="16"/>
      <c r="I1158" s="16"/>
      <c r="J1158" s="16"/>
      <c r="K1158" s="16"/>
      <c r="L1158" s="16"/>
      <c r="M1158" s="16"/>
    </row>
    <row r="1159" spans="1:13" x14ac:dyDescent="0.2">
      <c r="A1159" s="16"/>
      <c r="B1159" s="37"/>
      <c r="C1159" s="16"/>
      <c r="D1159" s="16"/>
      <c r="E1159" s="16"/>
      <c r="F1159" s="16"/>
      <c r="G1159" s="16"/>
      <c r="H1159" s="16"/>
      <c r="I1159" s="16"/>
      <c r="J1159" s="16"/>
      <c r="K1159" s="16"/>
      <c r="L1159" s="16"/>
      <c r="M1159" s="16"/>
    </row>
    <row r="1160" spans="1:13" x14ac:dyDescent="0.2">
      <c r="A1160" s="16"/>
      <c r="B1160" s="37"/>
      <c r="C1160" s="16"/>
      <c r="D1160" s="16"/>
      <c r="E1160" s="16"/>
      <c r="F1160" s="16"/>
      <c r="G1160" s="16"/>
      <c r="H1160" s="16"/>
      <c r="I1160" s="16"/>
      <c r="J1160" s="16"/>
      <c r="K1160" s="16"/>
      <c r="L1160" s="16"/>
      <c r="M1160" s="16"/>
    </row>
    <row r="1161" spans="1:13" x14ac:dyDescent="0.2">
      <c r="A1161" s="16"/>
      <c r="B1161" s="37"/>
      <c r="C1161" s="16"/>
      <c r="D1161" s="16"/>
      <c r="E1161" s="16"/>
      <c r="F1161" s="16"/>
      <c r="G1161" s="16"/>
      <c r="H1161" s="16"/>
      <c r="I1161" s="16"/>
      <c r="J1161" s="16"/>
      <c r="K1161" s="16"/>
      <c r="L1161" s="16"/>
      <c r="M1161" s="16"/>
    </row>
    <row r="1162" spans="1:13" x14ac:dyDescent="0.2">
      <c r="A1162" s="16"/>
      <c r="B1162" s="37"/>
      <c r="C1162" s="16"/>
      <c r="D1162" s="16"/>
      <c r="E1162" s="16"/>
      <c r="F1162" s="16"/>
      <c r="G1162" s="16"/>
      <c r="H1162" s="16"/>
      <c r="I1162" s="16"/>
      <c r="J1162" s="16"/>
      <c r="K1162" s="16"/>
      <c r="L1162" s="16"/>
      <c r="M1162" s="16"/>
    </row>
    <row r="1163" spans="1:13" x14ac:dyDescent="0.2">
      <c r="A1163" s="16"/>
      <c r="B1163" s="37"/>
      <c r="C1163" s="16"/>
      <c r="D1163" s="16"/>
      <c r="E1163" s="16"/>
      <c r="F1163" s="16"/>
      <c r="G1163" s="16"/>
      <c r="H1163" s="16"/>
      <c r="I1163" s="16"/>
      <c r="J1163" s="16"/>
      <c r="K1163" s="16"/>
      <c r="L1163" s="16"/>
      <c r="M1163" s="16"/>
    </row>
    <row r="1164" spans="1:13" x14ac:dyDescent="0.2">
      <c r="A1164" s="16"/>
      <c r="B1164" s="37"/>
      <c r="C1164" s="16"/>
      <c r="D1164" s="16"/>
      <c r="E1164" s="16"/>
      <c r="F1164" s="16"/>
      <c r="G1164" s="16"/>
      <c r="H1164" s="16"/>
      <c r="I1164" s="16"/>
      <c r="J1164" s="16"/>
      <c r="K1164" s="16"/>
      <c r="L1164" s="16"/>
      <c r="M1164" s="16"/>
    </row>
    <row r="1165" spans="1:13" x14ac:dyDescent="0.2">
      <c r="A1165" s="16"/>
      <c r="B1165" s="37"/>
      <c r="C1165" s="16"/>
      <c r="D1165" s="16"/>
      <c r="E1165" s="16"/>
      <c r="F1165" s="16"/>
      <c r="G1165" s="16"/>
      <c r="H1165" s="16"/>
      <c r="I1165" s="16"/>
      <c r="J1165" s="16"/>
      <c r="K1165" s="16"/>
      <c r="L1165" s="16"/>
      <c r="M1165" s="16"/>
    </row>
    <row r="1166" spans="1:13" x14ac:dyDescent="0.2">
      <c r="A1166" s="16"/>
      <c r="B1166" s="37"/>
      <c r="C1166" s="16"/>
      <c r="D1166" s="16"/>
      <c r="E1166" s="16"/>
      <c r="F1166" s="16"/>
      <c r="G1166" s="16"/>
      <c r="H1166" s="16"/>
      <c r="I1166" s="16"/>
      <c r="J1166" s="16"/>
      <c r="K1166" s="16"/>
      <c r="L1166" s="16"/>
      <c r="M1166" s="16"/>
    </row>
    <row r="1167" spans="1:13" x14ac:dyDescent="0.2">
      <c r="A1167" s="16"/>
      <c r="B1167" s="37"/>
      <c r="C1167" s="16"/>
      <c r="D1167" s="16"/>
      <c r="E1167" s="16"/>
      <c r="F1167" s="16"/>
      <c r="G1167" s="16"/>
      <c r="H1167" s="16"/>
      <c r="I1167" s="16"/>
      <c r="J1167" s="16"/>
      <c r="K1167" s="16"/>
      <c r="L1167" s="16"/>
      <c r="M1167" s="16"/>
    </row>
    <row r="1168" spans="1:13" x14ac:dyDescent="0.2">
      <c r="A1168" s="16"/>
      <c r="B1168" s="37"/>
      <c r="C1168" s="16"/>
      <c r="D1168" s="16"/>
      <c r="E1168" s="16"/>
      <c r="F1168" s="16"/>
      <c r="G1168" s="16"/>
      <c r="H1168" s="16"/>
      <c r="I1168" s="16"/>
      <c r="J1168" s="16"/>
      <c r="K1168" s="16"/>
      <c r="L1168" s="16"/>
      <c r="M1168" s="16"/>
    </row>
    <row r="1169" spans="1:13" x14ac:dyDescent="0.2">
      <c r="A1169" s="16"/>
      <c r="B1169" s="37"/>
      <c r="C1169" s="16"/>
      <c r="D1169" s="16"/>
      <c r="E1169" s="16"/>
      <c r="F1169" s="16"/>
      <c r="G1169" s="16"/>
      <c r="H1169" s="16"/>
      <c r="I1169" s="16"/>
      <c r="J1169" s="16"/>
      <c r="K1169" s="16"/>
      <c r="L1169" s="16"/>
      <c r="M1169" s="16"/>
    </row>
    <row r="1170" spans="1:13" x14ac:dyDescent="0.2">
      <c r="A1170" s="16"/>
      <c r="B1170" s="37"/>
      <c r="C1170" s="16"/>
      <c r="D1170" s="16"/>
      <c r="E1170" s="16"/>
      <c r="F1170" s="16"/>
      <c r="G1170" s="16"/>
      <c r="H1170" s="16"/>
      <c r="I1170" s="16"/>
      <c r="J1170" s="16"/>
      <c r="K1170" s="16"/>
      <c r="L1170" s="16"/>
      <c r="M1170" s="16"/>
    </row>
    <row r="1171" spans="1:13" x14ac:dyDescent="0.2">
      <c r="A1171" s="16"/>
      <c r="B1171" s="37"/>
      <c r="C1171" s="16"/>
      <c r="D1171" s="16"/>
      <c r="E1171" s="16"/>
      <c r="F1171" s="16"/>
      <c r="G1171" s="16"/>
      <c r="H1171" s="16"/>
      <c r="I1171" s="16"/>
      <c r="J1171" s="16"/>
      <c r="K1171" s="16"/>
      <c r="L1171" s="16"/>
      <c r="M1171" s="16"/>
    </row>
    <row r="1172" spans="1:13" x14ac:dyDescent="0.2">
      <c r="A1172" s="16"/>
      <c r="B1172" s="37"/>
      <c r="C1172" s="16"/>
      <c r="D1172" s="16"/>
      <c r="E1172" s="16"/>
      <c r="F1172" s="16"/>
      <c r="G1172" s="16"/>
      <c r="H1172" s="16"/>
      <c r="I1172" s="16"/>
      <c r="J1172" s="16"/>
      <c r="K1172" s="16"/>
      <c r="L1172" s="16"/>
      <c r="M1172" s="16"/>
    </row>
    <row r="1173" spans="1:13" x14ac:dyDescent="0.2">
      <c r="A1173" s="16"/>
      <c r="B1173" s="37"/>
      <c r="C1173" s="16"/>
      <c r="D1173" s="16"/>
      <c r="E1173" s="16"/>
      <c r="F1173" s="16"/>
      <c r="G1173" s="16"/>
      <c r="H1173" s="16"/>
      <c r="I1173" s="16"/>
      <c r="J1173" s="16"/>
      <c r="K1173" s="16"/>
      <c r="L1173" s="16"/>
      <c r="M1173" s="16"/>
    </row>
    <row r="1174" spans="1:13" x14ac:dyDescent="0.2">
      <c r="A1174" s="16"/>
      <c r="B1174" s="37"/>
      <c r="C1174" s="16"/>
      <c r="D1174" s="16"/>
      <c r="E1174" s="16"/>
      <c r="F1174" s="16"/>
      <c r="G1174" s="16"/>
      <c r="H1174" s="16"/>
      <c r="I1174" s="16"/>
      <c r="J1174" s="16"/>
      <c r="K1174" s="16"/>
      <c r="L1174" s="16"/>
      <c r="M1174" s="16"/>
    </row>
    <row r="1175" spans="1:13" x14ac:dyDescent="0.2">
      <c r="A1175" s="16"/>
      <c r="B1175" s="37"/>
      <c r="C1175" s="16"/>
      <c r="D1175" s="16"/>
      <c r="E1175" s="16"/>
      <c r="F1175" s="16"/>
      <c r="G1175" s="16"/>
      <c r="H1175" s="16"/>
      <c r="I1175" s="16"/>
      <c r="J1175" s="16"/>
      <c r="K1175" s="16"/>
      <c r="L1175" s="16"/>
      <c r="M1175" s="16"/>
    </row>
    <row r="1176" spans="1:13" x14ac:dyDescent="0.2">
      <c r="A1176" s="16"/>
      <c r="B1176" s="37"/>
      <c r="C1176" s="16"/>
      <c r="D1176" s="16"/>
      <c r="E1176" s="16"/>
      <c r="F1176" s="16"/>
      <c r="G1176" s="16"/>
      <c r="H1176" s="16"/>
      <c r="I1176" s="16"/>
      <c r="J1176" s="16"/>
      <c r="K1176" s="16"/>
      <c r="L1176" s="16"/>
      <c r="M1176" s="16"/>
    </row>
    <row r="1177" spans="1:13" x14ac:dyDescent="0.2">
      <c r="A1177" s="16"/>
      <c r="B1177" s="37"/>
      <c r="C1177" s="16"/>
      <c r="D1177" s="16"/>
      <c r="E1177" s="16"/>
      <c r="F1177" s="16"/>
      <c r="G1177" s="16"/>
      <c r="H1177" s="16"/>
      <c r="I1177" s="16"/>
      <c r="J1177" s="16"/>
      <c r="K1177" s="16"/>
      <c r="L1177" s="16"/>
      <c r="M1177" s="16"/>
    </row>
    <row r="1178" spans="1:13" x14ac:dyDescent="0.2">
      <c r="A1178" s="16"/>
      <c r="B1178" s="37"/>
      <c r="C1178" s="16"/>
      <c r="D1178" s="16"/>
      <c r="E1178" s="16"/>
      <c r="F1178" s="16"/>
      <c r="G1178" s="16"/>
      <c r="H1178" s="16"/>
      <c r="I1178" s="16"/>
      <c r="J1178" s="16"/>
      <c r="K1178" s="16"/>
      <c r="L1178" s="16"/>
      <c r="M1178" s="16"/>
    </row>
    <row r="1179" spans="1:13" x14ac:dyDescent="0.2">
      <c r="A1179" s="16"/>
      <c r="B1179" s="37"/>
      <c r="C1179" s="16"/>
      <c r="D1179" s="16"/>
      <c r="E1179" s="16"/>
      <c r="F1179" s="16"/>
      <c r="G1179" s="16"/>
      <c r="H1179" s="16"/>
      <c r="I1179" s="16"/>
      <c r="J1179" s="16"/>
      <c r="K1179" s="16"/>
      <c r="L1179" s="16"/>
      <c r="M1179" s="16"/>
    </row>
    <row r="1180" spans="1:13" x14ac:dyDescent="0.2">
      <c r="A1180" s="16"/>
      <c r="B1180" s="37"/>
      <c r="C1180" s="16"/>
      <c r="D1180" s="16"/>
      <c r="E1180" s="16"/>
      <c r="F1180" s="16"/>
      <c r="G1180" s="16"/>
      <c r="H1180" s="16"/>
      <c r="I1180" s="16"/>
      <c r="J1180" s="16"/>
      <c r="K1180" s="16"/>
      <c r="L1180" s="16"/>
      <c r="M1180" s="16"/>
    </row>
    <row r="1181" spans="1:13" x14ac:dyDescent="0.2">
      <c r="A1181" s="16"/>
      <c r="B1181" s="37"/>
      <c r="C1181" s="16"/>
      <c r="D1181" s="16"/>
      <c r="E1181" s="16"/>
      <c r="F1181" s="16"/>
      <c r="G1181" s="16"/>
      <c r="H1181" s="16"/>
      <c r="I1181" s="16"/>
      <c r="J1181" s="16"/>
      <c r="K1181" s="16"/>
      <c r="L1181" s="16"/>
      <c r="M1181" s="16"/>
    </row>
    <row r="1182" spans="1:13" x14ac:dyDescent="0.2">
      <c r="A1182" s="16"/>
      <c r="B1182" s="37"/>
      <c r="C1182" s="16"/>
      <c r="D1182" s="16"/>
      <c r="E1182" s="16"/>
      <c r="F1182" s="16"/>
      <c r="G1182" s="16"/>
      <c r="H1182" s="16"/>
      <c r="I1182" s="16"/>
      <c r="J1182" s="16"/>
      <c r="K1182" s="16"/>
      <c r="L1182" s="16"/>
      <c r="M1182" s="16"/>
    </row>
    <row r="1183" spans="1:13" x14ac:dyDescent="0.2">
      <c r="A1183" s="16"/>
      <c r="B1183" s="37"/>
      <c r="C1183" s="16"/>
      <c r="D1183" s="16"/>
      <c r="E1183" s="16"/>
      <c r="F1183" s="16"/>
      <c r="G1183" s="16"/>
      <c r="H1183" s="16"/>
      <c r="I1183" s="16"/>
      <c r="J1183" s="16"/>
      <c r="K1183" s="16"/>
      <c r="L1183" s="16"/>
      <c r="M1183" s="16"/>
    </row>
    <row r="1184" spans="1:13" x14ac:dyDescent="0.2">
      <c r="A1184" s="16"/>
      <c r="B1184" s="37"/>
      <c r="C1184" s="16"/>
      <c r="D1184" s="16"/>
      <c r="E1184" s="16"/>
      <c r="F1184" s="16"/>
      <c r="G1184" s="16"/>
      <c r="H1184" s="16"/>
      <c r="I1184" s="16"/>
      <c r="J1184" s="16"/>
      <c r="K1184" s="16"/>
      <c r="L1184" s="16"/>
      <c r="M1184" s="16"/>
    </row>
    <row r="1185" spans="1:13" x14ac:dyDescent="0.2">
      <c r="A1185" s="16"/>
      <c r="B1185" s="37"/>
      <c r="C1185" s="16"/>
      <c r="D1185" s="16"/>
      <c r="E1185" s="16"/>
      <c r="F1185" s="16"/>
      <c r="G1185" s="16"/>
      <c r="H1185" s="16"/>
      <c r="I1185" s="16"/>
      <c r="J1185" s="16"/>
      <c r="K1185" s="16"/>
      <c r="L1185" s="16"/>
      <c r="M1185" s="16"/>
    </row>
    <row r="1186" spans="1:13" x14ac:dyDescent="0.2">
      <c r="A1186" s="16"/>
      <c r="B1186" s="37"/>
      <c r="C1186" s="16"/>
      <c r="D1186" s="16"/>
      <c r="E1186" s="16"/>
      <c r="F1186" s="16"/>
      <c r="G1186" s="16"/>
      <c r="H1186" s="16"/>
      <c r="I1186" s="16"/>
      <c r="J1186" s="16"/>
      <c r="K1186" s="16"/>
      <c r="L1186" s="16"/>
      <c r="M1186" s="16"/>
    </row>
    <row r="1187" spans="1:13" x14ac:dyDescent="0.2">
      <c r="A1187" s="16"/>
      <c r="B1187" s="37"/>
      <c r="C1187" s="16"/>
      <c r="D1187" s="16"/>
      <c r="E1187" s="16"/>
      <c r="F1187" s="16"/>
      <c r="G1187" s="16"/>
      <c r="H1187" s="16"/>
      <c r="I1187" s="16"/>
      <c r="J1187" s="16"/>
      <c r="K1187" s="16"/>
      <c r="L1187" s="16"/>
      <c r="M1187" s="16"/>
    </row>
    <row r="1188" spans="1:13" x14ac:dyDescent="0.2">
      <c r="A1188" s="16"/>
      <c r="B1188" s="37"/>
      <c r="C1188" s="16"/>
      <c r="D1188" s="16"/>
      <c r="E1188" s="16"/>
      <c r="F1188" s="16"/>
      <c r="G1188" s="16"/>
      <c r="H1188" s="16"/>
      <c r="I1188" s="16"/>
      <c r="J1188" s="16"/>
      <c r="K1188" s="16"/>
      <c r="L1188" s="16"/>
      <c r="M1188" s="16"/>
    </row>
    <row r="1189" spans="1:13" x14ac:dyDescent="0.2">
      <c r="A1189" s="16"/>
      <c r="B1189" s="37"/>
      <c r="C1189" s="16"/>
      <c r="D1189" s="16"/>
      <c r="E1189" s="16"/>
      <c r="F1189" s="16"/>
      <c r="G1189" s="16"/>
      <c r="H1189" s="16"/>
      <c r="I1189" s="16"/>
      <c r="J1189" s="16"/>
      <c r="K1189" s="16"/>
      <c r="L1189" s="16"/>
      <c r="M1189" s="16"/>
    </row>
    <row r="1190" spans="1:13" x14ac:dyDescent="0.2">
      <c r="A1190" s="16"/>
      <c r="B1190" s="37"/>
      <c r="C1190" s="16"/>
      <c r="D1190" s="16"/>
      <c r="E1190" s="16"/>
      <c r="F1190" s="16"/>
      <c r="G1190" s="16"/>
      <c r="H1190" s="16"/>
      <c r="I1190" s="16"/>
      <c r="J1190" s="16"/>
      <c r="K1190" s="16"/>
      <c r="L1190" s="16"/>
      <c r="M1190" s="16"/>
    </row>
    <row r="1191" spans="1:13" x14ac:dyDescent="0.2">
      <c r="A1191" s="16"/>
      <c r="B1191" s="37"/>
      <c r="C1191" s="16"/>
      <c r="D1191" s="16"/>
      <c r="E1191" s="16"/>
      <c r="F1191" s="16"/>
      <c r="G1191" s="16"/>
      <c r="H1191" s="16"/>
      <c r="I1191" s="16"/>
      <c r="J1191" s="16"/>
      <c r="K1191" s="16"/>
      <c r="L1191" s="16"/>
      <c r="M1191" s="16"/>
    </row>
    <row r="1192" spans="1:13" x14ac:dyDescent="0.2">
      <c r="A1192" s="16"/>
      <c r="B1192" s="37"/>
      <c r="C1192" s="16"/>
      <c r="D1192" s="16"/>
      <c r="E1192" s="16"/>
      <c r="F1192" s="16"/>
      <c r="G1192" s="16"/>
      <c r="H1192" s="16"/>
      <c r="I1192" s="16"/>
      <c r="J1192" s="16"/>
      <c r="K1192" s="16"/>
      <c r="L1192" s="16"/>
      <c r="M1192" s="16"/>
    </row>
    <row r="1193" spans="1:13" x14ac:dyDescent="0.2">
      <c r="A1193" s="16"/>
      <c r="B1193" s="37"/>
      <c r="C1193" s="16"/>
      <c r="D1193" s="16"/>
      <c r="E1193" s="16"/>
      <c r="F1193" s="16"/>
      <c r="G1193" s="16"/>
      <c r="H1193" s="16"/>
      <c r="I1193" s="16"/>
      <c r="J1193" s="16"/>
      <c r="K1193" s="16"/>
      <c r="L1193" s="16"/>
      <c r="M1193" s="16"/>
    </row>
    <row r="1194" spans="1:13" x14ac:dyDescent="0.2">
      <c r="A1194" s="16"/>
      <c r="B1194" s="37"/>
      <c r="C1194" s="16"/>
      <c r="D1194" s="16"/>
      <c r="E1194" s="16"/>
      <c r="F1194" s="16"/>
      <c r="G1194" s="16"/>
      <c r="H1194" s="16"/>
      <c r="I1194" s="16"/>
      <c r="J1194" s="16"/>
      <c r="K1194" s="16"/>
      <c r="L1194" s="16"/>
      <c r="M1194" s="16"/>
    </row>
    <row r="1195" spans="1:13" x14ac:dyDescent="0.2">
      <c r="A1195" s="16"/>
      <c r="B1195" s="37"/>
      <c r="C1195" s="16"/>
      <c r="D1195" s="16"/>
      <c r="E1195" s="16"/>
      <c r="F1195" s="16"/>
      <c r="G1195" s="16"/>
      <c r="H1195" s="16"/>
      <c r="I1195" s="16"/>
      <c r="J1195" s="16"/>
      <c r="K1195" s="16"/>
      <c r="L1195" s="16"/>
      <c r="M1195" s="16"/>
    </row>
    <row r="1196" spans="1:13" x14ac:dyDescent="0.2">
      <c r="A1196" s="16"/>
      <c r="B1196" s="37"/>
      <c r="C1196" s="16"/>
      <c r="D1196" s="16"/>
      <c r="E1196" s="16"/>
      <c r="F1196" s="16"/>
      <c r="G1196" s="16"/>
      <c r="H1196" s="16"/>
      <c r="I1196" s="16"/>
      <c r="J1196" s="16"/>
      <c r="K1196" s="16"/>
      <c r="L1196" s="16"/>
      <c r="M1196" s="16"/>
    </row>
    <row r="1197" spans="1:13" x14ac:dyDescent="0.2">
      <c r="A1197" s="16"/>
      <c r="B1197" s="37"/>
      <c r="C1197" s="16"/>
      <c r="D1197" s="16"/>
      <c r="E1197" s="16"/>
      <c r="F1197" s="16"/>
      <c r="G1197" s="16"/>
      <c r="H1197" s="16"/>
      <c r="I1197" s="16"/>
      <c r="J1197" s="16"/>
      <c r="K1197" s="16"/>
      <c r="L1197" s="16"/>
      <c r="M1197" s="16"/>
    </row>
    <row r="1198" spans="1:13" x14ac:dyDescent="0.2">
      <c r="A1198" s="16"/>
      <c r="B1198" s="37"/>
      <c r="C1198" s="16"/>
      <c r="D1198" s="16"/>
      <c r="E1198" s="16"/>
      <c r="F1198" s="16"/>
      <c r="G1198" s="16"/>
      <c r="H1198" s="16"/>
      <c r="I1198" s="16"/>
      <c r="J1198" s="16"/>
      <c r="K1198" s="16"/>
      <c r="L1198" s="16"/>
      <c r="M1198" s="16"/>
    </row>
    <row r="1199" spans="1:13" x14ac:dyDescent="0.2">
      <c r="A1199" s="16"/>
      <c r="B1199" s="37"/>
      <c r="C1199" s="16"/>
      <c r="D1199" s="16"/>
      <c r="E1199" s="16"/>
      <c r="F1199" s="16"/>
      <c r="G1199" s="16"/>
      <c r="H1199" s="16"/>
      <c r="I1199" s="16"/>
      <c r="J1199" s="16"/>
      <c r="K1199" s="16"/>
      <c r="L1199" s="16"/>
      <c r="M1199" s="16"/>
    </row>
    <row r="1200" spans="1:13" x14ac:dyDescent="0.2">
      <c r="A1200" s="16"/>
      <c r="B1200" s="37"/>
      <c r="C1200" s="16"/>
      <c r="D1200" s="16"/>
      <c r="E1200" s="16"/>
      <c r="F1200" s="16"/>
      <c r="G1200" s="16"/>
      <c r="H1200" s="16"/>
      <c r="I1200" s="16"/>
      <c r="J1200" s="16"/>
      <c r="K1200" s="16"/>
      <c r="L1200" s="16"/>
      <c r="M1200" s="16"/>
    </row>
    <row r="1201" spans="1:13" x14ac:dyDescent="0.2">
      <c r="A1201" s="16"/>
      <c r="B1201" s="37"/>
      <c r="C1201" s="16"/>
      <c r="D1201" s="16"/>
      <c r="E1201" s="16"/>
      <c r="F1201" s="16"/>
      <c r="G1201" s="16"/>
      <c r="H1201" s="16"/>
      <c r="I1201" s="16"/>
      <c r="J1201" s="16"/>
      <c r="K1201" s="16"/>
      <c r="L1201" s="16"/>
      <c r="M1201" s="16"/>
    </row>
    <row r="1202" spans="1:13" x14ac:dyDescent="0.2">
      <c r="A1202" s="16"/>
      <c r="B1202" s="37"/>
      <c r="C1202" s="16"/>
      <c r="D1202" s="16"/>
      <c r="E1202" s="16"/>
      <c r="F1202" s="16"/>
      <c r="G1202" s="16"/>
      <c r="H1202" s="16"/>
      <c r="I1202" s="16"/>
      <c r="J1202" s="16"/>
      <c r="K1202" s="16"/>
      <c r="L1202" s="16"/>
      <c r="M1202" s="16"/>
    </row>
    <row r="1203" spans="1:13" x14ac:dyDescent="0.2">
      <c r="A1203" s="16"/>
      <c r="B1203" s="37"/>
      <c r="C1203" s="16"/>
      <c r="D1203" s="16"/>
      <c r="E1203" s="16"/>
      <c r="F1203" s="16"/>
      <c r="G1203" s="16"/>
      <c r="H1203" s="16"/>
      <c r="I1203" s="16"/>
      <c r="J1203" s="16"/>
      <c r="K1203" s="16"/>
      <c r="L1203" s="16"/>
      <c r="M1203" s="16"/>
    </row>
    <row r="1204" spans="1:13" x14ac:dyDescent="0.2">
      <c r="A1204" s="16"/>
      <c r="B1204" s="37"/>
      <c r="C1204" s="16"/>
      <c r="D1204" s="16"/>
      <c r="E1204" s="16"/>
      <c r="F1204" s="16"/>
      <c r="G1204" s="16"/>
      <c r="H1204" s="16"/>
      <c r="I1204" s="16"/>
      <c r="J1204" s="16"/>
      <c r="K1204" s="16"/>
      <c r="L1204" s="16"/>
      <c r="M1204" s="16"/>
    </row>
    <row r="1205" spans="1:13" x14ac:dyDescent="0.2">
      <c r="A1205" s="16"/>
      <c r="B1205" s="37"/>
      <c r="C1205" s="16"/>
      <c r="D1205" s="16"/>
      <c r="E1205" s="16"/>
      <c r="F1205" s="16"/>
      <c r="G1205" s="16"/>
      <c r="H1205" s="16"/>
      <c r="I1205" s="16"/>
      <c r="J1205" s="16"/>
      <c r="K1205" s="16"/>
      <c r="L1205" s="16"/>
      <c r="M1205" s="16"/>
    </row>
    <row r="1206" spans="1:13" x14ac:dyDescent="0.2">
      <c r="A1206" s="16"/>
      <c r="B1206" s="37"/>
      <c r="C1206" s="16"/>
      <c r="D1206" s="16"/>
      <c r="E1206" s="16"/>
      <c r="F1206" s="16"/>
      <c r="G1206" s="16"/>
      <c r="H1206" s="16"/>
      <c r="I1206" s="16"/>
      <c r="J1206" s="16"/>
      <c r="K1206" s="16"/>
      <c r="L1206" s="16"/>
      <c r="M1206" s="16"/>
    </row>
    <row r="1207" spans="1:13" x14ac:dyDescent="0.2">
      <c r="A1207" s="16"/>
      <c r="B1207" s="37"/>
      <c r="C1207" s="16"/>
      <c r="D1207" s="16"/>
      <c r="E1207" s="16"/>
      <c r="F1207" s="16"/>
      <c r="G1207" s="16"/>
      <c r="H1207" s="16"/>
      <c r="I1207" s="16"/>
      <c r="J1207" s="16"/>
      <c r="K1207" s="16"/>
      <c r="L1207" s="16"/>
      <c r="M1207" s="16"/>
    </row>
    <row r="1208" spans="1:13" x14ac:dyDescent="0.2">
      <c r="A1208" s="16"/>
      <c r="B1208" s="37"/>
      <c r="C1208" s="16"/>
      <c r="D1208" s="16"/>
      <c r="E1208" s="16"/>
      <c r="F1208" s="16"/>
      <c r="G1208" s="16"/>
      <c r="H1208" s="16"/>
      <c r="I1208" s="16"/>
      <c r="J1208" s="16"/>
      <c r="K1208" s="16"/>
      <c r="L1208" s="16"/>
      <c r="M1208" s="16"/>
    </row>
    <row r="1209" spans="1:13" x14ac:dyDescent="0.2">
      <c r="A1209" s="16"/>
      <c r="B1209" s="37"/>
      <c r="C1209" s="16"/>
      <c r="D1209" s="16"/>
      <c r="E1209" s="16"/>
      <c r="F1209" s="16"/>
      <c r="G1209" s="16"/>
      <c r="H1209" s="16"/>
      <c r="I1209" s="16"/>
      <c r="J1209" s="16"/>
      <c r="K1209" s="16"/>
      <c r="L1209" s="16"/>
      <c r="M1209" s="16"/>
    </row>
    <row r="1210" spans="1:13" x14ac:dyDescent="0.2">
      <c r="A1210" s="16"/>
      <c r="B1210" s="37"/>
      <c r="C1210" s="16"/>
      <c r="D1210" s="16"/>
      <c r="E1210" s="16"/>
      <c r="F1210" s="16"/>
      <c r="G1210" s="16"/>
      <c r="H1210" s="16"/>
      <c r="I1210" s="16"/>
      <c r="J1210" s="16"/>
      <c r="K1210" s="16"/>
      <c r="L1210" s="16"/>
      <c r="M1210" s="16"/>
    </row>
    <row r="1211" spans="1:13" x14ac:dyDescent="0.2">
      <c r="A1211" s="16"/>
      <c r="B1211" s="37"/>
      <c r="C1211" s="16"/>
      <c r="D1211" s="16"/>
      <c r="E1211" s="16"/>
      <c r="F1211" s="16"/>
      <c r="G1211" s="16"/>
      <c r="H1211" s="16"/>
      <c r="I1211" s="16"/>
      <c r="J1211" s="16"/>
      <c r="K1211" s="16"/>
      <c r="L1211" s="16"/>
      <c r="M1211" s="16"/>
    </row>
    <row r="1212" spans="1:13" x14ac:dyDescent="0.2">
      <c r="A1212" s="16"/>
      <c r="B1212" s="37"/>
      <c r="C1212" s="16"/>
      <c r="D1212" s="16"/>
      <c r="E1212" s="16"/>
      <c r="F1212" s="16"/>
      <c r="G1212" s="16"/>
      <c r="H1212" s="16"/>
      <c r="I1212" s="16"/>
      <c r="J1212" s="16"/>
      <c r="K1212" s="16"/>
      <c r="L1212" s="16"/>
      <c r="M1212" s="16"/>
    </row>
    <row r="1213" spans="1:13" x14ac:dyDescent="0.2">
      <c r="A1213" s="16"/>
      <c r="B1213" s="37"/>
      <c r="C1213" s="16"/>
      <c r="D1213" s="16"/>
      <c r="E1213" s="16"/>
      <c r="F1213" s="16"/>
      <c r="G1213" s="16"/>
      <c r="H1213" s="16"/>
      <c r="I1213" s="16"/>
      <c r="J1213" s="16"/>
      <c r="K1213" s="16"/>
      <c r="L1213" s="16"/>
      <c r="M1213" s="16"/>
    </row>
    <row r="1214" spans="1:13" x14ac:dyDescent="0.2">
      <c r="A1214" s="16"/>
      <c r="B1214" s="37"/>
      <c r="C1214" s="16"/>
      <c r="D1214" s="16"/>
      <c r="E1214" s="16"/>
      <c r="F1214" s="16"/>
      <c r="G1214" s="16"/>
      <c r="H1214" s="16"/>
      <c r="I1214" s="16"/>
      <c r="J1214" s="16"/>
      <c r="K1214" s="16"/>
      <c r="L1214" s="16"/>
      <c r="M1214" s="16"/>
    </row>
    <row r="1215" spans="1:13" x14ac:dyDescent="0.2">
      <c r="A1215" s="16"/>
      <c r="B1215" s="37"/>
      <c r="C1215" s="16"/>
      <c r="D1215" s="16"/>
      <c r="E1215" s="16"/>
      <c r="F1215" s="16"/>
      <c r="G1215" s="16"/>
      <c r="H1215" s="16"/>
      <c r="I1215" s="16"/>
      <c r="J1215" s="16"/>
      <c r="K1215" s="16"/>
      <c r="L1215" s="16"/>
      <c r="M1215" s="16"/>
    </row>
    <row r="1216" spans="1:13" x14ac:dyDescent="0.2">
      <c r="A1216" s="16"/>
      <c r="B1216" s="37"/>
      <c r="C1216" s="16"/>
      <c r="D1216" s="16"/>
      <c r="E1216" s="16"/>
      <c r="F1216" s="16"/>
      <c r="G1216" s="16"/>
      <c r="H1216" s="16"/>
      <c r="I1216" s="16"/>
      <c r="J1216" s="16"/>
      <c r="K1216" s="16"/>
      <c r="L1216" s="16"/>
      <c r="M1216" s="16"/>
    </row>
    <row r="1217" spans="1:13" x14ac:dyDescent="0.2">
      <c r="A1217" s="16"/>
      <c r="B1217" s="37"/>
      <c r="C1217" s="16"/>
      <c r="D1217" s="16"/>
      <c r="E1217" s="16"/>
      <c r="F1217" s="16"/>
      <c r="G1217" s="16"/>
      <c r="H1217" s="16"/>
      <c r="I1217" s="16"/>
      <c r="J1217" s="16"/>
      <c r="K1217" s="16"/>
      <c r="L1217" s="16"/>
      <c r="M1217" s="16"/>
    </row>
    <row r="1218" spans="1:13" x14ac:dyDescent="0.2">
      <c r="A1218" s="16"/>
      <c r="B1218" s="37"/>
      <c r="C1218" s="16"/>
      <c r="D1218" s="16"/>
      <c r="E1218" s="16"/>
      <c r="F1218" s="16"/>
      <c r="G1218" s="16"/>
      <c r="H1218" s="16"/>
      <c r="I1218" s="16"/>
      <c r="J1218" s="16"/>
      <c r="K1218" s="16"/>
      <c r="L1218" s="16"/>
      <c r="M1218" s="16"/>
    </row>
    <row r="1219" spans="1:13" x14ac:dyDescent="0.2">
      <c r="A1219" s="16"/>
      <c r="B1219" s="37"/>
      <c r="C1219" s="16"/>
      <c r="D1219" s="16"/>
      <c r="E1219" s="16"/>
      <c r="F1219" s="16"/>
      <c r="G1219" s="16"/>
      <c r="H1219" s="16"/>
      <c r="I1219" s="16"/>
      <c r="J1219" s="16"/>
      <c r="K1219" s="16"/>
      <c r="L1219" s="16"/>
      <c r="M1219" s="16"/>
    </row>
    <row r="1220" spans="1:13" x14ac:dyDescent="0.2">
      <c r="A1220" s="16"/>
      <c r="B1220" s="37"/>
      <c r="C1220" s="16"/>
      <c r="D1220" s="16"/>
      <c r="E1220" s="16"/>
      <c r="F1220" s="16"/>
      <c r="G1220" s="16"/>
      <c r="H1220" s="16"/>
      <c r="I1220" s="16"/>
      <c r="J1220" s="16"/>
      <c r="K1220" s="16"/>
      <c r="L1220" s="16"/>
      <c r="M1220" s="16"/>
    </row>
    <row r="1221" spans="1:13" x14ac:dyDescent="0.2">
      <c r="A1221" s="16"/>
      <c r="B1221" s="37"/>
      <c r="C1221" s="16"/>
      <c r="D1221" s="16"/>
      <c r="E1221" s="16"/>
      <c r="F1221" s="16"/>
      <c r="G1221" s="16"/>
      <c r="H1221" s="16"/>
      <c r="I1221" s="16"/>
      <c r="J1221" s="16"/>
      <c r="K1221" s="16"/>
      <c r="L1221" s="16"/>
      <c r="M1221" s="16"/>
    </row>
    <row r="1222" spans="1:13" x14ac:dyDescent="0.2">
      <c r="A1222" s="16"/>
      <c r="B1222" s="37"/>
      <c r="C1222" s="16"/>
      <c r="D1222" s="16"/>
      <c r="E1222" s="16"/>
      <c r="F1222" s="16"/>
      <c r="G1222" s="16"/>
      <c r="H1222" s="16"/>
      <c r="I1222" s="16"/>
      <c r="J1222" s="16"/>
      <c r="K1222" s="16"/>
      <c r="L1222" s="16"/>
      <c r="M1222" s="16"/>
    </row>
    <row r="1223" spans="1:13" x14ac:dyDescent="0.2">
      <c r="A1223" s="16"/>
      <c r="B1223" s="37"/>
      <c r="C1223" s="16"/>
      <c r="D1223" s="16"/>
      <c r="E1223" s="16"/>
      <c r="F1223" s="16"/>
      <c r="G1223" s="16"/>
      <c r="H1223" s="16"/>
      <c r="I1223" s="16"/>
      <c r="J1223" s="16"/>
      <c r="K1223" s="16"/>
      <c r="L1223" s="16"/>
      <c r="M1223" s="16"/>
    </row>
    <row r="1224" spans="1:13" x14ac:dyDescent="0.2">
      <c r="A1224" s="16"/>
      <c r="B1224" s="37"/>
      <c r="C1224" s="16"/>
      <c r="D1224" s="16"/>
      <c r="E1224" s="16"/>
      <c r="F1224" s="16"/>
      <c r="G1224" s="16"/>
      <c r="H1224" s="16"/>
      <c r="I1224" s="16"/>
      <c r="J1224" s="16"/>
      <c r="K1224" s="16"/>
      <c r="L1224" s="16"/>
      <c r="M1224" s="16"/>
    </row>
    <row r="1225" spans="1:13" x14ac:dyDescent="0.2">
      <c r="A1225" s="16"/>
      <c r="B1225" s="37"/>
      <c r="C1225" s="16"/>
      <c r="D1225" s="16"/>
      <c r="E1225" s="16"/>
      <c r="F1225" s="16"/>
      <c r="G1225" s="16"/>
      <c r="H1225" s="16"/>
      <c r="I1225" s="16"/>
      <c r="J1225" s="16"/>
      <c r="K1225" s="16"/>
      <c r="L1225" s="16"/>
      <c r="M1225" s="16"/>
    </row>
    <row r="1226" spans="1:13" x14ac:dyDescent="0.2">
      <c r="A1226" s="16"/>
      <c r="B1226" s="37"/>
      <c r="C1226" s="16"/>
      <c r="D1226" s="16"/>
      <c r="E1226" s="16"/>
      <c r="F1226" s="16"/>
      <c r="G1226" s="16"/>
      <c r="H1226" s="16"/>
      <c r="I1226" s="16"/>
      <c r="J1226" s="16"/>
      <c r="K1226" s="16"/>
      <c r="L1226" s="16"/>
      <c r="M1226" s="16"/>
    </row>
    <row r="1227" spans="1:13" x14ac:dyDescent="0.2">
      <c r="A1227" s="16"/>
      <c r="B1227" s="37"/>
      <c r="C1227" s="16"/>
      <c r="D1227" s="16"/>
      <c r="E1227" s="16"/>
      <c r="F1227" s="16"/>
      <c r="G1227" s="16"/>
      <c r="H1227" s="16"/>
      <c r="I1227" s="16"/>
      <c r="J1227" s="16"/>
      <c r="K1227" s="16"/>
      <c r="L1227" s="16"/>
      <c r="M1227" s="16"/>
    </row>
    <row r="1228" spans="1:13" x14ac:dyDescent="0.2">
      <c r="A1228" s="16"/>
      <c r="B1228" s="37"/>
      <c r="C1228" s="16"/>
      <c r="D1228" s="16"/>
      <c r="E1228" s="16"/>
      <c r="F1228" s="16"/>
      <c r="G1228" s="16"/>
      <c r="H1228" s="16"/>
      <c r="I1228" s="16"/>
      <c r="J1228" s="16"/>
      <c r="K1228" s="16"/>
      <c r="L1228" s="16"/>
      <c r="M1228" s="16"/>
    </row>
    <row r="1229" spans="1:13" x14ac:dyDescent="0.2">
      <c r="A1229" s="16"/>
      <c r="B1229" s="37"/>
      <c r="C1229" s="16"/>
      <c r="D1229" s="16"/>
      <c r="E1229" s="16"/>
      <c r="F1229" s="16"/>
      <c r="G1229" s="16"/>
      <c r="H1229" s="16"/>
      <c r="I1229" s="16"/>
      <c r="J1229" s="16"/>
      <c r="K1229" s="16"/>
      <c r="L1229" s="16"/>
      <c r="M1229" s="16"/>
    </row>
    <row r="1230" spans="1:13" x14ac:dyDescent="0.2">
      <c r="A1230" s="16"/>
      <c r="B1230" s="37"/>
      <c r="C1230" s="16"/>
      <c r="D1230" s="16"/>
      <c r="E1230" s="16"/>
      <c r="F1230" s="16"/>
      <c r="G1230" s="16"/>
      <c r="H1230" s="16"/>
      <c r="I1230" s="16"/>
      <c r="J1230" s="16"/>
      <c r="K1230" s="16"/>
      <c r="L1230" s="16"/>
      <c r="M1230" s="16"/>
    </row>
    <row r="1231" spans="1:13" x14ac:dyDescent="0.2">
      <c r="A1231" s="16"/>
      <c r="B1231" s="37"/>
      <c r="C1231" s="16"/>
      <c r="D1231" s="16"/>
      <c r="E1231" s="16"/>
      <c r="F1231" s="16"/>
      <c r="G1231" s="16"/>
      <c r="H1231" s="16"/>
      <c r="I1231" s="16"/>
      <c r="J1231" s="16"/>
      <c r="K1231" s="16"/>
      <c r="L1231" s="16"/>
      <c r="M1231" s="16"/>
    </row>
    <row r="1232" spans="1:13" x14ac:dyDescent="0.2">
      <c r="A1232" s="16"/>
      <c r="B1232" s="37"/>
      <c r="C1232" s="16"/>
      <c r="D1232" s="16"/>
      <c r="E1232" s="16"/>
      <c r="F1232" s="16"/>
      <c r="G1232" s="16"/>
      <c r="H1232" s="16"/>
      <c r="I1232" s="16"/>
      <c r="J1232" s="16"/>
      <c r="K1232" s="16"/>
      <c r="L1232" s="16"/>
      <c r="M1232" s="16"/>
    </row>
    <row r="1233" spans="1:13" x14ac:dyDescent="0.2">
      <c r="A1233" s="16"/>
      <c r="B1233" s="37"/>
      <c r="C1233" s="16"/>
      <c r="D1233" s="16"/>
      <c r="E1233" s="16"/>
      <c r="F1233" s="16"/>
      <c r="G1233" s="16"/>
      <c r="H1233" s="16"/>
      <c r="I1233" s="16"/>
      <c r="J1233" s="16"/>
      <c r="K1233" s="16"/>
      <c r="L1233" s="16"/>
      <c r="M1233" s="16"/>
    </row>
    <row r="1234" spans="1:13" x14ac:dyDescent="0.2">
      <c r="A1234" s="16"/>
      <c r="B1234" s="37"/>
      <c r="C1234" s="16"/>
      <c r="D1234" s="16"/>
      <c r="E1234" s="16"/>
      <c r="F1234" s="16"/>
      <c r="G1234" s="16"/>
      <c r="H1234" s="16"/>
      <c r="I1234" s="16"/>
      <c r="J1234" s="16"/>
      <c r="K1234" s="16"/>
      <c r="L1234" s="16"/>
      <c r="M1234" s="16"/>
    </row>
    <row r="1235" spans="1:13" x14ac:dyDescent="0.2">
      <c r="A1235" s="16"/>
      <c r="B1235" s="37"/>
      <c r="C1235" s="16"/>
      <c r="D1235" s="16"/>
      <c r="E1235" s="16"/>
      <c r="F1235" s="16"/>
      <c r="G1235" s="16"/>
      <c r="H1235" s="16"/>
      <c r="I1235" s="16"/>
      <c r="J1235" s="16"/>
      <c r="K1235" s="16"/>
      <c r="L1235" s="16"/>
      <c r="M1235" s="16"/>
    </row>
    <row r="1236" spans="1:13" x14ac:dyDescent="0.2">
      <c r="A1236" s="16"/>
      <c r="B1236" s="37"/>
      <c r="C1236" s="16"/>
      <c r="D1236" s="16"/>
      <c r="E1236" s="16"/>
      <c r="F1236" s="16"/>
      <c r="G1236" s="16"/>
      <c r="H1236" s="16"/>
      <c r="I1236" s="16"/>
      <c r="J1236" s="16"/>
      <c r="K1236" s="16"/>
      <c r="L1236" s="16"/>
      <c r="M1236" s="16"/>
    </row>
    <row r="1237" spans="1:13" x14ac:dyDescent="0.2">
      <c r="A1237" s="16"/>
      <c r="B1237" s="37"/>
      <c r="C1237" s="16"/>
      <c r="D1237" s="16"/>
      <c r="E1237" s="16"/>
      <c r="F1237" s="16"/>
      <c r="G1237" s="16"/>
      <c r="H1237" s="16"/>
      <c r="I1237" s="16"/>
      <c r="J1237" s="16"/>
      <c r="K1237" s="16"/>
      <c r="L1237" s="16"/>
      <c r="M1237" s="16"/>
    </row>
    <row r="1238" spans="1:13" x14ac:dyDescent="0.2">
      <c r="A1238" s="16"/>
      <c r="B1238" s="37"/>
      <c r="C1238" s="16"/>
      <c r="D1238" s="16"/>
      <c r="E1238" s="16"/>
      <c r="F1238" s="16"/>
      <c r="G1238" s="16"/>
      <c r="H1238" s="16"/>
      <c r="I1238" s="16"/>
      <c r="J1238" s="16"/>
      <c r="K1238" s="16"/>
      <c r="L1238" s="16"/>
      <c r="M1238" s="16"/>
    </row>
    <row r="1239" spans="1:13" x14ac:dyDescent="0.2">
      <c r="A1239" s="16"/>
      <c r="B1239" s="37"/>
      <c r="C1239" s="16"/>
      <c r="D1239" s="16"/>
      <c r="E1239" s="16"/>
      <c r="F1239" s="16"/>
      <c r="G1239" s="16"/>
      <c r="H1239" s="16"/>
      <c r="I1239" s="16"/>
      <c r="J1239" s="16"/>
      <c r="K1239" s="16"/>
      <c r="L1239" s="16"/>
      <c r="M1239" s="16"/>
    </row>
    <row r="1240" spans="1:13" x14ac:dyDescent="0.2">
      <c r="A1240" s="16"/>
      <c r="B1240" s="37"/>
      <c r="C1240" s="16"/>
      <c r="D1240" s="16"/>
      <c r="E1240" s="16"/>
      <c r="F1240" s="16"/>
      <c r="G1240" s="16"/>
      <c r="H1240" s="16"/>
      <c r="I1240" s="16"/>
      <c r="J1240" s="16"/>
      <c r="K1240" s="16"/>
      <c r="L1240" s="16"/>
      <c r="M1240" s="16"/>
    </row>
    <row r="1241" spans="1:13" x14ac:dyDescent="0.2">
      <c r="A1241" s="16"/>
      <c r="B1241" s="37"/>
      <c r="C1241" s="16"/>
      <c r="D1241" s="16"/>
      <c r="E1241" s="16"/>
      <c r="F1241" s="16"/>
      <c r="G1241" s="16"/>
      <c r="H1241" s="16"/>
      <c r="I1241" s="16"/>
      <c r="J1241" s="16"/>
      <c r="K1241" s="16"/>
      <c r="L1241" s="16"/>
      <c r="M1241" s="16"/>
    </row>
    <row r="1242" spans="1:13" x14ac:dyDescent="0.2">
      <c r="A1242" s="16"/>
      <c r="B1242" s="37"/>
      <c r="C1242" s="16"/>
      <c r="D1242" s="16"/>
      <c r="E1242" s="16"/>
      <c r="F1242" s="16"/>
      <c r="G1242" s="16"/>
      <c r="H1242" s="16"/>
      <c r="I1242" s="16"/>
      <c r="J1242" s="16"/>
      <c r="K1242" s="16"/>
      <c r="L1242" s="16"/>
      <c r="M1242" s="16"/>
    </row>
    <row r="1243" spans="1:13" x14ac:dyDescent="0.2">
      <c r="A1243" s="16"/>
      <c r="B1243" s="37"/>
      <c r="C1243" s="16"/>
      <c r="D1243" s="16"/>
      <c r="E1243" s="16"/>
      <c r="F1243" s="16"/>
      <c r="G1243" s="16"/>
      <c r="H1243" s="16"/>
      <c r="I1243" s="16"/>
      <c r="J1243" s="16"/>
      <c r="K1243" s="16"/>
      <c r="L1243" s="16"/>
      <c r="M1243" s="16"/>
    </row>
    <row r="1244" spans="1:13" x14ac:dyDescent="0.2">
      <c r="A1244" s="16"/>
      <c r="B1244" s="37"/>
      <c r="C1244" s="16"/>
      <c r="D1244" s="16"/>
      <c r="E1244" s="16"/>
      <c r="F1244" s="16"/>
      <c r="G1244" s="16"/>
      <c r="H1244" s="16"/>
      <c r="I1244" s="16"/>
      <c r="J1244" s="16"/>
      <c r="K1244" s="16"/>
      <c r="L1244" s="16"/>
      <c r="M1244" s="16"/>
    </row>
    <row r="1245" spans="1:13" x14ac:dyDescent="0.2">
      <c r="A1245" s="16"/>
      <c r="B1245" s="37"/>
      <c r="C1245" s="16"/>
      <c r="D1245" s="16"/>
      <c r="E1245" s="16"/>
      <c r="F1245" s="16"/>
      <c r="G1245" s="16"/>
      <c r="H1245" s="16"/>
      <c r="I1245" s="16"/>
      <c r="J1245" s="16"/>
      <c r="K1245" s="16"/>
      <c r="L1245" s="16"/>
      <c r="M1245" s="16"/>
    </row>
    <row r="1246" spans="1:13" x14ac:dyDescent="0.2">
      <c r="A1246" s="16"/>
      <c r="B1246" s="37"/>
      <c r="C1246" s="16"/>
      <c r="D1246" s="16"/>
      <c r="E1246" s="16"/>
      <c r="F1246" s="16"/>
      <c r="G1246" s="16"/>
      <c r="H1246" s="16"/>
      <c r="I1246" s="16"/>
      <c r="J1246" s="16"/>
      <c r="K1246" s="16"/>
      <c r="L1246" s="16"/>
      <c r="M1246" s="16"/>
    </row>
    <row r="1247" spans="1:13" x14ac:dyDescent="0.2">
      <c r="A1247" s="16"/>
      <c r="B1247" s="37"/>
      <c r="C1247" s="16"/>
      <c r="D1247" s="16"/>
      <c r="E1247" s="16"/>
      <c r="F1247" s="16"/>
      <c r="G1247" s="16"/>
      <c r="H1247" s="16"/>
      <c r="I1247" s="16"/>
      <c r="J1247" s="16"/>
      <c r="K1247" s="16"/>
      <c r="L1247" s="16"/>
      <c r="M1247" s="16"/>
    </row>
    <row r="1248" spans="1:13" x14ac:dyDescent="0.2">
      <c r="A1248" s="16"/>
      <c r="B1248" s="37"/>
      <c r="C1248" s="16"/>
      <c r="D1248" s="16"/>
      <c r="E1248" s="16"/>
      <c r="F1248" s="16"/>
      <c r="G1248" s="16"/>
      <c r="H1248" s="16"/>
      <c r="I1248" s="16"/>
      <c r="J1248" s="16"/>
      <c r="K1248" s="16"/>
      <c r="L1248" s="16"/>
      <c r="M1248" s="16"/>
    </row>
    <row r="1249" spans="1:13" x14ac:dyDescent="0.2">
      <c r="A1249" s="16"/>
      <c r="B1249" s="37"/>
      <c r="C1249" s="16"/>
      <c r="D1249" s="16"/>
      <c r="E1249" s="16"/>
      <c r="F1249" s="16"/>
      <c r="G1249" s="16"/>
      <c r="H1249" s="16"/>
      <c r="I1249" s="16"/>
      <c r="J1249" s="16"/>
      <c r="K1249" s="16"/>
      <c r="L1249" s="16"/>
      <c r="M1249" s="16"/>
    </row>
    <row r="1250" spans="1:13" x14ac:dyDescent="0.2">
      <c r="A1250" s="16"/>
      <c r="B1250" s="37"/>
      <c r="C1250" s="16"/>
      <c r="D1250" s="16"/>
      <c r="E1250" s="16"/>
      <c r="F1250" s="16"/>
      <c r="G1250" s="16"/>
      <c r="H1250" s="16"/>
      <c r="I1250" s="16"/>
      <c r="J1250" s="16"/>
      <c r="K1250" s="16"/>
      <c r="L1250" s="16"/>
      <c r="M1250" s="16"/>
    </row>
    <row r="1251" spans="1:13" x14ac:dyDescent="0.2">
      <c r="A1251" s="16"/>
      <c r="B1251" s="37"/>
      <c r="C1251" s="16"/>
      <c r="D1251" s="16"/>
      <c r="E1251" s="16"/>
      <c r="F1251" s="16"/>
      <c r="G1251" s="16"/>
      <c r="H1251" s="16"/>
      <c r="I1251" s="16"/>
      <c r="J1251" s="16"/>
      <c r="K1251" s="16"/>
      <c r="L1251" s="16"/>
      <c r="M1251" s="16"/>
    </row>
    <row r="1252" spans="1:13" x14ac:dyDescent="0.2">
      <c r="A1252" s="16"/>
      <c r="B1252" s="37"/>
      <c r="C1252" s="16"/>
      <c r="D1252" s="16"/>
      <c r="E1252" s="16"/>
      <c r="F1252" s="16"/>
      <c r="G1252" s="16"/>
      <c r="H1252" s="16"/>
      <c r="I1252" s="16"/>
      <c r="J1252" s="16"/>
      <c r="K1252" s="16"/>
      <c r="L1252" s="16"/>
      <c r="M1252" s="16"/>
    </row>
    <row r="1253" spans="1:13" x14ac:dyDescent="0.2">
      <c r="A1253" s="16"/>
      <c r="B1253" s="37"/>
      <c r="C1253" s="16"/>
      <c r="D1253" s="16"/>
      <c r="E1253" s="16"/>
      <c r="F1253" s="16"/>
      <c r="G1253" s="16"/>
      <c r="H1253" s="16"/>
      <c r="I1253" s="16"/>
      <c r="J1253" s="16"/>
      <c r="K1253" s="16"/>
      <c r="L1253" s="16"/>
      <c r="M1253" s="16"/>
    </row>
    <row r="1254" spans="1:13" x14ac:dyDescent="0.2">
      <c r="A1254" s="16"/>
      <c r="B1254" s="37"/>
      <c r="C1254" s="16"/>
      <c r="D1254" s="16"/>
      <c r="E1254" s="16"/>
      <c r="F1254" s="16"/>
      <c r="G1254" s="16"/>
      <c r="H1254" s="16"/>
      <c r="I1254" s="16"/>
      <c r="J1254" s="16"/>
      <c r="K1254" s="16"/>
      <c r="L1254" s="16"/>
      <c r="M1254" s="16"/>
    </row>
    <row r="1255" spans="1:13" x14ac:dyDescent="0.2">
      <c r="A1255" s="16"/>
      <c r="B1255" s="37"/>
      <c r="C1255" s="16"/>
      <c r="D1255" s="16"/>
      <c r="E1255" s="16"/>
      <c r="F1255" s="16"/>
      <c r="G1255" s="16"/>
      <c r="H1255" s="16"/>
      <c r="I1255" s="16"/>
      <c r="J1255" s="16"/>
      <c r="K1255" s="16"/>
      <c r="L1255" s="16"/>
      <c r="M1255" s="16"/>
    </row>
    <row r="1256" spans="1:13" x14ac:dyDescent="0.2">
      <c r="A1256" s="16"/>
      <c r="B1256" s="37"/>
      <c r="C1256" s="16"/>
      <c r="D1256" s="16"/>
      <c r="E1256" s="16"/>
      <c r="F1256" s="16"/>
      <c r="G1256" s="16"/>
      <c r="H1256" s="16"/>
      <c r="I1256" s="16"/>
      <c r="J1256" s="16"/>
      <c r="K1256" s="16"/>
      <c r="L1256" s="16"/>
      <c r="M1256" s="16"/>
    </row>
    <row r="1257" spans="1:13" x14ac:dyDescent="0.2">
      <c r="A1257" s="16"/>
      <c r="B1257" s="37"/>
      <c r="C1257" s="16"/>
      <c r="D1257" s="16"/>
      <c r="E1257" s="16"/>
      <c r="F1257" s="16"/>
      <c r="G1257" s="16"/>
      <c r="H1257" s="16"/>
      <c r="I1257" s="16"/>
      <c r="J1257" s="16"/>
      <c r="K1257" s="16"/>
      <c r="L1257" s="16"/>
      <c r="M1257" s="16"/>
    </row>
    <row r="1258" spans="1:13" x14ac:dyDescent="0.2">
      <c r="A1258" s="16"/>
      <c r="B1258" s="37"/>
      <c r="C1258" s="16"/>
      <c r="D1258" s="16"/>
      <c r="E1258" s="16"/>
      <c r="F1258" s="16"/>
      <c r="G1258" s="16"/>
      <c r="H1258" s="16"/>
      <c r="I1258" s="16"/>
      <c r="J1258" s="16"/>
      <c r="K1258" s="16"/>
      <c r="L1258" s="16"/>
      <c r="M1258" s="16"/>
    </row>
    <row r="1259" spans="1:13" x14ac:dyDescent="0.2">
      <c r="A1259" s="16"/>
      <c r="B1259" s="37"/>
      <c r="C1259" s="16"/>
      <c r="D1259" s="16"/>
      <c r="E1259" s="16"/>
      <c r="F1259" s="16"/>
      <c r="G1259" s="16"/>
      <c r="H1259" s="16"/>
      <c r="I1259" s="16"/>
      <c r="J1259" s="16"/>
      <c r="K1259" s="16"/>
      <c r="L1259" s="16"/>
      <c r="M1259" s="16"/>
    </row>
    <row r="1260" spans="1:13" x14ac:dyDescent="0.2">
      <c r="A1260" s="16"/>
      <c r="B1260" s="37"/>
      <c r="C1260" s="16"/>
      <c r="D1260" s="16"/>
      <c r="E1260" s="16"/>
      <c r="F1260" s="16"/>
      <c r="G1260" s="16"/>
      <c r="H1260" s="16"/>
      <c r="I1260" s="16"/>
      <c r="J1260" s="16"/>
      <c r="K1260" s="16"/>
      <c r="L1260" s="16"/>
      <c r="M1260" s="16"/>
    </row>
    <row r="1261" spans="1:13" x14ac:dyDescent="0.2">
      <c r="A1261" s="16"/>
      <c r="B1261" s="37"/>
      <c r="C1261" s="16"/>
      <c r="D1261" s="16"/>
      <c r="E1261" s="16"/>
      <c r="F1261" s="16"/>
      <c r="G1261" s="16"/>
      <c r="H1261" s="16"/>
      <c r="I1261" s="16"/>
      <c r="J1261" s="16"/>
      <c r="K1261" s="16"/>
      <c r="L1261" s="16"/>
      <c r="M1261" s="16"/>
    </row>
    <row r="1262" spans="1:13" x14ac:dyDescent="0.2">
      <c r="A1262" s="16"/>
      <c r="B1262" s="37"/>
      <c r="C1262" s="16"/>
      <c r="D1262" s="16"/>
      <c r="E1262" s="16"/>
      <c r="F1262" s="16"/>
      <c r="G1262" s="16"/>
      <c r="H1262" s="16"/>
      <c r="I1262" s="16"/>
      <c r="J1262" s="16"/>
      <c r="K1262" s="16"/>
      <c r="L1262" s="16"/>
      <c r="M1262" s="16"/>
    </row>
    <row r="1263" spans="1:13" x14ac:dyDescent="0.2">
      <c r="A1263" s="16"/>
      <c r="B1263" s="37"/>
      <c r="C1263" s="16"/>
      <c r="D1263" s="16"/>
      <c r="E1263" s="16"/>
      <c r="F1263" s="16"/>
      <c r="G1263" s="16"/>
      <c r="H1263" s="16"/>
      <c r="I1263" s="16"/>
      <c r="J1263" s="16"/>
      <c r="K1263" s="16"/>
      <c r="L1263" s="16"/>
      <c r="M1263" s="16"/>
    </row>
    <row r="1264" spans="1:13" x14ac:dyDescent="0.2">
      <c r="A1264" s="16"/>
      <c r="B1264" s="37"/>
      <c r="C1264" s="16"/>
      <c r="D1264" s="16"/>
      <c r="E1264" s="16"/>
      <c r="F1264" s="16"/>
      <c r="G1264" s="16"/>
      <c r="H1264" s="16"/>
      <c r="I1264" s="16"/>
      <c r="J1264" s="16"/>
      <c r="K1264" s="16"/>
      <c r="L1264" s="16"/>
      <c r="M1264" s="16"/>
    </row>
    <row r="1265" spans="1:13" x14ac:dyDescent="0.2">
      <c r="A1265" s="16"/>
      <c r="B1265" s="37"/>
      <c r="C1265" s="16"/>
      <c r="D1265" s="16"/>
      <c r="E1265" s="16"/>
      <c r="F1265" s="16"/>
      <c r="G1265" s="16"/>
      <c r="H1265" s="16"/>
      <c r="I1265" s="16"/>
      <c r="J1265" s="16"/>
      <c r="K1265" s="16"/>
      <c r="L1265" s="16"/>
      <c r="M1265" s="16"/>
    </row>
    <row r="1266" spans="1:13" x14ac:dyDescent="0.2">
      <c r="A1266" s="16"/>
      <c r="B1266" s="37"/>
      <c r="C1266" s="16"/>
      <c r="D1266" s="16"/>
      <c r="E1266" s="16"/>
      <c r="F1266" s="16"/>
      <c r="G1266" s="16"/>
      <c r="H1266" s="16"/>
      <c r="I1266" s="16"/>
      <c r="J1266" s="16"/>
      <c r="K1266" s="16"/>
      <c r="L1266" s="16"/>
      <c r="M1266" s="16"/>
    </row>
    <row r="1267" spans="1:13" x14ac:dyDescent="0.2">
      <c r="A1267" s="16"/>
      <c r="B1267" s="37"/>
      <c r="C1267" s="16"/>
      <c r="D1267" s="16"/>
      <c r="E1267" s="16"/>
      <c r="F1267" s="16"/>
      <c r="G1267" s="16"/>
      <c r="H1267" s="16"/>
      <c r="I1267" s="16"/>
      <c r="J1267" s="16"/>
      <c r="K1267" s="16"/>
      <c r="L1267" s="16"/>
      <c r="M1267" s="16"/>
    </row>
    <row r="1268" spans="1:13" x14ac:dyDescent="0.2">
      <c r="A1268" s="16"/>
      <c r="B1268" s="37"/>
      <c r="C1268" s="16"/>
      <c r="D1268" s="16"/>
      <c r="E1268" s="16"/>
      <c r="F1268" s="16"/>
      <c r="G1268" s="16"/>
      <c r="H1268" s="16"/>
      <c r="I1268" s="16"/>
      <c r="J1268" s="16"/>
      <c r="K1268" s="16"/>
      <c r="L1268" s="16"/>
      <c r="M1268" s="16"/>
    </row>
    <row r="1269" spans="1:13" x14ac:dyDescent="0.2">
      <c r="A1269" s="16"/>
      <c r="B1269" s="37"/>
      <c r="C1269" s="16"/>
      <c r="D1269" s="16"/>
      <c r="E1269" s="16"/>
      <c r="F1269" s="16"/>
      <c r="G1269" s="16"/>
      <c r="H1269" s="16"/>
      <c r="I1269" s="16"/>
      <c r="J1269" s="16"/>
      <c r="K1269" s="16"/>
      <c r="L1269" s="16"/>
      <c r="M1269" s="16"/>
    </row>
    <row r="1270" spans="1:13" x14ac:dyDescent="0.2">
      <c r="A1270" s="16"/>
      <c r="B1270" s="37"/>
      <c r="C1270" s="16"/>
      <c r="D1270" s="16"/>
      <c r="E1270" s="16"/>
      <c r="F1270" s="16"/>
      <c r="G1270" s="16"/>
      <c r="H1270" s="16"/>
      <c r="I1270" s="16"/>
      <c r="J1270" s="16"/>
      <c r="K1270" s="16"/>
      <c r="L1270" s="16"/>
      <c r="M1270" s="16"/>
    </row>
    <row r="1271" spans="1:13" x14ac:dyDescent="0.2">
      <c r="A1271" s="16"/>
      <c r="B1271" s="37"/>
      <c r="C1271" s="16"/>
      <c r="D1271" s="16"/>
      <c r="E1271" s="16"/>
      <c r="F1271" s="16"/>
      <c r="G1271" s="16"/>
      <c r="H1271" s="16"/>
      <c r="I1271" s="16"/>
      <c r="J1271" s="16"/>
      <c r="K1271" s="16"/>
      <c r="L1271" s="16"/>
      <c r="M1271" s="16"/>
    </row>
    <row r="1272" spans="1:13" x14ac:dyDescent="0.2">
      <c r="A1272" s="16"/>
      <c r="B1272" s="37"/>
      <c r="C1272" s="16"/>
      <c r="D1272" s="16"/>
      <c r="E1272" s="16"/>
      <c r="F1272" s="16"/>
      <c r="G1272" s="16"/>
      <c r="H1272" s="16"/>
      <c r="I1272" s="16"/>
      <c r="J1272" s="16"/>
      <c r="K1272" s="16"/>
      <c r="L1272" s="16"/>
      <c r="M1272" s="16"/>
    </row>
    <row r="1273" spans="1:13" x14ac:dyDescent="0.2">
      <c r="A1273" s="16"/>
      <c r="B1273" s="37"/>
      <c r="C1273" s="16"/>
      <c r="D1273" s="16"/>
      <c r="E1273" s="16"/>
      <c r="F1273" s="16"/>
      <c r="G1273" s="16"/>
      <c r="H1273" s="16"/>
      <c r="I1273" s="16"/>
      <c r="J1273" s="16"/>
      <c r="K1273" s="16"/>
      <c r="L1273" s="16"/>
      <c r="M1273" s="16"/>
    </row>
    <row r="1274" spans="1:13" x14ac:dyDescent="0.2">
      <c r="A1274" s="16"/>
      <c r="B1274" s="37"/>
      <c r="C1274" s="16"/>
      <c r="D1274" s="16"/>
      <c r="E1274" s="16"/>
      <c r="F1274" s="16"/>
      <c r="G1274" s="16"/>
      <c r="H1274" s="16"/>
      <c r="I1274" s="16"/>
      <c r="J1274" s="16"/>
      <c r="K1274" s="16"/>
      <c r="L1274" s="16"/>
      <c r="M1274" s="16"/>
    </row>
    <row r="1275" spans="1:13" x14ac:dyDescent="0.2">
      <c r="A1275" s="16"/>
      <c r="B1275" s="37"/>
      <c r="C1275" s="16"/>
      <c r="D1275" s="16"/>
      <c r="E1275" s="16"/>
      <c r="F1275" s="16"/>
      <c r="G1275" s="16"/>
      <c r="H1275" s="16"/>
      <c r="I1275" s="16"/>
      <c r="J1275" s="16"/>
      <c r="K1275" s="16"/>
      <c r="L1275" s="16"/>
      <c r="M1275" s="16"/>
    </row>
    <row r="1276" spans="1:13" x14ac:dyDescent="0.2">
      <c r="A1276" s="16"/>
      <c r="B1276" s="37"/>
      <c r="C1276" s="16"/>
      <c r="D1276" s="16"/>
      <c r="E1276" s="16"/>
      <c r="F1276" s="16"/>
      <c r="G1276" s="16"/>
      <c r="H1276" s="16"/>
      <c r="I1276" s="16"/>
      <c r="J1276" s="16"/>
      <c r="K1276" s="16"/>
      <c r="L1276" s="16"/>
      <c r="M1276" s="16"/>
    </row>
    <row r="1277" spans="1:13" x14ac:dyDescent="0.2">
      <c r="A1277" s="16"/>
      <c r="B1277" s="37"/>
      <c r="C1277" s="16"/>
      <c r="D1277" s="16"/>
      <c r="E1277" s="16"/>
      <c r="F1277" s="16"/>
      <c r="G1277" s="16"/>
      <c r="H1277" s="16"/>
      <c r="I1277" s="16"/>
      <c r="J1277" s="16"/>
      <c r="K1277" s="16"/>
      <c r="L1277" s="16"/>
      <c r="M1277" s="16"/>
    </row>
    <row r="1278" spans="1:13" x14ac:dyDescent="0.2">
      <c r="A1278" s="16"/>
      <c r="B1278" s="37"/>
      <c r="C1278" s="16"/>
      <c r="D1278" s="16"/>
      <c r="E1278" s="16"/>
      <c r="F1278" s="16"/>
      <c r="G1278" s="16"/>
      <c r="H1278" s="16"/>
      <c r="I1278" s="16"/>
      <c r="J1278" s="16"/>
      <c r="K1278" s="16"/>
      <c r="L1278" s="16"/>
      <c r="M1278" s="16"/>
    </row>
    <row r="1279" spans="1:13" x14ac:dyDescent="0.2">
      <c r="A1279" s="16"/>
      <c r="B1279" s="37"/>
      <c r="C1279" s="16"/>
      <c r="D1279" s="16"/>
      <c r="E1279" s="16"/>
      <c r="F1279" s="16"/>
      <c r="G1279" s="16"/>
      <c r="H1279" s="16"/>
      <c r="I1279" s="16"/>
      <c r="J1279" s="16"/>
      <c r="K1279" s="16"/>
      <c r="L1279" s="16"/>
      <c r="M1279" s="16"/>
    </row>
    <row r="1280" spans="1:13" x14ac:dyDescent="0.2">
      <c r="A1280" s="16"/>
      <c r="B1280" s="37"/>
      <c r="C1280" s="16"/>
      <c r="D1280" s="16"/>
      <c r="E1280" s="16"/>
      <c r="F1280" s="16"/>
      <c r="G1280" s="16"/>
      <c r="H1280" s="16"/>
      <c r="I1280" s="16"/>
      <c r="J1280" s="16"/>
      <c r="K1280" s="16"/>
      <c r="L1280" s="16"/>
      <c r="M1280" s="16"/>
    </row>
    <row r="1281" spans="1:13" x14ac:dyDescent="0.2">
      <c r="A1281" s="16"/>
      <c r="B1281" s="37"/>
      <c r="C1281" s="16"/>
      <c r="D1281" s="16"/>
      <c r="E1281" s="16"/>
      <c r="F1281" s="16"/>
      <c r="G1281" s="16"/>
      <c r="H1281" s="16"/>
      <c r="I1281" s="16"/>
      <c r="J1281" s="16"/>
      <c r="K1281" s="16"/>
      <c r="L1281" s="16"/>
      <c r="M1281" s="16"/>
    </row>
    <row r="1282" spans="1:13" x14ac:dyDescent="0.2">
      <c r="A1282" s="16"/>
      <c r="B1282" s="37"/>
      <c r="C1282" s="16"/>
      <c r="D1282" s="16"/>
      <c r="E1282" s="16"/>
      <c r="F1282" s="16"/>
      <c r="G1282" s="16"/>
      <c r="H1282" s="16"/>
      <c r="I1282" s="16"/>
      <c r="J1282" s="16"/>
      <c r="K1282" s="16"/>
      <c r="L1282" s="16"/>
      <c r="M1282" s="16"/>
    </row>
    <row r="1283" spans="1:13" x14ac:dyDescent="0.2">
      <c r="A1283" s="16"/>
      <c r="B1283" s="37"/>
      <c r="C1283" s="16"/>
      <c r="D1283" s="16"/>
      <c r="E1283" s="16"/>
      <c r="F1283" s="16"/>
      <c r="G1283" s="16"/>
      <c r="H1283" s="16"/>
      <c r="I1283" s="16"/>
      <c r="J1283" s="16"/>
      <c r="K1283" s="16"/>
      <c r="L1283" s="16"/>
      <c r="M1283" s="16"/>
    </row>
    <row r="1284" spans="1:13" x14ac:dyDescent="0.2">
      <c r="A1284" s="16"/>
      <c r="B1284" s="37"/>
      <c r="C1284" s="16"/>
      <c r="D1284" s="16"/>
      <c r="E1284" s="16"/>
      <c r="F1284" s="16"/>
      <c r="G1284" s="16"/>
      <c r="H1284" s="16"/>
      <c r="I1284" s="16"/>
      <c r="J1284" s="16"/>
      <c r="K1284" s="16"/>
      <c r="L1284" s="16"/>
      <c r="M1284" s="16"/>
    </row>
    <row r="1285" spans="1:13" x14ac:dyDescent="0.2">
      <c r="A1285" s="16"/>
      <c r="B1285" s="37"/>
      <c r="C1285" s="16"/>
      <c r="D1285" s="16"/>
      <c r="E1285" s="16"/>
      <c r="F1285" s="16"/>
      <c r="G1285" s="16"/>
      <c r="H1285" s="16"/>
      <c r="I1285" s="16"/>
      <c r="J1285" s="16"/>
      <c r="K1285" s="16"/>
      <c r="L1285" s="16"/>
      <c r="M1285" s="16"/>
    </row>
    <row r="1286" spans="1:13" x14ac:dyDescent="0.2">
      <c r="A1286" s="16"/>
      <c r="B1286" s="37"/>
      <c r="C1286" s="16"/>
      <c r="D1286" s="16"/>
      <c r="E1286" s="16"/>
      <c r="F1286" s="16"/>
      <c r="G1286" s="16"/>
      <c r="H1286" s="16"/>
      <c r="I1286" s="16"/>
      <c r="J1286" s="16"/>
      <c r="K1286" s="16"/>
      <c r="L1286" s="16"/>
      <c r="M1286" s="16"/>
    </row>
    <row r="1287" spans="1:13" x14ac:dyDescent="0.2">
      <c r="A1287" s="16"/>
      <c r="B1287" s="37"/>
      <c r="C1287" s="16"/>
      <c r="D1287" s="16"/>
      <c r="E1287" s="16"/>
      <c r="F1287" s="16"/>
      <c r="G1287" s="16"/>
      <c r="H1287" s="16"/>
      <c r="I1287" s="16"/>
      <c r="J1287" s="16"/>
      <c r="K1287" s="16"/>
      <c r="L1287" s="16"/>
      <c r="M1287" s="16"/>
    </row>
    <row r="1288" spans="1:13" x14ac:dyDescent="0.2">
      <c r="A1288" s="16"/>
      <c r="B1288" s="37"/>
      <c r="C1288" s="16"/>
      <c r="D1288" s="16"/>
      <c r="E1288" s="16"/>
      <c r="F1288" s="16"/>
      <c r="G1288" s="16"/>
      <c r="H1288" s="16"/>
      <c r="I1288" s="16"/>
      <c r="J1288" s="16"/>
      <c r="K1288" s="16"/>
      <c r="L1288" s="16"/>
      <c r="M1288" s="16"/>
    </row>
    <row r="1289" spans="1:13" x14ac:dyDescent="0.2">
      <c r="A1289" s="16"/>
      <c r="B1289" s="37"/>
      <c r="C1289" s="16"/>
      <c r="D1289" s="16"/>
      <c r="E1289" s="16"/>
      <c r="F1289" s="16"/>
      <c r="G1289" s="16"/>
      <c r="H1289" s="16"/>
      <c r="I1289" s="16"/>
      <c r="J1289" s="16"/>
      <c r="K1289" s="16"/>
      <c r="L1289" s="16"/>
      <c r="M1289" s="16"/>
    </row>
    <row r="1290" spans="1:13" x14ac:dyDescent="0.2">
      <c r="A1290" s="16"/>
      <c r="B1290" s="37"/>
      <c r="C1290" s="16"/>
      <c r="D1290" s="16"/>
      <c r="E1290" s="16"/>
      <c r="F1290" s="16"/>
      <c r="G1290" s="16"/>
      <c r="H1290" s="16"/>
      <c r="I1290" s="16"/>
      <c r="J1290" s="16"/>
      <c r="K1290" s="16"/>
      <c r="L1290" s="16"/>
      <c r="M1290" s="16"/>
    </row>
    <row r="1291" spans="1:13" x14ac:dyDescent="0.2">
      <c r="A1291" s="16"/>
      <c r="B1291" s="37"/>
      <c r="C1291" s="16"/>
      <c r="D1291" s="16"/>
      <c r="E1291" s="16"/>
      <c r="F1291" s="16"/>
      <c r="G1291" s="16"/>
      <c r="H1291" s="16"/>
      <c r="I1291" s="16"/>
      <c r="J1291" s="16"/>
      <c r="K1291" s="16"/>
      <c r="L1291" s="16"/>
      <c r="M1291" s="16"/>
    </row>
    <row r="1292" spans="1:13" x14ac:dyDescent="0.2">
      <c r="A1292" s="16"/>
      <c r="B1292" s="37"/>
      <c r="C1292" s="16"/>
      <c r="D1292" s="16"/>
      <c r="E1292" s="16"/>
      <c r="F1292" s="16"/>
      <c r="G1292" s="16"/>
      <c r="H1292" s="16"/>
      <c r="I1292" s="16"/>
      <c r="J1292" s="16"/>
      <c r="K1292" s="16"/>
      <c r="L1292" s="16"/>
      <c r="M1292" s="16"/>
    </row>
    <row r="1293" spans="1:13" x14ac:dyDescent="0.2">
      <c r="A1293" s="16"/>
      <c r="B1293" s="37"/>
      <c r="C1293" s="16"/>
      <c r="D1293" s="16"/>
      <c r="E1293" s="16"/>
      <c r="F1293" s="16"/>
      <c r="G1293" s="16"/>
      <c r="H1293" s="16"/>
      <c r="I1293" s="16"/>
      <c r="J1293" s="16"/>
      <c r="K1293" s="16"/>
      <c r="L1293" s="16"/>
      <c r="M1293" s="16"/>
    </row>
    <row r="1294" spans="1:13" x14ac:dyDescent="0.2">
      <c r="A1294" s="16"/>
      <c r="B1294" s="37"/>
      <c r="C1294" s="16"/>
      <c r="D1294" s="16"/>
      <c r="E1294" s="16"/>
      <c r="F1294" s="16"/>
      <c r="G1294" s="16"/>
      <c r="H1294" s="16"/>
      <c r="I1294" s="16"/>
      <c r="J1294" s="16"/>
      <c r="K1294" s="16"/>
      <c r="L1294" s="16"/>
      <c r="M1294" s="16"/>
    </row>
    <row r="1295" spans="1:13" x14ac:dyDescent="0.2">
      <c r="A1295" s="16"/>
      <c r="B1295" s="37"/>
      <c r="C1295" s="16"/>
      <c r="D1295" s="16"/>
      <c r="E1295" s="16"/>
      <c r="F1295" s="16"/>
      <c r="G1295" s="16"/>
      <c r="H1295" s="16"/>
      <c r="I1295" s="16"/>
      <c r="J1295" s="16"/>
      <c r="K1295" s="16"/>
      <c r="L1295" s="16"/>
      <c r="M1295" s="16"/>
    </row>
    <row r="1296" spans="1:13" x14ac:dyDescent="0.2">
      <c r="A1296" s="16"/>
      <c r="B1296" s="37"/>
      <c r="C1296" s="16"/>
      <c r="D1296" s="16"/>
      <c r="E1296" s="16"/>
      <c r="F1296" s="16"/>
      <c r="G1296" s="16"/>
      <c r="H1296" s="16"/>
      <c r="I1296" s="16"/>
      <c r="J1296" s="16"/>
      <c r="K1296" s="16"/>
      <c r="L1296" s="16"/>
      <c r="M1296" s="16"/>
    </row>
    <row r="1297" spans="1:13" x14ac:dyDescent="0.2">
      <c r="A1297" s="16"/>
      <c r="B1297" s="37"/>
      <c r="C1297" s="16"/>
      <c r="D1297" s="16"/>
      <c r="E1297" s="16"/>
      <c r="F1297" s="16"/>
      <c r="G1297" s="16"/>
      <c r="H1297" s="16"/>
      <c r="I1297" s="16"/>
      <c r="J1297" s="16"/>
      <c r="K1297" s="16"/>
      <c r="L1297" s="16"/>
      <c r="M1297" s="16"/>
    </row>
    <row r="1298" spans="1:13" x14ac:dyDescent="0.2">
      <c r="A1298" s="16"/>
      <c r="B1298" s="37"/>
      <c r="C1298" s="16"/>
      <c r="D1298" s="16"/>
      <c r="E1298" s="16"/>
      <c r="F1298" s="16"/>
      <c r="G1298" s="16"/>
      <c r="H1298" s="16"/>
      <c r="I1298" s="16"/>
      <c r="J1298" s="16"/>
      <c r="K1298" s="16"/>
      <c r="L1298" s="16"/>
      <c r="M1298" s="16"/>
    </row>
    <row r="1299" spans="1:13" x14ac:dyDescent="0.2">
      <c r="A1299" s="16"/>
      <c r="B1299" s="37"/>
      <c r="C1299" s="16"/>
      <c r="D1299" s="16"/>
      <c r="E1299" s="16"/>
      <c r="F1299" s="16"/>
      <c r="G1299" s="16"/>
      <c r="H1299" s="16"/>
      <c r="I1299" s="16"/>
      <c r="J1299" s="16"/>
      <c r="K1299" s="16"/>
      <c r="L1299" s="16"/>
      <c r="M1299" s="16"/>
    </row>
    <row r="1300" spans="1:13" x14ac:dyDescent="0.2">
      <c r="A1300" s="16"/>
      <c r="B1300" s="37"/>
      <c r="C1300" s="16"/>
      <c r="D1300" s="16"/>
      <c r="E1300" s="16"/>
      <c r="F1300" s="16"/>
      <c r="G1300" s="16"/>
      <c r="H1300" s="16"/>
      <c r="I1300" s="16"/>
      <c r="J1300" s="16"/>
      <c r="K1300" s="16"/>
      <c r="L1300" s="16"/>
      <c r="M1300" s="16"/>
    </row>
    <row r="1301" spans="1:13" x14ac:dyDescent="0.2">
      <c r="A1301" s="16"/>
      <c r="B1301" s="37"/>
      <c r="C1301" s="16"/>
      <c r="D1301" s="16"/>
      <c r="E1301" s="16"/>
      <c r="F1301" s="16"/>
      <c r="G1301" s="16"/>
      <c r="H1301" s="16"/>
      <c r="I1301" s="16"/>
      <c r="J1301" s="16"/>
      <c r="K1301" s="16"/>
      <c r="L1301" s="16"/>
      <c r="M1301" s="16"/>
    </row>
    <row r="1302" spans="1:13" x14ac:dyDescent="0.2">
      <c r="A1302" s="16"/>
      <c r="B1302" s="37"/>
      <c r="C1302" s="16"/>
      <c r="D1302" s="16"/>
      <c r="E1302" s="16"/>
      <c r="F1302" s="16"/>
      <c r="G1302" s="16"/>
      <c r="H1302" s="16"/>
      <c r="I1302" s="16"/>
      <c r="J1302" s="16"/>
      <c r="K1302" s="16"/>
      <c r="L1302" s="16"/>
      <c r="M1302" s="16"/>
    </row>
    <row r="1303" spans="1:13" x14ac:dyDescent="0.2">
      <c r="A1303" s="16"/>
      <c r="B1303" s="37"/>
      <c r="C1303" s="16"/>
      <c r="D1303" s="16"/>
      <c r="E1303" s="16"/>
      <c r="F1303" s="16"/>
      <c r="G1303" s="16"/>
      <c r="H1303" s="16"/>
      <c r="I1303" s="16"/>
      <c r="J1303" s="16"/>
      <c r="K1303" s="16"/>
      <c r="L1303" s="16"/>
      <c r="M1303" s="16"/>
    </row>
    <row r="1304" spans="1:13" x14ac:dyDescent="0.2">
      <c r="A1304" s="16"/>
      <c r="B1304" s="37"/>
      <c r="C1304" s="16"/>
      <c r="D1304" s="16"/>
      <c r="E1304" s="16"/>
      <c r="F1304" s="16"/>
      <c r="G1304" s="16"/>
      <c r="H1304" s="16"/>
      <c r="I1304" s="16"/>
      <c r="J1304" s="16"/>
      <c r="K1304" s="16"/>
      <c r="L1304" s="16"/>
      <c r="M1304" s="16"/>
    </row>
    <row r="1305" spans="1:13" x14ac:dyDescent="0.2">
      <c r="A1305" s="16"/>
      <c r="B1305" s="37"/>
      <c r="C1305" s="16"/>
      <c r="D1305" s="16"/>
      <c r="E1305" s="16"/>
      <c r="F1305" s="16"/>
      <c r="G1305" s="16"/>
      <c r="H1305" s="16"/>
      <c r="I1305" s="16"/>
      <c r="J1305" s="16"/>
      <c r="K1305" s="16"/>
      <c r="L1305" s="16"/>
      <c r="M1305" s="16"/>
    </row>
    <row r="1306" spans="1:13" x14ac:dyDescent="0.2">
      <c r="A1306" s="16"/>
      <c r="B1306" s="37"/>
      <c r="C1306" s="16"/>
      <c r="D1306" s="16"/>
      <c r="E1306" s="16"/>
      <c r="F1306" s="16"/>
      <c r="G1306" s="16"/>
      <c r="H1306" s="16"/>
      <c r="I1306" s="16"/>
      <c r="J1306" s="16"/>
      <c r="K1306" s="16"/>
      <c r="L1306" s="16"/>
      <c r="M1306" s="16"/>
    </row>
    <row r="1307" spans="1:13" x14ac:dyDescent="0.2">
      <c r="A1307" s="16"/>
      <c r="B1307" s="37"/>
      <c r="C1307" s="16"/>
      <c r="D1307" s="16"/>
      <c r="E1307" s="16"/>
      <c r="F1307" s="16"/>
      <c r="G1307" s="16"/>
      <c r="H1307" s="16"/>
      <c r="I1307" s="16"/>
      <c r="J1307" s="16"/>
      <c r="K1307" s="16"/>
      <c r="L1307" s="16"/>
      <c r="M1307" s="16"/>
    </row>
    <row r="1308" spans="1:13" x14ac:dyDescent="0.2">
      <c r="A1308" s="16"/>
      <c r="B1308" s="37"/>
      <c r="C1308" s="16"/>
      <c r="D1308" s="16"/>
      <c r="E1308" s="16"/>
      <c r="F1308" s="16"/>
      <c r="G1308" s="16"/>
      <c r="H1308" s="16"/>
      <c r="I1308" s="16"/>
      <c r="J1308" s="16"/>
      <c r="K1308" s="16"/>
      <c r="L1308" s="16"/>
      <c r="M1308" s="16"/>
    </row>
    <row r="1309" spans="1:13" x14ac:dyDescent="0.2">
      <c r="A1309" s="16"/>
      <c r="B1309" s="37"/>
      <c r="C1309" s="16"/>
      <c r="D1309" s="16"/>
      <c r="E1309" s="16"/>
      <c r="F1309" s="16"/>
      <c r="G1309" s="16"/>
      <c r="H1309" s="16"/>
      <c r="I1309" s="16"/>
      <c r="J1309" s="16"/>
      <c r="K1309" s="16"/>
      <c r="L1309" s="16"/>
      <c r="M1309" s="16"/>
    </row>
    <row r="1310" spans="1:13" x14ac:dyDescent="0.2">
      <c r="A1310" s="16"/>
      <c r="B1310" s="37"/>
      <c r="C1310" s="16"/>
      <c r="D1310" s="16"/>
      <c r="E1310" s="16"/>
      <c r="F1310" s="16"/>
      <c r="G1310" s="16"/>
      <c r="H1310" s="16"/>
      <c r="I1310" s="16"/>
      <c r="J1310" s="16"/>
      <c r="K1310" s="16"/>
      <c r="L1310" s="16"/>
      <c r="M1310" s="16"/>
    </row>
    <row r="1311" spans="1:13" x14ac:dyDescent="0.2">
      <c r="A1311" s="16"/>
      <c r="B1311" s="37"/>
      <c r="C1311" s="16"/>
      <c r="D1311" s="16"/>
      <c r="E1311" s="16"/>
      <c r="F1311" s="16"/>
      <c r="G1311" s="16"/>
      <c r="H1311" s="16"/>
      <c r="I1311" s="16"/>
      <c r="J1311" s="16"/>
      <c r="K1311" s="16"/>
      <c r="L1311" s="16"/>
      <c r="M1311" s="16"/>
    </row>
    <row r="1312" spans="1:13" x14ac:dyDescent="0.2">
      <c r="A1312" s="16"/>
      <c r="B1312" s="37"/>
      <c r="C1312" s="16"/>
      <c r="D1312" s="16"/>
      <c r="E1312" s="16"/>
      <c r="F1312" s="16"/>
      <c r="G1312" s="16"/>
      <c r="H1312" s="16"/>
      <c r="I1312" s="16"/>
      <c r="J1312" s="16"/>
      <c r="K1312" s="16"/>
      <c r="L1312" s="16"/>
      <c r="M1312" s="16"/>
    </row>
    <row r="1313" spans="1:13" x14ac:dyDescent="0.2">
      <c r="A1313" s="16"/>
      <c r="B1313" s="37"/>
      <c r="C1313" s="16"/>
      <c r="D1313" s="16"/>
      <c r="E1313" s="16"/>
      <c r="F1313" s="16"/>
      <c r="G1313" s="16"/>
      <c r="H1313" s="16"/>
      <c r="I1313" s="16"/>
      <c r="J1313" s="16"/>
      <c r="K1313" s="16"/>
      <c r="L1313" s="16"/>
      <c r="M1313" s="16"/>
    </row>
    <row r="1314" spans="1:13" x14ac:dyDescent="0.2">
      <c r="A1314" s="16"/>
      <c r="B1314" s="37"/>
      <c r="C1314" s="16"/>
      <c r="D1314" s="16"/>
      <c r="E1314" s="16"/>
      <c r="F1314" s="16"/>
      <c r="G1314" s="16"/>
      <c r="H1314" s="16"/>
      <c r="I1314" s="16"/>
      <c r="J1314" s="16"/>
      <c r="K1314" s="16"/>
      <c r="L1314" s="16"/>
      <c r="M1314" s="16"/>
    </row>
    <row r="1315" spans="1:13" x14ac:dyDescent="0.2">
      <c r="A1315" s="16"/>
      <c r="B1315" s="37"/>
      <c r="C1315" s="16"/>
      <c r="D1315" s="16"/>
      <c r="E1315" s="16"/>
      <c r="F1315" s="16"/>
      <c r="G1315" s="16"/>
      <c r="H1315" s="16"/>
      <c r="I1315" s="16"/>
      <c r="J1315" s="16"/>
      <c r="K1315" s="16"/>
      <c r="L1315" s="16"/>
      <c r="M1315" s="16"/>
    </row>
    <row r="1316" spans="1:13" x14ac:dyDescent="0.2">
      <c r="A1316" s="16"/>
      <c r="B1316" s="37"/>
      <c r="C1316" s="16"/>
      <c r="D1316" s="16"/>
      <c r="E1316" s="16"/>
      <c r="F1316" s="16"/>
      <c r="G1316" s="16"/>
      <c r="H1316" s="16"/>
      <c r="I1316" s="16"/>
      <c r="J1316" s="16"/>
      <c r="K1316" s="16"/>
      <c r="L1316" s="16"/>
      <c r="M1316" s="16"/>
    </row>
    <row r="1317" spans="1:13" x14ac:dyDescent="0.2">
      <c r="A1317" s="16"/>
      <c r="B1317" s="37"/>
      <c r="C1317" s="16"/>
      <c r="D1317" s="16"/>
      <c r="E1317" s="16"/>
      <c r="F1317" s="16"/>
      <c r="G1317" s="16"/>
      <c r="H1317" s="16"/>
      <c r="I1317" s="16"/>
      <c r="J1317" s="16"/>
      <c r="K1317" s="16"/>
      <c r="L1317" s="16"/>
      <c r="M1317" s="16"/>
    </row>
    <row r="1318" spans="1:13" x14ac:dyDescent="0.2">
      <c r="A1318" s="16"/>
      <c r="B1318" s="37"/>
      <c r="C1318" s="16"/>
      <c r="D1318" s="16"/>
      <c r="E1318" s="16"/>
      <c r="F1318" s="16"/>
      <c r="G1318" s="16"/>
      <c r="H1318" s="16"/>
      <c r="I1318" s="16"/>
      <c r="J1318" s="16"/>
      <c r="K1318" s="16"/>
      <c r="L1318" s="16"/>
      <c r="M1318" s="16"/>
    </row>
    <row r="1319" spans="1:13" x14ac:dyDescent="0.2">
      <c r="A1319" s="16"/>
      <c r="B1319" s="37"/>
      <c r="C1319" s="16"/>
      <c r="D1319" s="16"/>
      <c r="E1319" s="16"/>
      <c r="F1319" s="16"/>
      <c r="G1319" s="16"/>
      <c r="H1319" s="16"/>
      <c r="I1319" s="16"/>
      <c r="J1319" s="16"/>
      <c r="K1319" s="16"/>
      <c r="L1319" s="16"/>
      <c r="M1319" s="16"/>
    </row>
    <row r="1320" spans="1:13" x14ac:dyDescent="0.2">
      <c r="A1320" s="16"/>
      <c r="B1320" s="37"/>
      <c r="C1320" s="16"/>
      <c r="D1320" s="16"/>
      <c r="E1320" s="16"/>
      <c r="F1320" s="16"/>
      <c r="G1320" s="16"/>
      <c r="H1320" s="16"/>
      <c r="I1320" s="16"/>
      <c r="J1320" s="16"/>
      <c r="K1320" s="16"/>
      <c r="L1320" s="16"/>
      <c r="M1320" s="16"/>
    </row>
    <row r="1321" spans="1:13" x14ac:dyDescent="0.2">
      <c r="A1321" s="16"/>
      <c r="B1321" s="37"/>
      <c r="C1321" s="16"/>
      <c r="D1321" s="16"/>
      <c r="E1321" s="16"/>
      <c r="F1321" s="16"/>
      <c r="G1321" s="16"/>
      <c r="H1321" s="16"/>
      <c r="I1321" s="16"/>
      <c r="J1321" s="16"/>
      <c r="K1321" s="16"/>
      <c r="L1321" s="16"/>
      <c r="M1321" s="16"/>
    </row>
    <row r="1322" spans="1:13" x14ac:dyDescent="0.2">
      <c r="A1322" s="16"/>
      <c r="B1322" s="37"/>
      <c r="C1322" s="16"/>
      <c r="D1322" s="16"/>
      <c r="E1322" s="16"/>
      <c r="F1322" s="16"/>
      <c r="G1322" s="16"/>
      <c r="H1322" s="16"/>
      <c r="I1322" s="16"/>
      <c r="J1322" s="16"/>
      <c r="K1322" s="16"/>
      <c r="L1322" s="16"/>
      <c r="M1322" s="16"/>
    </row>
    <row r="1323" spans="1:13" x14ac:dyDescent="0.2">
      <c r="A1323" s="16"/>
      <c r="B1323" s="37"/>
      <c r="C1323" s="16"/>
      <c r="D1323" s="16"/>
      <c r="E1323" s="16"/>
      <c r="F1323" s="16"/>
      <c r="G1323" s="16"/>
      <c r="H1323" s="16"/>
      <c r="I1323" s="16"/>
      <c r="J1323" s="16"/>
      <c r="K1323" s="16"/>
      <c r="L1323" s="16"/>
      <c r="M1323" s="16"/>
    </row>
    <row r="1324" spans="1:13" x14ac:dyDescent="0.2">
      <c r="A1324" s="16"/>
      <c r="B1324" s="37"/>
      <c r="C1324" s="16"/>
      <c r="D1324" s="16"/>
      <c r="E1324" s="16"/>
      <c r="F1324" s="16"/>
      <c r="G1324" s="16"/>
      <c r="H1324" s="16"/>
      <c r="I1324" s="16"/>
      <c r="J1324" s="16"/>
      <c r="K1324" s="16"/>
      <c r="L1324" s="16"/>
      <c r="M1324" s="16"/>
    </row>
    <row r="1325" spans="1:13" x14ac:dyDescent="0.2">
      <c r="A1325" s="16"/>
      <c r="B1325" s="37"/>
      <c r="C1325" s="16"/>
      <c r="D1325" s="16"/>
      <c r="E1325" s="16"/>
      <c r="F1325" s="16"/>
      <c r="G1325" s="16"/>
      <c r="H1325" s="16"/>
      <c r="I1325" s="16"/>
      <c r="J1325" s="16"/>
      <c r="K1325" s="16"/>
      <c r="L1325" s="16"/>
      <c r="M1325" s="16"/>
    </row>
    <row r="1326" spans="1:13" x14ac:dyDescent="0.2">
      <c r="A1326" s="16"/>
      <c r="B1326" s="37"/>
      <c r="C1326" s="16"/>
      <c r="D1326" s="16"/>
      <c r="E1326" s="16"/>
      <c r="F1326" s="16"/>
      <c r="G1326" s="16"/>
      <c r="H1326" s="16"/>
      <c r="I1326" s="16"/>
      <c r="J1326" s="16"/>
      <c r="K1326" s="16"/>
      <c r="L1326" s="16"/>
      <c r="M1326" s="16"/>
    </row>
    <row r="1327" spans="1:13" x14ac:dyDescent="0.2">
      <c r="A1327" s="16"/>
      <c r="B1327" s="37"/>
      <c r="C1327" s="16"/>
      <c r="D1327" s="16"/>
      <c r="E1327" s="16"/>
      <c r="F1327" s="16"/>
      <c r="G1327" s="16"/>
      <c r="H1327" s="16"/>
      <c r="I1327" s="16"/>
      <c r="J1327" s="16"/>
      <c r="K1327" s="16"/>
      <c r="L1327" s="16"/>
      <c r="M1327" s="16"/>
    </row>
    <row r="1328" spans="1:13" x14ac:dyDescent="0.2">
      <c r="A1328" s="16"/>
      <c r="B1328" s="37"/>
      <c r="C1328" s="16"/>
      <c r="D1328" s="16"/>
      <c r="E1328" s="16"/>
      <c r="F1328" s="16"/>
      <c r="G1328" s="16"/>
      <c r="H1328" s="16"/>
      <c r="I1328" s="16"/>
      <c r="J1328" s="16"/>
      <c r="K1328" s="16"/>
      <c r="L1328" s="16"/>
      <c r="M1328" s="16"/>
    </row>
    <row r="1329" spans="1:13" x14ac:dyDescent="0.2">
      <c r="A1329" s="16"/>
      <c r="B1329" s="37"/>
      <c r="C1329" s="16"/>
      <c r="D1329" s="16"/>
      <c r="E1329" s="16"/>
      <c r="F1329" s="16"/>
      <c r="G1329" s="16"/>
      <c r="H1329" s="16"/>
      <c r="I1329" s="16"/>
      <c r="J1329" s="16"/>
      <c r="K1329" s="16"/>
      <c r="L1329" s="16"/>
      <c r="M1329" s="16"/>
    </row>
    <row r="1330" spans="1:13" x14ac:dyDescent="0.2">
      <c r="A1330" s="16"/>
      <c r="B1330" s="37"/>
      <c r="C1330" s="16"/>
      <c r="D1330" s="16"/>
      <c r="E1330" s="16"/>
      <c r="F1330" s="16"/>
      <c r="G1330" s="16"/>
      <c r="H1330" s="16"/>
      <c r="I1330" s="16"/>
      <c r="J1330" s="16"/>
      <c r="K1330" s="16"/>
      <c r="L1330" s="16"/>
      <c r="M1330" s="16"/>
    </row>
    <row r="1331" spans="1:13" x14ac:dyDescent="0.2">
      <c r="A1331" s="16"/>
      <c r="B1331" s="37"/>
      <c r="C1331" s="16"/>
      <c r="D1331" s="16"/>
      <c r="E1331" s="16"/>
      <c r="F1331" s="16"/>
      <c r="G1331" s="16"/>
      <c r="H1331" s="16"/>
      <c r="I1331" s="16"/>
      <c r="J1331" s="16"/>
      <c r="K1331" s="16"/>
      <c r="L1331" s="16"/>
      <c r="M1331" s="16"/>
    </row>
    <row r="1332" spans="1:13" x14ac:dyDescent="0.2">
      <c r="A1332" s="16"/>
      <c r="B1332" s="37"/>
      <c r="C1332" s="16"/>
      <c r="D1332" s="16"/>
      <c r="E1332" s="16"/>
      <c r="F1332" s="16"/>
      <c r="G1332" s="16"/>
      <c r="H1332" s="16"/>
      <c r="I1332" s="16"/>
      <c r="J1332" s="16"/>
      <c r="K1332" s="16"/>
      <c r="L1332" s="16"/>
      <c r="M1332" s="16"/>
    </row>
    <row r="1333" spans="1:13" x14ac:dyDescent="0.2">
      <c r="A1333" s="16"/>
      <c r="B1333" s="37"/>
      <c r="C1333" s="16"/>
      <c r="D1333" s="16"/>
      <c r="E1333" s="16"/>
      <c r="F1333" s="16"/>
      <c r="G1333" s="16"/>
      <c r="H1333" s="16"/>
      <c r="I1333" s="16"/>
      <c r="J1333" s="16"/>
      <c r="K1333" s="16"/>
      <c r="L1333" s="16"/>
      <c r="M1333" s="16"/>
    </row>
    <row r="1334" spans="1:13" x14ac:dyDescent="0.2">
      <c r="A1334" s="16"/>
      <c r="B1334" s="37"/>
      <c r="C1334" s="16"/>
      <c r="D1334" s="16"/>
      <c r="E1334" s="16"/>
      <c r="F1334" s="16"/>
      <c r="G1334" s="16"/>
      <c r="H1334" s="16"/>
      <c r="I1334" s="16"/>
      <c r="J1334" s="16"/>
      <c r="K1334" s="16"/>
      <c r="L1334" s="16"/>
      <c r="M1334" s="16"/>
    </row>
    <row r="1335" spans="1:13" x14ac:dyDescent="0.2">
      <c r="A1335" s="16"/>
      <c r="B1335" s="37"/>
      <c r="C1335" s="16"/>
      <c r="D1335" s="16"/>
      <c r="E1335" s="16"/>
      <c r="F1335" s="16"/>
      <c r="G1335" s="16"/>
      <c r="H1335" s="16"/>
      <c r="I1335" s="16"/>
      <c r="J1335" s="16"/>
      <c r="K1335" s="16"/>
      <c r="L1335" s="16"/>
      <c r="M1335" s="16"/>
    </row>
    <row r="1336" spans="1:13" x14ac:dyDescent="0.2">
      <c r="A1336" s="16"/>
      <c r="B1336" s="37"/>
      <c r="C1336" s="16"/>
      <c r="D1336" s="16"/>
      <c r="E1336" s="16"/>
      <c r="F1336" s="16"/>
      <c r="G1336" s="16"/>
      <c r="H1336" s="16"/>
      <c r="I1336" s="16"/>
      <c r="J1336" s="16"/>
      <c r="K1336" s="16"/>
      <c r="L1336" s="16"/>
      <c r="M1336" s="16"/>
    </row>
    <row r="1337" spans="1:13" x14ac:dyDescent="0.2">
      <c r="A1337" s="16"/>
      <c r="B1337" s="37"/>
      <c r="C1337" s="16"/>
      <c r="D1337" s="16"/>
      <c r="E1337" s="16"/>
      <c r="F1337" s="16"/>
      <c r="G1337" s="16"/>
      <c r="H1337" s="16"/>
      <c r="I1337" s="16"/>
      <c r="J1337" s="16"/>
      <c r="K1337" s="16"/>
      <c r="L1337" s="16"/>
      <c r="M1337" s="16"/>
    </row>
    <row r="1338" spans="1:13" x14ac:dyDescent="0.2">
      <c r="A1338" s="16"/>
      <c r="B1338" s="37"/>
      <c r="C1338" s="16"/>
      <c r="D1338" s="16"/>
      <c r="E1338" s="16"/>
      <c r="F1338" s="16"/>
      <c r="G1338" s="16"/>
      <c r="H1338" s="16"/>
      <c r="I1338" s="16"/>
      <c r="J1338" s="16"/>
      <c r="K1338" s="16"/>
      <c r="L1338" s="16"/>
      <c r="M1338" s="16"/>
    </row>
    <row r="1339" spans="1:13" x14ac:dyDescent="0.2">
      <c r="A1339" s="16"/>
      <c r="B1339" s="37"/>
      <c r="C1339" s="16"/>
      <c r="D1339" s="16"/>
      <c r="E1339" s="16"/>
      <c r="F1339" s="16"/>
      <c r="G1339" s="16"/>
      <c r="H1339" s="16"/>
      <c r="I1339" s="16"/>
      <c r="J1339" s="16"/>
      <c r="K1339" s="16"/>
      <c r="L1339" s="16"/>
      <c r="M1339" s="16"/>
    </row>
    <row r="1340" spans="1:13" x14ac:dyDescent="0.2">
      <c r="A1340" s="16"/>
      <c r="B1340" s="37"/>
      <c r="C1340" s="16"/>
      <c r="D1340" s="16"/>
      <c r="E1340" s="16"/>
      <c r="F1340" s="16"/>
      <c r="G1340" s="16"/>
      <c r="H1340" s="16"/>
      <c r="I1340" s="16"/>
      <c r="J1340" s="16"/>
      <c r="K1340" s="16"/>
      <c r="L1340" s="16"/>
      <c r="M1340" s="16"/>
    </row>
    <row r="1341" spans="1:13" x14ac:dyDescent="0.2">
      <c r="A1341" s="16"/>
      <c r="B1341" s="37"/>
      <c r="C1341" s="16"/>
      <c r="D1341" s="16"/>
      <c r="E1341" s="16"/>
      <c r="F1341" s="16"/>
      <c r="G1341" s="16"/>
      <c r="H1341" s="16"/>
      <c r="I1341" s="16"/>
      <c r="J1341" s="16"/>
      <c r="K1341" s="16"/>
      <c r="L1341" s="16"/>
      <c r="M1341" s="16"/>
    </row>
    <row r="1342" spans="1:13" x14ac:dyDescent="0.2">
      <c r="A1342" s="16"/>
      <c r="B1342" s="37"/>
      <c r="C1342" s="16"/>
      <c r="D1342" s="16"/>
      <c r="E1342" s="16"/>
      <c r="F1342" s="16"/>
      <c r="G1342" s="16"/>
      <c r="H1342" s="16"/>
      <c r="I1342" s="16"/>
      <c r="J1342" s="16"/>
      <c r="K1342" s="16"/>
      <c r="L1342" s="16"/>
      <c r="M1342" s="16"/>
    </row>
    <row r="1343" spans="1:13" x14ac:dyDescent="0.2">
      <c r="A1343" s="16"/>
      <c r="B1343" s="37"/>
      <c r="C1343" s="16"/>
      <c r="D1343" s="16"/>
      <c r="E1343" s="16"/>
      <c r="F1343" s="16"/>
      <c r="G1343" s="16"/>
      <c r="H1343" s="16"/>
      <c r="I1343" s="16"/>
      <c r="J1343" s="16"/>
      <c r="K1343" s="16"/>
      <c r="L1343" s="16"/>
      <c r="M1343" s="16"/>
    </row>
    <row r="1344" spans="1:13" x14ac:dyDescent="0.2">
      <c r="A1344" s="16"/>
      <c r="B1344" s="37"/>
      <c r="C1344" s="16"/>
      <c r="D1344" s="16"/>
      <c r="E1344" s="16"/>
      <c r="F1344" s="16"/>
      <c r="G1344" s="16"/>
      <c r="H1344" s="16"/>
      <c r="I1344" s="16"/>
      <c r="J1344" s="16"/>
      <c r="K1344" s="16"/>
      <c r="L1344" s="16"/>
      <c r="M1344" s="16"/>
    </row>
    <row r="1345" spans="1:13" x14ac:dyDescent="0.2">
      <c r="A1345" s="16"/>
      <c r="B1345" s="37"/>
      <c r="C1345" s="16"/>
      <c r="D1345" s="16"/>
      <c r="E1345" s="16"/>
      <c r="F1345" s="16"/>
      <c r="G1345" s="16"/>
      <c r="H1345" s="16"/>
      <c r="I1345" s="16"/>
      <c r="J1345" s="16"/>
      <c r="K1345" s="16"/>
      <c r="L1345" s="16"/>
      <c r="M1345" s="16"/>
    </row>
    <row r="1346" spans="1:13" x14ac:dyDescent="0.2">
      <c r="A1346" s="16"/>
      <c r="B1346" s="37"/>
      <c r="C1346" s="16"/>
      <c r="D1346" s="16"/>
      <c r="E1346" s="16"/>
      <c r="F1346" s="16"/>
      <c r="G1346" s="16"/>
      <c r="H1346" s="16"/>
      <c r="I1346" s="16"/>
      <c r="J1346" s="16"/>
      <c r="K1346" s="16"/>
      <c r="L1346" s="16"/>
      <c r="M1346" s="16"/>
    </row>
    <row r="1347" spans="1:13" x14ac:dyDescent="0.2">
      <c r="A1347" s="16"/>
      <c r="B1347" s="37"/>
      <c r="C1347" s="16"/>
      <c r="D1347" s="16"/>
      <c r="E1347" s="16"/>
      <c r="F1347" s="16"/>
      <c r="G1347" s="16"/>
      <c r="H1347" s="16"/>
      <c r="I1347" s="16"/>
      <c r="J1347" s="16"/>
      <c r="K1347" s="16"/>
      <c r="L1347" s="16"/>
      <c r="M1347" s="16"/>
    </row>
    <row r="1348" spans="1:13" x14ac:dyDescent="0.2">
      <c r="A1348" s="16"/>
      <c r="B1348" s="37"/>
      <c r="C1348" s="16"/>
      <c r="D1348" s="16"/>
      <c r="E1348" s="16"/>
      <c r="F1348" s="16"/>
      <c r="G1348" s="16"/>
      <c r="H1348" s="16"/>
      <c r="I1348" s="16"/>
      <c r="J1348" s="16"/>
      <c r="K1348" s="16"/>
      <c r="L1348" s="16"/>
      <c r="M1348" s="16"/>
    </row>
    <row r="1349" spans="1:13" x14ac:dyDescent="0.2">
      <c r="A1349" s="16"/>
      <c r="B1349" s="37"/>
      <c r="C1349" s="16"/>
      <c r="D1349" s="16"/>
      <c r="E1349" s="16"/>
      <c r="F1349" s="16"/>
      <c r="G1349" s="16"/>
      <c r="H1349" s="16"/>
      <c r="I1349" s="16"/>
      <c r="J1349" s="16"/>
      <c r="K1349" s="16"/>
      <c r="L1349" s="16"/>
      <c r="M1349" s="16"/>
    </row>
    <row r="1350" spans="1:13" x14ac:dyDescent="0.2">
      <c r="A1350" s="16"/>
      <c r="B1350" s="37"/>
      <c r="C1350" s="16"/>
      <c r="D1350" s="16"/>
      <c r="E1350" s="16"/>
      <c r="F1350" s="16"/>
      <c r="G1350" s="16"/>
      <c r="H1350" s="16"/>
      <c r="I1350" s="16"/>
      <c r="J1350" s="16"/>
      <c r="K1350" s="16"/>
      <c r="L1350" s="16"/>
      <c r="M1350" s="16"/>
    </row>
    <row r="1351" spans="1:13" x14ac:dyDescent="0.2">
      <c r="A1351" s="16"/>
      <c r="B1351" s="37"/>
      <c r="C1351" s="16"/>
      <c r="D1351" s="16"/>
      <c r="E1351" s="16"/>
      <c r="F1351" s="16"/>
      <c r="G1351" s="16"/>
      <c r="H1351" s="16"/>
      <c r="I1351" s="16"/>
      <c r="J1351" s="16"/>
      <c r="K1351" s="16"/>
      <c r="L1351" s="16"/>
      <c r="M1351" s="16"/>
    </row>
    <row r="1352" spans="1:13" x14ac:dyDescent="0.2">
      <c r="A1352" s="16"/>
      <c r="B1352" s="37"/>
      <c r="C1352" s="16"/>
      <c r="D1352" s="16"/>
      <c r="E1352" s="16"/>
      <c r="F1352" s="16"/>
      <c r="G1352" s="16"/>
      <c r="H1352" s="16"/>
      <c r="I1352" s="16"/>
      <c r="J1352" s="16"/>
      <c r="K1352" s="16"/>
      <c r="L1352" s="16"/>
      <c r="M1352" s="16"/>
    </row>
    <row r="1353" spans="1:13" x14ac:dyDescent="0.2">
      <c r="A1353" s="16"/>
      <c r="B1353" s="37"/>
      <c r="C1353" s="16"/>
      <c r="D1353" s="16"/>
      <c r="E1353" s="16"/>
      <c r="F1353" s="16"/>
      <c r="G1353" s="16"/>
      <c r="H1353" s="16"/>
      <c r="I1353" s="16"/>
      <c r="J1353" s="16"/>
      <c r="K1353" s="16"/>
      <c r="L1353" s="16"/>
      <c r="M1353" s="16"/>
    </row>
    <row r="1354" spans="1:13" x14ac:dyDescent="0.2">
      <c r="A1354" s="16"/>
      <c r="B1354" s="37"/>
      <c r="C1354" s="16"/>
      <c r="D1354" s="16"/>
      <c r="E1354" s="16"/>
      <c r="F1354" s="16"/>
      <c r="G1354" s="16"/>
      <c r="H1354" s="16"/>
      <c r="I1354" s="16"/>
      <c r="J1354" s="16"/>
      <c r="K1354" s="16"/>
      <c r="L1354" s="16"/>
      <c r="M1354" s="16"/>
    </row>
    <row r="1355" spans="1:13" x14ac:dyDescent="0.2">
      <c r="A1355" s="16"/>
      <c r="B1355" s="37"/>
      <c r="C1355" s="16"/>
      <c r="D1355" s="16"/>
      <c r="E1355" s="16"/>
      <c r="F1355" s="16"/>
      <c r="G1355" s="16"/>
      <c r="H1355" s="16"/>
      <c r="I1355" s="16"/>
      <c r="J1355" s="16"/>
      <c r="K1355" s="16"/>
      <c r="L1355" s="16"/>
      <c r="M1355" s="16"/>
    </row>
    <row r="1356" spans="1:13" x14ac:dyDescent="0.2">
      <c r="A1356" s="16"/>
      <c r="B1356" s="37"/>
      <c r="C1356" s="16"/>
      <c r="D1356" s="16"/>
      <c r="E1356" s="16"/>
      <c r="F1356" s="16"/>
      <c r="G1356" s="16"/>
      <c r="H1356" s="16"/>
      <c r="I1356" s="16"/>
      <c r="J1356" s="16"/>
      <c r="K1356" s="16"/>
      <c r="L1356" s="16"/>
      <c r="M1356" s="16"/>
    </row>
    <row r="1357" spans="1:13" x14ac:dyDescent="0.2">
      <c r="A1357" s="16"/>
      <c r="B1357" s="37"/>
      <c r="C1357" s="16"/>
      <c r="D1357" s="16"/>
      <c r="E1357" s="16"/>
      <c r="F1357" s="16"/>
      <c r="G1357" s="16"/>
      <c r="H1357" s="16"/>
      <c r="I1357" s="16"/>
      <c r="J1357" s="16"/>
      <c r="K1357" s="16"/>
      <c r="L1357" s="16"/>
      <c r="M1357" s="16"/>
    </row>
    <row r="1358" spans="1:13" x14ac:dyDescent="0.2">
      <c r="A1358" s="16"/>
      <c r="B1358" s="37"/>
      <c r="C1358" s="16"/>
      <c r="D1358" s="16"/>
      <c r="E1358" s="16"/>
      <c r="F1358" s="16"/>
      <c r="G1358" s="16"/>
      <c r="H1358" s="16"/>
      <c r="I1358" s="16"/>
      <c r="J1358" s="16"/>
      <c r="K1358" s="16"/>
      <c r="L1358" s="16"/>
      <c r="M1358" s="16"/>
    </row>
    <row r="1359" spans="1:13" x14ac:dyDescent="0.2">
      <c r="A1359" s="16"/>
      <c r="B1359" s="37"/>
      <c r="C1359" s="16"/>
      <c r="D1359" s="16"/>
      <c r="E1359" s="16"/>
      <c r="F1359" s="16"/>
      <c r="G1359" s="16"/>
      <c r="H1359" s="16"/>
      <c r="I1359" s="16"/>
      <c r="J1359" s="16"/>
      <c r="K1359" s="16"/>
      <c r="L1359" s="16"/>
      <c r="M1359" s="16"/>
    </row>
    <row r="1360" spans="1:13" x14ac:dyDescent="0.2">
      <c r="A1360" s="16"/>
      <c r="B1360" s="37"/>
      <c r="C1360" s="16"/>
      <c r="D1360" s="16"/>
      <c r="E1360" s="16"/>
      <c r="F1360" s="16"/>
      <c r="G1360" s="16"/>
      <c r="H1360" s="16"/>
      <c r="I1360" s="16"/>
      <c r="J1360" s="16"/>
      <c r="K1360" s="16"/>
      <c r="L1360" s="16"/>
      <c r="M1360" s="16"/>
    </row>
    <row r="1361" spans="1:13" x14ac:dyDescent="0.2">
      <c r="A1361" s="16"/>
      <c r="B1361" s="37"/>
      <c r="C1361" s="16"/>
      <c r="D1361" s="16"/>
      <c r="E1361" s="16"/>
      <c r="F1361" s="16"/>
      <c r="G1361" s="16"/>
      <c r="H1361" s="16"/>
      <c r="I1361" s="16"/>
      <c r="J1361" s="16"/>
      <c r="K1361" s="16"/>
      <c r="L1361" s="16"/>
      <c r="M1361" s="16"/>
    </row>
    <row r="1362" spans="1:13" x14ac:dyDescent="0.2">
      <c r="A1362" s="16"/>
      <c r="B1362" s="37"/>
      <c r="C1362" s="16"/>
      <c r="D1362" s="16"/>
      <c r="E1362" s="16"/>
      <c r="F1362" s="16"/>
      <c r="G1362" s="16"/>
      <c r="H1362" s="16"/>
      <c r="I1362" s="16"/>
      <c r="J1362" s="16"/>
      <c r="K1362" s="16"/>
      <c r="L1362" s="16"/>
      <c r="M1362" s="16"/>
    </row>
    <row r="1363" spans="1:13" x14ac:dyDescent="0.2">
      <c r="A1363" s="16"/>
      <c r="B1363" s="37"/>
      <c r="C1363" s="16"/>
      <c r="D1363" s="16"/>
      <c r="E1363" s="16"/>
      <c r="F1363" s="16"/>
      <c r="G1363" s="16"/>
      <c r="H1363" s="16"/>
      <c r="I1363" s="16"/>
      <c r="J1363" s="16"/>
      <c r="K1363" s="16"/>
      <c r="L1363" s="16"/>
      <c r="M1363" s="16"/>
    </row>
    <row r="1364" spans="1:13" x14ac:dyDescent="0.2">
      <c r="A1364" s="16"/>
      <c r="B1364" s="37"/>
      <c r="C1364" s="16"/>
      <c r="D1364" s="16"/>
      <c r="E1364" s="16"/>
      <c r="F1364" s="16"/>
      <c r="G1364" s="16"/>
      <c r="H1364" s="16"/>
      <c r="I1364" s="16"/>
      <c r="J1364" s="16"/>
      <c r="K1364" s="16"/>
      <c r="L1364" s="16"/>
      <c r="M1364" s="16"/>
    </row>
    <row r="1365" spans="1:13" x14ac:dyDescent="0.2">
      <c r="A1365" s="16"/>
      <c r="B1365" s="37"/>
      <c r="C1365" s="16"/>
      <c r="D1365" s="16"/>
      <c r="E1365" s="16"/>
      <c r="F1365" s="16"/>
      <c r="G1365" s="16"/>
      <c r="H1365" s="16"/>
      <c r="I1365" s="16"/>
      <c r="J1365" s="16"/>
      <c r="K1365" s="16"/>
      <c r="L1365" s="16"/>
      <c r="M1365" s="16"/>
    </row>
    <row r="1366" spans="1:13" x14ac:dyDescent="0.2">
      <c r="A1366" s="16"/>
      <c r="B1366" s="37"/>
      <c r="C1366" s="16"/>
      <c r="D1366" s="16"/>
      <c r="E1366" s="16"/>
      <c r="F1366" s="16"/>
      <c r="G1366" s="16"/>
      <c r="H1366" s="16"/>
      <c r="I1366" s="16"/>
      <c r="J1366" s="16"/>
      <c r="K1366" s="16"/>
      <c r="L1366" s="16"/>
      <c r="M1366" s="16"/>
    </row>
    <row r="1367" spans="1:13" x14ac:dyDescent="0.2">
      <c r="A1367" s="16"/>
      <c r="B1367" s="37"/>
      <c r="C1367" s="16"/>
      <c r="D1367" s="16"/>
      <c r="E1367" s="16"/>
      <c r="F1367" s="16"/>
      <c r="G1367" s="16"/>
      <c r="H1367" s="16"/>
      <c r="I1367" s="16"/>
      <c r="J1367" s="16"/>
      <c r="K1367" s="16"/>
      <c r="L1367" s="16"/>
      <c r="M1367" s="16"/>
    </row>
    <row r="1368" spans="1:13" x14ac:dyDescent="0.2">
      <c r="A1368" s="16"/>
      <c r="B1368" s="37"/>
      <c r="C1368" s="16"/>
      <c r="D1368" s="16"/>
      <c r="E1368" s="16"/>
      <c r="F1368" s="16"/>
      <c r="G1368" s="16"/>
      <c r="H1368" s="16"/>
      <c r="I1368" s="16"/>
      <c r="J1368" s="16"/>
      <c r="K1368" s="16"/>
      <c r="L1368" s="16"/>
      <c r="M1368" s="16"/>
    </row>
    <row r="1369" spans="1:13" x14ac:dyDescent="0.2">
      <c r="A1369" s="16"/>
      <c r="B1369" s="37"/>
      <c r="C1369" s="16"/>
      <c r="D1369" s="16"/>
      <c r="E1369" s="16"/>
      <c r="F1369" s="16"/>
      <c r="G1369" s="16"/>
      <c r="H1369" s="16"/>
      <c r="I1369" s="16"/>
      <c r="J1369" s="16"/>
      <c r="K1369" s="16"/>
      <c r="L1369" s="16"/>
      <c r="M1369" s="16"/>
    </row>
    <row r="1370" spans="1:13" x14ac:dyDescent="0.2">
      <c r="A1370" s="16"/>
      <c r="B1370" s="37"/>
      <c r="C1370" s="16"/>
      <c r="D1370" s="16"/>
      <c r="E1370" s="16"/>
      <c r="F1370" s="16"/>
      <c r="G1370" s="16"/>
      <c r="H1370" s="16"/>
      <c r="I1370" s="16"/>
      <c r="J1370" s="16"/>
      <c r="K1370" s="16"/>
      <c r="L1370" s="16"/>
      <c r="M1370" s="16"/>
    </row>
    <row r="1371" spans="1:13" x14ac:dyDescent="0.2">
      <c r="A1371" s="16"/>
      <c r="B1371" s="37"/>
      <c r="C1371" s="16"/>
      <c r="D1371" s="16"/>
      <c r="E1371" s="16"/>
      <c r="F1371" s="16"/>
      <c r="G1371" s="16"/>
      <c r="H1371" s="16"/>
      <c r="I1371" s="16"/>
      <c r="J1371" s="16"/>
      <c r="K1371" s="16"/>
      <c r="L1371" s="16"/>
      <c r="M1371" s="16"/>
    </row>
    <row r="1372" spans="1:13" x14ac:dyDescent="0.2">
      <c r="A1372" s="16"/>
      <c r="B1372" s="37"/>
      <c r="C1372" s="16"/>
      <c r="D1372" s="16"/>
      <c r="E1372" s="16"/>
      <c r="F1372" s="16"/>
      <c r="G1372" s="16"/>
      <c r="H1372" s="16"/>
      <c r="I1372" s="16"/>
      <c r="J1372" s="16"/>
      <c r="K1372" s="16"/>
      <c r="L1372" s="16"/>
      <c r="M1372" s="16"/>
    </row>
    <row r="1373" spans="1:13" x14ac:dyDescent="0.2">
      <c r="A1373" s="16"/>
      <c r="B1373" s="37"/>
      <c r="C1373" s="16"/>
      <c r="D1373" s="16"/>
      <c r="E1373" s="16"/>
      <c r="F1373" s="16"/>
      <c r="G1373" s="16"/>
      <c r="H1373" s="16"/>
      <c r="I1373" s="16"/>
      <c r="J1373" s="16"/>
      <c r="K1373" s="16"/>
      <c r="L1373" s="16"/>
      <c r="M1373" s="16"/>
    </row>
    <row r="1374" spans="1:13" x14ac:dyDescent="0.2">
      <c r="A1374" s="16"/>
      <c r="B1374" s="37"/>
      <c r="C1374" s="16"/>
      <c r="D1374" s="16"/>
      <c r="E1374" s="16"/>
      <c r="F1374" s="16"/>
      <c r="G1374" s="16"/>
      <c r="H1374" s="16"/>
      <c r="I1374" s="16"/>
      <c r="J1374" s="16"/>
      <c r="K1374" s="16"/>
      <c r="L1374" s="16"/>
      <c r="M1374" s="16"/>
    </row>
    <row r="1375" spans="1:13" x14ac:dyDescent="0.2">
      <c r="A1375" s="16"/>
      <c r="B1375" s="37"/>
      <c r="C1375" s="16"/>
      <c r="D1375" s="16"/>
      <c r="E1375" s="16"/>
      <c r="F1375" s="16"/>
      <c r="G1375" s="16"/>
      <c r="H1375" s="16"/>
      <c r="I1375" s="16"/>
      <c r="J1375" s="16"/>
      <c r="K1375" s="16"/>
      <c r="L1375" s="16"/>
      <c r="M1375" s="16"/>
    </row>
    <row r="1376" spans="1:13" x14ac:dyDescent="0.2">
      <c r="A1376" s="16"/>
      <c r="B1376" s="37"/>
      <c r="C1376" s="16"/>
      <c r="D1376" s="16"/>
      <c r="E1376" s="16"/>
      <c r="F1376" s="16"/>
      <c r="G1376" s="16"/>
      <c r="H1376" s="16"/>
      <c r="I1376" s="16"/>
      <c r="J1376" s="16"/>
      <c r="K1376" s="16"/>
      <c r="L1376" s="16"/>
      <c r="M1376" s="16"/>
    </row>
    <row r="1377" spans="1:13" x14ac:dyDescent="0.2">
      <c r="A1377" s="16"/>
      <c r="B1377" s="37"/>
      <c r="C1377" s="16"/>
      <c r="D1377" s="16"/>
      <c r="E1377" s="16"/>
      <c r="F1377" s="16"/>
      <c r="G1377" s="16"/>
      <c r="H1377" s="16"/>
      <c r="I1377" s="16"/>
      <c r="J1377" s="16"/>
      <c r="K1377" s="16"/>
      <c r="L1377" s="16"/>
      <c r="M1377" s="16"/>
    </row>
    <row r="1378" spans="1:13" x14ac:dyDescent="0.2">
      <c r="A1378" s="16"/>
      <c r="B1378" s="37"/>
      <c r="C1378" s="16"/>
      <c r="D1378" s="16"/>
      <c r="E1378" s="16"/>
      <c r="F1378" s="16"/>
      <c r="G1378" s="16"/>
      <c r="H1378" s="16"/>
      <c r="I1378" s="16"/>
      <c r="J1378" s="16"/>
      <c r="K1378" s="16"/>
      <c r="L1378" s="16"/>
      <c r="M1378" s="16"/>
    </row>
    <row r="1379" spans="1:13" x14ac:dyDescent="0.2">
      <c r="A1379" s="16"/>
      <c r="B1379" s="37"/>
      <c r="C1379" s="16"/>
      <c r="D1379" s="16"/>
      <c r="E1379" s="16"/>
      <c r="F1379" s="16"/>
      <c r="G1379" s="16"/>
      <c r="H1379" s="16"/>
      <c r="I1379" s="16"/>
      <c r="J1379" s="16"/>
      <c r="K1379" s="16"/>
      <c r="L1379" s="16"/>
      <c r="M1379" s="16"/>
    </row>
    <row r="1380" spans="1:13" x14ac:dyDescent="0.2">
      <c r="A1380" s="16"/>
      <c r="B1380" s="37"/>
      <c r="C1380" s="16"/>
      <c r="D1380" s="16"/>
      <c r="E1380" s="16"/>
      <c r="F1380" s="16"/>
      <c r="G1380" s="16"/>
      <c r="H1380" s="16"/>
      <c r="I1380" s="16"/>
      <c r="J1380" s="16"/>
      <c r="K1380" s="16"/>
      <c r="L1380" s="16"/>
      <c r="M1380" s="16"/>
    </row>
    <row r="1381" spans="1:13" x14ac:dyDescent="0.2">
      <c r="A1381" s="16"/>
      <c r="B1381" s="37"/>
      <c r="C1381" s="16"/>
      <c r="D1381" s="16"/>
      <c r="E1381" s="16"/>
      <c r="F1381" s="16"/>
      <c r="G1381" s="16"/>
      <c r="H1381" s="16"/>
      <c r="I1381" s="16"/>
      <c r="J1381" s="16"/>
      <c r="K1381" s="16"/>
      <c r="L1381" s="16"/>
      <c r="M1381" s="16"/>
    </row>
    <row r="1382" spans="1:13" x14ac:dyDescent="0.2">
      <c r="A1382" s="16"/>
      <c r="B1382" s="37"/>
      <c r="C1382" s="16"/>
      <c r="D1382" s="16"/>
      <c r="E1382" s="16"/>
      <c r="F1382" s="16"/>
      <c r="G1382" s="16"/>
      <c r="H1382" s="16"/>
      <c r="I1382" s="16"/>
      <c r="J1382" s="16"/>
      <c r="K1382" s="16"/>
      <c r="L1382" s="16"/>
      <c r="M1382" s="16"/>
    </row>
    <row r="1383" spans="1:13" x14ac:dyDescent="0.2">
      <c r="A1383" s="16"/>
      <c r="B1383" s="37"/>
      <c r="C1383" s="16"/>
      <c r="D1383" s="16"/>
      <c r="E1383" s="16"/>
      <c r="F1383" s="16"/>
      <c r="G1383" s="16"/>
      <c r="H1383" s="16"/>
      <c r="I1383" s="16"/>
      <c r="J1383" s="16"/>
      <c r="K1383" s="16"/>
      <c r="L1383" s="16"/>
      <c r="M1383" s="16"/>
    </row>
    <row r="1384" spans="1:13" x14ac:dyDescent="0.2">
      <c r="A1384" s="16"/>
      <c r="B1384" s="37"/>
      <c r="C1384" s="16"/>
      <c r="D1384" s="16"/>
      <c r="E1384" s="16"/>
      <c r="F1384" s="16"/>
      <c r="G1384" s="16"/>
      <c r="H1384" s="16"/>
      <c r="I1384" s="16"/>
      <c r="J1384" s="16"/>
      <c r="K1384" s="16"/>
      <c r="L1384" s="16"/>
      <c r="M1384" s="16"/>
    </row>
    <row r="1385" spans="1:13" x14ac:dyDescent="0.2">
      <c r="A1385" s="16"/>
      <c r="B1385" s="37"/>
      <c r="C1385" s="16"/>
      <c r="D1385" s="16"/>
      <c r="E1385" s="16"/>
      <c r="F1385" s="16"/>
      <c r="G1385" s="16"/>
      <c r="H1385" s="16"/>
      <c r="I1385" s="16"/>
      <c r="J1385" s="16"/>
      <c r="K1385" s="16"/>
      <c r="L1385" s="16"/>
      <c r="M1385" s="16"/>
    </row>
    <row r="1386" spans="1:13" x14ac:dyDescent="0.2">
      <c r="A1386" s="16"/>
      <c r="B1386" s="37"/>
      <c r="C1386" s="16"/>
      <c r="D1386" s="16"/>
      <c r="E1386" s="16"/>
      <c r="F1386" s="16"/>
      <c r="G1386" s="16"/>
      <c r="H1386" s="16"/>
      <c r="I1386" s="16"/>
      <c r="J1386" s="16"/>
      <c r="K1386" s="16"/>
      <c r="L1386" s="16"/>
      <c r="M1386" s="16"/>
    </row>
    <row r="1387" spans="1:13" x14ac:dyDescent="0.2">
      <c r="A1387" s="16"/>
      <c r="B1387" s="37"/>
      <c r="C1387" s="16"/>
      <c r="D1387" s="16"/>
      <c r="E1387" s="16"/>
      <c r="F1387" s="16"/>
      <c r="G1387" s="16"/>
      <c r="H1387" s="16"/>
      <c r="I1387" s="16"/>
      <c r="J1387" s="16"/>
      <c r="K1387" s="16"/>
      <c r="L1387" s="16"/>
      <c r="M1387" s="16"/>
    </row>
    <row r="1388" spans="1:13" x14ac:dyDescent="0.2">
      <c r="A1388" s="16"/>
      <c r="B1388" s="37"/>
      <c r="C1388" s="16"/>
      <c r="D1388" s="16"/>
      <c r="E1388" s="16"/>
      <c r="F1388" s="16"/>
      <c r="G1388" s="16"/>
      <c r="H1388" s="16"/>
      <c r="I1388" s="16"/>
      <c r="J1388" s="16"/>
      <c r="K1388" s="16"/>
      <c r="L1388" s="16"/>
      <c r="M1388" s="16"/>
    </row>
    <row r="1389" spans="1:13" x14ac:dyDescent="0.2">
      <c r="A1389" s="16"/>
      <c r="B1389" s="37"/>
      <c r="C1389" s="16"/>
      <c r="D1389" s="16"/>
      <c r="E1389" s="16"/>
      <c r="F1389" s="16"/>
      <c r="G1389" s="16"/>
      <c r="H1389" s="16"/>
      <c r="I1389" s="16"/>
      <c r="J1389" s="16"/>
      <c r="K1389" s="16"/>
      <c r="L1389" s="16"/>
      <c r="M1389" s="16"/>
    </row>
    <row r="1390" spans="1:13" x14ac:dyDescent="0.2">
      <c r="A1390" s="16"/>
      <c r="B1390" s="37"/>
      <c r="C1390" s="16"/>
      <c r="D1390" s="16"/>
      <c r="E1390" s="16"/>
      <c r="F1390" s="16"/>
      <c r="G1390" s="16"/>
      <c r="H1390" s="16"/>
      <c r="I1390" s="16"/>
      <c r="J1390" s="16"/>
      <c r="K1390" s="16"/>
      <c r="L1390" s="16"/>
      <c r="M1390" s="16"/>
    </row>
    <row r="1391" spans="1:13" x14ac:dyDescent="0.2">
      <c r="A1391" s="16"/>
      <c r="B1391" s="37"/>
      <c r="C1391" s="16"/>
      <c r="D1391" s="16"/>
      <c r="E1391" s="16"/>
      <c r="F1391" s="16"/>
      <c r="G1391" s="16"/>
      <c r="H1391" s="16"/>
      <c r="I1391" s="16"/>
      <c r="J1391" s="16"/>
      <c r="K1391" s="16"/>
      <c r="L1391" s="16"/>
      <c r="M1391" s="16"/>
    </row>
    <row r="1392" spans="1:13" x14ac:dyDescent="0.2">
      <c r="A1392" s="16"/>
      <c r="B1392" s="37"/>
      <c r="C1392" s="16"/>
      <c r="D1392" s="16"/>
      <c r="E1392" s="16"/>
      <c r="F1392" s="16"/>
      <c r="G1392" s="16"/>
      <c r="H1392" s="16"/>
      <c r="I1392" s="16"/>
      <c r="J1392" s="16"/>
      <c r="K1392" s="16"/>
      <c r="L1392" s="16"/>
      <c r="M1392" s="16"/>
    </row>
    <row r="1393" spans="1:13" x14ac:dyDescent="0.2">
      <c r="A1393" s="16"/>
      <c r="B1393" s="37"/>
      <c r="C1393" s="16"/>
      <c r="D1393" s="16"/>
      <c r="E1393" s="16"/>
      <c r="F1393" s="16"/>
      <c r="G1393" s="16"/>
      <c r="H1393" s="16"/>
      <c r="I1393" s="16"/>
      <c r="J1393" s="16"/>
      <c r="K1393" s="16"/>
      <c r="L1393" s="16"/>
      <c r="M1393" s="16"/>
    </row>
    <row r="1394" spans="1:13" x14ac:dyDescent="0.2">
      <c r="A1394" s="16"/>
      <c r="B1394" s="37"/>
      <c r="C1394" s="16"/>
      <c r="D1394" s="16"/>
      <c r="E1394" s="16"/>
      <c r="F1394" s="16"/>
      <c r="G1394" s="16"/>
      <c r="H1394" s="16"/>
      <c r="I1394" s="16"/>
      <c r="J1394" s="16"/>
      <c r="K1394" s="16"/>
      <c r="L1394" s="16"/>
      <c r="M1394" s="16"/>
    </row>
    <row r="1395" spans="1:13" x14ac:dyDescent="0.2">
      <c r="A1395" s="16"/>
      <c r="B1395" s="37"/>
      <c r="C1395" s="16"/>
      <c r="D1395" s="16"/>
      <c r="E1395" s="16"/>
      <c r="F1395" s="16"/>
      <c r="G1395" s="16"/>
      <c r="H1395" s="16"/>
      <c r="I1395" s="16"/>
      <c r="J1395" s="16"/>
      <c r="K1395" s="16"/>
      <c r="L1395" s="16"/>
      <c r="M1395" s="16"/>
    </row>
    <row r="1396" spans="1:13" x14ac:dyDescent="0.2">
      <c r="A1396" s="16"/>
      <c r="B1396" s="37"/>
      <c r="C1396" s="16"/>
      <c r="D1396" s="16"/>
      <c r="E1396" s="16"/>
      <c r="F1396" s="16"/>
      <c r="G1396" s="16"/>
      <c r="H1396" s="16"/>
      <c r="I1396" s="16"/>
      <c r="J1396" s="16"/>
      <c r="K1396" s="16"/>
      <c r="L1396" s="16"/>
      <c r="M1396" s="16"/>
    </row>
    <row r="1397" spans="1:13" x14ac:dyDescent="0.2">
      <c r="A1397" s="16"/>
      <c r="B1397" s="37"/>
      <c r="C1397" s="16"/>
      <c r="D1397" s="16"/>
      <c r="E1397" s="16"/>
      <c r="F1397" s="16"/>
      <c r="G1397" s="16"/>
      <c r="H1397" s="16"/>
      <c r="I1397" s="16"/>
      <c r="J1397" s="16"/>
      <c r="K1397" s="16"/>
      <c r="L1397" s="16"/>
      <c r="M1397" s="16"/>
    </row>
    <row r="1398" spans="1:13" x14ac:dyDescent="0.2">
      <c r="A1398" s="16"/>
      <c r="B1398" s="37"/>
      <c r="C1398" s="16"/>
      <c r="D1398" s="16"/>
      <c r="E1398" s="16"/>
      <c r="F1398" s="16"/>
      <c r="G1398" s="16"/>
      <c r="H1398" s="16"/>
      <c r="I1398" s="16"/>
      <c r="J1398" s="16"/>
      <c r="K1398" s="16"/>
      <c r="L1398" s="16"/>
      <c r="M1398" s="16"/>
    </row>
    <row r="1399" spans="1:13" x14ac:dyDescent="0.2">
      <c r="A1399" s="16"/>
      <c r="B1399" s="37"/>
      <c r="C1399" s="16"/>
      <c r="D1399" s="16"/>
      <c r="E1399" s="16"/>
      <c r="F1399" s="16"/>
      <c r="G1399" s="16"/>
      <c r="H1399" s="16"/>
      <c r="I1399" s="16"/>
      <c r="J1399" s="16"/>
      <c r="K1399" s="16"/>
      <c r="L1399" s="16"/>
      <c r="M1399" s="16"/>
    </row>
    <row r="1400" spans="1:13" x14ac:dyDescent="0.2">
      <c r="A1400" s="16"/>
      <c r="B1400" s="37"/>
      <c r="C1400" s="16"/>
      <c r="D1400" s="16"/>
      <c r="E1400" s="16"/>
      <c r="F1400" s="16"/>
      <c r="G1400" s="16"/>
      <c r="H1400" s="16"/>
      <c r="I1400" s="16"/>
      <c r="J1400" s="16"/>
      <c r="K1400" s="16"/>
      <c r="L1400" s="16"/>
      <c r="M1400" s="16"/>
    </row>
    <row r="1401" spans="1:13" x14ac:dyDescent="0.2">
      <c r="A1401" s="16"/>
      <c r="B1401" s="37"/>
      <c r="C1401" s="16"/>
      <c r="D1401" s="16"/>
      <c r="E1401" s="16"/>
      <c r="F1401" s="16"/>
      <c r="G1401" s="16"/>
      <c r="H1401" s="16"/>
      <c r="I1401" s="16"/>
      <c r="J1401" s="16"/>
      <c r="K1401" s="16"/>
      <c r="L1401" s="16"/>
      <c r="M1401" s="16"/>
    </row>
    <row r="1402" spans="1:13" x14ac:dyDescent="0.2">
      <c r="A1402" s="16"/>
      <c r="B1402" s="37"/>
      <c r="C1402" s="16"/>
      <c r="D1402" s="16"/>
      <c r="E1402" s="16"/>
      <c r="F1402" s="16"/>
      <c r="G1402" s="16"/>
      <c r="H1402" s="16"/>
      <c r="I1402" s="16"/>
      <c r="J1402" s="16"/>
      <c r="K1402" s="16"/>
      <c r="L1402" s="16"/>
      <c r="M1402" s="16"/>
    </row>
    <row r="1403" spans="1:13" x14ac:dyDescent="0.2">
      <c r="A1403" s="16"/>
      <c r="B1403" s="37"/>
      <c r="C1403" s="16"/>
      <c r="D1403" s="16"/>
      <c r="E1403" s="16"/>
      <c r="F1403" s="16"/>
      <c r="G1403" s="16"/>
      <c r="H1403" s="16"/>
      <c r="I1403" s="16"/>
      <c r="J1403" s="16"/>
      <c r="K1403" s="16"/>
      <c r="L1403" s="16"/>
      <c r="M1403" s="16"/>
    </row>
    <row r="1404" spans="1:13" x14ac:dyDescent="0.2">
      <c r="A1404" s="16"/>
      <c r="B1404" s="37"/>
      <c r="C1404" s="16"/>
      <c r="D1404" s="16"/>
      <c r="E1404" s="16"/>
      <c r="F1404" s="16"/>
      <c r="G1404" s="16"/>
      <c r="H1404" s="16"/>
      <c r="I1404" s="16"/>
      <c r="J1404" s="16"/>
      <c r="K1404" s="16"/>
      <c r="L1404" s="16"/>
      <c r="M1404" s="16"/>
    </row>
    <row r="1405" spans="1:13" x14ac:dyDescent="0.2">
      <c r="A1405" s="16"/>
      <c r="B1405" s="37"/>
      <c r="C1405" s="16"/>
      <c r="D1405" s="16"/>
      <c r="E1405" s="16"/>
      <c r="F1405" s="16"/>
      <c r="G1405" s="16"/>
      <c r="H1405" s="16"/>
      <c r="I1405" s="16"/>
      <c r="J1405" s="16"/>
      <c r="K1405" s="16"/>
      <c r="L1405" s="16"/>
      <c r="M1405" s="16"/>
    </row>
    <row r="1406" spans="1:13" x14ac:dyDescent="0.2">
      <c r="A1406" s="16"/>
      <c r="B1406" s="37"/>
      <c r="C1406" s="16"/>
      <c r="D1406" s="16"/>
      <c r="E1406" s="16"/>
      <c r="F1406" s="16"/>
      <c r="G1406" s="16"/>
      <c r="H1406" s="16"/>
      <c r="I1406" s="16"/>
      <c r="J1406" s="16"/>
      <c r="K1406" s="16"/>
      <c r="L1406" s="16"/>
      <c r="M1406" s="16"/>
    </row>
    <row r="1407" spans="1:13" x14ac:dyDescent="0.2">
      <c r="A1407" s="16"/>
      <c r="B1407" s="37"/>
      <c r="C1407" s="16"/>
      <c r="D1407" s="16"/>
      <c r="E1407" s="16"/>
      <c r="F1407" s="16"/>
      <c r="G1407" s="16"/>
      <c r="H1407" s="16"/>
      <c r="I1407" s="16"/>
      <c r="J1407" s="16"/>
      <c r="K1407" s="16"/>
      <c r="L1407" s="16"/>
      <c r="M1407" s="16"/>
    </row>
    <row r="1408" spans="1:13" x14ac:dyDescent="0.2">
      <c r="A1408" s="16"/>
      <c r="B1408" s="37"/>
      <c r="C1408" s="16"/>
      <c r="D1408" s="16"/>
      <c r="E1408" s="16"/>
      <c r="F1408" s="16"/>
      <c r="G1408" s="16"/>
      <c r="H1408" s="16"/>
      <c r="I1408" s="16"/>
      <c r="J1408" s="16"/>
      <c r="K1408" s="16"/>
      <c r="L1408" s="16"/>
      <c r="M1408" s="16"/>
    </row>
    <row r="1409" spans="1:13" x14ac:dyDescent="0.2">
      <c r="A1409" s="16"/>
      <c r="B1409" s="37"/>
      <c r="C1409" s="16"/>
      <c r="D1409" s="16"/>
      <c r="E1409" s="16"/>
      <c r="F1409" s="16"/>
      <c r="G1409" s="16"/>
      <c r="H1409" s="16"/>
      <c r="I1409" s="16"/>
      <c r="J1409" s="16"/>
      <c r="K1409" s="16"/>
      <c r="L1409" s="16"/>
      <c r="M1409" s="16"/>
    </row>
    <row r="1410" spans="1:13" x14ac:dyDescent="0.2">
      <c r="A1410" s="16"/>
      <c r="B1410" s="37"/>
      <c r="C1410" s="16"/>
      <c r="D1410" s="16"/>
      <c r="E1410" s="16"/>
      <c r="F1410" s="16"/>
      <c r="G1410" s="16"/>
      <c r="H1410" s="16"/>
      <c r="I1410" s="16"/>
      <c r="J1410" s="16"/>
      <c r="K1410" s="16"/>
      <c r="L1410" s="16"/>
      <c r="M1410" s="16"/>
    </row>
    <row r="1411" spans="1:13" x14ac:dyDescent="0.2">
      <c r="A1411" s="16"/>
      <c r="B1411" s="37"/>
      <c r="C1411" s="16"/>
      <c r="D1411" s="16"/>
      <c r="E1411" s="16"/>
      <c r="F1411" s="16"/>
      <c r="G1411" s="16"/>
      <c r="H1411" s="16"/>
      <c r="I1411" s="16"/>
      <c r="J1411" s="16"/>
      <c r="K1411" s="16"/>
      <c r="L1411" s="16"/>
      <c r="M1411" s="16"/>
    </row>
    <row r="1412" spans="1:13" x14ac:dyDescent="0.2">
      <c r="A1412" s="16"/>
      <c r="B1412" s="37"/>
      <c r="C1412" s="16"/>
      <c r="D1412" s="16"/>
      <c r="E1412" s="16"/>
      <c r="F1412" s="16"/>
      <c r="G1412" s="16"/>
      <c r="H1412" s="16"/>
      <c r="I1412" s="16"/>
      <c r="J1412" s="16"/>
      <c r="K1412" s="16"/>
      <c r="L1412" s="16"/>
      <c r="M1412" s="16"/>
    </row>
    <row r="1413" spans="1:13" x14ac:dyDescent="0.2">
      <c r="A1413" s="16"/>
      <c r="B1413" s="37"/>
      <c r="C1413" s="16"/>
      <c r="D1413" s="16"/>
      <c r="E1413" s="16"/>
      <c r="F1413" s="16"/>
      <c r="G1413" s="16"/>
      <c r="H1413" s="16"/>
      <c r="I1413" s="16"/>
      <c r="J1413" s="16"/>
      <c r="K1413" s="16"/>
      <c r="L1413" s="16"/>
      <c r="M1413" s="16"/>
    </row>
    <row r="1414" spans="1:13" x14ac:dyDescent="0.2">
      <c r="A1414" s="16"/>
      <c r="B1414" s="37"/>
      <c r="C1414" s="16"/>
      <c r="D1414" s="16"/>
      <c r="E1414" s="16"/>
      <c r="F1414" s="16"/>
      <c r="G1414" s="16"/>
      <c r="H1414" s="16"/>
      <c r="I1414" s="16"/>
      <c r="J1414" s="16"/>
      <c r="K1414" s="16"/>
      <c r="L1414" s="16"/>
      <c r="M1414" s="16"/>
    </row>
    <row r="1415" spans="1:13" x14ac:dyDescent="0.2">
      <c r="A1415" s="16"/>
      <c r="B1415" s="37"/>
      <c r="C1415" s="16"/>
      <c r="D1415" s="16"/>
      <c r="E1415" s="16"/>
      <c r="F1415" s="16"/>
      <c r="G1415" s="16"/>
      <c r="H1415" s="16"/>
      <c r="I1415" s="16"/>
      <c r="J1415" s="16"/>
      <c r="K1415" s="16"/>
      <c r="L1415" s="16"/>
      <c r="M1415" s="16"/>
    </row>
    <row r="1416" spans="1:13" x14ac:dyDescent="0.2">
      <c r="A1416" s="16"/>
      <c r="B1416" s="37"/>
      <c r="C1416" s="16"/>
      <c r="D1416" s="16"/>
      <c r="E1416" s="16"/>
      <c r="F1416" s="16"/>
      <c r="G1416" s="16"/>
      <c r="H1416" s="16"/>
      <c r="I1416" s="16"/>
      <c r="J1416" s="16"/>
      <c r="K1416" s="16"/>
      <c r="L1416" s="16"/>
      <c r="M1416" s="16"/>
    </row>
    <row r="1417" spans="1:13" x14ac:dyDescent="0.2">
      <c r="A1417" s="16"/>
      <c r="B1417" s="37"/>
      <c r="C1417" s="16"/>
      <c r="D1417" s="16"/>
      <c r="E1417" s="16"/>
      <c r="F1417" s="16"/>
      <c r="G1417" s="16"/>
      <c r="H1417" s="16"/>
      <c r="I1417" s="16"/>
      <c r="J1417" s="16"/>
      <c r="K1417" s="16"/>
      <c r="L1417" s="16"/>
      <c r="M1417" s="16"/>
    </row>
    <row r="1418" spans="1:13" x14ac:dyDescent="0.2">
      <c r="A1418" s="16"/>
      <c r="B1418" s="37"/>
      <c r="C1418" s="16"/>
      <c r="D1418" s="16"/>
      <c r="E1418" s="16"/>
      <c r="F1418" s="16"/>
      <c r="G1418" s="16"/>
      <c r="H1418" s="16"/>
      <c r="I1418" s="16"/>
      <c r="J1418" s="16"/>
      <c r="K1418" s="16"/>
      <c r="L1418" s="16"/>
      <c r="M1418" s="16"/>
    </row>
    <row r="1419" spans="1:13" x14ac:dyDescent="0.2">
      <c r="A1419" s="16"/>
      <c r="B1419" s="37"/>
      <c r="C1419" s="16"/>
      <c r="D1419" s="16"/>
      <c r="E1419" s="16"/>
      <c r="F1419" s="16"/>
      <c r="G1419" s="16"/>
      <c r="H1419" s="16"/>
      <c r="I1419" s="16"/>
      <c r="J1419" s="16"/>
      <c r="K1419" s="16"/>
      <c r="L1419" s="16"/>
      <c r="M1419" s="16"/>
    </row>
    <row r="1420" spans="1:13" x14ac:dyDescent="0.2">
      <c r="A1420" s="16"/>
      <c r="B1420" s="37"/>
      <c r="C1420" s="16"/>
      <c r="D1420" s="16"/>
      <c r="E1420" s="16"/>
      <c r="F1420" s="16"/>
      <c r="G1420" s="16"/>
      <c r="H1420" s="16"/>
      <c r="I1420" s="16"/>
      <c r="J1420" s="16"/>
      <c r="K1420" s="16"/>
      <c r="L1420" s="16"/>
      <c r="M1420" s="16"/>
    </row>
    <row r="1421" spans="1:13" x14ac:dyDescent="0.2">
      <c r="A1421" s="16"/>
      <c r="B1421" s="37"/>
      <c r="C1421" s="16"/>
      <c r="D1421" s="16"/>
      <c r="E1421" s="16"/>
      <c r="F1421" s="16"/>
      <c r="G1421" s="16"/>
      <c r="H1421" s="16"/>
      <c r="I1421" s="16"/>
      <c r="J1421" s="16"/>
      <c r="K1421" s="16"/>
      <c r="L1421" s="16"/>
      <c r="M1421" s="16"/>
    </row>
    <row r="1422" spans="1:13" x14ac:dyDescent="0.2">
      <c r="A1422" s="16"/>
      <c r="B1422" s="37"/>
      <c r="C1422" s="16"/>
      <c r="D1422" s="16"/>
      <c r="E1422" s="16"/>
      <c r="F1422" s="16"/>
      <c r="G1422" s="16"/>
      <c r="H1422" s="16"/>
      <c r="I1422" s="16"/>
      <c r="J1422" s="16"/>
      <c r="K1422" s="16"/>
      <c r="L1422" s="16"/>
      <c r="M1422" s="16"/>
    </row>
    <row r="1423" spans="1:13" x14ac:dyDescent="0.2">
      <c r="A1423" s="16"/>
      <c r="B1423" s="37"/>
      <c r="C1423" s="16"/>
      <c r="D1423" s="16"/>
      <c r="E1423" s="16"/>
      <c r="F1423" s="16"/>
      <c r="G1423" s="16"/>
      <c r="H1423" s="16"/>
      <c r="I1423" s="16"/>
      <c r="J1423" s="16"/>
      <c r="K1423" s="16"/>
      <c r="L1423" s="16"/>
      <c r="M1423" s="16"/>
    </row>
    <row r="1424" spans="1:13" x14ac:dyDescent="0.2">
      <c r="A1424" s="16"/>
      <c r="B1424" s="37"/>
      <c r="C1424" s="16"/>
      <c r="D1424" s="16"/>
      <c r="E1424" s="16"/>
      <c r="F1424" s="16"/>
      <c r="G1424" s="16"/>
      <c r="H1424" s="16"/>
      <c r="I1424" s="16"/>
      <c r="J1424" s="16"/>
      <c r="K1424" s="16"/>
      <c r="L1424" s="16"/>
      <c r="M1424" s="16"/>
    </row>
    <row r="1425" spans="1:13" x14ac:dyDescent="0.2">
      <c r="A1425" s="16"/>
      <c r="B1425" s="37"/>
      <c r="C1425" s="16"/>
      <c r="D1425" s="16"/>
      <c r="E1425" s="16"/>
      <c r="F1425" s="16"/>
      <c r="G1425" s="16"/>
      <c r="H1425" s="16"/>
      <c r="I1425" s="16"/>
      <c r="J1425" s="16"/>
      <c r="K1425" s="16"/>
      <c r="L1425" s="16"/>
      <c r="M1425" s="16"/>
    </row>
    <row r="1426" spans="1:13" x14ac:dyDescent="0.2">
      <c r="A1426" s="16"/>
      <c r="B1426" s="37"/>
      <c r="C1426" s="16"/>
      <c r="D1426" s="16"/>
      <c r="E1426" s="16"/>
      <c r="F1426" s="16"/>
      <c r="G1426" s="16"/>
      <c r="H1426" s="16"/>
      <c r="I1426" s="16"/>
      <c r="J1426" s="16"/>
      <c r="K1426" s="16"/>
      <c r="L1426" s="16"/>
      <c r="M1426" s="16"/>
    </row>
    <row r="1427" spans="1:13" x14ac:dyDescent="0.2">
      <c r="A1427" s="16"/>
      <c r="B1427" s="37"/>
      <c r="C1427" s="16"/>
      <c r="D1427" s="16"/>
      <c r="E1427" s="16"/>
      <c r="F1427" s="16"/>
      <c r="G1427" s="16"/>
      <c r="H1427" s="16"/>
      <c r="I1427" s="16"/>
      <c r="J1427" s="16"/>
      <c r="K1427" s="16"/>
      <c r="L1427" s="16"/>
      <c r="M1427" s="16"/>
    </row>
    <row r="1428" spans="1:13" x14ac:dyDescent="0.2">
      <c r="A1428" s="16"/>
      <c r="B1428" s="37"/>
      <c r="C1428" s="16"/>
      <c r="D1428" s="16"/>
      <c r="E1428" s="16"/>
      <c r="F1428" s="16"/>
      <c r="G1428" s="16"/>
      <c r="H1428" s="16"/>
      <c r="I1428" s="16"/>
      <c r="J1428" s="16"/>
      <c r="K1428" s="16"/>
      <c r="L1428" s="16"/>
      <c r="M1428" s="16"/>
    </row>
    <row r="1429" spans="1:13" x14ac:dyDescent="0.2">
      <c r="A1429" s="16"/>
      <c r="B1429" s="37"/>
      <c r="C1429" s="16"/>
      <c r="D1429" s="16"/>
      <c r="E1429" s="16"/>
      <c r="F1429" s="16"/>
      <c r="G1429" s="16"/>
      <c r="H1429" s="16"/>
      <c r="I1429" s="16"/>
      <c r="J1429" s="16"/>
      <c r="K1429" s="16"/>
      <c r="L1429" s="16"/>
      <c r="M1429" s="16"/>
    </row>
    <row r="1430" spans="1:13" x14ac:dyDescent="0.2">
      <c r="A1430" s="16"/>
      <c r="B1430" s="37"/>
      <c r="C1430" s="16"/>
      <c r="D1430" s="16"/>
      <c r="E1430" s="16"/>
      <c r="F1430" s="16"/>
      <c r="G1430" s="16"/>
      <c r="H1430" s="16"/>
      <c r="I1430" s="16"/>
      <c r="J1430" s="16"/>
      <c r="K1430" s="16"/>
      <c r="L1430" s="16"/>
      <c r="M1430" s="16"/>
    </row>
    <row r="1431" spans="1:13" x14ac:dyDescent="0.2">
      <c r="A1431" s="16"/>
      <c r="B1431" s="37"/>
      <c r="C1431" s="16"/>
      <c r="D1431" s="16"/>
      <c r="E1431" s="16"/>
      <c r="F1431" s="16"/>
      <c r="G1431" s="16"/>
      <c r="H1431" s="16"/>
      <c r="I1431" s="16"/>
      <c r="J1431" s="16"/>
      <c r="K1431" s="16"/>
      <c r="L1431" s="16"/>
      <c r="M1431" s="16"/>
    </row>
    <row r="1432" spans="1:13" x14ac:dyDescent="0.2">
      <c r="A1432" s="16"/>
      <c r="B1432" s="37"/>
      <c r="C1432" s="16"/>
      <c r="D1432" s="16"/>
      <c r="E1432" s="16"/>
      <c r="F1432" s="16"/>
      <c r="G1432" s="16"/>
      <c r="H1432" s="16"/>
      <c r="I1432" s="16"/>
      <c r="J1432" s="16"/>
      <c r="K1432" s="16"/>
      <c r="L1432" s="16"/>
      <c r="M1432" s="16"/>
    </row>
    <row r="1433" spans="1:13" x14ac:dyDescent="0.2">
      <c r="A1433" s="16"/>
      <c r="B1433" s="37"/>
      <c r="C1433" s="16"/>
      <c r="D1433" s="16"/>
      <c r="E1433" s="16"/>
      <c r="F1433" s="16"/>
      <c r="G1433" s="16"/>
      <c r="H1433" s="16"/>
      <c r="I1433" s="16"/>
      <c r="J1433" s="16"/>
      <c r="K1433" s="16"/>
      <c r="L1433" s="16"/>
      <c r="M1433" s="16"/>
    </row>
    <row r="1434" spans="1:13" x14ac:dyDescent="0.2">
      <c r="A1434" s="16"/>
      <c r="B1434" s="37"/>
      <c r="C1434" s="16"/>
      <c r="D1434" s="16"/>
      <c r="E1434" s="16"/>
      <c r="F1434" s="16"/>
      <c r="G1434" s="16"/>
      <c r="H1434" s="16"/>
      <c r="I1434" s="16"/>
      <c r="J1434" s="16"/>
      <c r="K1434" s="16"/>
      <c r="L1434" s="16"/>
      <c r="M1434" s="16"/>
    </row>
    <row r="1435" spans="1:13" x14ac:dyDescent="0.2">
      <c r="A1435" s="16"/>
      <c r="B1435" s="37"/>
      <c r="C1435" s="16"/>
      <c r="D1435" s="16"/>
      <c r="E1435" s="16"/>
      <c r="F1435" s="16"/>
      <c r="G1435" s="16"/>
      <c r="H1435" s="16"/>
      <c r="I1435" s="16"/>
      <c r="J1435" s="16"/>
      <c r="K1435" s="16"/>
      <c r="L1435" s="16"/>
      <c r="M1435" s="16"/>
    </row>
    <row r="1436" spans="1:13" x14ac:dyDescent="0.2">
      <c r="A1436" s="16"/>
      <c r="B1436" s="37"/>
      <c r="C1436" s="16"/>
      <c r="D1436" s="16"/>
      <c r="E1436" s="16"/>
      <c r="F1436" s="16"/>
      <c r="G1436" s="16"/>
      <c r="H1436" s="16"/>
      <c r="I1436" s="16"/>
      <c r="J1436" s="16"/>
      <c r="K1436" s="16"/>
      <c r="L1436" s="16"/>
      <c r="M1436" s="16"/>
    </row>
    <row r="1437" spans="1:13" x14ac:dyDescent="0.2">
      <c r="A1437" s="16"/>
      <c r="B1437" s="37"/>
      <c r="C1437" s="16"/>
      <c r="D1437" s="16"/>
      <c r="E1437" s="16"/>
      <c r="F1437" s="16"/>
      <c r="G1437" s="16"/>
      <c r="H1437" s="16"/>
      <c r="I1437" s="16"/>
      <c r="J1437" s="16"/>
      <c r="K1437" s="16"/>
      <c r="L1437" s="16"/>
      <c r="M1437" s="16"/>
    </row>
    <row r="1438" spans="1:13" x14ac:dyDescent="0.2">
      <c r="A1438" s="16"/>
      <c r="B1438" s="37"/>
      <c r="C1438" s="16"/>
      <c r="D1438" s="16"/>
      <c r="E1438" s="16"/>
      <c r="F1438" s="16"/>
      <c r="G1438" s="16"/>
      <c r="H1438" s="16"/>
      <c r="I1438" s="16"/>
      <c r="J1438" s="16"/>
      <c r="K1438" s="16"/>
      <c r="L1438" s="16"/>
      <c r="M1438" s="16"/>
    </row>
    <row r="1439" spans="1:13" x14ac:dyDescent="0.2">
      <c r="A1439" s="16"/>
      <c r="B1439" s="37"/>
      <c r="C1439" s="16"/>
      <c r="D1439" s="16"/>
      <c r="E1439" s="16"/>
      <c r="F1439" s="16"/>
      <c r="G1439" s="16"/>
      <c r="H1439" s="16"/>
      <c r="I1439" s="16"/>
      <c r="J1439" s="16"/>
      <c r="K1439" s="16"/>
      <c r="L1439" s="16"/>
      <c r="M1439" s="16"/>
    </row>
    <row r="1440" spans="1:13" x14ac:dyDescent="0.2">
      <c r="A1440" s="16"/>
      <c r="B1440" s="37"/>
      <c r="C1440" s="16"/>
      <c r="D1440" s="16"/>
      <c r="E1440" s="16"/>
      <c r="F1440" s="16"/>
      <c r="G1440" s="16"/>
      <c r="H1440" s="16"/>
      <c r="I1440" s="16"/>
      <c r="J1440" s="16"/>
      <c r="K1440" s="16"/>
      <c r="L1440" s="16"/>
      <c r="M1440" s="16"/>
    </row>
    <row r="1441" spans="1:13" x14ac:dyDescent="0.2">
      <c r="A1441" s="16"/>
      <c r="B1441" s="37"/>
      <c r="C1441" s="16"/>
      <c r="D1441" s="16"/>
      <c r="E1441" s="16"/>
      <c r="F1441" s="16"/>
      <c r="G1441" s="16"/>
      <c r="H1441" s="16"/>
      <c r="I1441" s="16"/>
      <c r="J1441" s="16"/>
      <c r="K1441" s="16"/>
      <c r="L1441" s="16"/>
      <c r="M1441" s="16"/>
    </row>
    <row r="1442" spans="1:13" x14ac:dyDescent="0.2">
      <c r="A1442" s="16"/>
      <c r="B1442" s="37"/>
      <c r="C1442" s="16"/>
      <c r="D1442" s="16"/>
      <c r="E1442" s="16"/>
      <c r="F1442" s="16"/>
      <c r="G1442" s="16"/>
      <c r="H1442" s="16"/>
      <c r="I1442" s="16"/>
      <c r="J1442" s="16"/>
      <c r="K1442" s="16"/>
      <c r="L1442" s="16"/>
      <c r="M1442" s="16"/>
    </row>
    <row r="1443" spans="1:13" x14ac:dyDescent="0.2">
      <c r="A1443" s="16"/>
      <c r="B1443" s="37"/>
      <c r="C1443" s="16"/>
      <c r="D1443" s="16"/>
      <c r="E1443" s="16"/>
      <c r="F1443" s="16"/>
      <c r="G1443" s="16"/>
      <c r="H1443" s="16"/>
      <c r="I1443" s="16"/>
      <c r="J1443" s="16"/>
      <c r="K1443" s="16"/>
      <c r="L1443" s="16"/>
      <c r="M1443" s="16"/>
    </row>
    <row r="1444" spans="1:13" x14ac:dyDescent="0.2">
      <c r="A1444" s="16"/>
      <c r="B1444" s="37"/>
      <c r="C1444" s="16"/>
      <c r="D1444" s="16"/>
      <c r="E1444" s="16"/>
      <c r="F1444" s="16"/>
      <c r="G1444" s="16"/>
      <c r="H1444" s="16"/>
      <c r="I1444" s="16"/>
      <c r="J1444" s="16"/>
      <c r="K1444" s="16"/>
      <c r="L1444" s="16"/>
      <c r="M1444" s="16"/>
    </row>
    <row r="1445" spans="1:13" x14ac:dyDescent="0.2">
      <c r="A1445" s="16"/>
      <c r="B1445" s="37"/>
      <c r="C1445" s="16"/>
      <c r="D1445" s="16"/>
      <c r="E1445" s="16"/>
      <c r="F1445" s="16"/>
      <c r="G1445" s="16"/>
      <c r="H1445" s="16"/>
      <c r="I1445" s="16"/>
      <c r="J1445" s="16"/>
      <c r="K1445" s="16"/>
      <c r="L1445" s="16"/>
      <c r="M1445" s="16"/>
    </row>
    <row r="1446" spans="1:13" x14ac:dyDescent="0.2">
      <c r="A1446" s="16"/>
      <c r="B1446" s="37"/>
      <c r="C1446" s="16"/>
      <c r="D1446" s="16"/>
      <c r="E1446" s="16"/>
      <c r="F1446" s="16"/>
      <c r="G1446" s="16"/>
      <c r="H1446" s="16"/>
      <c r="I1446" s="16"/>
      <c r="J1446" s="16"/>
      <c r="K1446" s="16"/>
      <c r="L1446" s="16"/>
      <c r="M1446" s="16"/>
    </row>
    <row r="1447" spans="1:13" x14ac:dyDescent="0.2">
      <c r="A1447" s="16"/>
      <c r="B1447" s="37"/>
      <c r="C1447" s="16"/>
      <c r="D1447" s="16"/>
      <c r="E1447" s="16"/>
      <c r="F1447" s="16"/>
      <c r="G1447" s="16"/>
      <c r="H1447" s="16"/>
      <c r="I1447" s="16"/>
      <c r="J1447" s="16"/>
      <c r="K1447" s="16"/>
      <c r="L1447" s="16"/>
      <c r="M1447" s="16"/>
    </row>
    <row r="1448" spans="1:13" x14ac:dyDescent="0.2">
      <c r="A1448" s="16"/>
      <c r="B1448" s="37"/>
      <c r="C1448" s="16"/>
      <c r="D1448" s="16"/>
      <c r="E1448" s="16"/>
      <c r="F1448" s="16"/>
      <c r="G1448" s="16"/>
      <c r="H1448" s="16"/>
      <c r="I1448" s="16"/>
      <c r="J1448" s="16"/>
      <c r="K1448" s="16"/>
      <c r="L1448" s="16"/>
      <c r="M1448" s="16"/>
    </row>
    <row r="1449" spans="1:13" x14ac:dyDescent="0.2">
      <c r="A1449" s="16"/>
      <c r="B1449" s="37"/>
      <c r="C1449" s="16"/>
      <c r="D1449" s="16"/>
      <c r="E1449" s="16"/>
      <c r="F1449" s="16"/>
      <c r="G1449" s="16"/>
      <c r="H1449" s="16"/>
      <c r="I1449" s="16"/>
      <c r="J1449" s="16"/>
      <c r="K1449" s="16"/>
      <c r="L1449" s="16"/>
      <c r="M1449" s="16"/>
    </row>
    <row r="1450" spans="1:13" x14ac:dyDescent="0.2">
      <c r="A1450" s="16"/>
      <c r="B1450" s="37"/>
      <c r="C1450" s="16"/>
      <c r="D1450" s="16"/>
      <c r="E1450" s="16"/>
      <c r="F1450" s="16"/>
      <c r="G1450" s="16"/>
      <c r="H1450" s="16"/>
      <c r="I1450" s="16"/>
      <c r="J1450" s="16"/>
      <c r="K1450" s="16"/>
      <c r="L1450" s="16"/>
      <c r="M1450" s="16"/>
    </row>
    <row r="1451" spans="1:13" x14ac:dyDescent="0.2">
      <c r="A1451" s="16"/>
      <c r="B1451" s="37"/>
      <c r="C1451" s="16"/>
      <c r="D1451" s="16"/>
      <c r="E1451" s="16"/>
      <c r="F1451" s="16"/>
      <c r="G1451" s="16"/>
      <c r="H1451" s="16"/>
      <c r="I1451" s="16"/>
      <c r="J1451" s="16"/>
      <c r="K1451" s="16"/>
      <c r="L1451" s="16"/>
      <c r="M1451" s="16"/>
    </row>
    <row r="1452" spans="1:13" x14ac:dyDescent="0.2">
      <c r="A1452" s="16"/>
      <c r="B1452" s="37"/>
      <c r="C1452" s="16"/>
      <c r="D1452" s="16"/>
      <c r="E1452" s="16"/>
      <c r="F1452" s="16"/>
      <c r="G1452" s="16"/>
      <c r="H1452" s="16"/>
      <c r="I1452" s="16"/>
      <c r="J1452" s="16"/>
      <c r="K1452" s="16"/>
      <c r="L1452" s="16"/>
      <c r="M1452" s="16"/>
    </row>
    <row r="1453" spans="1:13" x14ac:dyDescent="0.2">
      <c r="A1453" s="16"/>
      <c r="B1453" s="37"/>
      <c r="C1453" s="16"/>
      <c r="D1453" s="16"/>
      <c r="E1453" s="16"/>
      <c r="F1453" s="16"/>
      <c r="G1453" s="16"/>
      <c r="H1453" s="16"/>
      <c r="I1453" s="16"/>
      <c r="J1453" s="16"/>
      <c r="K1453" s="16"/>
      <c r="L1453" s="16"/>
      <c r="M1453" s="16"/>
    </row>
    <row r="1454" spans="1:13" x14ac:dyDescent="0.2">
      <c r="A1454" s="16"/>
      <c r="B1454" s="37"/>
      <c r="C1454" s="16"/>
      <c r="D1454" s="16"/>
      <c r="E1454" s="16"/>
      <c r="F1454" s="16"/>
      <c r="G1454" s="16"/>
      <c r="H1454" s="16"/>
      <c r="I1454" s="16"/>
      <c r="J1454" s="16"/>
      <c r="K1454" s="16"/>
      <c r="L1454" s="16"/>
      <c r="M1454" s="16"/>
    </row>
    <row r="1455" spans="1:13" x14ac:dyDescent="0.2">
      <c r="A1455" s="16"/>
      <c r="B1455" s="37"/>
      <c r="C1455" s="16"/>
      <c r="D1455" s="16"/>
      <c r="E1455" s="16"/>
      <c r="F1455" s="16"/>
      <c r="G1455" s="16"/>
      <c r="H1455" s="16"/>
      <c r="I1455" s="16"/>
      <c r="J1455" s="16"/>
      <c r="K1455" s="16"/>
      <c r="L1455" s="16"/>
      <c r="M1455" s="16"/>
    </row>
    <row r="1456" spans="1:13" x14ac:dyDescent="0.2">
      <c r="A1456" s="16"/>
      <c r="B1456" s="37"/>
      <c r="C1456" s="16"/>
      <c r="D1456" s="16"/>
      <c r="E1456" s="16"/>
      <c r="F1456" s="16"/>
      <c r="G1456" s="16"/>
      <c r="H1456" s="16"/>
      <c r="I1456" s="16"/>
      <c r="J1456" s="16"/>
      <c r="K1456" s="16"/>
      <c r="L1456" s="16"/>
      <c r="M1456" s="16"/>
    </row>
    <row r="1457" spans="1:13" x14ac:dyDescent="0.2">
      <c r="A1457" s="16"/>
      <c r="B1457" s="37"/>
      <c r="C1457" s="16"/>
      <c r="D1457" s="16"/>
      <c r="E1457" s="16"/>
      <c r="F1457" s="16"/>
      <c r="G1457" s="16"/>
      <c r="H1457" s="16"/>
      <c r="I1457" s="16"/>
      <c r="J1457" s="16"/>
      <c r="K1457" s="16"/>
      <c r="L1457" s="16"/>
      <c r="M1457" s="16"/>
    </row>
    <row r="1458" spans="1:13" x14ac:dyDescent="0.2">
      <c r="A1458" s="16"/>
      <c r="B1458" s="37"/>
      <c r="C1458" s="16"/>
      <c r="D1458" s="16"/>
      <c r="E1458" s="16"/>
      <c r="F1458" s="16"/>
      <c r="G1458" s="16"/>
      <c r="H1458" s="16"/>
      <c r="I1458" s="16"/>
      <c r="J1458" s="16"/>
      <c r="K1458" s="16"/>
      <c r="L1458" s="16"/>
      <c r="M1458" s="16"/>
    </row>
    <row r="1459" spans="1:13" x14ac:dyDescent="0.2">
      <c r="A1459" s="16"/>
      <c r="B1459" s="37"/>
      <c r="C1459" s="16"/>
      <c r="D1459" s="16"/>
      <c r="E1459" s="16"/>
      <c r="F1459" s="16"/>
      <c r="G1459" s="16"/>
      <c r="H1459" s="16"/>
      <c r="I1459" s="16"/>
      <c r="J1459" s="16"/>
      <c r="K1459" s="16"/>
      <c r="L1459" s="16"/>
      <c r="M1459" s="16"/>
    </row>
    <row r="1460" spans="1:13" x14ac:dyDescent="0.2">
      <c r="A1460" s="16"/>
      <c r="B1460" s="37"/>
      <c r="C1460" s="16"/>
      <c r="D1460" s="16"/>
      <c r="E1460" s="16"/>
      <c r="F1460" s="16"/>
      <c r="G1460" s="16"/>
      <c r="H1460" s="16"/>
      <c r="I1460" s="16"/>
      <c r="J1460" s="16"/>
      <c r="K1460" s="16"/>
      <c r="L1460" s="16"/>
      <c r="M1460" s="16"/>
    </row>
    <row r="1461" spans="1:13" x14ac:dyDescent="0.2">
      <c r="A1461" s="16"/>
      <c r="B1461" s="37"/>
      <c r="C1461" s="16"/>
      <c r="D1461" s="16"/>
      <c r="E1461" s="16"/>
      <c r="F1461" s="16"/>
      <c r="G1461" s="16"/>
      <c r="H1461" s="16"/>
      <c r="I1461" s="16"/>
      <c r="J1461" s="16"/>
      <c r="K1461" s="16"/>
      <c r="L1461" s="16"/>
      <c r="M1461" s="16"/>
    </row>
    <row r="1462" spans="1:13" x14ac:dyDescent="0.2">
      <c r="A1462" s="16"/>
      <c r="B1462" s="37"/>
      <c r="C1462" s="16"/>
      <c r="D1462" s="16"/>
      <c r="E1462" s="16"/>
      <c r="F1462" s="16"/>
      <c r="G1462" s="16"/>
      <c r="H1462" s="16"/>
      <c r="I1462" s="16"/>
      <c r="J1462" s="16"/>
      <c r="K1462" s="16"/>
      <c r="L1462" s="16"/>
      <c r="M1462" s="16"/>
    </row>
    <row r="1463" spans="1:13" x14ac:dyDescent="0.2">
      <c r="A1463" s="16"/>
      <c r="B1463" s="37"/>
      <c r="C1463" s="16"/>
      <c r="D1463" s="16"/>
      <c r="E1463" s="16"/>
      <c r="F1463" s="16"/>
      <c r="G1463" s="16"/>
      <c r="H1463" s="16"/>
      <c r="I1463" s="16"/>
      <c r="J1463" s="16"/>
      <c r="K1463" s="16"/>
      <c r="L1463" s="16"/>
      <c r="M1463" s="16"/>
    </row>
    <row r="1464" spans="1:13" x14ac:dyDescent="0.2">
      <c r="A1464" s="16"/>
      <c r="B1464" s="37"/>
      <c r="C1464" s="16"/>
      <c r="D1464" s="16"/>
      <c r="E1464" s="16"/>
      <c r="F1464" s="16"/>
      <c r="G1464" s="16"/>
      <c r="H1464" s="16"/>
      <c r="I1464" s="16"/>
      <c r="J1464" s="16"/>
      <c r="K1464" s="16"/>
      <c r="L1464" s="16"/>
      <c r="M1464" s="16"/>
    </row>
    <row r="1465" spans="1:13" x14ac:dyDescent="0.2">
      <c r="A1465" s="16"/>
      <c r="B1465" s="37"/>
      <c r="C1465" s="16"/>
      <c r="D1465" s="16"/>
      <c r="E1465" s="16"/>
      <c r="F1465" s="16"/>
      <c r="G1465" s="16"/>
      <c r="H1465" s="16"/>
      <c r="I1465" s="16"/>
      <c r="J1465" s="16"/>
      <c r="K1465" s="16"/>
      <c r="L1465" s="16"/>
      <c r="M1465" s="16"/>
    </row>
    <row r="1466" spans="1:13" x14ac:dyDescent="0.2">
      <c r="A1466" s="16"/>
      <c r="B1466" s="37"/>
      <c r="C1466" s="16"/>
      <c r="D1466" s="16"/>
      <c r="E1466" s="16"/>
      <c r="F1466" s="16"/>
      <c r="G1466" s="16"/>
      <c r="H1466" s="16"/>
      <c r="I1466" s="16"/>
      <c r="J1466" s="16"/>
      <c r="K1466" s="16"/>
      <c r="L1466" s="16"/>
      <c r="M1466" s="16"/>
    </row>
    <row r="1467" spans="1:13" x14ac:dyDescent="0.2">
      <c r="A1467" s="16"/>
      <c r="B1467" s="37"/>
      <c r="C1467" s="16"/>
      <c r="D1467" s="16"/>
      <c r="E1467" s="16"/>
      <c r="F1467" s="16"/>
      <c r="G1467" s="16"/>
      <c r="H1467" s="16"/>
      <c r="I1467" s="16"/>
      <c r="J1467" s="16"/>
      <c r="K1467" s="16"/>
      <c r="L1467" s="16"/>
      <c r="M1467" s="16"/>
    </row>
    <row r="1468" spans="1:13" x14ac:dyDescent="0.2">
      <c r="A1468" s="16"/>
      <c r="B1468" s="37"/>
      <c r="C1468" s="16"/>
      <c r="D1468" s="16"/>
      <c r="E1468" s="16"/>
      <c r="F1468" s="16"/>
      <c r="G1468" s="16"/>
      <c r="H1468" s="16"/>
      <c r="I1468" s="16"/>
      <c r="J1468" s="16"/>
      <c r="K1468" s="16"/>
      <c r="L1468" s="16"/>
      <c r="M1468" s="16"/>
    </row>
    <row r="1469" spans="1:13" x14ac:dyDescent="0.2">
      <c r="A1469" s="16"/>
      <c r="B1469" s="37"/>
      <c r="C1469" s="16"/>
      <c r="D1469" s="16"/>
      <c r="E1469" s="16"/>
      <c r="F1469" s="16"/>
      <c r="G1469" s="16"/>
      <c r="H1469" s="16"/>
      <c r="I1469" s="16"/>
      <c r="J1469" s="16"/>
      <c r="K1469" s="16"/>
      <c r="L1469" s="16"/>
      <c r="M1469" s="16"/>
    </row>
    <row r="1470" spans="1:13" x14ac:dyDescent="0.2">
      <c r="A1470" s="16"/>
      <c r="B1470" s="37"/>
      <c r="C1470" s="16"/>
      <c r="D1470" s="16"/>
      <c r="E1470" s="16"/>
      <c r="F1470" s="16"/>
      <c r="G1470" s="16"/>
      <c r="H1470" s="16"/>
      <c r="I1470" s="16"/>
      <c r="J1470" s="16"/>
      <c r="K1470" s="16"/>
      <c r="L1470" s="16"/>
      <c r="M1470" s="16"/>
    </row>
    <row r="1471" spans="1:13" x14ac:dyDescent="0.2">
      <c r="A1471" s="16"/>
      <c r="B1471" s="37"/>
      <c r="C1471" s="16"/>
      <c r="D1471" s="16"/>
      <c r="E1471" s="16"/>
      <c r="F1471" s="16"/>
      <c r="G1471" s="16"/>
      <c r="H1471" s="16"/>
      <c r="I1471" s="16"/>
      <c r="J1471" s="16"/>
      <c r="K1471" s="16"/>
      <c r="L1471" s="16"/>
      <c r="M1471" s="16"/>
    </row>
    <row r="1472" spans="1:13" x14ac:dyDescent="0.2">
      <c r="A1472" s="16"/>
      <c r="B1472" s="37"/>
      <c r="C1472" s="16"/>
      <c r="D1472" s="16"/>
      <c r="E1472" s="16"/>
      <c r="F1472" s="16"/>
      <c r="G1472" s="16"/>
      <c r="H1472" s="16"/>
      <c r="I1472" s="16"/>
      <c r="J1472" s="16"/>
      <c r="K1472" s="16"/>
      <c r="L1472" s="16"/>
      <c r="M1472" s="16"/>
    </row>
    <row r="1473" spans="1:13" x14ac:dyDescent="0.2">
      <c r="A1473" s="16"/>
      <c r="B1473" s="37"/>
      <c r="C1473" s="16"/>
      <c r="D1473" s="16"/>
      <c r="E1473" s="16"/>
      <c r="F1473" s="16"/>
      <c r="G1473" s="16"/>
      <c r="H1473" s="16"/>
      <c r="I1473" s="16"/>
      <c r="J1473" s="16"/>
      <c r="K1473" s="16"/>
      <c r="L1473" s="16"/>
      <c r="M1473" s="16"/>
    </row>
    <row r="1474" spans="1:13" x14ac:dyDescent="0.2">
      <c r="A1474" s="16"/>
      <c r="B1474" s="37"/>
      <c r="C1474" s="16"/>
      <c r="D1474" s="16"/>
      <c r="E1474" s="16"/>
      <c r="F1474" s="16"/>
      <c r="G1474" s="16"/>
      <c r="H1474" s="16"/>
      <c r="I1474" s="16"/>
      <c r="J1474" s="16"/>
      <c r="K1474" s="16"/>
      <c r="L1474" s="16"/>
      <c r="M1474" s="16"/>
    </row>
    <row r="1475" spans="1:13" x14ac:dyDescent="0.2">
      <c r="A1475" s="16"/>
      <c r="B1475" s="37"/>
      <c r="C1475" s="16"/>
      <c r="D1475" s="16"/>
      <c r="E1475" s="16"/>
      <c r="F1475" s="16"/>
      <c r="G1475" s="16"/>
      <c r="H1475" s="16"/>
      <c r="I1475" s="16"/>
      <c r="J1475" s="16"/>
      <c r="K1475" s="16"/>
      <c r="L1475" s="16"/>
      <c r="M1475" s="16"/>
    </row>
    <row r="1476" spans="1:13" x14ac:dyDescent="0.2">
      <c r="A1476" s="16"/>
      <c r="B1476" s="37"/>
      <c r="C1476" s="16"/>
      <c r="D1476" s="16"/>
      <c r="E1476" s="16"/>
      <c r="F1476" s="16"/>
      <c r="G1476" s="16"/>
      <c r="H1476" s="16"/>
      <c r="I1476" s="16"/>
      <c r="J1476" s="16"/>
      <c r="K1476" s="16"/>
      <c r="L1476" s="16"/>
      <c r="M1476" s="16"/>
    </row>
    <row r="1477" spans="1:13" x14ac:dyDescent="0.2">
      <c r="A1477" s="16"/>
      <c r="B1477" s="37"/>
      <c r="C1477" s="16"/>
      <c r="D1477" s="16"/>
      <c r="E1477" s="16"/>
      <c r="F1477" s="16"/>
      <c r="G1477" s="16"/>
      <c r="H1477" s="16"/>
      <c r="I1477" s="16"/>
      <c r="J1477" s="16"/>
      <c r="K1477" s="16"/>
      <c r="L1477" s="16"/>
      <c r="M1477" s="16"/>
    </row>
    <row r="1478" spans="1:13" x14ac:dyDescent="0.2">
      <c r="A1478" s="16"/>
      <c r="B1478" s="37"/>
      <c r="C1478" s="16"/>
      <c r="D1478" s="16"/>
      <c r="E1478" s="16"/>
      <c r="F1478" s="16"/>
      <c r="G1478" s="16"/>
      <c r="H1478" s="16"/>
      <c r="I1478" s="16"/>
      <c r="J1478" s="16"/>
      <c r="K1478" s="16"/>
      <c r="L1478" s="16"/>
      <c r="M1478" s="16"/>
    </row>
    <row r="1479" spans="1:13" x14ac:dyDescent="0.2">
      <c r="A1479" s="16"/>
      <c r="B1479" s="37"/>
      <c r="C1479" s="16"/>
      <c r="D1479" s="16"/>
      <c r="E1479" s="16"/>
      <c r="F1479" s="16"/>
      <c r="G1479" s="16"/>
      <c r="H1479" s="16"/>
      <c r="I1479" s="16"/>
      <c r="J1479" s="16"/>
      <c r="K1479" s="16"/>
      <c r="L1479" s="16"/>
      <c r="M1479" s="16"/>
    </row>
    <row r="1480" spans="1:13" x14ac:dyDescent="0.2">
      <c r="A1480" s="16"/>
      <c r="B1480" s="37"/>
      <c r="C1480" s="16"/>
      <c r="D1480" s="16"/>
      <c r="E1480" s="16"/>
      <c r="F1480" s="16"/>
      <c r="G1480" s="16"/>
      <c r="H1480" s="16"/>
      <c r="I1480" s="16"/>
      <c r="J1480" s="16"/>
      <c r="K1480" s="16"/>
      <c r="L1480" s="16"/>
      <c r="M1480" s="16"/>
    </row>
    <row r="1481" spans="1:13" x14ac:dyDescent="0.2">
      <c r="A1481" s="16"/>
      <c r="B1481" s="37"/>
      <c r="C1481" s="16"/>
      <c r="D1481" s="16"/>
      <c r="E1481" s="16"/>
      <c r="F1481" s="16"/>
      <c r="G1481" s="16"/>
      <c r="H1481" s="16"/>
      <c r="I1481" s="16"/>
      <c r="J1481" s="16"/>
      <c r="K1481" s="16"/>
      <c r="L1481" s="16"/>
      <c r="M1481" s="16"/>
    </row>
    <row r="1482" spans="1:13" x14ac:dyDescent="0.2">
      <c r="A1482" s="16"/>
      <c r="B1482" s="37"/>
      <c r="C1482" s="16"/>
      <c r="D1482" s="16"/>
      <c r="E1482" s="16"/>
      <c r="F1482" s="16"/>
      <c r="G1482" s="16"/>
      <c r="H1482" s="16"/>
      <c r="I1482" s="16"/>
      <c r="J1482" s="16"/>
      <c r="K1482" s="16"/>
      <c r="L1482" s="16"/>
      <c r="M1482" s="16"/>
    </row>
    <row r="1483" spans="1:13" x14ac:dyDescent="0.2">
      <c r="A1483" s="16"/>
      <c r="B1483" s="37"/>
      <c r="C1483" s="16"/>
      <c r="D1483" s="16"/>
      <c r="E1483" s="16"/>
      <c r="F1483" s="16"/>
      <c r="G1483" s="16"/>
      <c r="H1483" s="16"/>
      <c r="I1483" s="16"/>
      <c r="J1483" s="16"/>
      <c r="K1483" s="16"/>
      <c r="L1483" s="16"/>
      <c r="M1483" s="16"/>
    </row>
    <row r="1484" spans="1:13" x14ac:dyDescent="0.2">
      <c r="A1484" s="16"/>
      <c r="B1484" s="37"/>
      <c r="C1484" s="16"/>
      <c r="D1484" s="16"/>
      <c r="E1484" s="16"/>
      <c r="F1484" s="16"/>
      <c r="G1484" s="16"/>
      <c r="H1484" s="16"/>
      <c r="I1484" s="16"/>
      <c r="J1484" s="16"/>
      <c r="K1484" s="16"/>
      <c r="L1484" s="16"/>
      <c r="M1484" s="16"/>
    </row>
    <row r="1485" spans="1:13" x14ac:dyDescent="0.2">
      <c r="A1485" s="16"/>
      <c r="B1485" s="37"/>
      <c r="C1485" s="16"/>
      <c r="D1485" s="16"/>
      <c r="E1485" s="16"/>
      <c r="F1485" s="16"/>
      <c r="G1485" s="16"/>
      <c r="H1485" s="16"/>
      <c r="I1485" s="16"/>
      <c r="J1485" s="16"/>
      <c r="K1485" s="16"/>
      <c r="L1485" s="16"/>
      <c r="M1485" s="16"/>
    </row>
    <row r="1486" spans="1:13" x14ac:dyDescent="0.2">
      <c r="A1486" s="16"/>
      <c r="B1486" s="37"/>
      <c r="C1486" s="16"/>
      <c r="D1486" s="16"/>
      <c r="E1486" s="16"/>
      <c r="F1486" s="16"/>
      <c r="G1486" s="16"/>
      <c r="H1486" s="16"/>
      <c r="I1486" s="16"/>
      <c r="J1486" s="16"/>
      <c r="K1486" s="16"/>
      <c r="L1486" s="16"/>
      <c r="M1486" s="16"/>
    </row>
    <row r="1487" spans="1:13" x14ac:dyDescent="0.2">
      <c r="A1487" s="16"/>
      <c r="B1487" s="37"/>
      <c r="C1487" s="16"/>
      <c r="D1487" s="16"/>
      <c r="E1487" s="16"/>
      <c r="F1487" s="16"/>
      <c r="G1487" s="16"/>
      <c r="H1487" s="16"/>
      <c r="I1487" s="16"/>
      <c r="J1487" s="16"/>
      <c r="K1487" s="16"/>
      <c r="L1487" s="16"/>
      <c r="M1487" s="16"/>
    </row>
    <row r="1488" spans="1:13" x14ac:dyDescent="0.2">
      <c r="A1488" s="16"/>
      <c r="B1488" s="37"/>
      <c r="C1488" s="16"/>
      <c r="D1488" s="16"/>
      <c r="E1488" s="16"/>
      <c r="F1488" s="16"/>
      <c r="G1488" s="16"/>
      <c r="H1488" s="16"/>
      <c r="I1488" s="16"/>
      <c r="J1488" s="16"/>
      <c r="K1488" s="16"/>
      <c r="L1488" s="16"/>
      <c r="M1488" s="16"/>
    </row>
    <row r="1489" spans="1:13" x14ac:dyDescent="0.2">
      <c r="A1489" s="16"/>
      <c r="B1489" s="37"/>
      <c r="C1489" s="16"/>
      <c r="D1489" s="16"/>
      <c r="E1489" s="16"/>
      <c r="F1489" s="16"/>
      <c r="G1489" s="16"/>
      <c r="H1489" s="16"/>
      <c r="I1489" s="16"/>
      <c r="J1489" s="16"/>
      <c r="K1489" s="16"/>
      <c r="L1489" s="16"/>
      <c r="M1489" s="16"/>
    </row>
    <row r="1490" spans="1:13" x14ac:dyDescent="0.2">
      <c r="A1490" s="16"/>
      <c r="B1490" s="37"/>
      <c r="C1490" s="16"/>
      <c r="D1490" s="16"/>
      <c r="E1490" s="16"/>
      <c r="F1490" s="16"/>
      <c r="G1490" s="16"/>
      <c r="H1490" s="16"/>
      <c r="I1490" s="16"/>
      <c r="J1490" s="16"/>
      <c r="K1490" s="16"/>
      <c r="L1490" s="16"/>
      <c r="M1490" s="16"/>
    </row>
    <row r="1491" spans="1:13" x14ac:dyDescent="0.2">
      <c r="A1491" s="16"/>
      <c r="B1491" s="37"/>
      <c r="C1491" s="16"/>
      <c r="D1491" s="16"/>
      <c r="E1491" s="16"/>
      <c r="F1491" s="16"/>
      <c r="G1491" s="16"/>
      <c r="H1491" s="16"/>
      <c r="I1491" s="16"/>
      <c r="J1491" s="16"/>
      <c r="K1491" s="16"/>
      <c r="L1491" s="16"/>
      <c r="M1491" s="16"/>
    </row>
    <row r="1492" spans="1:13" x14ac:dyDescent="0.2">
      <c r="A1492" s="16"/>
      <c r="B1492" s="37"/>
      <c r="C1492" s="16"/>
      <c r="D1492" s="16"/>
      <c r="E1492" s="16"/>
      <c r="F1492" s="16"/>
      <c r="G1492" s="16"/>
      <c r="H1492" s="16"/>
      <c r="I1492" s="16"/>
      <c r="J1492" s="16"/>
      <c r="K1492" s="16"/>
      <c r="L1492" s="16"/>
      <c r="M1492" s="16"/>
    </row>
    <row r="1493" spans="1:13" x14ac:dyDescent="0.2">
      <c r="A1493" s="16"/>
      <c r="B1493" s="37"/>
      <c r="C1493" s="16"/>
      <c r="D1493" s="16"/>
      <c r="E1493" s="16"/>
      <c r="F1493" s="16"/>
      <c r="G1493" s="16"/>
      <c r="H1493" s="16"/>
      <c r="I1493" s="16"/>
      <c r="J1493" s="16"/>
      <c r="K1493" s="16"/>
      <c r="L1493" s="16"/>
      <c r="M1493" s="16"/>
    </row>
    <row r="1494" spans="1:13" x14ac:dyDescent="0.2">
      <c r="A1494" s="16"/>
      <c r="B1494" s="37"/>
      <c r="C1494" s="16"/>
      <c r="D1494" s="16"/>
      <c r="E1494" s="16"/>
      <c r="F1494" s="16"/>
      <c r="G1494" s="16"/>
      <c r="H1494" s="16"/>
      <c r="I1494" s="16"/>
      <c r="J1494" s="16"/>
      <c r="K1494" s="16"/>
      <c r="L1494" s="16"/>
      <c r="M1494" s="16"/>
    </row>
    <row r="1495" spans="1:13" x14ac:dyDescent="0.2">
      <c r="A1495" s="16"/>
      <c r="B1495" s="37"/>
      <c r="C1495" s="16"/>
      <c r="D1495" s="16"/>
      <c r="E1495" s="16"/>
      <c r="F1495" s="16"/>
      <c r="G1495" s="16"/>
      <c r="H1495" s="16"/>
      <c r="I1495" s="16"/>
      <c r="J1495" s="16"/>
      <c r="K1495" s="16"/>
      <c r="L1495" s="16"/>
      <c r="M1495" s="16"/>
    </row>
    <row r="1496" spans="1:13" x14ac:dyDescent="0.2">
      <c r="A1496" s="16"/>
      <c r="B1496" s="37"/>
      <c r="C1496" s="16"/>
      <c r="D1496" s="16"/>
      <c r="E1496" s="16"/>
      <c r="F1496" s="16"/>
      <c r="G1496" s="16"/>
      <c r="H1496" s="16"/>
      <c r="I1496" s="16"/>
      <c r="J1496" s="16"/>
      <c r="K1496" s="16"/>
      <c r="L1496" s="16"/>
      <c r="M1496" s="16"/>
    </row>
    <row r="1497" spans="1:13" x14ac:dyDescent="0.2">
      <c r="A1497" s="16"/>
      <c r="B1497" s="37"/>
      <c r="C1497" s="16"/>
      <c r="D1497" s="16"/>
      <c r="E1497" s="16"/>
      <c r="F1497" s="16"/>
      <c r="G1497" s="16"/>
      <c r="H1497" s="16"/>
      <c r="I1497" s="16"/>
      <c r="J1497" s="16"/>
      <c r="K1497" s="16"/>
      <c r="L1497" s="16"/>
      <c r="M1497" s="16"/>
    </row>
    <row r="1498" spans="1:13" x14ac:dyDescent="0.2">
      <c r="A1498" s="16"/>
      <c r="B1498" s="37"/>
      <c r="C1498" s="16"/>
      <c r="D1498" s="16"/>
      <c r="E1498" s="16"/>
      <c r="F1498" s="16"/>
      <c r="G1498" s="16"/>
      <c r="H1498" s="16"/>
      <c r="I1498" s="16"/>
      <c r="J1498" s="16"/>
      <c r="K1498" s="16"/>
      <c r="L1498" s="16"/>
      <c r="M1498" s="16"/>
    </row>
    <row r="1499" spans="1:13" x14ac:dyDescent="0.2">
      <c r="A1499" s="16"/>
      <c r="B1499" s="37"/>
      <c r="C1499" s="16"/>
      <c r="D1499" s="16"/>
      <c r="E1499" s="16"/>
      <c r="F1499" s="16"/>
      <c r="G1499" s="16"/>
      <c r="H1499" s="16"/>
      <c r="I1499" s="16"/>
      <c r="J1499" s="16"/>
      <c r="K1499" s="16"/>
      <c r="L1499" s="16"/>
      <c r="M1499" s="16"/>
    </row>
    <row r="1500" spans="1:13" x14ac:dyDescent="0.2">
      <c r="A1500" s="16"/>
      <c r="B1500" s="37"/>
      <c r="C1500" s="16"/>
      <c r="D1500" s="16"/>
      <c r="E1500" s="16"/>
      <c r="F1500" s="16"/>
      <c r="G1500" s="16"/>
      <c r="H1500" s="16"/>
      <c r="I1500" s="16"/>
      <c r="J1500" s="16"/>
      <c r="K1500" s="16"/>
      <c r="L1500" s="16"/>
      <c r="M1500" s="16"/>
    </row>
    <row r="1501" spans="1:13" x14ac:dyDescent="0.2">
      <c r="A1501" s="16"/>
      <c r="B1501" s="37"/>
      <c r="C1501" s="16"/>
      <c r="D1501" s="16"/>
      <c r="E1501" s="16"/>
      <c r="F1501" s="16"/>
      <c r="G1501" s="16"/>
      <c r="H1501" s="16"/>
      <c r="I1501" s="16"/>
      <c r="J1501" s="16"/>
      <c r="K1501" s="16"/>
      <c r="L1501" s="16"/>
      <c r="M1501" s="16"/>
    </row>
    <row r="1502" spans="1:13" x14ac:dyDescent="0.2">
      <c r="A1502" s="16"/>
      <c r="B1502" s="37"/>
      <c r="C1502" s="16"/>
      <c r="D1502" s="16"/>
      <c r="E1502" s="16"/>
      <c r="F1502" s="16"/>
      <c r="G1502" s="16"/>
      <c r="H1502" s="16"/>
      <c r="I1502" s="16"/>
      <c r="J1502" s="16"/>
      <c r="K1502" s="16"/>
      <c r="L1502" s="16"/>
      <c r="M1502" s="16"/>
    </row>
    <row r="1503" spans="1:13" x14ac:dyDescent="0.2">
      <c r="A1503" s="16"/>
      <c r="B1503" s="37"/>
      <c r="C1503" s="16"/>
      <c r="D1503" s="16"/>
      <c r="E1503" s="16"/>
      <c r="F1503" s="16"/>
      <c r="G1503" s="16"/>
      <c r="H1503" s="16"/>
      <c r="I1503" s="16"/>
      <c r="J1503" s="16"/>
      <c r="K1503" s="16"/>
      <c r="L1503" s="16"/>
      <c r="M1503" s="16"/>
    </row>
    <row r="1504" spans="1:13" x14ac:dyDescent="0.2">
      <c r="A1504" s="16"/>
      <c r="B1504" s="37"/>
      <c r="C1504" s="16"/>
      <c r="D1504" s="16"/>
      <c r="E1504" s="16"/>
      <c r="F1504" s="16"/>
      <c r="G1504" s="16"/>
      <c r="H1504" s="16"/>
      <c r="I1504" s="16"/>
      <c r="J1504" s="16"/>
      <c r="K1504" s="16"/>
      <c r="L1504" s="16"/>
      <c r="M1504" s="16"/>
    </row>
    <row r="1505" spans="1:13" x14ac:dyDescent="0.2">
      <c r="A1505" s="16"/>
      <c r="B1505" s="37"/>
      <c r="C1505" s="16"/>
      <c r="D1505" s="16"/>
      <c r="E1505" s="16"/>
      <c r="F1505" s="16"/>
      <c r="G1505" s="16"/>
      <c r="H1505" s="16"/>
      <c r="I1505" s="16"/>
      <c r="J1505" s="16"/>
      <c r="K1505" s="16"/>
      <c r="L1505" s="16"/>
      <c r="M1505" s="16"/>
    </row>
    <row r="1506" spans="1:13" x14ac:dyDescent="0.2">
      <c r="A1506" s="16"/>
      <c r="B1506" s="37"/>
      <c r="C1506" s="16"/>
      <c r="D1506" s="16"/>
      <c r="E1506" s="16"/>
      <c r="F1506" s="16"/>
      <c r="G1506" s="16"/>
      <c r="H1506" s="16"/>
      <c r="I1506" s="16"/>
      <c r="J1506" s="16"/>
      <c r="K1506" s="16"/>
      <c r="L1506" s="16"/>
      <c r="M1506" s="16"/>
    </row>
    <row r="1507" spans="1:13" x14ac:dyDescent="0.2">
      <c r="A1507" s="16"/>
      <c r="B1507" s="37"/>
      <c r="C1507" s="16"/>
      <c r="D1507" s="16"/>
      <c r="E1507" s="16"/>
      <c r="F1507" s="16"/>
      <c r="G1507" s="16"/>
      <c r="H1507" s="16"/>
      <c r="I1507" s="16"/>
      <c r="J1507" s="16"/>
      <c r="K1507" s="16"/>
      <c r="L1507" s="16"/>
      <c r="M1507" s="16"/>
    </row>
    <row r="1508" spans="1:13" x14ac:dyDescent="0.2">
      <c r="A1508" s="16"/>
      <c r="B1508" s="37"/>
      <c r="C1508" s="16"/>
      <c r="D1508" s="16"/>
      <c r="E1508" s="16"/>
      <c r="F1508" s="16"/>
      <c r="G1508" s="16"/>
      <c r="H1508" s="16"/>
      <c r="I1508" s="16"/>
      <c r="J1508" s="16"/>
      <c r="K1508" s="16"/>
      <c r="L1508" s="16"/>
      <c r="M1508" s="16"/>
    </row>
    <row r="1509" spans="1:13" x14ac:dyDescent="0.2">
      <c r="A1509" s="16"/>
      <c r="B1509" s="37"/>
      <c r="C1509" s="16"/>
      <c r="D1509" s="16"/>
      <c r="E1509" s="16"/>
      <c r="F1509" s="16"/>
      <c r="G1509" s="16"/>
      <c r="H1509" s="16"/>
      <c r="I1509" s="16"/>
      <c r="J1509" s="16"/>
      <c r="K1509" s="16"/>
      <c r="L1509" s="16"/>
      <c r="M1509" s="16"/>
    </row>
    <row r="1510" spans="1:13" x14ac:dyDescent="0.2">
      <c r="A1510" s="16"/>
      <c r="B1510" s="37"/>
      <c r="C1510" s="16"/>
      <c r="D1510" s="16"/>
      <c r="E1510" s="16"/>
      <c r="F1510" s="16"/>
      <c r="G1510" s="16"/>
      <c r="H1510" s="16"/>
      <c r="I1510" s="16"/>
      <c r="J1510" s="16"/>
      <c r="K1510" s="16"/>
      <c r="L1510" s="16"/>
      <c r="M1510" s="16"/>
    </row>
    <row r="1511" spans="1:13" x14ac:dyDescent="0.2">
      <c r="A1511" s="16"/>
      <c r="B1511" s="37"/>
      <c r="C1511" s="16"/>
      <c r="D1511" s="16"/>
      <c r="E1511" s="16"/>
      <c r="F1511" s="16"/>
      <c r="G1511" s="16"/>
      <c r="H1511" s="16"/>
      <c r="I1511" s="16"/>
      <c r="J1511" s="16"/>
      <c r="K1511" s="16"/>
      <c r="L1511" s="16"/>
      <c r="M1511" s="16"/>
    </row>
    <row r="1512" spans="1:13" x14ac:dyDescent="0.2">
      <c r="A1512" s="16"/>
      <c r="B1512" s="37"/>
      <c r="C1512" s="16"/>
      <c r="D1512" s="16"/>
      <c r="E1512" s="16"/>
      <c r="F1512" s="16"/>
      <c r="G1512" s="16"/>
      <c r="H1512" s="16"/>
      <c r="I1512" s="16"/>
      <c r="J1512" s="16"/>
      <c r="K1512" s="16"/>
      <c r="L1512" s="16"/>
      <c r="M1512" s="16"/>
    </row>
    <row r="1513" spans="1:13" x14ac:dyDescent="0.2">
      <c r="A1513" s="16"/>
      <c r="B1513" s="37"/>
      <c r="C1513" s="16"/>
      <c r="D1513" s="16"/>
      <c r="E1513" s="16"/>
      <c r="F1513" s="16"/>
      <c r="G1513" s="16"/>
      <c r="H1513" s="16"/>
      <c r="I1513" s="16"/>
      <c r="J1513" s="16"/>
      <c r="K1513" s="16"/>
      <c r="L1513" s="16"/>
      <c r="M1513" s="16"/>
    </row>
    <row r="1514" spans="1:13" x14ac:dyDescent="0.2">
      <c r="A1514" s="16"/>
      <c r="B1514" s="37"/>
      <c r="C1514" s="16"/>
      <c r="D1514" s="16"/>
      <c r="E1514" s="16"/>
      <c r="F1514" s="16"/>
      <c r="G1514" s="16"/>
      <c r="H1514" s="16"/>
      <c r="I1514" s="16"/>
      <c r="J1514" s="16"/>
      <c r="K1514" s="16"/>
      <c r="L1514" s="16"/>
      <c r="M1514" s="16"/>
    </row>
    <row r="1515" spans="1:13" x14ac:dyDescent="0.2">
      <c r="A1515" s="16"/>
      <c r="B1515" s="37"/>
      <c r="C1515" s="16"/>
      <c r="D1515" s="16"/>
      <c r="E1515" s="16"/>
      <c r="F1515" s="16"/>
      <c r="G1515" s="16"/>
      <c r="H1515" s="16"/>
      <c r="I1515" s="16"/>
      <c r="J1515" s="16"/>
      <c r="K1515" s="16"/>
      <c r="L1515" s="16"/>
      <c r="M1515" s="16"/>
    </row>
    <row r="1516" spans="1:13" x14ac:dyDescent="0.2">
      <c r="A1516" s="16"/>
      <c r="B1516" s="37"/>
      <c r="C1516" s="16"/>
      <c r="D1516" s="16"/>
      <c r="E1516" s="16"/>
      <c r="F1516" s="16"/>
      <c r="G1516" s="16"/>
      <c r="H1516" s="16"/>
      <c r="I1516" s="16"/>
      <c r="J1516" s="16"/>
      <c r="K1516" s="16"/>
      <c r="L1516" s="16"/>
      <c r="M1516" s="16"/>
    </row>
    <row r="1517" spans="1:13" x14ac:dyDescent="0.2">
      <c r="A1517" s="16"/>
      <c r="B1517" s="37"/>
      <c r="C1517" s="16"/>
      <c r="D1517" s="16"/>
      <c r="E1517" s="16"/>
      <c r="F1517" s="16"/>
      <c r="G1517" s="16"/>
      <c r="H1517" s="16"/>
      <c r="I1517" s="16"/>
      <c r="J1517" s="16"/>
      <c r="K1517" s="16"/>
      <c r="L1517" s="16"/>
      <c r="M1517" s="16"/>
    </row>
    <row r="1518" spans="1:13" x14ac:dyDescent="0.2">
      <c r="A1518" s="16"/>
      <c r="B1518" s="37"/>
      <c r="C1518" s="16"/>
      <c r="D1518" s="16"/>
      <c r="E1518" s="16"/>
      <c r="F1518" s="16"/>
      <c r="G1518" s="16"/>
      <c r="H1518" s="16"/>
      <c r="I1518" s="16"/>
      <c r="J1518" s="16"/>
      <c r="K1518" s="16"/>
      <c r="L1518" s="16"/>
      <c r="M1518" s="16"/>
    </row>
    <row r="1519" spans="1:13" x14ac:dyDescent="0.2">
      <c r="A1519" s="16"/>
      <c r="B1519" s="37"/>
      <c r="C1519" s="16"/>
      <c r="D1519" s="16"/>
      <c r="E1519" s="16"/>
      <c r="F1519" s="16"/>
      <c r="G1519" s="16"/>
      <c r="H1519" s="16"/>
      <c r="I1519" s="16"/>
      <c r="J1519" s="16"/>
      <c r="K1519" s="16"/>
      <c r="L1519" s="16"/>
      <c r="M1519" s="16"/>
    </row>
    <row r="1520" spans="1:13" x14ac:dyDescent="0.2">
      <c r="A1520" s="16"/>
      <c r="B1520" s="37"/>
      <c r="C1520" s="16"/>
      <c r="D1520" s="16"/>
      <c r="E1520" s="16"/>
      <c r="F1520" s="16"/>
      <c r="G1520" s="16"/>
      <c r="H1520" s="16"/>
      <c r="I1520" s="16"/>
      <c r="J1520" s="16"/>
      <c r="K1520" s="16"/>
      <c r="L1520" s="16"/>
      <c r="M1520" s="16"/>
    </row>
    <row r="1521" spans="1:13" x14ac:dyDescent="0.2">
      <c r="A1521" s="16"/>
      <c r="B1521" s="37"/>
      <c r="C1521" s="16"/>
      <c r="D1521" s="16"/>
      <c r="E1521" s="16"/>
      <c r="F1521" s="16"/>
      <c r="G1521" s="16"/>
      <c r="H1521" s="16"/>
      <c r="I1521" s="16"/>
      <c r="J1521" s="16"/>
      <c r="K1521" s="16"/>
      <c r="L1521" s="16"/>
      <c r="M1521" s="16"/>
    </row>
    <row r="1522" spans="1:13" x14ac:dyDescent="0.2">
      <c r="A1522" s="16"/>
      <c r="B1522" s="37"/>
      <c r="C1522" s="16"/>
      <c r="D1522" s="16"/>
      <c r="E1522" s="16"/>
      <c r="F1522" s="16"/>
      <c r="G1522" s="16"/>
      <c r="H1522" s="16"/>
      <c r="I1522" s="16"/>
      <c r="J1522" s="16"/>
      <c r="K1522" s="16"/>
      <c r="L1522" s="16"/>
      <c r="M1522" s="16"/>
    </row>
    <row r="1523" spans="1:13" x14ac:dyDescent="0.2">
      <c r="A1523" s="16"/>
      <c r="B1523" s="37"/>
      <c r="C1523" s="16"/>
      <c r="D1523" s="16"/>
      <c r="E1523" s="16"/>
      <c r="F1523" s="16"/>
      <c r="G1523" s="16"/>
      <c r="H1523" s="16"/>
      <c r="I1523" s="16"/>
      <c r="J1523" s="16"/>
      <c r="K1523" s="16"/>
      <c r="L1523" s="16"/>
      <c r="M1523" s="16"/>
    </row>
    <row r="1524" spans="1:13" x14ac:dyDescent="0.2">
      <c r="A1524" s="16"/>
      <c r="B1524" s="37"/>
      <c r="C1524" s="16"/>
      <c r="D1524" s="16"/>
      <c r="E1524" s="16"/>
      <c r="F1524" s="16"/>
      <c r="G1524" s="16"/>
      <c r="H1524" s="16"/>
      <c r="I1524" s="16"/>
      <c r="J1524" s="16"/>
      <c r="K1524" s="16"/>
      <c r="L1524" s="16"/>
      <c r="M1524" s="16"/>
    </row>
    <row r="1525" spans="1:13" x14ac:dyDescent="0.2">
      <c r="A1525" s="16"/>
      <c r="B1525" s="37"/>
      <c r="C1525" s="16"/>
      <c r="D1525" s="16"/>
      <c r="E1525" s="16"/>
      <c r="F1525" s="16"/>
      <c r="G1525" s="16"/>
      <c r="H1525" s="16"/>
      <c r="I1525" s="16"/>
      <c r="J1525" s="16"/>
      <c r="K1525" s="16"/>
      <c r="L1525" s="16"/>
      <c r="M1525" s="16"/>
    </row>
    <row r="1526" spans="1:13" x14ac:dyDescent="0.2">
      <c r="A1526" s="16"/>
      <c r="B1526" s="37"/>
      <c r="C1526" s="16"/>
      <c r="D1526" s="16"/>
      <c r="E1526" s="16"/>
      <c r="F1526" s="16"/>
      <c r="G1526" s="16"/>
      <c r="H1526" s="16"/>
      <c r="I1526" s="16"/>
      <c r="J1526" s="16"/>
      <c r="K1526" s="16"/>
      <c r="L1526" s="16"/>
      <c r="M1526" s="16"/>
    </row>
    <row r="1527" spans="1:13" x14ac:dyDescent="0.2">
      <c r="A1527" s="16"/>
      <c r="B1527" s="37"/>
      <c r="C1527" s="16"/>
      <c r="D1527" s="16"/>
      <c r="E1527" s="16"/>
      <c r="F1527" s="16"/>
      <c r="G1527" s="16"/>
      <c r="H1527" s="16"/>
      <c r="I1527" s="16"/>
      <c r="J1527" s="16"/>
      <c r="K1527" s="16"/>
      <c r="L1527" s="16"/>
      <c r="M1527" s="16"/>
    </row>
    <row r="1528" spans="1:13" x14ac:dyDescent="0.2">
      <c r="A1528" s="16"/>
      <c r="B1528" s="37"/>
      <c r="C1528" s="16"/>
      <c r="D1528" s="16"/>
      <c r="E1528" s="16"/>
      <c r="F1528" s="16"/>
      <c r="G1528" s="16"/>
      <c r="H1528" s="16"/>
      <c r="I1528" s="16"/>
      <c r="J1528" s="16"/>
      <c r="K1528" s="16"/>
      <c r="L1528" s="16"/>
      <c r="M1528" s="16"/>
    </row>
    <row r="1529" spans="1:13" x14ac:dyDescent="0.2">
      <c r="A1529" s="16"/>
      <c r="B1529" s="37"/>
      <c r="C1529" s="16"/>
      <c r="D1529" s="16"/>
      <c r="E1529" s="16"/>
      <c r="F1529" s="16"/>
      <c r="G1529" s="16"/>
      <c r="H1529" s="16"/>
      <c r="I1529" s="16"/>
      <c r="J1529" s="16"/>
      <c r="K1529" s="16"/>
      <c r="L1529" s="16"/>
      <c r="M1529" s="16"/>
    </row>
    <row r="1530" spans="1:13" x14ac:dyDescent="0.2">
      <c r="A1530" s="16"/>
      <c r="B1530" s="37"/>
      <c r="C1530" s="16"/>
      <c r="D1530" s="16"/>
      <c r="E1530" s="16"/>
      <c r="F1530" s="16"/>
      <c r="G1530" s="16"/>
      <c r="H1530" s="16"/>
      <c r="I1530" s="16"/>
      <c r="J1530" s="16"/>
      <c r="K1530" s="16"/>
      <c r="L1530" s="16"/>
      <c r="M1530" s="16"/>
    </row>
    <row r="1531" spans="1:13" x14ac:dyDescent="0.2">
      <c r="A1531" s="16"/>
      <c r="B1531" s="37"/>
      <c r="C1531" s="16"/>
      <c r="D1531" s="16"/>
      <c r="E1531" s="16"/>
      <c r="F1531" s="16"/>
      <c r="G1531" s="16"/>
      <c r="H1531" s="16"/>
      <c r="I1531" s="16"/>
      <c r="J1531" s="16"/>
      <c r="K1531" s="16"/>
      <c r="L1531" s="16"/>
      <c r="M1531" s="16"/>
    </row>
    <row r="1532" spans="1:13" x14ac:dyDescent="0.2">
      <c r="A1532" s="16"/>
      <c r="B1532" s="37"/>
      <c r="C1532" s="16"/>
      <c r="D1532" s="16"/>
      <c r="E1532" s="16"/>
      <c r="F1532" s="16"/>
      <c r="G1532" s="16"/>
      <c r="H1532" s="16"/>
      <c r="I1532" s="16"/>
      <c r="J1532" s="16"/>
      <c r="K1532" s="16"/>
      <c r="L1532" s="16"/>
      <c r="M1532" s="16"/>
    </row>
    <row r="1533" spans="1:13" x14ac:dyDescent="0.2">
      <c r="A1533" s="16"/>
      <c r="B1533" s="37"/>
      <c r="C1533" s="16"/>
      <c r="D1533" s="16"/>
      <c r="E1533" s="16"/>
      <c r="F1533" s="16"/>
      <c r="G1533" s="16"/>
      <c r="H1533" s="16"/>
      <c r="I1533" s="16"/>
      <c r="J1533" s="16"/>
      <c r="K1533" s="16"/>
      <c r="L1533" s="16"/>
      <c r="M1533" s="16"/>
    </row>
    <row r="1534" spans="1:13" x14ac:dyDescent="0.2">
      <c r="A1534" s="16"/>
      <c r="B1534" s="37"/>
      <c r="C1534" s="16"/>
      <c r="D1534" s="16"/>
      <c r="E1534" s="16"/>
      <c r="F1534" s="16"/>
      <c r="G1534" s="16"/>
      <c r="H1534" s="16"/>
      <c r="I1534" s="16"/>
      <c r="J1534" s="16"/>
      <c r="K1534" s="16"/>
      <c r="L1534" s="16"/>
      <c r="M1534" s="16"/>
    </row>
    <row r="1535" spans="1:13" x14ac:dyDescent="0.2">
      <c r="A1535" s="16"/>
      <c r="B1535" s="37"/>
      <c r="C1535" s="16"/>
      <c r="D1535" s="16"/>
      <c r="E1535" s="16"/>
      <c r="F1535" s="16"/>
      <c r="G1535" s="16"/>
      <c r="H1535" s="16"/>
      <c r="I1535" s="16"/>
      <c r="J1535" s="16"/>
      <c r="K1535" s="16"/>
      <c r="L1535" s="16"/>
      <c r="M1535" s="16"/>
    </row>
    <row r="1536" spans="1:13" x14ac:dyDescent="0.2">
      <c r="A1536" s="16"/>
      <c r="B1536" s="37"/>
      <c r="C1536" s="16"/>
      <c r="D1536" s="16"/>
      <c r="E1536" s="16"/>
      <c r="F1536" s="16"/>
      <c r="G1536" s="16"/>
      <c r="H1536" s="16"/>
      <c r="I1536" s="16"/>
      <c r="J1536" s="16"/>
      <c r="K1536" s="16"/>
      <c r="L1536" s="16"/>
      <c r="M1536" s="16"/>
    </row>
    <row r="1537" spans="1:13" x14ac:dyDescent="0.2">
      <c r="A1537" s="16"/>
      <c r="B1537" s="37"/>
      <c r="C1537" s="16"/>
      <c r="D1537" s="16"/>
      <c r="E1537" s="16"/>
      <c r="F1537" s="16"/>
      <c r="G1537" s="16"/>
      <c r="H1537" s="16"/>
      <c r="I1537" s="16"/>
      <c r="J1537" s="16"/>
      <c r="K1537" s="16"/>
      <c r="L1537" s="16"/>
      <c r="M1537" s="16"/>
    </row>
    <row r="1538" spans="1:13" x14ac:dyDescent="0.2">
      <c r="A1538" s="16"/>
      <c r="B1538" s="37"/>
      <c r="C1538" s="16"/>
      <c r="D1538" s="16"/>
      <c r="E1538" s="16"/>
      <c r="F1538" s="16"/>
      <c r="G1538" s="16"/>
      <c r="H1538" s="16"/>
      <c r="I1538" s="16"/>
      <c r="J1538" s="16"/>
      <c r="K1538" s="16"/>
      <c r="L1538" s="16"/>
      <c r="M1538" s="16"/>
    </row>
    <row r="1539" spans="1:13" x14ac:dyDescent="0.2">
      <c r="A1539" s="16"/>
      <c r="B1539" s="37"/>
      <c r="C1539" s="16"/>
      <c r="D1539" s="16"/>
      <c r="E1539" s="16"/>
      <c r="F1539" s="16"/>
      <c r="G1539" s="16"/>
      <c r="H1539" s="16"/>
      <c r="I1539" s="16"/>
      <c r="J1539" s="16"/>
      <c r="K1539" s="16"/>
      <c r="L1539" s="16"/>
      <c r="M1539" s="16"/>
    </row>
    <row r="1540" spans="1:13" x14ac:dyDescent="0.2">
      <c r="A1540" s="16"/>
      <c r="B1540" s="37"/>
      <c r="C1540" s="16"/>
      <c r="D1540" s="16"/>
      <c r="E1540" s="16"/>
      <c r="F1540" s="16"/>
      <c r="G1540" s="16"/>
      <c r="H1540" s="16"/>
      <c r="I1540" s="16"/>
      <c r="J1540" s="16"/>
      <c r="K1540" s="16"/>
      <c r="L1540" s="16"/>
      <c r="M1540" s="16"/>
    </row>
    <row r="1541" spans="1:13" x14ac:dyDescent="0.2">
      <c r="A1541" s="16"/>
      <c r="B1541" s="37"/>
      <c r="C1541" s="16"/>
      <c r="D1541" s="16"/>
      <c r="E1541" s="16"/>
      <c r="F1541" s="16"/>
      <c r="G1541" s="16"/>
      <c r="H1541" s="16"/>
      <c r="I1541" s="16"/>
      <c r="J1541" s="16"/>
      <c r="K1541" s="16"/>
      <c r="L1541" s="16"/>
      <c r="M1541" s="16"/>
    </row>
    <row r="1542" spans="1:13" x14ac:dyDescent="0.2">
      <c r="A1542" s="16"/>
      <c r="B1542" s="37"/>
      <c r="C1542" s="16"/>
      <c r="D1542" s="16"/>
      <c r="E1542" s="16"/>
      <c r="F1542" s="16"/>
      <c r="G1542" s="16"/>
      <c r="H1542" s="16"/>
      <c r="I1542" s="16"/>
      <c r="J1542" s="16"/>
      <c r="K1542" s="16"/>
      <c r="L1542" s="16"/>
      <c r="M1542" s="16"/>
    </row>
    <row r="1543" spans="1:13" x14ac:dyDescent="0.2">
      <c r="A1543" s="16"/>
      <c r="B1543" s="37"/>
      <c r="C1543" s="16"/>
      <c r="D1543" s="16"/>
      <c r="E1543" s="16"/>
      <c r="F1543" s="16"/>
      <c r="G1543" s="16"/>
      <c r="H1543" s="16"/>
      <c r="I1543" s="16"/>
      <c r="J1543" s="16"/>
      <c r="K1543" s="16"/>
      <c r="L1543" s="16"/>
      <c r="M1543" s="16"/>
    </row>
    <row r="1544" spans="1:13" x14ac:dyDescent="0.2">
      <c r="A1544" s="16"/>
      <c r="B1544" s="37"/>
      <c r="C1544" s="16"/>
      <c r="D1544" s="16"/>
      <c r="E1544" s="16"/>
      <c r="F1544" s="16"/>
      <c r="G1544" s="16"/>
      <c r="H1544" s="16"/>
      <c r="I1544" s="16"/>
      <c r="J1544" s="16"/>
      <c r="K1544" s="16"/>
      <c r="L1544" s="16"/>
      <c r="M1544" s="16"/>
    </row>
    <row r="1545" spans="1:13" x14ac:dyDescent="0.2">
      <c r="A1545" s="16"/>
      <c r="B1545" s="37"/>
      <c r="C1545" s="16"/>
      <c r="D1545" s="16"/>
      <c r="E1545" s="16"/>
      <c r="F1545" s="16"/>
      <c r="G1545" s="16"/>
      <c r="H1545" s="16"/>
      <c r="I1545" s="16"/>
      <c r="J1545" s="16"/>
      <c r="K1545" s="16"/>
      <c r="L1545" s="16"/>
      <c r="M1545" s="16"/>
    </row>
    <row r="1546" spans="1:13" x14ac:dyDescent="0.2">
      <c r="A1546" s="16"/>
      <c r="B1546" s="37"/>
      <c r="C1546" s="16"/>
      <c r="D1546" s="16"/>
      <c r="E1546" s="16"/>
      <c r="F1546" s="16"/>
      <c r="G1546" s="16"/>
      <c r="H1546" s="16"/>
      <c r="I1546" s="16"/>
      <c r="J1546" s="16"/>
      <c r="K1546" s="16"/>
      <c r="L1546" s="16"/>
      <c r="M1546" s="16"/>
    </row>
    <row r="1547" spans="1:13" x14ac:dyDescent="0.2">
      <c r="A1547" s="16"/>
      <c r="B1547" s="37"/>
      <c r="C1547" s="16"/>
      <c r="D1547" s="16"/>
      <c r="E1547" s="16"/>
      <c r="F1547" s="16"/>
      <c r="G1547" s="16"/>
      <c r="H1547" s="16"/>
      <c r="I1547" s="16"/>
      <c r="J1547" s="16"/>
      <c r="K1547" s="16"/>
      <c r="L1547" s="16"/>
      <c r="M1547" s="16"/>
    </row>
    <row r="1548" spans="1:13" x14ac:dyDescent="0.2">
      <c r="A1548" s="16"/>
      <c r="B1548" s="37"/>
      <c r="C1548" s="16"/>
      <c r="D1548" s="16"/>
      <c r="E1548" s="16"/>
      <c r="F1548" s="16"/>
      <c r="G1548" s="16"/>
      <c r="H1548" s="16"/>
      <c r="I1548" s="16"/>
      <c r="J1548" s="16"/>
      <c r="K1548" s="16"/>
      <c r="L1548" s="16"/>
      <c r="M1548" s="16"/>
    </row>
    <row r="1549" spans="1:13" x14ac:dyDescent="0.2">
      <c r="A1549" s="16"/>
      <c r="B1549" s="37"/>
      <c r="C1549" s="16"/>
      <c r="D1549" s="16"/>
      <c r="E1549" s="16"/>
      <c r="F1549" s="16"/>
      <c r="G1549" s="16"/>
      <c r="H1549" s="16"/>
      <c r="I1549" s="16"/>
      <c r="J1549" s="16"/>
      <c r="K1549" s="16"/>
      <c r="L1549" s="16"/>
      <c r="M1549" s="16"/>
    </row>
    <row r="1550" spans="1:13" x14ac:dyDescent="0.2">
      <c r="A1550" s="16"/>
      <c r="B1550" s="37"/>
      <c r="C1550" s="16"/>
      <c r="D1550" s="16"/>
      <c r="E1550" s="16"/>
      <c r="F1550" s="16"/>
      <c r="G1550" s="16"/>
      <c r="H1550" s="16"/>
      <c r="I1550" s="16"/>
      <c r="J1550" s="16"/>
      <c r="K1550" s="16"/>
      <c r="L1550" s="16"/>
      <c r="M1550" s="16"/>
    </row>
    <row r="1551" spans="1:13" x14ac:dyDescent="0.2">
      <c r="A1551" s="16"/>
      <c r="B1551" s="37"/>
      <c r="C1551" s="16"/>
      <c r="D1551" s="16"/>
      <c r="E1551" s="16"/>
      <c r="F1551" s="16"/>
      <c r="G1551" s="16"/>
      <c r="H1551" s="16"/>
      <c r="I1551" s="16"/>
      <c r="J1551" s="16"/>
      <c r="K1551" s="16"/>
      <c r="L1551" s="16"/>
      <c r="M1551" s="16"/>
    </row>
    <row r="1552" spans="1:13" x14ac:dyDescent="0.2">
      <c r="A1552" s="16"/>
      <c r="B1552" s="37"/>
      <c r="C1552" s="16"/>
      <c r="D1552" s="16"/>
      <c r="E1552" s="16"/>
      <c r="F1552" s="16"/>
      <c r="G1552" s="16"/>
      <c r="H1552" s="16"/>
      <c r="I1552" s="16"/>
      <c r="J1552" s="16"/>
      <c r="K1552" s="16"/>
      <c r="L1552" s="16"/>
      <c r="M1552" s="16"/>
    </row>
    <row r="1553" spans="1:13" x14ac:dyDescent="0.2">
      <c r="A1553" s="16"/>
      <c r="B1553" s="37"/>
      <c r="C1553" s="16"/>
      <c r="D1553" s="16"/>
      <c r="E1553" s="16"/>
      <c r="F1553" s="16"/>
      <c r="G1553" s="16"/>
      <c r="H1553" s="16"/>
      <c r="I1553" s="16"/>
      <c r="J1553" s="16"/>
      <c r="K1553" s="16"/>
      <c r="L1553" s="16"/>
      <c r="M1553" s="16"/>
    </row>
    <row r="1554" spans="1:13" x14ac:dyDescent="0.2">
      <c r="A1554" s="16"/>
      <c r="B1554" s="37"/>
      <c r="C1554" s="16"/>
      <c r="D1554" s="16"/>
      <c r="E1554" s="16"/>
      <c r="F1554" s="16"/>
      <c r="G1554" s="16"/>
      <c r="H1554" s="16"/>
      <c r="I1554" s="16"/>
      <c r="J1554" s="16"/>
      <c r="K1554" s="16"/>
      <c r="L1554" s="16"/>
      <c r="M1554" s="16"/>
    </row>
    <row r="1555" spans="1:13" x14ac:dyDescent="0.2">
      <c r="A1555" s="16"/>
      <c r="B1555" s="37"/>
      <c r="C1555" s="16"/>
      <c r="D1555" s="16"/>
      <c r="E1555" s="16"/>
      <c r="F1555" s="16"/>
      <c r="G1555" s="16"/>
      <c r="H1555" s="16"/>
      <c r="I1555" s="16"/>
      <c r="J1555" s="16"/>
      <c r="K1555" s="16"/>
      <c r="L1555" s="16"/>
      <c r="M1555" s="16"/>
    </row>
    <row r="1556" spans="1:13" x14ac:dyDescent="0.2">
      <c r="A1556" s="16"/>
      <c r="B1556" s="37"/>
      <c r="C1556" s="16"/>
      <c r="D1556" s="16"/>
      <c r="E1556" s="16"/>
      <c r="F1556" s="16"/>
      <c r="G1556" s="16"/>
      <c r="H1556" s="16"/>
      <c r="I1556" s="16"/>
      <c r="J1556" s="16"/>
      <c r="K1556" s="16"/>
      <c r="L1556" s="16"/>
      <c r="M1556" s="16"/>
    </row>
    <row r="1557" spans="1:13" x14ac:dyDescent="0.2">
      <c r="A1557" s="16"/>
      <c r="B1557" s="37"/>
      <c r="C1557" s="16"/>
      <c r="D1557" s="16"/>
      <c r="E1557" s="16"/>
      <c r="F1557" s="16"/>
      <c r="G1557" s="16"/>
      <c r="H1557" s="16"/>
      <c r="I1557" s="16"/>
      <c r="J1557" s="16"/>
      <c r="K1557" s="16"/>
      <c r="L1557" s="16"/>
      <c r="M1557" s="16"/>
    </row>
    <row r="1558" spans="1:13" x14ac:dyDescent="0.2">
      <c r="A1558" s="16"/>
      <c r="B1558" s="37"/>
      <c r="C1558" s="16"/>
      <c r="D1558" s="16"/>
      <c r="E1558" s="16"/>
      <c r="F1558" s="16"/>
      <c r="G1558" s="16"/>
      <c r="H1558" s="16"/>
      <c r="I1558" s="16"/>
      <c r="J1558" s="16"/>
      <c r="K1558" s="16"/>
      <c r="L1558" s="16"/>
      <c r="M1558" s="16"/>
    </row>
    <row r="1559" spans="1:13" x14ac:dyDescent="0.2">
      <c r="A1559" s="16"/>
      <c r="B1559" s="37"/>
      <c r="C1559" s="16"/>
      <c r="D1559" s="16"/>
      <c r="E1559" s="16"/>
      <c r="F1559" s="16"/>
      <c r="G1559" s="16"/>
      <c r="H1559" s="16"/>
      <c r="I1559" s="16"/>
      <c r="J1559" s="16"/>
      <c r="K1559" s="16"/>
      <c r="L1559" s="16"/>
      <c r="M1559" s="16"/>
    </row>
    <row r="1560" spans="1:13" x14ac:dyDescent="0.2">
      <c r="A1560" s="16"/>
      <c r="B1560" s="37"/>
      <c r="C1560" s="16"/>
      <c r="D1560" s="16"/>
      <c r="E1560" s="16"/>
      <c r="F1560" s="16"/>
      <c r="G1560" s="16"/>
      <c r="H1560" s="16"/>
      <c r="I1560" s="16"/>
      <c r="J1560" s="16"/>
      <c r="K1560" s="16"/>
      <c r="L1560" s="16"/>
      <c r="M1560" s="16"/>
    </row>
    <row r="1561" spans="1:13" x14ac:dyDescent="0.2">
      <c r="A1561" s="16"/>
      <c r="B1561" s="37"/>
      <c r="C1561" s="16"/>
      <c r="D1561" s="16"/>
      <c r="E1561" s="16"/>
      <c r="F1561" s="16"/>
      <c r="G1561" s="16"/>
      <c r="H1561" s="16"/>
      <c r="I1561" s="16"/>
      <c r="J1561" s="16"/>
      <c r="K1561" s="16"/>
      <c r="L1561" s="16"/>
      <c r="M1561" s="16"/>
    </row>
    <row r="1562" spans="1:13" x14ac:dyDescent="0.2">
      <c r="A1562" s="16"/>
      <c r="B1562" s="37"/>
      <c r="C1562" s="16"/>
      <c r="D1562" s="16"/>
      <c r="E1562" s="16"/>
      <c r="F1562" s="16"/>
      <c r="G1562" s="16"/>
      <c r="H1562" s="16"/>
      <c r="I1562" s="16"/>
      <c r="J1562" s="16"/>
      <c r="K1562" s="16"/>
      <c r="L1562" s="16"/>
      <c r="M1562" s="16"/>
    </row>
    <row r="1563" spans="1:13" x14ac:dyDescent="0.2">
      <c r="A1563" s="16"/>
      <c r="B1563" s="37"/>
      <c r="C1563" s="16"/>
      <c r="D1563" s="16"/>
      <c r="E1563" s="16"/>
      <c r="F1563" s="16"/>
      <c r="G1563" s="16"/>
      <c r="H1563" s="16"/>
      <c r="I1563" s="16"/>
      <c r="J1563" s="16"/>
      <c r="K1563" s="16"/>
      <c r="L1563" s="16"/>
      <c r="M1563" s="16"/>
    </row>
    <row r="1564" spans="1:13" x14ac:dyDescent="0.2">
      <c r="A1564" s="16"/>
      <c r="B1564" s="37"/>
      <c r="C1564" s="16"/>
      <c r="D1564" s="16"/>
      <c r="E1564" s="16"/>
      <c r="F1564" s="16"/>
      <c r="G1564" s="16"/>
      <c r="H1564" s="16"/>
      <c r="I1564" s="16"/>
      <c r="J1564" s="16"/>
      <c r="K1564" s="16"/>
      <c r="L1564" s="16"/>
      <c r="M1564" s="16"/>
    </row>
    <row r="1565" spans="1:13" x14ac:dyDescent="0.2">
      <c r="A1565" s="16"/>
      <c r="B1565" s="37"/>
      <c r="C1565" s="16"/>
      <c r="D1565" s="16"/>
      <c r="E1565" s="16"/>
      <c r="F1565" s="16"/>
      <c r="G1565" s="16"/>
      <c r="H1565" s="16"/>
      <c r="I1565" s="16"/>
      <c r="J1565" s="16"/>
      <c r="K1565" s="16"/>
      <c r="L1565" s="16"/>
      <c r="M1565" s="16"/>
    </row>
    <row r="1566" spans="1:13" x14ac:dyDescent="0.2">
      <c r="A1566" s="16"/>
      <c r="B1566" s="37"/>
      <c r="C1566" s="16"/>
      <c r="D1566" s="16"/>
      <c r="E1566" s="16"/>
      <c r="F1566" s="16"/>
      <c r="G1566" s="16"/>
      <c r="H1566" s="16"/>
      <c r="I1566" s="16"/>
      <c r="J1566" s="16"/>
      <c r="K1566" s="16"/>
      <c r="L1566" s="16"/>
      <c r="M1566" s="16"/>
    </row>
    <row r="1567" spans="1:13" x14ac:dyDescent="0.2">
      <c r="A1567" s="16"/>
      <c r="B1567" s="37"/>
      <c r="C1567" s="16"/>
      <c r="D1567" s="16"/>
      <c r="E1567" s="16"/>
      <c r="F1567" s="16"/>
      <c r="G1567" s="16"/>
      <c r="H1567" s="16"/>
      <c r="I1567" s="16"/>
      <c r="J1567" s="16"/>
      <c r="K1567" s="16"/>
      <c r="L1567" s="16"/>
      <c r="M1567" s="16"/>
    </row>
    <row r="1568" spans="1:13" x14ac:dyDescent="0.2">
      <c r="A1568" s="16"/>
      <c r="B1568" s="37"/>
      <c r="C1568" s="16"/>
      <c r="D1568" s="16"/>
      <c r="E1568" s="16"/>
      <c r="F1568" s="16"/>
      <c r="G1568" s="16"/>
      <c r="H1568" s="16"/>
      <c r="I1568" s="16"/>
      <c r="J1568" s="16"/>
      <c r="K1568" s="16"/>
      <c r="L1568" s="16"/>
      <c r="M1568" s="16"/>
    </row>
    <row r="1569" spans="1:13" x14ac:dyDescent="0.2">
      <c r="A1569" s="16"/>
      <c r="B1569" s="37"/>
      <c r="C1569" s="16"/>
      <c r="D1569" s="16"/>
      <c r="E1569" s="16"/>
      <c r="F1569" s="16"/>
      <c r="G1569" s="16"/>
      <c r="H1569" s="16"/>
      <c r="I1569" s="16"/>
      <c r="J1569" s="16"/>
      <c r="K1569" s="16"/>
      <c r="L1569" s="16"/>
      <c r="M1569" s="16"/>
    </row>
    <row r="1570" spans="1:13" x14ac:dyDescent="0.2">
      <c r="A1570" s="16"/>
      <c r="B1570" s="37"/>
      <c r="C1570" s="16"/>
      <c r="D1570" s="16"/>
      <c r="E1570" s="16"/>
      <c r="F1570" s="16"/>
      <c r="G1570" s="16"/>
      <c r="H1570" s="16"/>
      <c r="I1570" s="16"/>
      <c r="J1570" s="16"/>
      <c r="K1570" s="16"/>
      <c r="L1570" s="16"/>
      <c r="M1570" s="16"/>
    </row>
    <row r="1571" spans="1:13" x14ac:dyDescent="0.2">
      <c r="A1571" s="16"/>
      <c r="B1571" s="37"/>
      <c r="C1571" s="16"/>
      <c r="D1571" s="16"/>
      <c r="E1571" s="16"/>
      <c r="F1571" s="16"/>
      <c r="G1571" s="16"/>
      <c r="H1571" s="16"/>
      <c r="I1571" s="16"/>
      <c r="J1571" s="16"/>
      <c r="K1571" s="16"/>
      <c r="L1571" s="16"/>
      <c r="M1571" s="16"/>
    </row>
    <row r="1572" spans="1:13" x14ac:dyDescent="0.2">
      <c r="A1572" s="16"/>
      <c r="B1572" s="37"/>
      <c r="C1572" s="16"/>
      <c r="D1572" s="16"/>
      <c r="E1572" s="16"/>
      <c r="F1572" s="16"/>
      <c r="G1572" s="16"/>
      <c r="H1572" s="16"/>
      <c r="I1572" s="16"/>
      <c r="J1572" s="16"/>
      <c r="K1572" s="16"/>
      <c r="L1572" s="16"/>
      <c r="M1572" s="16"/>
    </row>
    <row r="1573" spans="1:13" x14ac:dyDescent="0.2">
      <c r="A1573" s="16"/>
      <c r="B1573" s="37"/>
      <c r="C1573" s="16"/>
      <c r="D1573" s="16"/>
      <c r="E1573" s="16"/>
      <c r="F1573" s="16"/>
      <c r="G1573" s="16"/>
      <c r="H1573" s="16"/>
      <c r="I1573" s="16"/>
      <c r="J1573" s="16"/>
      <c r="K1573" s="16"/>
      <c r="L1573" s="16"/>
      <c r="M1573" s="16"/>
    </row>
    <row r="1574" spans="1:13" x14ac:dyDescent="0.2">
      <c r="A1574" s="16"/>
      <c r="B1574" s="37"/>
      <c r="C1574" s="16"/>
      <c r="D1574" s="16"/>
      <c r="E1574" s="16"/>
      <c r="F1574" s="16"/>
      <c r="G1574" s="16"/>
      <c r="H1574" s="16"/>
      <c r="I1574" s="16"/>
      <c r="J1574" s="16"/>
      <c r="K1574" s="16"/>
      <c r="L1574" s="16"/>
      <c r="M1574" s="16"/>
    </row>
    <row r="1575" spans="1:13" x14ac:dyDescent="0.2">
      <c r="A1575" s="16"/>
      <c r="B1575" s="37"/>
      <c r="C1575" s="16"/>
      <c r="D1575" s="16"/>
      <c r="E1575" s="16"/>
      <c r="F1575" s="16"/>
      <c r="G1575" s="16"/>
      <c r="H1575" s="16"/>
      <c r="I1575" s="16"/>
      <c r="J1575" s="16"/>
      <c r="K1575" s="16"/>
      <c r="L1575" s="16"/>
      <c r="M1575" s="16"/>
    </row>
    <row r="1576" spans="1:13" x14ac:dyDescent="0.2">
      <c r="A1576" s="16"/>
      <c r="B1576" s="37"/>
      <c r="C1576" s="16"/>
      <c r="D1576" s="16"/>
      <c r="E1576" s="16"/>
      <c r="F1576" s="16"/>
      <c r="G1576" s="16"/>
      <c r="H1576" s="16"/>
      <c r="I1576" s="16"/>
      <c r="J1576" s="16"/>
      <c r="K1576" s="16"/>
      <c r="L1576" s="16"/>
      <c r="M1576" s="16"/>
    </row>
    <row r="1577" spans="1:13" x14ac:dyDescent="0.2">
      <c r="A1577" s="16"/>
      <c r="B1577" s="37"/>
      <c r="C1577" s="16"/>
      <c r="D1577" s="16"/>
      <c r="E1577" s="16"/>
      <c r="F1577" s="16"/>
      <c r="G1577" s="16"/>
      <c r="H1577" s="16"/>
      <c r="I1577" s="16"/>
      <c r="J1577" s="16"/>
      <c r="K1577" s="16"/>
      <c r="L1577" s="16"/>
      <c r="M1577" s="16"/>
    </row>
    <row r="1578" spans="1:13" x14ac:dyDescent="0.2">
      <c r="A1578" s="16"/>
      <c r="B1578" s="37"/>
      <c r="C1578" s="16"/>
      <c r="D1578" s="16"/>
      <c r="E1578" s="16"/>
      <c r="F1578" s="16"/>
      <c r="G1578" s="16"/>
      <c r="H1578" s="16"/>
      <c r="I1578" s="16"/>
      <c r="J1578" s="16"/>
      <c r="K1578" s="16"/>
      <c r="L1578" s="16"/>
      <c r="M1578" s="16"/>
    </row>
    <row r="1579" spans="1:13" x14ac:dyDescent="0.2">
      <c r="A1579" s="16"/>
      <c r="B1579" s="37"/>
      <c r="C1579" s="16"/>
      <c r="D1579" s="16"/>
      <c r="E1579" s="16"/>
      <c r="F1579" s="16"/>
      <c r="G1579" s="16"/>
      <c r="H1579" s="16"/>
      <c r="I1579" s="16"/>
      <c r="J1579" s="16"/>
      <c r="K1579" s="16"/>
      <c r="L1579" s="16"/>
      <c r="M1579" s="16"/>
    </row>
    <row r="1580" spans="1:13" x14ac:dyDescent="0.2">
      <c r="A1580" s="16"/>
      <c r="B1580" s="37"/>
      <c r="C1580" s="16"/>
      <c r="D1580" s="16"/>
      <c r="E1580" s="16"/>
      <c r="F1580" s="16"/>
      <c r="G1580" s="16"/>
      <c r="H1580" s="16"/>
      <c r="I1580" s="16"/>
      <c r="J1580" s="16"/>
      <c r="K1580" s="16"/>
      <c r="L1580" s="16"/>
      <c r="M1580" s="16"/>
    </row>
    <row r="1581" spans="1:13" x14ac:dyDescent="0.2">
      <c r="A1581" s="16"/>
      <c r="B1581" s="37"/>
      <c r="C1581" s="16"/>
      <c r="D1581" s="16"/>
      <c r="E1581" s="16"/>
      <c r="F1581" s="16"/>
      <c r="G1581" s="16"/>
      <c r="H1581" s="16"/>
      <c r="I1581" s="16"/>
      <c r="J1581" s="16"/>
      <c r="K1581" s="16"/>
      <c r="L1581" s="16"/>
      <c r="M1581" s="16"/>
    </row>
    <row r="1582" spans="1:13" x14ac:dyDescent="0.2">
      <c r="A1582" s="16"/>
      <c r="B1582" s="37"/>
      <c r="C1582" s="16"/>
      <c r="D1582" s="16"/>
      <c r="E1582" s="16"/>
      <c r="F1582" s="16"/>
      <c r="G1582" s="16"/>
      <c r="H1582" s="16"/>
      <c r="I1582" s="16"/>
      <c r="J1582" s="16"/>
      <c r="K1582" s="16"/>
      <c r="L1582" s="16"/>
      <c r="M1582" s="16"/>
    </row>
    <row r="1583" spans="1:13" x14ac:dyDescent="0.2">
      <c r="A1583" s="16"/>
      <c r="B1583" s="37"/>
      <c r="C1583" s="16"/>
      <c r="D1583" s="16"/>
      <c r="E1583" s="16"/>
      <c r="F1583" s="16"/>
      <c r="G1583" s="16"/>
      <c r="H1583" s="16"/>
      <c r="I1583" s="16"/>
      <c r="J1583" s="16"/>
      <c r="K1583" s="16"/>
      <c r="L1583" s="16"/>
      <c r="M1583" s="16"/>
    </row>
    <row r="1584" spans="1:13" x14ac:dyDescent="0.2">
      <c r="A1584" s="16"/>
      <c r="B1584" s="37"/>
      <c r="C1584" s="16"/>
      <c r="D1584" s="16"/>
      <c r="E1584" s="16"/>
      <c r="F1584" s="16"/>
      <c r="G1584" s="16"/>
      <c r="H1584" s="16"/>
      <c r="I1584" s="16"/>
      <c r="J1584" s="16"/>
      <c r="K1584" s="16"/>
      <c r="L1584" s="16"/>
      <c r="M1584" s="16"/>
    </row>
    <row r="1585" spans="1:13" x14ac:dyDescent="0.2">
      <c r="A1585" s="16"/>
      <c r="B1585" s="37"/>
      <c r="C1585" s="16"/>
      <c r="D1585" s="16"/>
      <c r="E1585" s="16"/>
      <c r="F1585" s="16"/>
      <c r="G1585" s="16"/>
      <c r="H1585" s="16"/>
      <c r="I1585" s="16"/>
      <c r="J1585" s="16"/>
      <c r="K1585" s="16"/>
      <c r="L1585" s="16"/>
      <c r="M1585" s="16"/>
    </row>
    <row r="1586" spans="1:13" x14ac:dyDescent="0.2">
      <c r="A1586" s="16"/>
      <c r="B1586" s="37"/>
      <c r="C1586" s="16"/>
      <c r="D1586" s="16"/>
      <c r="E1586" s="16"/>
      <c r="F1586" s="16"/>
      <c r="G1586" s="16"/>
      <c r="H1586" s="16"/>
      <c r="I1586" s="16"/>
      <c r="J1586" s="16"/>
      <c r="K1586" s="16"/>
      <c r="L1586" s="16"/>
      <c r="M1586" s="16"/>
    </row>
    <row r="1587" spans="1:13" x14ac:dyDescent="0.2">
      <c r="A1587" s="16"/>
      <c r="B1587" s="37"/>
      <c r="C1587" s="16"/>
      <c r="D1587" s="16"/>
      <c r="E1587" s="16"/>
      <c r="F1587" s="16"/>
      <c r="G1587" s="16"/>
      <c r="H1587" s="16"/>
      <c r="I1587" s="16"/>
      <c r="J1587" s="16"/>
      <c r="K1587" s="16"/>
      <c r="L1587" s="16"/>
      <c r="M1587" s="16"/>
    </row>
    <row r="1588" spans="1:13" x14ac:dyDescent="0.2">
      <c r="A1588" s="16"/>
      <c r="B1588" s="37"/>
      <c r="C1588" s="16"/>
      <c r="D1588" s="16"/>
      <c r="E1588" s="16"/>
      <c r="F1588" s="16"/>
      <c r="G1588" s="16"/>
      <c r="H1588" s="16"/>
      <c r="I1588" s="16"/>
      <c r="J1588" s="16"/>
      <c r="K1588" s="16"/>
      <c r="L1588" s="16"/>
      <c r="M1588" s="16"/>
    </row>
    <row r="1589" spans="1:13" x14ac:dyDescent="0.2">
      <c r="A1589" s="16"/>
      <c r="B1589" s="37"/>
      <c r="C1589" s="16"/>
      <c r="D1589" s="16"/>
      <c r="E1589" s="16"/>
      <c r="F1589" s="16"/>
      <c r="G1589" s="16"/>
      <c r="H1589" s="16"/>
      <c r="I1589" s="16"/>
      <c r="J1589" s="16"/>
      <c r="K1589" s="16"/>
      <c r="L1589" s="16"/>
      <c r="M1589" s="16"/>
    </row>
    <row r="1590" spans="1:13" x14ac:dyDescent="0.2">
      <c r="A1590" s="16"/>
      <c r="B1590" s="37"/>
      <c r="C1590" s="16"/>
      <c r="D1590" s="16"/>
      <c r="E1590" s="16"/>
      <c r="F1590" s="16"/>
      <c r="G1590" s="16"/>
      <c r="H1590" s="16"/>
      <c r="I1590" s="16"/>
      <c r="J1590" s="16"/>
      <c r="K1590" s="16"/>
      <c r="L1590" s="16"/>
      <c r="M1590" s="16"/>
    </row>
    <row r="1591" spans="1:13" x14ac:dyDescent="0.2">
      <c r="A1591" s="16"/>
      <c r="B1591" s="37"/>
      <c r="C1591" s="16"/>
      <c r="D1591" s="16"/>
      <c r="E1591" s="16"/>
      <c r="F1591" s="16"/>
      <c r="G1591" s="16"/>
      <c r="H1591" s="16"/>
      <c r="I1591" s="16"/>
      <c r="J1591" s="16"/>
      <c r="K1591" s="16"/>
      <c r="L1591" s="16"/>
      <c r="M1591" s="16"/>
    </row>
    <row r="1592" spans="1:13" x14ac:dyDescent="0.2">
      <c r="A1592" s="16"/>
      <c r="B1592" s="37"/>
      <c r="C1592" s="16"/>
      <c r="D1592" s="16"/>
      <c r="E1592" s="16"/>
      <c r="F1592" s="16"/>
      <c r="G1592" s="16"/>
      <c r="H1592" s="16"/>
      <c r="I1592" s="16"/>
      <c r="J1592" s="16"/>
      <c r="K1592" s="16"/>
      <c r="L1592" s="16"/>
      <c r="M1592" s="16"/>
    </row>
    <row r="1593" spans="1:13" x14ac:dyDescent="0.2">
      <c r="A1593" s="16"/>
      <c r="B1593" s="37"/>
      <c r="C1593" s="16"/>
      <c r="D1593" s="16"/>
      <c r="E1593" s="16"/>
      <c r="F1593" s="16"/>
      <c r="G1593" s="16"/>
      <c r="H1593" s="16"/>
      <c r="I1593" s="16"/>
      <c r="J1593" s="16"/>
      <c r="K1593" s="16"/>
      <c r="L1593" s="16"/>
      <c r="M1593" s="16"/>
    </row>
    <row r="1594" spans="1:13" x14ac:dyDescent="0.2">
      <c r="A1594" s="16"/>
      <c r="B1594" s="37"/>
      <c r="C1594" s="16"/>
      <c r="D1594" s="16"/>
      <c r="E1594" s="16"/>
      <c r="F1594" s="16"/>
      <c r="G1594" s="16"/>
      <c r="H1594" s="16"/>
      <c r="I1594" s="16"/>
      <c r="J1594" s="16"/>
      <c r="K1594" s="16"/>
      <c r="L1594" s="16"/>
      <c r="M1594" s="16"/>
    </row>
    <row r="1595" spans="1:13" x14ac:dyDescent="0.2">
      <c r="A1595" s="16"/>
      <c r="B1595" s="37"/>
      <c r="C1595" s="16"/>
      <c r="D1595" s="16"/>
      <c r="E1595" s="16"/>
      <c r="F1595" s="16"/>
      <c r="G1595" s="16"/>
      <c r="H1595" s="16"/>
      <c r="I1595" s="16"/>
      <c r="J1595" s="16"/>
      <c r="K1595" s="16"/>
      <c r="L1595" s="16"/>
      <c r="M1595" s="16"/>
    </row>
    <row r="1596" spans="1:13" x14ac:dyDescent="0.2">
      <c r="A1596" s="16"/>
      <c r="B1596" s="37"/>
      <c r="C1596" s="16"/>
      <c r="D1596" s="16"/>
      <c r="E1596" s="16"/>
      <c r="F1596" s="16"/>
      <c r="G1596" s="16"/>
      <c r="H1596" s="16"/>
      <c r="I1596" s="16"/>
      <c r="J1596" s="16"/>
      <c r="K1596" s="16"/>
      <c r="L1596" s="16"/>
      <c r="M1596" s="16"/>
    </row>
    <row r="1597" spans="1:13" x14ac:dyDescent="0.2">
      <c r="A1597" s="16"/>
      <c r="B1597" s="37"/>
      <c r="C1597" s="16"/>
      <c r="D1597" s="16"/>
      <c r="E1597" s="16"/>
      <c r="F1597" s="16"/>
      <c r="G1597" s="16"/>
      <c r="H1597" s="16"/>
      <c r="I1597" s="16"/>
      <c r="J1597" s="16"/>
      <c r="K1597" s="16"/>
      <c r="L1597" s="16"/>
      <c r="M1597" s="16"/>
    </row>
    <row r="1598" spans="1:13" x14ac:dyDescent="0.2">
      <c r="A1598" s="16"/>
      <c r="B1598" s="37"/>
      <c r="C1598" s="16"/>
      <c r="D1598" s="16"/>
      <c r="E1598" s="16"/>
      <c r="F1598" s="16"/>
      <c r="G1598" s="16"/>
      <c r="H1598" s="16"/>
      <c r="I1598" s="16"/>
      <c r="J1598" s="16"/>
      <c r="K1598" s="16"/>
      <c r="L1598" s="16"/>
      <c r="M1598" s="16"/>
    </row>
    <row r="1599" spans="1:13" x14ac:dyDescent="0.2">
      <c r="A1599" s="16"/>
      <c r="B1599" s="37"/>
      <c r="C1599" s="16"/>
      <c r="D1599" s="16"/>
      <c r="E1599" s="16"/>
      <c r="F1599" s="16"/>
      <c r="G1599" s="16"/>
      <c r="H1599" s="16"/>
      <c r="I1599" s="16"/>
      <c r="J1599" s="16"/>
      <c r="K1599" s="16"/>
      <c r="L1599" s="16"/>
      <c r="M1599" s="16"/>
    </row>
    <row r="1600" spans="1:13" x14ac:dyDescent="0.2">
      <c r="A1600" s="16"/>
      <c r="B1600" s="37"/>
      <c r="C1600" s="16"/>
      <c r="D1600" s="16"/>
      <c r="E1600" s="16"/>
      <c r="F1600" s="16"/>
      <c r="G1600" s="16"/>
      <c r="H1600" s="16"/>
      <c r="I1600" s="16"/>
      <c r="J1600" s="16"/>
      <c r="K1600" s="16"/>
      <c r="L1600" s="16"/>
      <c r="M1600" s="16"/>
    </row>
    <row r="1601" spans="1:13" x14ac:dyDescent="0.2">
      <c r="A1601" s="16"/>
      <c r="B1601" s="37"/>
      <c r="C1601" s="16"/>
      <c r="D1601" s="16"/>
      <c r="E1601" s="16"/>
      <c r="F1601" s="16"/>
      <c r="G1601" s="16"/>
      <c r="H1601" s="16"/>
      <c r="I1601" s="16"/>
      <c r="J1601" s="16"/>
      <c r="K1601" s="16"/>
      <c r="L1601" s="16"/>
      <c r="M1601" s="16"/>
    </row>
    <row r="1602" spans="1:13" x14ac:dyDescent="0.2">
      <c r="A1602" s="16"/>
      <c r="B1602" s="37"/>
      <c r="C1602" s="16"/>
      <c r="D1602" s="16"/>
      <c r="E1602" s="16"/>
      <c r="F1602" s="16"/>
      <c r="G1602" s="16"/>
      <c r="H1602" s="16"/>
      <c r="I1602" s="16"/>
      <c r="J1602" s="16"/>
      <c r="K1602" s="16"/>
      <c r="L1602" s="16"/>
      <c r="M1602" s="16"/>
    </row>
    <row r="1603" spans="1:13" x14ac:dyDescent="0.2">
      <c r="A1603" s="16"/>
      <c r="B1603" s="37"/>
      <c r="C1603" s="16"/>
      <c r="D1603" s="16"/>
      <c r="E1603" s="16"/>
      <c r="F1603" s="16"/>
      <c r="G1603" s="16"/>
      <c r="H1603" s="16"/>
      <c r="I1603" s="16"/>
      <c r="J1603" s="16"/>
      <c r="K1603" s="16"/>
      <c r="L1603" s="16"/>
      <c r="M1603" s="16"/>
    </row>
    <row r="1604" spans="1:13" x14ac:dyDescent="0.2">
      <c r="A1604" s="16"/>
      <c r="B1604" s="37"/>
      <c r="C1604" s="16"/>
      <c r="D1604" s="16"/>
      <c r="E1604" s="16"/>
      <c r="F1604" s="16"/>
      <c r="G1604" s="16"/>
      <c r="H1604" s="16"/>
      <c r="I1604" s="16"/>
      <c r="J1604" s="16"/>
      <c r="K1604" s="16"/>
      <c r="L1604" s="16"/>
      <c r="M1604" s="16"/>
    </row>
    <row r="1605" spans="1:13" x14ac:dyDescent="0.2">
      <c r="A1605" s="16"/>
      <c r="B1605" s="37"/>
      <c r="C1605" s="16"/>
      <c r="D1605" s="16"/>
      <c r="E1605" s="16"/>
      <c r="F1605" s="16"/>
      <c r="G1605" s="16"/>
      <c r="H1605" s="16"/>
      <c r="I1605" s="16"/>
      <c r="J1605" s="16"/>
      <c r="K1605" s="16"/>
      <c r="L1605" s="16"/>
      <c r="M1605" s="16"/>
    </row>
    <row r="1606" spans="1:13" x14ac:dyDescent="0.2">
      <c r="A1606" s="16"/>
      <c r="B1606" s="37"/>
      <c r="C1606" s="16"/>
      <c r="D1606" s="16"/>
      <c r="E1606" s="16"/>
      <c r="F1606" s="16"/>
      <c r="G1606" s="16"/>
      <c r="H1606" s="16"/>
      <c r="I1606" s="16"/>
      <c r="J1606" s="16"/>
      <c r="K1606" s="16"/>
      <c r="L1606" s="16"/>
      <c r="M1606" s="16"/>
    </row>
    <row r="1607" spans="1:13" x14ac:dyDescent="0.2">
      <c r="A1607" s="16"/>
      <c r="B1607" s="37"/>
      <c r="C1607" s="16"/>
      <c r="D1607" s="16"/>
      <c r="E1607" s="16"/>
      <c r="F1607" s="16"/>
      <c r="G1607" s="16"/>
      <c r="H1607" s="16"/>
      <c r="I1607" s="16"/>
      <c r="J1607" s="16"/>
      <c r="K1607" s="16"/>
      <c r="L1607" s="16"/>
      <c r="M1607" s="16"/>
    </row>
    <row r="1608" spans="1:13" x14ac:dyDescent="0.2">
      <c r="A1608" s="16"/>
      <c r="B1608" s="37"/>
      <c r="C1608" s="16"/>
      <c r="D1608" s="16"/>
      <c r="E1608" s="16"/>
      <c r="F1608" s="16"/>
      <c r="G1608" s="16"/>
      <c r="H1608" s="16"/>
      <c r="I1608" s="16"/>
      <c r="J1608" s="16"/>
      <c r="K1608" s="16"/>
      <c r="L1608" s="16"/>
      <c r="M1608" s="16"/>
    </row>
    <row r="1609" spans="1:13" x14ac:dyDescent="0.2">
      <c r="A1609" s="16"/>
      <c r="B1609" s="37"/>
      <c r="C1609" s="16"/>
      <c r="D1609" s="16"/>
      <c r="E1609" s="16"/>
      <c r="F1609" s="16"/>
      <c r="G1609" s="16"/>
      <c r="H1609" s="16"/>
      <c r="I1609" s="16"/>
      <c r="J1609" s="16"/>
      <c r="K1609" s="16"/>
      <c r="L1609" s="16"/>
      <c r="M1609" s="16"/>
    </row>
    <row r="1610" spans="1:13" x14ac:dyDescent="0.2">
      <c r="A1610" s="16"/>
      <c r="B1610" s="37"/>
      <c r="C1610" s="16"/>
      <c r="D1610" s="16"/>
      <c r="E1610" s="16"/>
      <c r="F1610" s="16"/>
      <c r="G1610" s="16"/>
      <c r="H1610" s="16"/>
      <c r="I1610" s="16"/>
      <c r="J1610" s="16"/>
      <c r="K1610" s="16"/>
      <c r="L1610" s="16"/>
      <c r="M1610" s="16"/>
    </row>
    <row r="1611" spans="1:13" x14ac:dyDescent="0.2">
      <c r="A1611" s="16"/>
      <c r="B1611" s="37"/>
      <c r="C1611" s="16"/>
      <c r="D1611" s="16"/>
      <c r="E1611" s="16"/>
      <c r="F1611" s="16"/>
      <c r="G1611" s="16"/>
      <c r="H1611" s="16"/>
      <c r="I1611" s="16"/>
      <c r="J1611" s="16"/>
      <c r="K1611" s="16"/>
      <c r="L1611" s="16"/>
      <c r="M1611" s="16"/>
    </row>
    <row r="1612" spans="1:13" x14ac:dyDescent="0.2">
      <c r="A1612" s="16"/>
      <c r="B1612" s="37"/>
      <c r="C1612" s="16"/>
      <c r="D1612" s="16"/>
      <c r="E1612" s="16"/>
      <c r="F1612" s="16"/>
      <c r="G1612" s="16"/>
      <c r="H1612" s="16"/>
      <c r="I1612" s="16"/>
      <c r="J1612" s="16"/>
      <c r="K1612" s="16"/>
      <c r="L1612" s="16"/>
      <c r="M1612" s="16"/>
    </row>
    <row r="1613" spans="1:13" x14ac:dyDescent="0.2">
      <c r="A1613" s="16"/>
      <c r="B1613" s="37"/>
      <c r="C1613" s="16"/>
      <c r="D1613" s="16"/>
      <c r="E1613" s="16"/>
      <c r="F1613" s="16"/>
      <c r="G1613" s="16"/>
      <c r="H1613" s="16"/>
      <c r="I1613" s="16"/>
      <c r="J1613" s="16"/>
      <c r="K1613" s="16"/>
      <c r="L1613" s="16"/>
      <c r="M1613" s="16"/>
    </row>
    <row r="1614" spans="1:13" x14ac:dyDescent="0.2">
      <c r="A1614" s="16"/>
      <c r="B1614" s="37"/>
      <c r="C1614" s="16"/>
      <c r="D1614" s="16"/>
      <c r="E1614" s="16"/>
      <c r="F1614" s="16"/>
      <c r="G1614" s="16"/>
      <c r="H1614" s="16"/>
      <c r="I1614" s="16"/>
      <c r="J1614" s="16"/>
      <c r="K1614" s="16"/>
      <c r="L1614" s="16"/>
      <c r="M1614" s="16"/>
    </row>
    <row r="1615" spans="1:13" x14ac:dyDescent="0.2">
      <c r="A1615" s="16"/>
      <c r="B1615" s="37"/>
      <c r="C1615" s="16"/>
      <c r="D1615" s="16"/>
      <c r="E1615" s="16"/>
      <c r="F1615" s="16"/>
      <c r="G1615" s="16"/>
      <c r="H1615" s="16"/>
      <c r="I1615" s="16"/>
      <c r="J1615" s="16"/>
      <c r="K1615" s="16"/>
      <c r="L1615" s="16"/>
      <c r="M1615" s="16"/>
    </row>
    <row r="1616" spans="1:13" x14ac:dyDescent="0.2">
      <c r="A1616" s="16"/>
      <c r="B1616" s="37"/>
      <c r="C1616" s="16"/>
      <c r="D1616" s="16"/>
      <c r="E1616" s="16"/>
      <c r="F1616" s="16"/>
      <c r="G1616" s="16"/>
      <c r="H1616" s="16"/>
      <c r="I1616" s="16"/>
      <c r="J1616" s="16"/>
      <c r="K1616" s="16"/>
      <c r="L1616" s="16"/>
      <c r="M1616" s="16"/>
    </row>
    <row r="1617" spans="1:13" x14ac:dyDescent="0.2">
      <c r="A1617" s="16"/>
      <c r="B1617" s="37"/>
      <c r="C1617" s="16"/>
      <c r="D1617" s="16"/>
      <c r="E1617" s="16"/>
      <c r="F1617" s="16"/>
      <c r="G1617" s="16"/>
      <c r="H1617" s="16"/>
      <c r="I1617" s="16"/>
      <c r="J1617" s="16"/>
      <c r="K1617" s="16"/>
      <c r="L1617" s="16"/>
      <c r="M1617" s="16"/>
    </row>
    <row r="1618" spans="1:13" x14ac:dyDescent="0.2">
      <c r="A1618" s="16"/>
      <c r="B1618" s="37"/>
      <c r="C1618" s="16"/>
      <c r="D1618" s="16"/>
      <c r="E1618" s="16"/>
      <c r="F1618" s="16"/>
      <c r="G1618" s="16"/>
      <c r="H1618" s="16"/>
      <c r="I1618" s="16"/>
      <c r="J1618" s="16"/>
      <c r="K1618" s="16"/>
      <c r="L1618" s="16"/>
      <c r="M1618" s="16"/>
    </row>
    <row r="1619" spans="1:13" x14ac:dyDescent="0.2">
      <c r="A1619" s="16"/>
      <c r="B1619" s="37"/>
      <c r="C1619" s="16"/>
      <c r="D1619" s="16"/>
      <c r="E1619" s="16"/>
      <c r="F1619" s="16"/>
      <c r="G1619" s="16"/>
      <c r="H1619" s="16"/>
      <c r="I1619" s="16"/>
      <c r="J1619" s="16"/>
      <c r="K1619" s="16"/>
      <c r="L1619" s="16"/>
      <c r="M1619" s="16"/>
    </row>
    <row r="1620" spans="1:13" x14ac:dyDescent="0.2">
      <c r="A1620" s="16"/>
      <c r="B1620" s="37"/>
      <c r="C1620" s="16"/>
      <c r="D1620" s="16"/>
      <c r="E1620" s="16"/>
      <c r="F1620" s="16"/>
      <c r="G1620" s="16"/>
      <c r="H1620" s="16"/>
      <c r="I1620" s="16"/>
      <c r="J1620" s="16"/>
      <c r="K1620" s="16"/>
      <c r="L1620" s="16"/>
      <c r="M1620" s="16"/>
    </row>
    <row r="1621" spans="1:13" x14ac:dyDescent="0.2">
      <c r="A1621" s="16"/>
      <c r="B1621" s="37"/>
      <c r="C1621" s="16"/>
      <c r="D1621" s="16"/>
      <c r="E1621" s="16"/>
      <c r="F1621" s="16"/>
      <c r="G1621" s="16"/>
      <c r="H1621" s="16"/>
      <c r="I1621" s="16"/>
      <c r="J1621" s="16"/>
      <c r="K1621" s="16"/>
      <c r="L1621" s="16"/>
      <c r="M1621" s="16"/>
    </row>
    <row r="1622" spans="1:13" x14ac:dyDescent="0.2">
      <c r="A1622" s="16"/>
      <c r="B1622" s="37"/>
      <c r="C1622" s="16"/>
      <c r="D1622" s="16"/>
      <c r="E1622" s="16"/>
      <c r="F1622" s="16"/>
      <c r="G1622" s="16"/>
      <c r="H1622" s="16"/>
      <c r="I1622" s="16"/>
      <c r="J1622" s="16"/>
      <c r="K1622" s="16"/>
      <c r="L1622" s="16"/>
      <c r="M1622" s="16"/>
    </row>
    <row r="1623" spans="1:13" x14ac:dyDescent="0.2">
      <c r="A1623" s="16"/>
      <c r="B1623" s="37"/>
      <c r="C1623" s="16"/>
      <c r="D1623" s="16"/>
      <c r="E1623" s="16"/>
      <c r="F1623" s="16"/>
      <c r="G1623" s="16"/>
      <c r="H1623" s="16"/>
      <c r="I1623" s="16"/>
      <c r="J1623" s="16"/>
      <c r="K1623" s="16"/>
      <c r="L1623" s="16"/>
      <c r="M1623" s="16"/>
    </row>
    <row r="1624" spans="1:13" x14ac:dyDescent="0.2">
      <c r="A1624" s="16"/>
      <c r="B1624" s="37"/>
      <c r="C1624" s="16"/>
      <c r="D1624" s="16"/>
      <c r="E1624" s="16"/>
      <c r="F1624" s="16"/>
      <c r="G1624" s="16"/>
      <c r="H1624" s="16"/>
      <c r="I1624" s="16"/>
      <c r="J1624" s="16"/>
      <c r="K1624" s="16"/>
      <c r="L1624" s="16"/>
      <c r="M1624" s="16"/>
    </row>
    <row r="1625" spans="1:13" x14ac:dyDescent="0.2">
      <c r="A1625" s="16"/>
      <c r="B1625" s="37"/>
      <c r="C1625" s="16"/>
      <c r="D1625" s="16"/>
      <c r="E1625" s="16"/>
      <c r="F1625" s="16"/>
      <c r="G1625" s="16"/>
      <c r="H1625" s="16"/>
      <c r="I1625" s="16"/>
      <c r="J1625" s="16"/>
      <c r="K1625" s="16"/>
      <c r="L1625" s="16"/>
      <c r="M1625" s="16"/>
    </row>
    <row r="1626" spans="1:13" x14ac:dyDescent="0.2">
      <c r="A1626" s="16"/>
      <c r="B1626" s="37"/>
      <c r="C1626" s="16"/>
      <c r="D1626" s="16"/>
      <c r="E1626" s="16"/>
      <c r="F1626" s="16"/>
      <c r="G1626" s="16"/>
      <c r="H1626" s="16"/>
      <c r="I1626" s="16"/>
      <c r="J1626" s="16"/>
      <c r="K1626" s="16"/>
      <c r="L1626" s="16"/>
      <c r="M1626" s="16"/>
    </row>
    <row r="1627" spans="1:13" x14ac:dyDescent="0.2">
      <c r="A1627" s="16"/>
      <c r="B1627" s="37"/>
      <c r="C1627" s="16"/>
      <c r="D1627" s="16"/>
      <c r="E1627" s="16"/>
      <c r="F1627" s="16"/>
      <c r="G1627" s="16"/>
      <c r="H1627" s="16"/>
      <c r="I1627" s="16"/>
      <c r="J1627" s="16"/>
      <c r="K1627" s="16"/>
      <c r="L1627" s="16"/>
      <c r="M1627" s="16"/>
    </row>
    <row r="1628" spans="1:13" x14ac:dyDescent="0.2">
      <c r="A1628" s="16"/>
      <c r="B1628" s="37"/>
      <c r="C1628" s="16"/>
      <c r="D1628" s="16"/>
      <c r="E1628" s="16"/>
      <c r="F1628" s="16"/>
      <c r="G1628" s="16"/>
      <c r="H1628" s="16"/>
      <c r="I1628" s="16"/>
      <c r="J1628" s="16"/>
      <c r="K1628" s="16"/>
      <c r="L1628" s="16"/>
      <c r="M1628" s="16"/>
    </row>
    <row r="1629" spans="1:13" x14ac:dyDescent="0.2">
      <c r="A1629" s="16"/>
      <c r="B1629" s="37"/>
      <c r="C1629" s="16"/>
      <c r="D1629" s="16"/>
      <c r="E1629" s="16"/>
      <c r="F1629" s="16"/>
      <c r="G1629" s="16"/>
      <c r="H1629" s="16"/>
      <c r="I1629" s="16"/>
      <c r="J1629" s="16"/>
      <c r="K1629" s="16"/>
      <c r="L1629" s="16"/>
      <c r="M1629" s="16"/>
    </row>
    <row r="1630" spans="1:13" x14ac:dyDescent="0.2">
      <c r="A1630" s="16"/>
      <c r="B1630" s="37"/>
      <c r="C1630" s="16"/>
      <c r="D1630" s="16"/>
      <c r="E1630" s="16"/>
      <c r="F1630" s="16"/>
      <c r="G1630" s="16"/>
      <c r="H1630" s="16"/>
      <c r="I1630" s="16"/>
      <c r="J1630" s="16"/>
      <c r="K1630" s="16"/>
      <c r="L1630" s="16"/>
      <c r="M1630" s="16"/>
    </row>
    <row r="1631" spans="1:13" x14ac:dyDescent="0.2">
      <c r="A1631" s="16"/>
      <c r="B1631" s="37"/>
      <c r="C1631" s="16"/>
      <c r="D1631" s="16"/>
      <c r="E1631" s="16"/>
      <c r="F1631" s="16"/>
      <c r="G1631" s="16"/>
      <c r="H1631" s="16"/>
      <c r="I1631" s="16"/>
      <c r="J1631" s="16"/>
      <c r="K1631" s="16"/>
      <c r="L1631" s="16"/>
      <c r="M1631" s="16"/>
    </row>
    <row r="1632" spans="1:13" x14ac:dyDescent="0.2">
      <c r="A1632" s="16"/>
      <c r="B1632" s="37"/>
      <c r="C1632" s="16"/>
      <c r="D1632" s="16"/>
      <c r="E1632" s="16"/>
      <c r="F1632" s="16"/>
      <c r="G1632" s="16"/>
      <c r="H1632" s="16"/>
      <c r="I1632" s="16"/>
      <c r="J1632" s="16"/>
      <c r="K1632" s="16"/>
      <c r="L1632" s="16"/>
      <c r="M1632" s="16"/>
    </row>
    <row r="1633" spans="1:13" x14ac:dyDescent="0.2">
      <c r="A1633" s="16"/>
      <c r="B1633" s="37"/>
      <c r="C1633" s="16"/>
      <c r="D1633" s="16"/>
      <c r="E1633" s="16"/>
      <c r="F1633" s="16"/>
      <c r="G1633" s="16"/>
      <c r="H1633" s="16"/>
      <c r="I1633" s="16"/>
      <c r="J1633" s="16"/>
      <c r="K1633" s="16"/>
      <c r="L1633" s="16"/>
      <c r="M1633" s="16"/>
    </row>
    <row r="1634" spans="1:13" x14ac:dyDescent="0.2">
      <c r="A1634" s="16"/>
      <c r="B1634" s="37"/>
      <c r="C1634" s="16"/>
      <c r="D1634" s="16"/>
      <c r="E1634" s="16"/>
      <c r="F1634" s="16"/>
      <c r="G1634" s="16"/>
      <c r="H1634" s="16"/>
      <c r="I1634" s="16"/>
      <c r="J1634" s="16"/>
      <c r="K1634" s="16"/>
      <c r="L1634" s="16"/>
      <c r="M1634" s="16"/>
    </row>
    <row r="1635" spans="1:13" x14ac:dyDescent="0.2">
      <c r="A1635" s="16"/>
      <c r="B1635" s="37"/>
      <c r="C1635" s="16"/>
      <c r="D1635" s="16"/>
      <c r="E1635" s="16"/>
      <c r="F1635" s="16"/>
      <c r="G1635" s="16"/>
      <c r="H1635" s="16"/>
      <c r="I1635" s="16"/>
      <c r="J1635" s="16"/>
      <c r="K1635" s="16"/>
      <c r="L1635" s="16"/>
      <c r="M1635" s="16"/>
    </row>
    <row r="1636" spans="1:13" x14ac:dyDescent="0.2">
      <c r="A1636" s="16"/>
      <c r="B1636" s="37"/>
      <c r="C1636" s="16"/>
      <c r="D1636" s="16"/>
      <c r="E1636" s="16"/>
      <c r="F1636" s="16"/>
      <c r="G1636" s="16"/>
      <c r="H1636" s="16"/>
      <c r="I1636" s="16"/>
      <c r="J1636" s="16"/>
      <c r="K1636" s="16"/>
      <c r="L1636" s="16"/>
      <c r="M1636" s="16"/>
    </row>
    <row r="1637" spans="1:13" x14ac:dyDescent="0.2">
      <c r="A1637" s="16"/>
      <c r="B1637" s="37"/>
      <c r="C1637" s="16"/>
      <c r="D1637" s="16"/>
      <c r="E1637" s="16"/>
      <c r="F1637" s="16"/>
      <c r="G1637" s="16"/>
      <c r="H1637" s="16"/>
      <c r="I1637" s="16"/>
      <c r="J1637" s="16"/>
      <c r="K1637" s="16"/>
      <c r="L1637" s="16"/>
      <c r="M1637" s="16"/>
    </row>
    <row r="1638" spans="1:13" x14ac:dyDescent="0.2">
      <c r="A1638" s="16"/>
      <c r="B1638" s="37"/>
      <c r="C1638" s="16"/>
      <c r="D1638" s="16"/>
      <c r="E1638" s="16"/>
      <c r="F1638" s="16"/>
      <c r="G1638" s="16"/>
      <c r="H1638" s="16"/>
      <c r="I1638" s="16"/>
      <c r="J1638" s="16"/>
      <c r="K1638" s="16"/>
      <c r="L1638" s="16"/>
      <c r="M1638" s="16"/>
    </row>
    <row r="1639" spans="1:13" x14ac:dyDescent="0.2">
      <c r="A1639" s="16"/>
      <c r="B1639" s="37"/>
      <c r="C1639" s="16"/>
      <c r="D1639" s="16"/>
      <c r="E1639" s="16"/>
      <c r="F1639" s="16"/>
      <c r="G1639" s="16"/>
      <c r="H1639" s="16"/>
      <c r="I1639" s="16"/>
      <c r="J1639" s="16"/>
      <c r="K1639" s="16"/>
      <c r="L1639" s="16"/>
      <c r="M1639" s="16"/>
    </row>
    <row r="1640" spans="1:13" x14ac:dyDescent="0.2">
      <c r="A1640" s="16"/>
      <c r="B1640" s="37"/>
      <c r="C1640" s="16"/>
      <c r="D1640" s="16"/>
      <c r="E1640" s="16"/>
      <c r="F1640" s="16"/>
      <c r="G1640" s="16"/>
      <c r="H1640" s="16"/>
      <c r="I1640" s="16"/>
      <c r="J1640" s="16"/>
      <c r="K1640" s="16"/>
      <c r="L1640" s="16"/>
      <c r="M1640" s="16"/>
    </row>
    <row r="1641" spans="1:13" x14ac:dyDescent="0.2">
      <c r="A1641" s="16"/>
      <c r="B1641" s="37"/>
      <c r="C1641" s="16"/>
      <c r="D1641" s="16"/>
      <c r="E1641" s="16"/>
      <c r="F1641" s="16"/>
      <c r="G1641" s="16"/>
      <c r="H1641" s="16"/>
      <c r="I1641" s="16"/>
      <c r="J1641" s="16"/>
      <c r="K1641" s="16"/>
      <c r="L1641" s="16"/>
      <c r="M1641" s="16"/>
    </row>
    <row r="1642" spans="1:13" x14ac:dyDescent="0.2">
      <c r="A1642" s="16"/>
      <c r="B1642" s="37"/>
      <c r="C1642" s="16"/>
      <c r="D1642" s="16"/>
      <c r="E1642" s="16"/>
      <c r="F1642" s="16"/>
      <c r="G1642" s="16"/>
      <c r="H1642" s="16"/>
      <c r="I1642" s="16"/>
      <c r="J1642" s="16"/>
      <c r="K1642" s="16"/>
      <c r="L1642" s="16"/>
      <c r="M1642" s="16"/>
    </row>
    <row r="1643" spans="1:13" x14ac:dyDescent="0.2">
      <c r="A1643" s="16"/>
      <c r="B1643" s="37"/>
      <c r="C1643" s="16"/>
      <c r="D1643" s="16"/>
      <c r="E1643" s="16"/>
      <c r="F1643" s="16"/>
      <c r="G1643" s="16"/>
      <c r="H1643" s="16"/>
      <c r="I1643" s="16"/>
      <c r="J1643" s="16"/>
      <c r="K1643" s="16"/>
      <c r="L1643" s="16"/>
      <c r="M1643" s="16"/>
    </row>
    <row r="1644" spans="1:13" x14ac:dyDescent="0.2">
      <c r="A1644" s="16"/>
      <c r="B1644" s="37"/>
      <c r="C1644" s="16"/>
      <c r="D1644" s="16"/>
      <c r="E1644" s="16"/>
      <c r="F1644" s="16"/>
      <c r="G1644" s="16"/>
      <c r="H1644" s="16"/>
      <c r="I1644" s="16"/>
      <c r="J1644" s="16"/>
      <c r="K1644" s="16"/>
      <c r="L1644" s="16"/>
      <c r="M1644" s="16"/>
    </row>
    <row r="1645" spans="1:13" x14ac:dyDescent="0.2">
      <c r="A1645" s="16"/>
      <c r="B1645" s="37"/>
      <c r="C1645" s="16"/>
      <c r="D1645" s="16"/>
      <c r="E1645" s="16"/>
      <c r="F1645" s="16"/>
      <c r="G1645" s="16"/>
      <c r="H1645" s="16"/>
      <c r="I1645" s="16"/>
      <c r="J1645" s="16"/>
      <c r="K1645" s="16"/>
      <c r="L1645" s="16"/>
      <c r="M1645" s="16"/>
    </row>
    <row r="1646" spans="1:13" x14ac:dyDescent="0.2">
      <c r="A1646" s="16"/>
      <c r="B1646" s="37"/>
      <c r="C1646" s="16"/>
      <c r="D1646" s="16"/>
      <c r="E1646" s="16"/>
      <c r="F1646" s="16"/>
      <c r="G1646" s="16"/>
      <c r="H1646" s="16"/>
      <c r="I1646" s="16"/>
      <c r="J1646" s="16"/>
      <c r="K1646" s="16"/>
      <c r="L1646" s="16"/>
      <c r="M1646" s="16"/>
    </row>
    <row r="1647" spans="1:13" x14ac:dyDescent="0.2">
      <c r="A1647" s="16"/>
      <c r="B1647" s="37"/>
      <c r="C1647" s="16"/>
      <c r="D1647" s="16"/>
      <c r="E1647" s="16"/>
      <c r="F1647" s="16"/>
      <c r="G1647" s="16"/>
      <c r="H1647" s="16"/>
      <c r="I1647" s="16"/>
      <c r="J1647" s="16"/>
      <c r="K1647" s="16"/>
      <c r="L1647" s="16"/>
      <c r="M1647" s="16"/>
    </row>
    <row r="1648" spans="1:13" x14ac:dyDescent="0.2">
      <c r="A1648" s="16"/>
      <c r="B1648" s="37"/>
      <c r="C1648" s="16"/>
      <c r="D1648" s="16"/>
      <c r="E1648" s="16"/>
      <c r="F1648" s="16"/>
      <c r="G1648" s="16"/>
      <c r="H1648" s="16"/>
      <c r="I1648" s="16"/>
      <c r="J1648" s="16"/>
      <c r="K1648" s="16"/>
      <c r="L1648" s="16"/>
      <c r="M1648" s="16"/>
    </row>
    <row r="1649" spans="1:13" x14ac:dyDescent="0.2">
      <c r="A1649" s="16"/>
      <c r="B1649" s="37"/>
      <c r="C1649" s="16"/>
      <c r="D1649" s="16"/>
      <c r="E1649" s="16"/>
      <c r="F1649" s="16"/>
      <c r="G1649" s="16"/>
      <c r="H1649" s="16"/>
      <c r="I1649" s="16"/>
      <c r="J1649" s="16"/>
      <c r="K1649" s="16"/>
      <c r="L1649" s="16"/>
      <c r="M1649" s="16"/>
    </row>
    <row r="1650" spans="1:13" x14ac:dyDescent="0.2">
      <c r="A1650" s="16"/>
      <c r="B1650" s="37"/>
      <c r="C1650" s="16"/>
      <c r="D1650" s="16"/>
      <c r="E1650" s="16"/>
      <c r="F1650" s="16"/>
      <c r="G1650" s="16"/>
      <c r="H1650" s="16"/>
      <c r="I1650" s="16"/>
      <c r="J1650" s="16"/>
      <c r="K1650" s="16"/>
      <c r="L1650" s="16"/>
      <c r="M1650" s="16"/>
    </row>
    <row r="1651" spans="1:13" x14ac:dyDescent="0.2">
      <c r="A1651" s="16"/>
      <c r="B1651" s="37"/>
      <c r="C1651" s="16"/>
      <c r="D1651" s="16"/>
      <c r="E1651" s="16"/>
      <c r="F1651" s="16"/>
      <c r="G1651" s="16"/>
      <c r="H1651" s="16"/>
      <c r="I1651" s="16"/>
      <c r="J1651" s="16"/>
      <c r="K1651" s="16"/>
      <c r="L1651" s="16"/>
      <c r="M1651" s="16"/>
    </row>
    <row r="1652" spans="1:13" x14ac:dyDescent="0.2">
      <c r="A1652" s="16"/>
      <c r="B1652" s="37"/>
      <c r="C1652" s="16"/>
      <c r="D1652" s="16"/>
      <c r="E1652" s="16"/>
      <c r="F1652" s="16"/>
      <c r="G1652" s="16"/>
      <c r="H1652" s="16"/>
      <c r="I1652" s="16"/>
      <c r="J1652" s="16"/>
      <c r="K1652" s="16"/>
      <c r="L1652" s="16"/>
      <c r="M1652" s="16"/>
    </row>
    <row r="1653" spans="1:13" x14ac:dyDescent="0.2">
      <c r="A1653" s="16"/>
      <c r="B1653" s="37"/>
      <c r="C1653" s="16"/>
      <c r="D1653" s="16"/>
      <c r="E1653" s="16"/>
      <c r="F1653" s="16"/>
      <c r="G1653" s="16"/>
      <c r="H1653" s="16"/>
      <c r="I1653" s="16"/>
      <c r="J1653" s="16"/>
      <c r="K1653" s="16"/>
      <c r="L1653" s="16"/>
      <c r="M1653" s="16"/>
    </row>
    <row r="1654" spans="1:13" x14ac:dyDescent="0.2">
      <c r="A1654" s="16"/>
      <c r="B1654" s="37"/>
      <c r="C1654" s="16"/>
      <c r="D1654" s="16"/>
      <c r="E1654" s="16"/>
      <c r="F1654" s="16"/>
      <c r="G1654" s="16"/>
      <c r="H1654" s="16"/>
      <c r="I1654" s="16"/>
      <c r="J1654" s="16"/>
      <c r="K1654" s="16"/>
      <c r="L1654" s="16"/>
      <c r="M1654" s="16"/>
    </row>
    <row r="1655" spans="1:13" x14ac:dyDescent="0.2">
      <c r="A1655" s="16"/>
      <c r="B1655" s="37"/>
      <c r="C1655" s="16"/>
      <c r="D1655" s="16"/>
      <c r="E1655" s="16"/>
      <c r="F1655" s="16"/>
      <c r="G1655" s="16"/>
      <c r="H1655" s="16"/>
      <c r="I1655" s="16"/>
      <c r="J1655" s="16"/>
      <c r="K1655" s="16"/>
      <c r="L1655" s="16"/>
      <c r="M1655" s="16"/>
    </row>
    <row r="1656" spans="1:13" x14ac:dyDescent="0.2">
      <c r="A1656" s="16"/>
      <c r="B1656" s="37"/>
      <c r="C1656" s="16"/>
      <c r="D1656" s="16"/>
      <c r="E1656" s="16"/>
      <c r="F1656" s="16"/>
      <c r="G1656" s="16"/>
      <c r="H1656" s="16"/>
      <c r="I1656" s="16"/>
      <c r="J1656" s="16"/>
      <c r="K1656" s="16"/>
      <c r="L1656" s="16"/>
      <c r="M1656" s="16"/>
    </row>
    <row r="1657" spans="1:13" x14ac:dyDescent="0.2">
      <c r="A1657" s="16"/>
      <c r="B1657" s="37"/>
      <c r="C1657" s="16"/>
      <c r="D1657" s="16"/>
      <c r="E1657" s="16"/>
      <c r="F1657" s="16"/>
      <c r="G1657" s="16"/>
      <c r="H1657" s="16"/>
      <c r="I1657" s="16"/>
      <c r="J1657" s="16"/>
      <c r="K1657" s="16"/>
      <c r="L1657" s="16"/>
      <c r="M1657" s="16"/>
    </row>
    <row r="1658" spans="1:13" x14ac:dyDescent="0.2">
      <c r="A1658" s="16"/>
      <c r="B1658" s="37"/>
      <c r="C1658" s="16"/>
      <c r="D1658" s="16"/>
      <c r="E1658" s="16"/>
      <c r="F1658" s="16"/>
      <c r="G1658" s="16"/>
      <c r="H1658" s="16"/>
      <c r="I1658" s="16"/>
      <c r="J1658" s="16"/>
      <c r="K1658" s="16"/>
      <c r="L1658" s="16"/>
      <c r="M1658" s="16"/>
    </row>
    <row r="1659" spans="1:13" x14ac:dyDescent="0.2">
      <c r="A1659" s="16"/>
      <c r="B1659" s="37"/>
      <c r="C1659" s="16"/>
      <c r="D1659" s="16"/>
      <c r="E1659" s="16"/>
      <c r="F1659" s="16"/>
      <c r="G1659" s="16"/>
      <c r="H1659" s="16"/>
      <c r="I1659" s="16"/>
      <c r="J1659" s="16"/>
      <c r="K1659" s="16"/>
      <c r="L1659" s="16"/>
      <c r="M1659" s="16"/>
    </row>
    <row r="1660" spans="1:13" x14ac:dyDescent="0.2">
      <c r="A1660" s="16"/>
      <c r="B1660" s="37"/>
      <c r="C1660" s="16"/>
      <c r="D1660" s="16"/>
      <c r="E1660" s="16"/>
      <c r="F1660" s="16"/>
      <c r="G1660" s="16"/>
      <c r="H1660" s="16"/>
      <c r="I1660" s="16"/>
      <c r="J1660" s="16"/>
      <c r="K1660" s="16"/>
      <c r="L1660" s="16"/>
      <c r="M1660" s="16"/>
    </row>
    <row r="1661" spans="1:13" x14ac:dyDescent="0.2">
      <c r="A1661" s="16"/>
      <c r="B1661" s="37"/>
      <c r="C1661" s="16"/>
      <c r="D1661" s="16"/>
      <c r="E1661" s="16"/>
      <c r="F1661" s="16"/>
      <c r="G1661" s="16"/>
      <c r="H1661" s="16"/>
      <c r="I1661" s="16"/>
      <c r="J1661" s="16"/>
      <c r="K1661" s="16"/>
      <c r="L1661" s="16"/>
      <c r="M1661" s="16"/>
    </row>
    <row r="1662" spans="1:13" x14ac:dyDescent="0.2">
      <c r="A1662" s="16"/>
      <c r="B1662" s="37"/>
      <c r="C1662" s="16"/>
      <c r="D1662" s="16"/>
      <c r="E1662" s="16"/>
      <c r="F1662" s="16"/>
      <c r="G1662" s="16"/>
      <c r="H1662" s="16"/>
      <c r="I1662" s="16"/>
      <c r="J1662" s="16"/>
      <c r="K1662" s="16"/>
      <c r="L1662" s="16"/>
      <c r="M1662" s="16"/>
    </row>
    <row r="1663" spans="1:13" x14ac:dyDescent="0.2">
      <c r="A1663" s="16"/>
      <c r="B1663" s="37"/>
      <c r="C1663" s="16"/>
      <c r="D1663" s="16"/>
      <c r="E1663" s="16"/>
      <c r="F1663" s="16"/>
      <c r="G1663" s="16"/>
      <c r="H1663" s="16"/>
      <c r="I1663" s="16"/>
      <c r="J1663" s="16"/>
      <c r="K1663" s="16"/>
      <c r="L1663" s="16"/>
      <c r="M1663" s="16"/>
    </row>
    <row r="1664" spans="1:13" x14ac:dyDescent="0.2">
      <c r="A1664" s="16"/>
      <c r="B1664" s="37"/>
      <c r="C1664" s="16"/>
      <c r="D1664" s="16"/>
      <c r="E1664" s="16"/>
      <c r="F1664" s="16"/>
      <c r="G1664" s="16"/>
      <c r="H1664" s="16"/>
      <c r="I1664" s="16"/>
      <c r="J1664" s="16"/>
      <c r="K1664" s="16"/>
      <c r="L1664" s="16"/>
      <c r="M1664" s="16"/>
    </row>
    <row r="1665" spans="1:13" x14ac:dyDescent="0.2">
      <c r="A1665" s="16"/>
      <c r="B1665" s="37"/>
      <c r="C1665" s="16"/>
      <c r="D1665" s="16"/>
      <c r="E1665" s="16"/>
      <c r="F1665" s="16"/>
      <c r="G1665" s="16"/>
      <c r="H1665" s="16"/>
      <c r="I1665" s="16"/>
      <c r="J1665" s="16"/>
      <c r="K1665" s="16"/>
      <c r="L1665" s="16"/>
      <c r="M1665" s="16"/>
    </row>
    <row r="1666" spans="1:13" x14ac:dyDescent="0.2">
      <c r="A1666" s="16"/>
      <c r="B1666" s="37"/>
      <c r="C1666" s="16"/>
      <c r="D1666" s="16"/>
      <c r="E1666" s="16"/>
      <c r="F1666" s="16"/>
      <c r="G1666" s="16"/>
      <c r="H1666" s="16"/>
      <c r="I1666" s="16"/>
      <c r="J1666" s="16"/>
      <c r="K1666" s="16"/>
      <c r="L1666" s="16"/>
      <c r="M1666" s="16"/>
    </row>
    <row r="1667" spans="1:13" x14ac:dyDescent="0.2">
      <c r="A1667" s="16"/>
      <c r="B1667" s="37"/>
      <c r="C1667" s="16"/>
      <c r="D1667" s="16"/>
      <c r="E1667" s="16"/>
      <c r="F1667" s="16"/>
      <c r="G1667" s="16"/>
      <c r="H1667" s="16"/>
      <c r="I1667" s="16"/>
      <c r="J1667" s="16"/>
      <c r="K1667" s="16"/>
      <c r="L1667" s="16"/>
      <c r="M1667" s="16"/>
    </row>
    <row r="1668" spans="1:13" x14ac:dyDescent="0.2">
      <c r="A1668" s="16"/>
      <c r="B1668" s="37"/>
      <c r="C1668" s="16"/>
      <c r="D1668" s="16"/>
      <c r="E1668" s="16"/>
      <c r="F1668" s="16"/>
      <c r="G1668" s="16"/>
      <c r="H1668" s="16"/>
      <c r="I1668" s="16"/>
      <c r="J1668" s="16"/>
      <c r="K1668" s="16"/>
      <c r="L1668" s="16"/>
      <c r="M1668" s="16"/>
    </row>
    <row r="1669" spans="1:13" x14ac:dyDescent="0.2">
      <c r="A1669" s="16"/>
      <c r="B1669" s="37"/>
      <c r="C1669" s="16"/>
      <c r="D1669" s="16"/>
      <c r="E1669" s="16"/>
      <c r="F1669" s="16"/>
      <c r="G1669" s="16"/>
      <c r="H1669" s="16"/>
      <c r="I1669" s="16"/>
      <c r="J1669" s="16"/>
      <c r="K1669" s="16"/>
      <c r="L1669" s="16"/>
      <c r="M1669" s="16"/>
    </row>
    <row r="1670" spans="1:13" x14ac:dyDescent="0.2">
      <c r="A1670" s="16"/>
      <c r="B1670" s="37"/>
      <c r="C1670" s="16"/>
      <c r="D1670" s="16"/>
      <c r="E1670" s="16"/>
      <c r="F1670" s="16"/>
      <c r="G1670" s="16"/>
      <c r="H1670" s="16"/>
      <c r="I1670" s="16"/>
      <c r="J1670" s="16"/>
      <c r="K1670" s="16"/>
      <c r="L1670" s="16"/>
      <c r="M1670" s="16"/>
    </row>
    <row r="1671" spans="1:13" x14ac:dyDescent="0.2">
      <c r="A1671" s="16"/>
      <c r="B1671" s="37"/>
      <c r="C1671" s="16"/>
      <c r="D1671" s="16"/>
      <c r="E1671" s="16"/>
      <c r="F1671" s="16"/>
      <c r="G1671" s="16"/>
      <c r="H1671" s="16"/>
      <c r="I1671" s="16"/>
      <c r="J1671" s="16"/>
      <c r="K1671" s="16"/>
      <c r="L1671" s="16"/>
      <c r="M1671" s="16"/>
    </row>
    <row r="1672" spans="1:13" x14ac:dyDescent="0.2">
      <c r="A1672" s="16"/>
      <c r="B1672" s="37"/>
      <c r="C1672" s="16"/>
      <c r="D1672" s="16"/>
      <c r="E1672" s="16"/>
      <c r="F1672" s="16"/>
      <c r="G1672" s="16"/>
      <c r="H1672" s="16"/>
      <c r="I1672" s="16"/>
      <c r="J1672" s="16"/>
      <c r="K1672" s="16"/>
      <c r="L1672" s="16"/>
      <c r="M1672" s="16"/>
    </row>
    <row r="1673" spans="1:13" x14ac:dyDescent="0.2">
      <c r="A1673" s="16"/>
      <c r="B1673" s="37"/>
      <c r="C1673" s="16"/>
      <c r="D1673" s="16"/>
      <c r="E1673" s="16"/>
      <c r="F1673" s="16"/>
      <c r="G1673" s="16"/>
      <c r="H1673" s="16"/>
      <c r="I1673" s="16"/>
      <c r="J1673" s="16"/>
      <c r="K1673" s="16"/>
      <c r="L1673" s="16"/>
      <c r="M1673" s="16"/>
    </row>
    <row r="1674" spans="1:13" x14ac:dyDescent="0.2">
      <c r="A1674" s="16"/>
      <c r="B1674" s="37"/>
      <c r="C1674" s="16"/>
      <c r="D1674" s="16"/>
      <c r="E1674" s="16"/>
      <c r="F1674" s="16"/>
      <c r="G1674" s="16"/>
      <c r="H1674" s="16"/>
      <c r="I1674" s="16"/>
      <c r="J1674" s="16"/>
      <c r="K1674" s="16"/>
      <c r="L1674" s="16"/>
      <c r="M1674" s="16"/>
    </row>
    <row r="1675" spans="1:13" x14ac:dyDescent="0.2">
      <c r="A1675" s="16"/>
      <c r="B1675" s="37"/>
      <c r="C1675" s="16"/>
      <c r="D1675" s="16"/>
      <c r="E1675" s="16"/>
      <c r="F1675" s="16"/>
      <c r="G1675" s="16"/>
      <c r="H1675" s="16"/>
      <c r="I1675" s="16"/>
      <c r="J1675" s="16"/>
      <c r="K1675" s="16"/>
      <c r="L1675" s="16"/>
      <c r="M1675" s="16"/>
    </row>
    <row r="1676" spans="1:13" x14ac:dyDescent="0.2">
      <c r="A1676" s="16"/>
      <c r="B1676" s="37"/>
      <c r="C1676" s="16"/>
      <c r="D1676" s="16"/>
      <c r="E1676" s="16"/>
      <c r="F1676" s="16"/>
      <c r="G1676" s="16"/>
      <c r="H1676" s="16"/>
      <c r="I1676" s="16"/>
      <c r="J1676" s="16"/>
      <c r="K1676" s="16"/>
      <c r="L1676" s="16"/>
      <c r="M1676" s="16"/>
    </row>
    <row r="1677" spans="1:13" x14ac:dyDescent="0.2">
      <c r="A1677" s="16"/>
      <c r="B1677" s="37"/>
      <c r="C1677" s="16"/>
      <c r="D1677" s="16"/>
      <c r="E1677" s="16"/>
      <c r="F1677" s="16"/>
      <c r="G1677" s="16"/>
      <c r="H1677" s="16"/>
      <c r="I1677" s="16"/>
      <c r="J1677" s="16"/>
      <c r="K1677" s="16"/>
      <c r="L1677" s="16"/>
      <c r="M1677" s="16"/>
    </row>
    <row r="1678" spans="1:13" x14ac:dyDescent="0.2">
      <c r="A1678" s="16"/>
      <c r="B1678" s="37"/>
      <c r="C1678" s="16"/>
      <c r="D1678" s="16"/>
      <c r="E1678" s="16"/>
      <c r="F1678" s="16"/>
      <c r="G1678" s="16"/>
      <c r="H1678" s="16"/>
      <c r="I1678" s="16"/>
      <c r="J1678" s="16"/>
      <c r="K1678" s="16"/>
      <c r="L1678" s="16"/>
      <c r="M1678" s="16"/>
    </row>
    <row r="1679" spans="1:13" x14ac:dyDescent="0.2">
      <c r="A1679" s="16"/>
      <c r="B1679" s="37"/>
      <c r="C1679" s="16"/>
      <c r="D1679" s="16"/>
      <c r="E1679" s="16"/>
      <c r="F1679" s="16"/>
      <c r="G1679" s="16"/>
      <c r="H1679" s="16"/>
      <c r="I1679" s="16"/>
      <c r="J1679" s="16"/>
      <c r="K1679" s="16"/>
      <c r="L1679" s="16"/>
      <c r="M1679" s="16"/>
    </row>
    <row r="1680" spans="1:13" x14ac:dyDescent="0.2">
      <c r="A1680" s="16"/>
      <c r="B1680" s="37"/>
      <c r="C1680" s="16"/>
      <c r="D1680" s="16"/>
      <c r="E1680" s="16"/>
      <c r="F1680" s="16"/>
      <c r="G1680" s="16"/>
      <c r="H1680" s="16"/>
      <c r="I1680" s="16"/>
      <c r="J1680" s="16"/>
      <c r="K1680" s="16"/>
      <c r="L1680" s="16"/>
      <c r="M1680" s="16"/>
    </row>
    <row r="1681" spans="1:13" x14ac:dyDescent="0.2">
      <c r="A1681" s="16"/>
      <c r="B1681" s="37"/>
      <c r="C1681" s="16"/>
      <c r="D1681" s="16"/>
      <c r="E1681" s="16"/>
      <c r="F1681" s="16"/>
      <c r="G1681" s="16"/>
      <c r="H1681" s="16"/>
      <c r="I1681" s="16"/>
      <c r="J1681" s="16"/>
      <c r="K1681" s="16"/>
      <c r="L1681" s="16"/>
      <c r="M1681" s="16"/>
    </row>
    <row r="1682" spans="1:13" x14ac:dyDescent="0.2">
      <c r="A1682" s="16"/>
      <c r="B1682" s="37"/>
      <c r="C1682" s="16"/>
      <c r="D1682" s="16"/>
      <c r="E1682" s="16"/>
      <c r="F1682" s="16"/>
      <c r="G1682" s="16"/>
      <c r="H1682" s="16"/>
      <c r="I1682" s="16"/>
      <c r="J1682" s="16"/>
      <c r="K1682" s="16"/>
      <c r="L1682" s="16"/>
      <c r="M1682" s="16"/>
    </row>
    <row r="1683" spans="1:13" x14ac:dyDescent="0.2">
      <c r="A1683" s="16"/>
      <c r="B1683" s="37"/>
      <c r="C1683" s="16"/>
      <c r="D1683" s="16"/>
      <c r="E1683" s="16"/>
      <c r="F1683" s="16"/>
      <c r="G1683" s="16"/>
      <c r="H1683" s="16"/>
      <c r="I1683" s="16"/>
      <c r="J1683" s="16"/>
      <c r="K1683" s="16"/>
      <c r="L1683" s="16"/>
      <c r="M1683" s="16"/>
    </row>
    <row r="1684" spans="1:13" x14ac:dyDescent="0.2">
      <c r="A1684" s="16"/>
      <c r="B1684" s="37"/>
      <c r="C1684" s="16"/>
      <c r="D1684" s="16"/>
      <c r="E1684" s="16"/>
      <c r="F1684" s="16"/>
      <c r="G1684" s="16"/>
      <c r="H1684" s="16"/>
      <c r="I1684" s="16"/>
      <c r="J1684" s="16"/>
      <c r="K1684" s="16"/>
      <c r="L1684" s="16"/>
      <c r="M1684" s="16"/>
    </row>
    <row r="1685" spans="1:13" x14ac:dyDescent="0.2">
      <c r="A1685" s="16"/>
      <c r="B1685" s="37"/>
      <c r="C1685" s="16"/>
      <c r="D1685" s="16"/>
      <c r="E1685" s="16"/>
      <c r="F1685" s="16"/>
      <c r="G1685" s="16"/>
      <c r="H1685" s="16"/>
      <c r="I1685" s="16"/>
      <c r="J1685" s="16"/>
      <c r="K1685" s="16"/>
      <c r="L1685" s="16"/>
      <c r="M1685" s="16"/>
    </row>
    <row r="1686" spans="1:13" x14ac:dyDescent="0.2">
      <c r="A1686" s="16"/>
      <c r="B1686" s="37"/>
      <c r="C1686" s="16"/>
      <c r="D1686" s="16"/>
      <c r="E1686" s="16"/>
      <c r="F1686" s="16"/>
      <c r="G1686" s="16"/>
      <c r="H1686" s="16"/>
      <c r="I1686" s="16"/>
      <c r="J1686" s="16"/>
      <c r="K1686" s="16"/>
      <c r="L1686" s="16"/>
      <c r="M1686" s="16"/>
    </row>
    <row r="1687" spans="1:13" x14ac:dyDescent="0.2">
      <c r="A1687" s="16"/>
      <c r="B1687" s="37"/>
      <c r="C1687" s="16"/>
      <c r="D1687" s="16"/>
      <c r="E1687" s="16"/>
      <c r="F1687" s="16"/>
      <c r="G1687" s="16"/>
      <c r="H1687" s="16"/>
      <c r="I1687" s="16"/>
      <c r="J1687" s="16"/>
      <c r="K1687" s="16"/>
      <c r="L1687" s="16"/>
      <c r="M1687" s="16"/>
    </row>
    <row r="1688" spans="1:13" x14ac:dyDescent="0.2">
      <c r="A1688" s="16"/>
      <c r="B1688" s="37"/>
      <c r="C1688" s="16"/>
      <c r="D1688" s="16"/>
      <c r="E1688" s="16"/>
      <c r="F1688" s="16"/>
      <c r="G1688" s="16"/>
      <c r="H1688" s="16"/>
      <c r="I1688" s="16"/>
      <c r="J1688" s="16"/>
      <c r="K1688" s="16"/>
      <c r="L1688" s="16"/>
      <c r="M1688" s="16"/>
    </row>
    <row r="1689" spans="1:13" x14ac:dyDescent="0.2">
      <c r="A1689" s="16"/>
      <c r="B1689" s="37"/>
      <c r="C1689" s="16"/>
      <c r="D1689" s="16"/>
      <c r="E1689" s="16"/>
      <c r="F1689" s="16"/>
      <c r="G1689" s="16"/>
      <c r="H1689" s="16"/>
      <c r="I1689" s="16"/>
      <c r="J1689" s="16"/>
      <c r="K1689" s="16"/>
      <c r="L1689" s="16"/>
      <c r="M1689" s="16"/>
    </row>
    <row r="1690" spans="1:13" x14ac:dyDescent="0.2">
      <c r="A1690" s="16"/>
      <c r="B1690" s="37"/>
      <c r="C1690" s="16"/>
      <c r="D1690" s="16"/>
      <c r="E1690" s="16"/>
      <c r="F1690" s="16"/>
      <c r="G1690" s="16"/>
      <c r="H1690" s="16"/>
      <c r="I1690" s="16"/>
      <c r="J1690" s="16"/>
      <c r="K1690" s="16"/>
      <c r="L1690" s="16"/>
      <c r="M1690" s="16"/>
    </row>
    <row r="1691" spans="1:13" x14ac:dyDescent="0.2">
      <c r="A1691" s="16"/>
      <c r="B1691" s="37"/>
      <c r="C1691" s="16"/>
      <c r="D1691" s="16"/>
      <c r="E1691" s="16"/>
      <c r="F1691" s="16"/>
      <c r="G1691" s="16"/>
      <c r="H1691" s="16"/>
      <c r="I1691" s="16"/>
      <c r="J1691" s="16"/>
      <c r="K1691" s="16"/>
      <c r="L1691" s="16"/>
      <c r="M1691" s="16"/>
    </row>
    <row r="1692" spans="1:13" x14ac:dyDescent="0.2">
      <c r="A1692" s="16"/>
      <c r="B1692" s="37"/>
      <c r="C1692" s="16"/>
      <c r="D1692" s="16"/>
      <c r="E1692" s="16"/>
      <c r="F1692" s="16"/>
      <c r="G1692" s="16"/>
      <c r="H1692" s="16"/>
      <c r="I1692" s="16"/>
      <c r="J1692" s="16"/>
      <c r="K1692" s="16"/>
      <c r="L1692" s="16"/>
      <c r="M1692" s="16"/>
    </row>
    <row r="1693" spans="1:13" x14ac:dyDescent="0.2">
      <c r="A1693" s="16"/>
      <c r="B1693" s="37"/>
      <c r="C1693" s="16"/>
      <c r="D1693" s="16"/>
      <c r="E1693" s="16"/>
      <c r="F1693" s="16"/>
      <c r="G1693" s="16"/>
      <c r="H1693" s="16"/>
      <c r="I1693" s="16"/>
      <c r="J1693" s="16"/>
      <c r="K1693" s="16"/>
      <c r="L1693" s="16"/>
      <c r="M1693" s="16"/>
    </row>
    <row r="1694" spans="1:13" x14ac:dyDescent="0.2">
      <c r="A1694" s="16"/>
      <c r="B1694" s="37"/>
      <c r="C1694" s="16"/>
      <c r="D1694" s="16"/>
      <c r="E1694" s="16"/>
      <c r="F1694" s="16"/>
      <c r="G1694" s="16"/>
      <c r="H1694" s="16"/>
      <c r="I1694" s="16"/>
      <c r="J1694" s="16"/>
      <c r="K1694" s="16"/>
      <c r="L1694" s="16"/>
      <c r="M1694" s="16"/>
    </row>
    <row r="1695" spans="1:13" x14ac:dyDescent="0.2">
      <c r="A1695" s="16"/>
      <c r="B1695" s="37"/>
      <c r="C1695" s="16"/>
      <c r="D1695" s="16"/>
      <c r="E1695" s="16"/>
      <c r="F1695" s="16"/>
      <c r="G1695" s="16"/>
      <c r="H1695" s="16"/>
      <c r="I1695" s="16"/>
      <c r="J1695" s="16"/>
      <c r="K1695" s="16"/>
      <c r="L1695" s="16"/>
      <c r="M1695" s="16"/>
    </row>
    <row r="1696" spans="1:13" x14ac:dyDescent="0.2">
      <c r="A1696" s="16"/>
      <c r="B1696" s="37"/>
      <c r="C1696" s="16"/>
      <c r="D1696" s="16"/>
      <c r="E1696" s="16"/>
      <c r="F1696" s="16"/>
      <c r="G1696" s="16"/>
      <c r="H1696" s="16"/>
      <c r="I1696" s="16"/>
      <c r="J1696" s="16"/>
      <c r="K1696" s="16"/>
      <c r="L1696" s="16"/>
      <c r="M1696" s="16"/>
    </row>
    <row r="1697" spans="1:13" x14ac:dyDescent="0.2">
      <c r="A1697" s="16"/>
      <c r="B1697" s="37"/>
      <c r="C1697" s="16"/>
      <c r="D1697" s="16"/>
      <c r="E1697" s="16"/>
      <c r="F1697" s="16"/>
      <c r="G1697" s="16"/>
      <c r="H1697" s="16"/>
      <c r="I1697" s="16"/>
      <c r="J1697" s="16"/>
      <c r="K1697" s="16"/>
      <c r="L1697" s="16"/>
      <c r="M1697" s="16"/>
    </row>
    <row r="1698" spans="1:13" x14ac:dyDescent="0.2">
      <c r="A1698" s="16"/>
      <c r="B1698" s="37"/>
      <c r="C1698" s="16"/>
      <c r="D1698" s="16"/>
      <c r="E1698" s="16"/>
      <c r="F1698" s="16"/>
      <c r="G1698" s="16"/>
      <c r="H1698" s="16"/>
      <c r="I1698" s="16"/>
      <c r="J1698" s="16"/>
      <c r="K1698" s="16"/>
      <c r="L1698" s="16"/>
      <c r="M1698" s="16"/>
    </row>
    <row r="1699" spans="1:13" x14ac:dyDescent="0.2">
      <c r="A1699" s="16"/>
      <c r="B1699" s="37"/>
      <c r="C1699" s="16"/>
      <c r="D1699" s="16"/>
      <c r="E1699" s="16"/>
      <c r="F1699" s="16"/>
      <c r="G1699" s="16"/>
      <c r="H1699" s="16"/>
      <c r="I1699" s="16"/>
      <c r="J1699" s="16"/>
      <c r="K1699" s="16"/>
      <c r="L1699" s="16"/>
      <c r="M1699" s="16"/>
    </row>
    <row r="1700" spans="1:13" x14ac:dyDescent="0.2">
      <c r="A1700" s="16"/>
      <c r="B1700" s="37"/>
      <c r="C1700" s="16"/>
      <c r="D1700" s="16"/>
      <c r="E1700" s="16"/>
      <c r="F1700" s="16"/>
      <c r="G1700" s="16"/>
      <c r="H1700" s="16"/>
      <c r="I1700" s="16"/>
      <c r="J1700" s="16"/>
      <c r="K1700" s="16"/>
      <c r="L1700" s="16"/>
      <c r="M1700" s="16"/>
    </row>
    <row r="1701" spans="1:13" x14ac:dyDescent="0.2">
      <c r="A1701" s="16"/>
      <c r="B1701" s="37"/>
      <c r="C1701" s="16"/>
      <c r="D1701" s="16"/>
      <c r="E1701" s="16"/>
      <c r="F1701" s="16"/>
      <c r="G1701" s="16"/>
      <c r="H1701" s="16"/>
      <c r="I1701" s="16"/>
      <c r="J1701" s="16"/>
      <c r="K1701" s="16"/>
      <c r="L1701" s="16"/>
      <c r="M1701" s="16"/>
    </row>
    <row r="1702" spans="1:13" x14ac:dyDescent="0.2">
      <c r="A1702" s="16"/>
      <c r="B1702" s="37"/>
      <c r="C1702" s="16"/>
      <c r="D1702" s="16"/>
      <c r="E1702" s="16"/>
      <c r="F1702" s="16"/>
      <c r="G1702" s="16"/>
      <c r="H1702" s="16"/>
      <c r="I1702" s="16"/>
      <c r="J1702" s="16"/>
      <c r="K1702" s="16"/>
      <c r="L1702" s="16"/>
      <c r="M1702" s="16"/>
    </row>
    <row r="1703" spans="1:13" x14ac:dyDescent="0.2">
      <c r="A1703" s="16"/>
      <c r="B1703" s="37"/>
      <c r="C1703" s="16"/>
      <c r="D1703" s="16"/>
      <c r="E1703" s="16"/>
      <c r="F1703" s="16"/>
      <c r="G1703" s="16"/>
      <c r="H1703" s="16"/>
      <c r="I1703" s="16"/>
      <c r="J1703" s="16"/>
      <c r="K1703" s="16"/>
      <c r="L1703" s="16"/>
      <c r="M1703" s="16"/>
    </row>
    <row r="1704" spans="1:13" x14ac:dyDescent="0.2">
      <c r="A1704" s="16"/>
      <c r="B1704" s="37"/>
      <c r="C1704" s="16"/>
      <c r="D1704" s="16"/>
      <c r="E1704" s="16"/>
      <c r="F1704" s="16"/>
      <c r="G1704" s="16"/>
      <c r="H1704" s="16"/>
      <c r="I1704" s="16"/>
      <c r="J1704" s="16"/>
      <c r="K1704" s="16"/>
      <c r="L1704" s="16"/>
      <c r="M1704" s="16"/>
    </row>
    <row r="1705" spans="1:13" x14ac:dyDescent="0.2">
      <c r="A1705" s="16"/>
      <c r="B1705" s="37"/>
      <c r="C1705" s="16"/>
      <c r="D1705" s="16"/>
      <c r="E1705" s="16"/>
      <c r="F1705" s="16"/>
      <c r="G1705" s="16"/>
      <c r="H1705" s="16"/>
      <c r="I1705" s="16"/>
      <c r="J1705" s="16"/>
      <c r="K1705" s="16"/>
      <c r="L1705" s="16"/>
      <c r="M1705" s="16"/>
    </row>
    <row r="1706" spans="1:13" x14ac:dyDescent="0.2">
      <c r="A1706" s="16"/>
      <c r="B1706" s="37"/>
      <c r="C1706" s="16"/>
      <c r="D1706" s="16"/>
      <c r="E1706" s="16"/>
      <c r="F1706" s="16"/>
      <c r="G1706" s="16"/>
      <c r="H1706" s="16"/>
      <c r="I1706" s="16"/>
      <c r="J1706" s="16"/>
      <c r="K1706" s="16"/>
      <c r="L1706" s="16"/>
      <c r="M1706" s="16"/>
    </row>
    <row r="1707" spans="1:13" x14ac:dyDescent="0.2">
      <c r="A1707" s="16"/>
      <c r="B1707" s="37"/>
      <c r="C1707" s="16"/>
      <c r="D1707" s="16"/>
      <c r="E1707" s="16"/>
      <c r="F1707" s="16"/>
      <c r="G1707" s="16"/>
      <c r="H1707" s="16"/>
      <c r="I1707" s="16"/>
      <c r="J1707" s="16"/>
      <c r="K1707" s="16"/>
      <c r="L1707" s="16"/>
      <c r="M1707" s="16"/>
    </row>
    <row r="1708" spans="1:13" x14ac:dyDescent="0.2">
      <c r="A1708" s="16"/>
      <c r="B1708" s="37"/>
      <c r="C1708" s="16"/>
      <c r="D1708" s="16"/>
      <c r="E1708" s="16"/>
      <c r="F1708" s="16"/>
      <c r="G1708" s="16"/>
      <c r="H1708" s="16"/>
      <c r="I1708" s="16"/>
      <c r="J1708" s="16"/>
      <c r="K1708" s="16"/>
      <c r="L1708" s="16"/>
      <c r="M1708" s="16"/>
    </row>
    <row r="1709" spans="1:13" x14ac:dyDescent="0.2">
      <c r="A1709" s="16"/>
      <c r="B1709" s="37"/>
      <c r="C1709" s="16"/>
      <c r="D1709" s="16"/>
      <c r="E1709" s="16"/>
      <c r="F1709" s="16"/>
      <c r="G1709" s="16"/>
      <c r="H1709" s="16"/>
      <c r="I1709" s="16"/>
      <c r="J1709" s="16"/>
      <c r="K1709" s="16"/>
      <c r="L1709" s="16"/>
      <c r="M1709" s="16"/>
    </row>
    <row r="1710" spans="1:13" x14ac:dyDescent="0.2">
      <c r="A1710" s="16"/>
      <c r="B1710" s="37"/>
      <c r="C1710" s="16"/>
      <c r="D1710" s="16"/>
      <c r="E1710" s="16"/>
      <c r="F1710" s="16"/>
      <c r="G1710" s="16"/>
      <c r="H1710" s="16"/>
      <c r="I1710" s="16"/>
      <c r="J1710" s="16"/>
      <c r="K1710" s="16"/>
      <c r="L1710" s="16"/>
      <c r="M1710" s="16"/>
    </row>
    <row r="1711" spans="1:13" x14ac:dyDescent="0.2">
      <c r="A1711" s="16"/>
      <c r="B1711" s="37"/>
      <c r="C1711" s="16"/>
      <c r="D1711" s="16"/>
      <c r="E1711" s="16"/>
      <c r="F1711" s="16"/>
      <c r="G1711" s="16"/>
      <c r="H1711" s="16"/>
      <c r="I1711" s="16"/>
      <c r="J1711" s="16"/>
      <c r="K1711" s="16"/>
      <c r="L1711" s="16"/>
      <c r="M1711" s="16"/>
    </row>
    <row r="1712" spans="1:13" x14ac:dyDescent="0.2">
      <c r="A1712" s="16"/>
      <c r="B1712" s="37"/>
      <c r="C1712" s="16"/>
      <c r="D1712" s="16"/>
      <c r="E1712" s="16"/>
      <c r="F1712" s="16"/>
      <c r="G1712" s="16"/>
      <c r="H1712" s="16"/>
      <c r="I1712" s="16"/>
      <c r="J1712" s="16"/>
      <c r="K1712" s="16"/>
      <c r="L1712" s="16"/>
      <c r="M1712" s="16"/>
    </row>
    <row r="1713" spans="1:13" x14ac:dyDescent="0.2">
      <c r="A1713" s="16"/>
      <c r="B1713" s="37"/>
      <c r="C1713" s="16"/>
      <c r="D1713" s="16"/>
      <c r="E1713" s="16"/>
      <c r="F1713" s="16"/>
      <c r="G1713" s="16"/>
      <c r="H1713" s="16"/>
      <c r="I1713" s="16"/>
      <c r="J1713" s="16"/>
      <c r="K1713" s="16"/>
      <c r="L1713" s="16"/>
      <c r="M1713" s="16"/>
    </row>
    <row r="1714" spans="1:13" x14ac:dyDescent="0.2">
      <c r="A1714" s="16"/>
      <c r="B1714" s="37"/>
      <c r="C1714" s="16"/>
      <c r="D1714" s="16"/>
      <c r="E1714" s="16"/>
      <c r="F1714" s="16"/>
      <c r="G1714" s="16"/>
      <c r="H1714" s="16"/>
      <c r="I1714" s="16"/>
      <c r="J1714" s="16"/>
      <c r="K1714" s="16"/>
      <c r="L1714" s="16"/>
      <c r="M1714" s="16"/>
    </row>
    <row r="1715" spans="1:13" x14ac:dyDescent="0.2">
      <c r="A1715" s="16"/>
      <c r="B1715" s="37"/>
      <c r="C1715" s="16"/>
      <c r="D1715" s="16"/>
      <c r="E1715" s="16"/>
      <c r="F1715" s="16"/>
      <c r="G1715" s="16"/>
      <c r="H1715" s="16"/>
      <c r="I1715" s="16"/>
      <c r="J1715" s="16"/>
      <c r="K1715" s="16"/>
      <c r="L1715" s="16"/>
      <c r="M1715" s="16"/>
    </row>
    <row r="1716" spans="1:13" x14ac:dyDescent="0.2">
      <c r="A1716" s="16"/>
      <c r="B1716" s="37"/>
      <c r="C1716" s="16"/>
      <c r="D1716" s="16"/>
      <c r="E1716" s="16"/>
      <c r="F1716" s="16"/>
      <c r="G1716" s="16"/>
      <c r="H1716" s="16"/>
      <c r="I1716" s="16"/>
      <c r="J1716" s="16"/>
      <c r="K1716" s="16"/>
      <c r="L1716" s="16"/>
      <c r="M1716" s="16"/>
    </row>
    <row r="1717" spans="1:13" x14ac:dyDescent="0.2">
      <c r="A1717" s="16"/>
      <c r="B1717" s="37"/>
      <c r="C1717" s="16"/>
      <c r="D1717" s="16"/>
      <c r="E1717" s="16"/>
      <c r="F1717" s="16"/>
      <c r="G1717" s="16"/>
      <c r="H1717" s="16"/>
      <c r="I1717" s="16"/>
      <c r="J1717" s="16"/>
      <c r="K1717" s="16"/>
      <c r="L1717" s="16"/>
      <c r="M1717" s="16"/>
    </row>
    <row r="1718" spans="1:13" x14ac:dyDescent="0.2">
      <c r="A1718" s="16"/>
      <c r="B1718" s="37"/>
      <c r="C1718" s="16"/>
      <c r="D1718" s="16"/>
      <c r="E1718" s="16"/>
      <c r="F1718" s="16"/>
      <c r="G1718" s="16"/>
      <c r="H1718" s="16"/>
      <c r="I1718" s="16"/>
      <c r="J1718" s="16"/>
      <c r="K1718" s="16"/>
      <c r="L1718" s="16"/>
      <c r="M1718" s="16"/>
    </row>
    <row r="1719" spans="1:13" x14ac:dyDescent="0.2">
      <c r="A1719" s="16"/>
      <c r="B1719" s="37"/>
      <c r="C1719" s="16"/>
      <c r="D1719" s="16"/>
      <c r="E1719" s="16"/>
      <c r="F1719" s="16"/>
      <c r="G1719" s="16"/>
      <c r="H1719" s="16"/>
      <c r="I1719" s="16"/>
      <c r="J1719" s="16"/>
      <c r="K1719" s="16"/>
      <c r="L1719" s="16"/>
      <c r="M1719" s="16"/>
    </row>
    <row r="1720" spans="1:13" x14ac:dyDescent="0.2">
      <c r="A1720" s="16"/>
      <c r="B1720" s="37"/>
      <c r="C1720" s="16"/>
      <c r="D1720" s="16"/>
      <c r="E1720" s="16"/>
      <c r="F1720" s="16"/>
      <c r="G1720" s="16"/>
      <c r="H1720" s="16"/>
      <c r="I1720" s="16"/>
      <c r="J1720" s="16"/>
      <c r="K1720" s="16"/>
      <c r="L1720" s="16"/>
      <c r="M1720" s="16"/>
    </row>
    <row r="1721" spans="1:13" x14ac:dyDescent="0.2">
      <c r="A1721" s="16"/>
      <c r="B1721" s="37"/>
      <c r="C1721" s="16"/>
      <c r="D1721" s="16"/>
      <c r="E1721" s="16"/>
      <c r="F1721" s="16"/>
      <c r="G1721" s="16"/>
      <c r="H1721" s="16"/>
      <c r="I1721" s="16"/>
      <c r="J1721" s="16"/>
      <c r="K1721" s="16"/>
      <c r="L1721" s="16"/>
      <c r="M1721" s="16"/>
    </row>
    <row r="1722" spans="1:13" x14ac:dyDescent="0.2">
      <c r="A1722" s="16"/>
      <c r="B1722" s="37"/>
      <c r="C1722" s="16"/>
      <c r="D1722" s="16"/>
      <c r="E1722" s="16"/>
      <c r="F1722" s="16"/>
      <c r="G1722" s="16"/>
      <c r="H1722" s="16"/>
      <c r="I1722" s="16"/>
      <c r="J1722" s="16"/>
      <c r="K1722" s="16"/>
      <c r="L1722" s="16"/>
      <c r="M1722" s="16"/>
    </row>
    <row r="1723" spans="1:13" x14ac:dyDescent="0.2">
      <c r="A1723" s="16"/>
      <c r="B1723" s="37"/>
      <c r="C1723" s="16"/>
      <c r="D1723" s="16"/>
      <c r="E1723" s="16"/>
      <c r="F1723" s="16"/>
      <c r="G1723" s="16"/>
      <c r="H1723" s="16"/>
      <c r="I1723" s="16"/>
      <c r="J1723" s="16"/>
      <c r="K1723" s="16"/>
      <c r="L1723" s="16"/>
      <c r="M1723" s="16"/>
    </row>
    <row r="1724" spans="1:13" x14ac:dyDescent="0.2">
      <c r="A1724" s="16"/>
      <c r="B1724" s="37"/>
      <c r="C1724" s="16"/>
      <c r="D1724" s="16"/>
      <c r="E1724" s="16"/>
      <c r="F1724" s="16"/>
      <c r="G1724" s="16"/>
      <c r="H1724" s="16"/>
      <c r="I1724" s="16"/>
      <c r="J1724" s="16"/>
      <c r="K1724" s="16"/>
      <c r="L1724" s="16"/>
      <c r="M1724" s="16"/>
    </row>
    <row r="1725" spans="1:13" x14ac:dyDescent="0.2">
      <c r="A1725" s="16"/>
      <c r="B1725" s="37"/>
      <c r="C1725" s="16"/>
      <c r="D1725" s="16"/>
      <c r="E1725" s="16"/>
      <c r="F1725" s="16"/>
      <c r="G1725" s="16"/>
      <c r="H1725" s="16"/>
      <c r="I1725" s="16"/>
      <c r="J1725" s="16"/>
      <c r="K1725" s="16"/>
      <c r="L1725" s="16"/>
      <c r="M1725" s="16"/>
    </row>
    <row r="1726" spans="1:13" x14ac:dyDescent="0.2">
      <c r="A1726" s="16"/>
      <c r="B1726" s="37"/>
      <c r="C1726" s="16"/>
      <c r="D1726" s="16"/>
      <c r="E1726" s="16"/>
      <c r="F1726" s="16"/>
      <c r="G1726" s="16"/>
      <c r="H1726" s="16"/>
      <c r="I1726" s="16"/>
      <c r="J1726" s="16"/>
      <c r="K1726" s="16"/>
      <c r="L1726" s="16"/>
      <c r="M1726" s="16"/>
    </row>
    <row r="1727" spans="1:13" x14ac:dyDescent="0.2">
      <c r="A1727" s="16"/>
      <c r="B1727" s="37"/>
      <c r="C1727" s="16"/>
      <c r="D1727" s="16"/>
      <c r="E1727" s="16"/>
      <c r="F1727" s="16"/>
      <c r="G1727" s="16"/>
      <c r="H1727" s="16"/>
      <c r="I1727" s="16"/>
      <c r="J1727" s="16"/>
      <c r="K1727" s="16"/>
      <c r="L1727" s="16"/>
      <c r="M1727" s="16"/>
    </row>
    <row r="1728" spans="1:13" x14ac:dyDescent="0.2">
      <c r="A1728" s="16"/>
      <c r="B1728" s="37"/>
      <c r="C1728" s="16"/>
      <c r="D1728" s="16"/>
      <c r="E1728" s="16"/>
      <c r="F1728" s="16"/>
      <c r="G1728" s="16"/>
      <c r="H1728" s="16"/>
      <c r="I1728" s="16"/>
      <c r="J1728" s="16"/>
      <c r="K1728" s="16"/>
      <c r="L1728" s="16"/>
      <c r="M1728" s="16"/>
    </row>
    <row r="1729" spans="1:13" x14ac:dyDescent="0.2">
      <c r="A1729" s="16"/>
      <c r="B1729" s="37"/>
      <c r="C1729" s="16"/>
      <c r="D1729" s="16"/>
      <c r="E1729" s="16"/>
      <c r="F1729" s="16"/>
      <c r="G1729" s="16"/>
      <c r="H1729" s="16"/>
      <c r="I1729" s="16"/>
      <c r="J1729" s="16"/>
      <c r="K1729" s="16"/>
      <c r="L1729" s="16"/>
      <c r="M1729" s="16"/>
    </row>
    <row r="1730" spans="1:13" x14ac:dyDescent="0.2">
      <c r="A1730" s="16"/>
      <c r="B1730" s="37"/>
      <c r="C1730" s="16"/>
      <c r="D1730" s="16"/>
      <c r="E1730" s="16"/>
      <c r="F1730" s="16"/>
      <c r="G1730" s="16"/>
      <c r="H1730" s="16"/>
      <c r="I1730" s="16"/>
      <c r="J1730" s="16"/>
      <c r="K1730" s="16"/>
      <c r="L1730" s="16"/>
      <c r="M1730" s="16"/>
    </row>
    <row r="1731" spans="1:13" x14ac:dyDescent="0.2">
      <c r="A1731" s="16"/>
      <c r="B1731" s="37"/>
      <c r="C1731" s="16"/>
      <c r="D1731" s="16"/>
      <c r="E1731" s="16"/>
      <c r="F1731" s="16"/>
      <c r="G1731" s="16"/>
      <c r="H1731" s="16"/>
      <c r="I1731" s="16"/>
      <c r="J1731" s="16"/>
      <c r="K1731" s="16"/>
      <c r="L1731" s="16"/>
      <c r="M1731" s="16"/>
    </row>
    <row r="1732" spans="1:13" x14ac:dyDescent="0.2">
      <c r="A1732" s="16"/>
      <c r="B1732" s="37"/>
      <c r="C1732" s="16"/>
      <c r="D1732" s="16"/>
      <c r="E1732" s="16"/>
      <c r="F1732" s="16"/>
      <c r="G1732" s="16"/>
      <c r="H1732" s="16"/>
      <c r="I1732" s="16"/>
      <c r="J1732" s="16"/>
      <c r="K1732" s="16"/>
      <c r="L1732" s="16"/>
      <c r="M1732" s="16"/>
    </row>
    <row r="1733" spans="1:13" x14ac:dyDescent="0.2">
      <c r="A1733" s="16"/>
      <c r="B1733" s="37"/>
      <c r="C1733" s="16"/>
      <c r="D1733" s="16"/>
      <c r="E1733" s="16"/>
      <c r="F1733" s="16"/>
      <c r="G1733" s="16"/>
      <c r="H1733" s="16"/>
      <c r="I1733" s="16"/>
      <c r="J1733" s="16"/>
      <c r="K1733" s="16"/>
      <c r="L1733" s="16"/>
      <c r="M1733" s="16"/>
    </row>
    <row r="1734" spans="1:13" x14ac:dyDescent="0.2">
      <c r="A1734" s="16"/>
      <c r="B1734" s="37"/>
      <c r="C1734" s="16"/>
      <c r="D1734" s="16"/>
      <c r="E1734" s="16"/>
      <c r="F1734" s="16"/>
      <c r="G1734" s="16"/>
      <c r="H1734" s="16"/>
      <c r="I1734" s="16"/>
      <c r="J1734" s="16"/>
      <c r="K1734" s="16"/>
      <c r="L1734" s="16"/>
      <c r="M1734" s="16"/>
    </row>
    <row r="1735" spans="1:13" x14ac:dyDescent="0.2">
      <c r="A1735" s="16"/>
      <c r="B1735" s="37"/>
      <c r="C1735" s="16"/>
      <c r="D1735" s="16"/>
      <c r="E1735" s="16"/>
      <c r="F1735" s="16"/>
      <c r="G1735" s="16"/>
      <c r="H1735" s="16"/>
      <c r="I1735" s="16"/>
      <c r="J1735" s="16"/>
      <c r="K1735" s="16"/>
      <c r="L1735" s="16"/>
      <c r="M1735" s="16"/>
    </row>
    <row r="1736" spans="1:13" x14ac:dyDescent="0.2">
      <c r="A1736" s="16"/>
      <c r="B1736" s="37"/>
      <c r="C1736" s="16"/>
      <c r="D1736" s="16"/>
      <c r="E1736" s="16"/>
      <c r="F1736" s="16"/>
      <c r="G1736" s="16"/>
      <c r="H1736" s="16"/>
      <c r="I1736" s="16"/>
      <c r="J1736" s="16"/>
      <c r="K1736" s="16"/>
      <c r="L1736" s="16"/>
      <c r="M1736" s="16"/>
    </row>
    <row r="1737" spans="1:13" x14ac:dyDescent="0.2">
      <c r="A1737" s="16"/>
      <c r="B1737" s="37"/>
      <c r="C1737" s="16"/>
      <c r="D1737" s="16"/>
      <c r="E1737" s="16"/>
      <c r="F1737" s="16"/>
      <c r="G1737" s="16"/>
      <c r="H1737" s="16"/>
      <c r="I1737" s="16"/>
      <c r="J1737" s="16"/>
      <c r="K1737" s="16"/>
      <c r="L1737" s="16"/>
      <c r="M1737" s="16"/>
    </row>
    <row r="1738" spans="1:13" x14ac:dyDescent="0.2">
      <c r="A1738" s="16"/>
      <c r="B1738" s="37"/>
      <c r="C1738" s="16"/>
      <c r="D1738" s="16"/>
      <c r="E1738" s="16"/>
      <c r="F1738" s="16"/>
      <c r="G1738" s="16"/>
      <c r="H1738" s="16"/>
      <c r="I1738" s="16"/>
      <c r="J1738" s="16"/>
      <c r="K1738" s="16"/>
      <c r="L1738" s="16"/>
      <c r="M1738" s="16"/>
    </row>
    <row r="1739" spans="1:13" x14ac:dyDescent="0.2">
      <c r="A1739" s="16"/>
      <c r="B1739" s="37"/>
      <c r="C1739" s="16"/>
      <c r="D1739" s="16"/>
      <c r="E1739" s="16"/>
      <c r="F1739" s="16"/>
      <c r="G1739" s="16"/>
      <c r="H1739" s="16"/>
      <c r="I1739" s="16"/>
      <c r="J1739" s="16"/>
      <c r="K1739" s="16"/>
      <c r="L1739" s="16"/>
      <c r="M1739" s="16"/>
    </row>
    <row r="1740" spans="1:13" x14ac:dyDescent="0.2">
      <c r="A1740" s="16"/>
      <c r="B1740" s="37"/>
      <c r="C1740" s="16"/>
      <c r="D1740" s="16"/>
      <c r="E1740" s="16"/>
      <c r="F1740" s="16"/>
      <c r="G1740" s="16"/>
      <c r="H1740" s="16"/>
      <c r="I1740" s="16"/>
      <c r="J1740" s="16"/>
      <c r="K1740" s="16"/>
      <c r="L1740" s="16"/>
      <c r="M1740" s="16"/>
    </row>
    <row r="1741" spans="1:13" x14ac:dyDescent="0.2">
      <c r="A1741" s="16"/>
      <c r="B1741" s="37"/>
      <c r="C1741" s="16"/>
      <c r="D1741" s="16"/>
      <c r="E1741" s="16"/>
      <c r="F1741" s="16"/>
      <c r="G1741" s="16"/>
      <c r="H1741" s="16"/>
      <c r="I1741" s="16"/>
      <c r="J1741" s="16"/>
      <c r="K1741" s="16"/>
      <c r="L1741" s="16"/>
      <c r="M1741" s="16"/>
    </row>
    <row r="1742" spans="1:13" x14ac:dyDescent="0.2">
      <c r="A1742" s="16"/>
      <c r="B1742" s="37"/>
      <c r="C1742" s="16"/>
      <c r="D1742" s="16"/>
      <c r="E1742" s="16"/>
      <c r="F1742" s="16"/>
      <c r="G1742" s="16"/>
      <c r="H1742" s="16"/>
      <c r="I1742" s="16"/>
      <c r="J1742" s="16"/>
      <c r="K1742" s="16"/>
      <c r="L1742" s="16"/>
      <c r="M1742" s="16"/>
    </row>
    <row r="1743" spans="1:13" x14ac:dyDescent="0.2">
      <c r="A1743" s="16"/>
      <c r="B1743" s="37"/>
      <c r="C1743" s="16"/>
      <c r="D1743" s="16"/>
      <c r="E1743" s="16"/>
      <c r="F1743" s="16"/>
      <c r="G1743" s="16"/>
      <c r="H1743" s="16"/>
      <c r="I1743" s="16"/>
      <c r="J1743" s="16"/>
      <c r="K1743" s="16"/>
      <c r="L1743" s="16"/>
      <c r="M1743" s="16"/>
    </row>
    <row r="1744" spans="1:13" x14ac:dyDescent="0.2">
      <c r="A1744" s="16"/>
      <c r="B1744" s="37"/>
      <c r="C1744" s="16"/>
      <c r="D1744" s="16"/>
      <c r="E1744" s="16"/>
      <c r="F1744" s="16"/>
      <c r="G1744" s="16"/>
      <c r="H1744" s="16"/>
      <c r="I1744" s="16"/>
      <c r="J1744" s="16"/>
      <c r="K1744" s="16"/>
      <c r="L1744" s="16"/>
      <c r="M1744" s="16"/>
    </row>
    <row r="1745" spans="1:13" x14ac:dyDescent="0.2">
      <c r="A1745" s="16"/>
      <c r="B1745" s="37"/>
      <c r="C1745" s="16"/>
      <c r="D1745" s="16"/>
      <c r="E1745" s="16"/>
      <c r="F1745" s="16"/>
      <c r="G1745" s="16"/>
      <c r="H1745" s="16"/>
      <c r="I1745" s="16"/>
      <c r="J1745" s="16"/>
      <c r="K1745" s="16"/>
      <c r="L1745" s="16"/>
      <c r="M1745" s="16"/>
    </row>
    <row r="1746" spans="1:13" x14ac:dyDescent="0.2">
      <c r="A1746" s="16"/>
      <c r="B1746" s="37"/>
      <c r="C1746" s="16"/>
      <c r="D1746" s="16"/>
      <c r="E1746" s="16"/>
      <c r="F1746" s="16"/>
      <c r="G1746" s="16"/>
      <c r="H1746" s="16"/>
      <c r="I1746" s="16"/>
      <c r="J1746" s="16"/>
      <c r="K1746" s="16"/>
      <c r="L1746" s="16"/>
      <c r="M1746" s="16"/>
    </row>
    <row r="1747" spans="1:13" x14ac:dyDescent="0.2">
      <c r="A1747" s="16"/>
      <c r="B1747" s="37"/>
      <c r="C1747" s="16"/>
      <c r="D1747" s="16"/>
      <c r="E1747" s="16"/>
      <c r="F1747" s="16"/>
      <c r="G1747" s="16"/>
      <c r="H1747" s="16"/>
      <c r="I1747" s="16"/>
      <c r="J1747" s="16"/>
      <c r="K1747" s="16"/>
      <c r="L1747" s="16"/>
      <c r="M1747" s="16"/>
    </row>
    <row r="1748" spans="1:13" x14ac:dyDescent="0.2">
      <c r="A1748" s="16"/>
      <c r="B1748" s="37"/>
      <c r="C1748" s="16"/>
      <c r="D1748" s="16"/>
      <c r="E1748" s="16"/>
      <c r="F1748" s="16"/>
      <c r="G1748" s="16"/>
      <c r="H1748" s="16"/>
      <c r="I1748" s="16"/>
      <c r="J1748" s="16"/>
      <c r="K1748" s="16"/>
      <c r="L1748" s="16"/>
      <c r="M1748" s="16"/>
    </row>
    <row r="1749" spans="1:13" x14ac:dyDescent="0.2">
      <c r="A1749" s="16"/>
      <c r="B1749" s="37"/>
      <c r="C1749" s="16"/>
      <c r="D1749" s="16"/>
      <c r="E1749" s="16"/>
      <c r="F1749" s="16"/>
      <c r="G1749" s="16"/>
      <c r="H1749" s="16"/>
      <c r="I1749" s="16"/>
      <c r="J1749" s="16"/>
      <c r="K1749" s="16"/>
      <c r="L1749" s="16"/>
      <c r="M1749" s="16"/>
    </row>
    <row r="1750" spans="1:13" x14ac:dyDescent="0.2">
      <c r="A1750" s="16"/>
      <c r="B1750" s="37"/>
      <c r="C1750" s="16"/>
      <c r="D1750" s="16"/>
      <c r="E1750" s="16"/>
      <c r="F1750" s="16"/>
      <c r="G1750" s="16"/>
      <c r="H1750" s="16"/>
      <c r="I1750" s="16"/>
      <c r="J1750" s="16"/>
      <c r="K1750" s="16"/>
      <c r="L1750" s="16"/>
      <c r="M1750" s="16"/>
    </row>
    <row r="1751" spans="1:13" x14ac:dyDescent="0.2">
      <c r="A1751" s="16"/>
      <c r="B1751" s="37"/>
      <c r="C1751" s="16"/>
      <c r="D1751" s="16"/>
      <c r="E1751" s="16"/>
      <c r="F1751" s="16"/>
      <c r="G1751" s="16"/>
      <c r="H1751" s="16"/>
      <c r="I1751" s="16"/>
      <c r="J1751" s="16"/>
      <c r="K1751" s="16"/>
      <c r="L1751" s="16"/>
      <c r="M1751" s="16"/>
    </row>
    <row r="1752" spans="1:13" x14ac:dyDescent="0.2">
      <c r="A1752" s="16"/>
      <c r="B1752" s="37"/>
      <c r="C1752" s="16"/>
      <c r="D1752" s="16"/>
      <c r="E1752" s="16"/>
      <c r="F1752" s="16"/>
      <c r="G1752" s="16"/>
      <c r="H1752" s="16"/>
      <c r="I1752" s="16"/>
      <c r="J1752" s="16"/>
      <c r="K1752" s="16"/>
      <c r="L1752" s="16"/>
      <c r="M1752" s="16"/>
    </row>
    <row r="1753" spans="1:13" x14ac:dyDescent="0.2">
      <c r="A1753" s="16"/>
      <c r="B1753" s="37"/>
      <c r="C1753" s="16"/>
      <c r="D1753" s="16"/>
      <c r="E1753" s="16"/>
      <c r="F1753" s="16"/>
      <c r="G1753" s="16"/>
      <c r="H1753" s="16"/>
      <c r="I1753" s="16"/>
      <c r="J1753" s="16"/>
      <c r="K1753" s="16"/>
      <c r="L1753" s="16"/>
      <c r="M1753" s="16"/>
    </row>
    <row r="1754" spans="1:13" x14ac:dyDescent="0.2">
      <c r="A1754" s="16"/>
      <c r="B1754" s="37"/>
      <c r="C1754" s="16"/>
      <c r="D1754" s="16"/>
      <c r="E1754" s="16"/>
      <c r="F1754" s="16"/>
      <c r="G1754" s="16"/>
      <c r="H1754" s="16"/>
      <c r="I1754" s="16"/>
      <c r="J1754" s="16"/>
      <c r="K1754" s="16"/>
      <c r="L1754" s="16"/>
      <c r="M1754" s="16"/>
    </row>
    <row r="1755" spans="1:13" x14ac:dyDescent="0.2">
      <c r="A1755" s="16"/>
      <c r="B1755" s="37"/>
      <c r="C1755" s="16"/>
      <c r="D1755" s="16"/>
      <c r="E1755" s="16"/>
      <c r="F1755" s="16"/>
      <c r="G1755" s="16"/>
      <c r="H1755" s="16"/>
      <c r="I1755" s="16"/>
      <c r="J1755" s="16"/>
      <c r="K1755" s="16"/>
      <c r="L1755" s="16"/>
      <c r="M1755" s="16"/>
    </row>
    <row r="1756" spans="1:13" x14ac:dyDescent="0.2">
      <c r="A1756" s="16"/>
      <c r="B1756" s="37"/>
      <c r="C1756" s="16"/>
      <c r="D1756" s="16"/>
      <c r="E1756" s="16"/>
      <c r="F1756" s="16"/>
      <c r="G1756" s="16"/>
      <c r="H1756" s="16"/>
      <c r="I1756" s="16"/>
      <c r="J1756" s="16"/>
      <c r="K1756" s="16"/>
      <c r="L1756" s="16"/>
      <c r="M1756" s="16"/>
    </row>
    <row r="1757" spans="1:13" x14ac:dyDescent="0.2">
      <c r="A1757" s="16"/>
      <c r="B1757" s="37"/>
      <c r="C1757" s="16"/>
      <c r="D1757" s="16"/>
      <c r="E1757" s="16"/>
      <c r="F1757" s="16"/>
      <c r="G1757" s="16"/>
      <c r="H1757" s="16"/>
      <c r="I1757" s="16"/>
      <c r="J1757" s="16"/>
      <c r="K1757" s="16"/>
      <c r="L1757" s="16"/>
      <c r="M1757" s="16"/>
    </row>
    <row r="1758" spans="1:13" x14ac:dyDescent="0.2">
      <c r="A1758" s="16"/>
      <c r="B1758" s="37"/>
      <c r="C1758" s="16"/>
      <c r="D1758" s="16"/>
      <c r="E1758" s="16"/>
      <c r="F1758" s="16"/>
      <c r="G1758" s="16"/>
      <c r="H1758" s="16"/>
      <c r="I1758" s="16"/>
      <c r="J1758" s="16"/>
      <c r="K1758" s="16"/>
      <c r="L1758" s="16"/>
      <c r="M1758" s="16"/>
    </row>
    <row r="1759" spans="1:13" x14ac:dyDescent="0.2">
      <c r="A1759" s="16"/>
      <c r="B1759" s="37"/>
      <c r="C1759" s="16"/>
      <c r="D1759" s="16"/>
      <c r="E1759" s="16"/>
      <c r="F1759" s="16"/>
      <c r="G1759" s="16"/>
      <c r="H1759" s="16"/>
      <c r="I1759" s="16"/>
      <c r="J1759" s="16"/>
      <c r="K1759" s="16"/>
      <c r="L1759" s="16"/>
      <c r="M1759" s="16"/>
    </row>
    <row r="1760" spans="1:13" x14ac:dyDescent="0.2">
      <c r="A1760" s="16"/>
      <c r="B1760" s="37"/>
      <c r="C1760" s="16"/>
      <c r="D1760" s="16"/>
      <c r="E1760" s="16"/>
      <c r="F1760" s="16"/>
      <c r="G1760" s="16"/>
      <c r="H1760" s="16"/>
      <c r="I1760" s="16"/>
      <c r="J1760" s="16"/>
      <c r="K1760" s="16"/>
      <c r="L1760" s="16"/>
      <c r="M1760" s="16"/>
    </row>
    <row r="1761" spans="1:13" x14ac:dyDescent="0.2">
      <c r="A1761" s="16"/>
      <c r="B1761" s="37"/>
      <c r="C1761" s="16"/>
      <c r="D1761" s="16"/>
      <c r="E1761" s="16"/>
      <c r="F1761" s="16"/>
      <c r="G1761" s="16"/>
      <c r="H1761" s="16"/>
      <c r="I1761" s="16"/>
      <c r="J1761" s="16"/>
      <c r="K1761" s="16"/>
      <c r="L1761" s="16"/>
      <c r="M1761" s="16"/>
    </row>
    <row r="1762" spans="1:13" x14ac:dyDescent="0.2">
      <c r="A1762" s="16"/>
      <c r="B1762" s="37"/>
      <c r="C1762" s="16"/>
      <c r="D1762" s="16"/>
      <c r="E1762" s="16"/>
      <c r="F1762" s="16"/>
      <c r="G1762" s="16"/>
      <c r="H1762" s="16"/>
      <c r="I1762" s="16"/>
      <c r="J1762" s="16"/>
      <c r="K1762" s="16"/>
      <c r="L1762" s="16"/>
      <c r="M1762" s="16"/>
    </row>
    <row r="1763" spans="1:13" x14ac:dyDescent="0.2">
      <c r="A1763" s="16"/>
      <c r="B1763" s="37"/>
      <c r="C1763" s="16"/>
      <c r="D1763" s="16"/>
      <c r="E1763" s="16"/>
      <c r="F1763" s="16"/>
      <c r="G1763" s="16"/>
      <c r="H1763" s="16"/>
      <c r="I1763" s="16"/>
      <c r="J1763" s="16"/>
      <c r="K1763" s="16"/>
      <c r="L1763" s="16"/>
      <c r="M1763" s="16"/>
    </row>
    <row r="1764" spans="1:13" x14ac:dyDescent="0.2">
      <c r="A1764" s="16"/>
      <c r="B1764" s="37"/>
      <c r="C1764" s="16"/>
      <c r="D1764" s="16"/>
      <c r="E1764" s="16"/>
      <c r="F1764" s="16"/>
      <c r="G1764" s="16"/>
      <c r="H1764" s="16"/>
      <c r="I1764" s="16"/>
      <c r="J1764" s="16"/>
      <c r="K1764" s="16"/>
      <c r="L1764" s="16"/>
      <c r="M1764" s="16"/>
    </row>
    <row r="1765" spans="1:13" x14ac:dyDescent="0.2">
      <c r="A1765" s="16"/>
      <c r="B1765" s="37"/>
      <c r="C1765" s="16"/>
      <c r="D1765" s="16"/>
      <c r="E1765" s="16"/>
      <c r="F1765" s="16"/>
      <c r="G1765" s="16"/>
      <c r="H1765" s="16"/>
      <c r="I1765" s="16"/>
      <c r="J1765" s="16"/>
      <c r="K1765" s="16"/>
      <c r="L1765" s="16"/>
      <c r="M1765" s="16"/>
    </row>
    <row r="1766" spans="1:13" x14ac:dyDescent="0.2">
      <c r="A1766" s="16"/>
      <c r="B1766" s="37"/>
      <c r="C1766" s="16"/>
      <c r="D1766" s="16"/>
      <c r="E1766" s="16"/>
      <c r="F1766" s="16"/>
      <c r="G1766" s="16"/>
      <c r="H1766" s="16"/>
      <c r="I1766" s="16"/>
      <c r="J1766" s="16"/>
      <c r="K1766" s="16"/>
      <c r="L1766" s="16"/>
      <c r="M1766" s="16"/>
    </row>
    <row r="1767" spans="1:13" x14ac:dyDescent="0.2">
      <c r="A1767" s="16"/>
      <c r="B1767" s="37"/>
      <c r="C1767" s="16"/>
      <c r="D1767" s="16"/>
      <c r="E1767" s="16"/>
      <c r="F1767" s="16"/>
      <c r="G1767" s="16"/>
      <c r="H1767" s="16"/>
      <c r="I1767" s="16"/>
      <c r="J1767" s="16"/>
      <c r="K1767" s="16"/>
      <c r="L1767" s="16"/>
      <c r="M1767" s="16"/>
    </row>
    <row r="1768" spans="1:13" x14ac:dyDescent="0.2">
      <c r="A1768" s="16"/>
      <c r="B1768" s="37"/>
      <c r="C1768" s="16"/>
      <c r="D1768" s="16"/>
      <c r="E1768" s="16"/>
      <c r="F1768" s="16"/>
      <c r="G1768" s="16"/>
      <c r="H1768" s="16"/>
      <c r="I1768" s="16"/>
      <c r="J1768" s="16"/>
      <c r="K1768" s="16"/>
      <c r="L1768" s="16"/>
      <c r="M1768" s="16"/>
    </row>
    <row r="1769" spans="1:13" x14ac:dyDescent="0.2">
      <c r="A1769" s="16"/>
      <c r="B1769" s="37"/>
      <c r="C1769" s="16"/>
      <c r="D1769" s="16"/>
      <c r="E1769" s="16"/>
      <c r="F1769" s="16"/>
      <c r="G1769" s="16"/>
      <c r="H1769" s="16"/>
      <c r="I1769" s="16"/>
      <c r="J1769" s="16"/>
      <c r="K1769" s="16"/>
      <c r="L1769" s="16"/>
      <c r="M1769" s="16"/>
    </row>
    <row r="1770" spans="1:13" x14ac:dyDescent="0.2">
      <c r="A1770" s="16"/>
      <c r="B1770" s="37"/>
      <c r="C1770" s="16"/>
      <c r="D1770" s="16"/>
      <c r="E1770" s="16"/>
      <c r="F1770" s="16"/>
      <c r="G1770" s="16"/>
      <c r="H1770" s="16"/>
      <c r="I1770" s="16"/>
      <c r="J1770" s="16"/>
      <c r="K1770" s="16"/>
      <c r="L1770" s="16"/>
      <c r="M1770" s="16"/>
    </row>
    <row r="1771" spans="1:13" x14ac:dyDescent="0.2">
      <c r="A1771" s="16"/>
      <c r="B1771" s="37"/>
      <c r="C1771" s="16"/>
      <c r="D1771" s="16"/>
      <c r="E1771" s="16"/>
      <c r="F1771" s="16"/>
      <c r="G1771" s="16"/>
      <c r="H1771" s="16"/>
      <c r="I1771" s="16"/>
      <c r="J1771" s="16"/>
      <c r="K1771" s="16"/>
      <c r="L1771" s="16"/>
      <c r="M1771" s="16"/>
    </row>
    <row r="1772" spans="1:13" x14ac:dyDescent="0.2">
      <c r="A1772" s="16"/>
      <c r="B1772" s="37"/>
      <c r="C1772" s="16"/>
      <c r="D1772" s="16"/>
      <c r="E1772" s="16"/>
      <c r="F1772" s="16"/>
      <c r="G1772" s="16"/>
      <c r="H1772" s="16"/>
      <c r="I1772" s="16"/>
      <c r="J1772" s="16"/>
      <c r="K1772" s="16"/>
      <c r="L1772" s="16"/>
      <c r="M1772" s="16"/>
    </row>
    <row r="1773" spans="1:13" x14ac:dyDescent="0.2">
      <c r="A1773" s="16"/>
      <c r="B1773" s="37"/>
      <c r="C1773" s="16"/>
      <c r="D1773" s="16"/>
      <c r="E1773" s="16"/>
      <c r="F1773" s="16"/>
      <c r="G1773" s="16"/>
      <c r="H1773" s="16"/>
      <c r="I1773" s="16"/>
      <c r="J1773" s="16"/>
      <c r="K1773" s="16"/>
      <c r="L1773" s="16"/>
      <c r="M1773" s="16"/>
    </row>
    <row r="1774" spans="1:13" x14ac:dyDescent="0.2">
      <c r="A1774" s="16"/>
      <c r="B1774" s="37"/>
      <c r="C1774" s="16"/>
      <c r="D1774" s="16"/>
      <c r="E1774" s="16"/>
      <c r="F1774" s="16"/>
      <c r="G1774" s="16"/>
      <c r="H1774" s="16"/>
      <c r="I1774" s="16"/>
      <c r="J1774" s="16"/>
      <c r="K1774" s="16"/>
      <c r="L1774" s="16"/>
      <c r="M1774" s="16"/>
    </row>
    <row r="1775" spans="1:13" x14ac:dyDescent="0.2">
      <c r="A1775" s="16"/>
      <c r="B1775" s="37"/>
      <c r="C1775" s="16"/>
      <c r="D1775" s="16"/>
      <c r="E1775" s="16"/>
      <c r="F1775" s="16"/>
      <c r="G1775" s="16"/>
      <c r="H1775" s="16"/>
      <c r="I1775" s="16"/>
      <c r="J1775" s="16"/>
      <c r="K1775" s="16"/>
      <c r="L1775" s="16"/>
      <c r="M1775" s="16"/>
    </row>
    <row r="1776" spans="1:13" x14ac:dyDescent="0.2">
      <c r="A1776" s="16"/>
      <c r="B1776" s="37"/>
      <c r="C1776" s="16"/>
      <c r="D1776" s="16"/>
      <c r="E1776" s="16"/>
      <c r="F1776" s="16"/>
      <c r="G1776" s="16"/>
      <c r="H1776" s="16"/>
      <c r="I1776" s="16"/>
      <c r="J1776" s="16"/>
      <c r="K1776" s="16"/>
      <c r="L1776" s="16"/>
      <c r="M1776" s="16"/>
    </row>
    <row r="1777" spans="1:13" x14ac:dyDescent="0.2">
      <c r="A1777" s="16"/>
      <c r="B1777" s="37"/>
      <c r="C1777" s="16"/>
      <c r="D1777" s="16"/>
      <c r="E1777" s="16"/>
      <c r="F1777" s="16"/>
      <c r="G1777" s="16"/>
      <c r="H1777" s="16"/>
      <c r="I1777" s="16"/>
      <c r="J1777" s="16"/>
      <c r="K1777" s="16"/>
      <c r="L1777" s="16"/>
      <c r="M1777" s="16"/>
    </row>
    <row r="1778" spans="1:13" x14ac:dyDescent="0.2">
      <c r="A1778" s="16"/>
      <c r="B1778" s="37"/>
      <c r="C1778" s="16"/>
      <c r="D1778" s="16"/>
      <c r="E1778" s="16"/>
      <c r="F1778" s="16"/>
      <c r="G1778" s="16"/>
      <c r="H1778" s="16"/>
      <c r="I1778" s="16"/>
      <c r="J1778" s="16"/>
      <c r="K1778" s="16"/>
      <c r="L1778" s="16"/>
      <c r="M1778" s="16"/>
    </row>
    <row r="1779" spans="1:13" x14ac:dyDescent="0.2">
      <c r="A1779" s="16"/>
      <c r="B1779" s="37"/>
      <c r="C1779" s="16"/>
      <c r="D1779" s="16"/>
      <c r="E1779" s="16"/>
      <c r="F1779" s="16"/>
      <c r="G1779" s="16"/>
      <c r="H1779" s="16"/>
      <c r="I1779" s="16"/>
      <c r="J1779" s="16"/>
      <c r="K1779" s="16"/>
      <c r="L1779" s="16"/>
      <c r="M1779" s="16"/>
    </row>
    <row r="1780" spans="1:13" x14ac:dyDescent="0.2">
      <c r="A1780" s="16"/>
      <c r="B1780" s="37"/>
      <c r="C1780" s="16"/>
      <c r="D1780" s="16"/>
      <c r="E1780" s="16"/>
      <c r="F1780" s="16"/>
      <c r="G1780" s="16"/>
      <c r="H1780" s="16"/>
      <c r="I1780" s="16"/>
      <c r="J1780" s="16"/>
      <c r="K1780" s="16"/>
      <c r="L1780" s="16"/>
      <c r="M1780" s="16"/>
    </row>
    <row r="1781" spans="1:13" x14ac:dyDescent="0.2">
      <c r="A1781" s="16"/>
      <c r="B1781" s="37"/>
      <c r="C1781" s="16"/>
      <c r="D1781" s="16"/>
      <c r="E1781" s="16"/>
      <c r="F1781" s="16"/>
      <c r="G1781" s="16"/>
      <c r="H1781" s="16"/>
      <c r="I1781" s="16"/>
      <c r="J1781" s="16"/>
      <c r="K1781" s="16"/>
      <c r="L1781" s="16"/>
      <c r="M1781" s="16"/>
    </row>
    <row r="1782" spans="1:13" x14ac:dyDescent="0.2">
      <c r="A1782" s="16"/>
      <c r="B1782" s="37"/>
      <c r="C1782" s="16"/>
      <c r="D1782" s="16"/>
      <c r="E1782" s="16"/>
      <c r="F1782" s="16"/>
      <c r="G1782" s="16"/>
      <c r="H1782" s="16"/>
      <c r="I1782" s="16"/>
      <c r="J1782" s="16"/>
      <c r="K1782" s="16"/>
      <c r="L1782" s="16"/>
      <c r="M1782" s="16"/>
    </row>
    <row r="1783" spans="1:13" x14ac:dyDescent="0.2">
      <c r="A1783" s="16"/>
      <c r="B1783" s="37"/>
      <c r="C1783" s="16"/>
      <c r="D1783" s="16"/>
      <c r="E1783" s="16"/>
      <c r="F1783" s="16"/>
      <c r="G1783" s="16"/>
      <c r="H1783" s="16"/>
      <c r="I1783" s="16"/>
      <c r="J1783" s="16"/>
      <c r="K1783" s="16"/>
      <c r="L1783" s="16"/>
      <c r="M1783" s="16"/>
    </row>
    <row r="1784" spans="1:13" x14ac:dyDescent="0.2">
      <c r="A1784" s="16"/>
      <c r="B1784" s="37"/>
      <c r="C1784" s="16"/>
      <c r="D1784" s="16"/>
      <c r="E1784" s="16"/>
      <c r="F1784" s="16"/>
      <c r="G1784" s="16"/>
      <c r="H1784" s="16"/>
      <c r="I1784" s="16"/>
      <c r="J1784" s="16"/>
      <c r="K1784" s="16"/>
      <c r="L1784" s="16"/>
      <c r="M1784" s="16"/>
    </row>
    <row r="1785" spans="1:13" x14ac:dyDescent="0.2">
      <c r="A1785" s="16"/>
      <c r="B1785" s="37"/>
      <c r="C1785" s="16"/>
      <c r="D1785" s="16"/>
      <c r="E1785" s="16"/>
      <c r="F1785" s="16"/>
      <c r="G1785" s="16"/>
      <c r="H1785" s="16"/>
      <c r="I1785" s="16"/>
      <c r="J1785" s="16"/>
      <c r="K1785" s="16"/>
      <c r="L1785" s="16"/>
      <c r="M1785" s="16"/>
    </row>
    <row r="1786" spans="1:13" x14ac:dyDescent="0.2">
      <c r="A1786" s="16"/>
      <c r="B1786" s="37"/>
      <c r="C1786" s="16"/>
      <c r="D1786" s="16"/>
      <c r="E1786" s="16"/>
      <c r="F1786" s="16"/>
      <c r="G1786" s="16"/>
      <c r="H1786" s="16"/>
      <c r="I1786" s="16"/>
      <c r="J1786" s="16"/>
      <c r="K1786" s="16"/>
      <c r="L1786" s="16"/>
      <c r="M1786" s="16"/>
    </row>
    <row r="1787" spans="1:13" x14ac:dyDescent="0.2">
      <c r="A1787" s="16"/>
      <c r="B1787" s="37"/>
      <c r="C1787" s="16"/>
      <c r="D1787" s="16"/>
      <c r="E1787" s="16"/>
      <c r="F1787" s="16"/>
      <c r="G1787" s="16"/>
      <c r="H1787" s="16"/>
      <c r="I1787" s="16"/>
      <c r="J1787" s="16"/>
      <c r="K1787" s="16"/>
      <c r="L1787" s="16"/>
      <c r="M1787" s="16"/>
    </row>
    <row r="1788" spans="1:13" x14ac:dyDescent="0.2">
      <c r="A1788" s="16"/>
      <c r="B1788" s="37"/>
      <c r="C1788" s="16"/>
      <c r="D1788" s="16"/>
      <c r="E1788" s="16"/>
      <c r="F1788" s="16"/>
      <c r="G1788" s="16"/>
      <c r="H1788" s="16"/>
      <c r="I1788" s="16"/>
      <c r="J1788" s="16"/>
      <c r="K1788" s="16"/>
      <c r="L1788" s="16"/>
      <c r="M1788" s="16"/>
    </row>
    <row r="1789" spans="1:13" x14ac:dyDescent="0.2">
      <c r="A1789" s="16"/>
      <c r="B1789" s="37"/>
      <c r="C1789" s="16"/>
      <c r="D1789" s="16"/>
      <c r="E1789" s="16"/>
      <c r="F1789" s="16"/>
      <c r="G1789" s="16"/>
      <c r="H1789" s="16"/>
      <c r="I1789" s="16"/>
      <c r="J1789" s="16"/>
      <c r="K1789" s="16"/>
      <c r="L1789" s="16"/>
      <c r="M1789" s="16"/>
    </row>
    <row r="1790" spans="1:13" x14ac:dyDescent="0.2">
      <c r="A1790" s="16"/>
      <c r="B1790" s="37"/>
      <c r="C1790" s="16"/>
      <c r="D1790" s="16"/>
      <c r="E1790" s="16"/>
      <c r="F1790" s="16"/>
      <c r="G1790" s="16"/>
      <c r="H1790" s="16"/>
      <c r="I1790" s="16"/>
      <c r="J1790" s="16"/>
      <c r="K1790" s="16"/>
      <c r="L1790" s="16"/>
      <c r="M1790" s="16"/>
    </row>
    <row r="1791" spans="1:13" x14ac:dyDescent="0.2">
      <c r="A1791" s="16"/>
      <c r="B1791" s="37"/>
      <c r="C1791" s="16"/>
      <c r="D1791" s="16"/>
      <c r="E1791" s="16"/>
      <c r="F1791" s="16"/>
      <c r="G1791" s="16"/>
      <c r="H1791" s="16"/>
      <c r="I1791" s="16"/>
      <c r="J1791" s="16"/>
      <c r="K1791" s="16"/>
      <c r="L1791" s="16"/>
      <c r="M1791" s="16"/>
    </row>
    <row r="1792" spans="1:13" x14ac:dyDescent="0.2">
      <c r="A1792" s="16"/>
      <c r="B1792" s="37"/>
      <c r="C1792" s="16"/>
      <c r="D1792" s="16"/>
      <c r="E1792" s="16"/>
      <c r="F1792" s="16"/>
      <c r="G1792" s="16"/>
      <c r="H1792" s="16"/>
      <c r="I1792" s="16"/>
      <c r="J1792" s="16"/>
      <c r="K1792" s="16"/>
      <c r="L1792" s="16"/>
      <c r="M1792" s="16"/>
    </row>
    <row r="1793" spans="1:13" x14ac:dyDescent="0.2">
      <c r="A1793" s="16"/>
      <c r="B1793" s="37"/>
      <c r="C1793" s="16"/>
      <c r="D1793" s="16"/>
      <c r="E1793" s="16"/>
      <c r="F1793" s="16"/>
      <c r="G1793" s="16"/>
      <c r="H1793" s="16"/>
      <c r="I1793" s="16"/>
      <c r="J1793" s="16"/>
      <c r="K1793" s="16"/>
      <c r="L1793" s="16"/>
      <c r="M1793" s="16"/>
    </row>
    <row r="1794" spans="1:13" x14ac:dyDescent="0.2">
      <c r="A1794" s="16"/>
      <c r="B1794" s="37"/>
      <c r="C1794" s="16"/>
      <c r="D1794" s="16"/>
      <c r="E1794" s="16"/>
      <c r="F1794" s="16"/>
      <c r="G1794" s="16"/>
      <c r="H1794" s="16"/>
      <c r="I1794" s="16"/>
      <c r="J1794" s="16"/>
      <c r="K1794" s="16"/>
      <c r="L1794" s="16"/>
      <c r="M1794" s="16"/>
    </row>
    <row r="1795" spans="1:13" x14ac:dyDescent="0.2">
      <c r="A1795" s="16"/>
      <c r="B1795" s="37"/>
      <c r="C1795" s="16"/>
      <c r="D1795" s="16"/>
      <c r="E1795" s="16"/>
      <c r="F1795" s="16"/>
      <c r="G1795" s="16"/>
      <c r="H1795" s="16"/>
      <c r="I1795" s="16"/>
      <c r="J1795" s="16"/>
      <c r="K1795" s="16"/>
      <c r="L1795" s="16"/>
      <c r="M1795" s="16"/>
    </row>
    <row r="1796" spans="1:13" x14ac:dyDescent="0.2">
      <c r="A1796" s="16"/>
      <c r="B1796" s="37"/>
      <c r="C1796" s="16"/>
      <c r="D1796" s="16"/>
      <c r="E1796" s="16"/>
      <c r="F1796" s="16"/>
      <c r="G1796" s="16"/>
      <c r="H1796" s="16"/>
      <c r="I1796" s="16"/>
      <c r="J1796" s="16"/>
      <c r="K1796" s="16"/>
      <c r="L1796" s="16"/>
      <c r="M1796" s="16"/>
    </row>
    <row r="1797" spans="1:13" x14ac:dyDescent="0.2">
      <c r="A1797" s="16"/>
      <c r="B1797" s="37"/>
      <c r="C1797" s="16"/>
      <c r="D1797" s="16"/>
      <c r="E1797" s="16"/>
      <c r="F1797" s="16"/>
      <c r="G1797" s="16"/>
      <c r="H1797" s="16"/>
      <c r="I1797" s="16"/>
      <c r="J1797" s="16"/>
      <c r="K1797" s="16"/>
      <c r="L1797" s="16"/>
      <c r="M1797" s="16"/>
    </row>
    <row r="1798" spans="1:13" x14ac:dyDescent="0.2">
      <c r="A1798" s="16"/>
      <c r="B1798" s="37"/>
      <c r="C1798" s="16"/>
      <c r="D1798" s="16"/>
      <c r="E1798" s="16"/>
      <c r="F1798" s="16"/>
      <c r="G1798" s="16"/>
      <c r="H1798" s="16"/>
      <c r="I1798" s="16"/>
      <c r="J1798" s="16"/>
      <c r="K1798" s="16"/>
      <c r="L1798" s="16"/>
      <c r="M1798" s="16"/>
    </row>
    <row r="1799" spans="1:13" x14ac:dyDescent="0.2">
      <c r="A1799" s="16"/>
      <c r="B1799" s="37"/>
      <c r="C1799" s="16"/>
      <c r="D1799" s="16"/>
      <c r="E1799" s="16"/>
      <c r="F1799" s="16"/>
      <c r="G1799" s="16"/>
      <c r="H1799" s="16"/>
      <c r="I1799" s="16"/>
      <c r="J1799" s="16"/>
      <c r="K1799" s="16"/>
      <c r="L1799" s="16"/>
      <c r="M1799" s="16"/>
    </row>
    <row r="1800" spans="1:13" x14ac:dyDescent="0.2">
      <c r="A1800" s="16"/>
      <c r="B1800" s="37"/>
      <c r="C1800" s="16"/>
      <c r="D1800" s="16"/>
      <c r="E1800" s="16"/>
      <c r="F1800" s="16"/>
      <c r="G1800" s="16"/>
      <c r="H1800" s="16"/>
      <c r="I1800" s="16"/>
      <c r="J1800" s="16"/>
      <c r="K1800" s="16"/>
      <c r="L1800" s="16"/>
      <c r="M1800" s="16"/>
    </row>
    <row r="1801" spans="1:13" x14ac:dyDescent="0.2">
      <c r="A1801" s="16"/>
      <c r="B1801" s="37"/>
      <c r="C1801" s="16"/>
      <c r="D1801" s="16"/>
      <c r="E1801" s="16"/>
      <c r="F1801" s="16"/>
      <c r="G1801" s="16"/>
      <c r="H1801" s="16"/>
      <c r="I1801" s="16"/>
      <c r="J1801" s="16"/>
      <c r="K1801" s="16"/>
      <c r="L1801" s="16"/>
      <c r="M1801" s="16"/>
    </row>
    <row r="1802" spans="1:13" x14ac:dyDescent="0.2">
      <c r="A1802" s="16"/>
      <c r="B1802" s="37"/>
      <c r="C1802" s="16"/>
      <c r="D1802" s="16"/>
      <c r="E1802" s="16"/>
      <c r="F1802" s="16"/>
      <c r="G1802" s="16"/>
      <c r="H1802" s="16"/>
      <c r="I1802" s="16"/>
      <c r="J1802" s="16"/>
      <c r="K1802" s="16"/>
      <c r="L1802" s="16"/>
      <c r="M1802" s="16"/>
    </row>
    <row r="1803" spans="1:13" x14ac:dyDescent="0.2">
      <c r="A1803" s="16"/>
      <c r="B1803" s="37"/>
      <c r="C1803" s="16"/>
      <c r="D1803" s="16"/>
      <c r="E1803" s="16"/>
      <c r="F1803" s="16"/>
      <c r="G1803" s="16"/>
      <c r="H1803" s="16"/>
      <c r="I1803" s="16"/>
      <c r="J1803" s="16"/>
      <c r="K1803" s="16"/>
      <c r="L1803" s="16"/>
      <c r="M1803" s="16"/>
    </row>
    <row r="1804" spans="1:13" x14ac:dyDescent="0.2">
      <c r="A1804" s="16"/>
      <c r="B1804" s="37"/>
      <c r="C1804" s="16"/>
      <c r="D1804" s="16"/>
      <c r="E1804" s="16"/>
      <c r="F1804" s="16"/>
      <c r="G1804" s="16"/>
      <c r="H1804" s="16"/>
      <c r="I1804" s="16"/>
      <c r="J1804" s="16"/>
      <c r="K1804" s="16"/>
      <c r="L1804" s="16"/>
      <c r="M1804" s="16"/>
    </row>
    <row r="1805" spans="1:13" x14ac:dyDescent="0.2">
      <c r="A1805" s="16"/>
      <c r="B1805" s="37"/>
      <c r="C1805" s="16"/>
      <c r="D1805" s="16"/>
      <c r="E1805" s="16"/>
      <c r="F1805" s="16"/>
      <c r="G1805" s="16"/>
      <c r="H1805" s="16"/>
      <c r="I1805" s="16"/>
      <c r="J1805" s="16"/>
      <c r="K1805" s="16"/>
      <c r="L1805" s="16"/>
      <c r="M1805" s="16"/>
    </row>
    <row r="1806" spans="1:13" x14ac:dyDescent="0.2">
      <c r="A1806" s="16"/>
      <c r="B1806" s="37"/>
      <c r="C1806" s="16"/>
      <c r="D1806" s="16"/>
      <c r="E1806" s="16"/>
      <c r="F1806" s="16"/>
      <c r="G1806" s="16"/>
      <c r="H1806" s="16"/>
      <c r="I1806" s="16"/>
      <c r="J1806" s="16"/>
      <c r="K1806" s="16"/>
      <c r="L1806" s="16"/>
      <c r="M1806" s="16"/>
    </row>
    <row r="1807" spans="1:13" x14ac:dyDescent="0.2">
      <c r="A1807" s="16"/>
      <c r="B1807" s="37"/>
      <c r="C1807" s="16"/>
      <c r="D1807" s="16"/>
      <c r="E1807" s="16"/>
      <c r="F1807" s="16"/>
      <c r="G1807" s="16"/>
      <c r="H1807" s="16"/>
      <c r="I1807" s="16"/>
      <c r="J1807" s="16"/>
      <c r="K1807" s="16"/>
      <c r="L1807" s="16"/>
      <c r="M1807" s="16"/>
    </row>
    <row r="1808" spans="1:13" x14ac:dyDescent="0.2">
      <c r="A1808" s="16"/>
      <c r="B1808" s="37"/>
      <c r="C1808" s="16"/>
      <c r="D1808" s="16"/>
      <c r="E1808" s="16"/>
      <c r="F1808" s="16"/>
      <c r="G1808" s="16"/>
      <c r="H1808" s="16"/>
      <c r="I1808" s="16"/>
      <c r="J1808" s="16"/>
      <c r="K1808" s="16"/>
      <c r="L1808" s="16"/>
      <c r="M1808" s="16"/>
    </row>
    <row r="1809" spans="1:13" x14ac:dyDescent="0.2">
      <c r="A1809" s="16"/>
      <c r="B1809" s="37"/>
      <c r="C1809" s="16"/>
      <c r="D1809" s="16"/>
      <c r="E1809" s="16"/>
      <c r="F1809" s="16"/>
      <c r="G1809" s="16"/>
      <c r="H1809" s="16"/>
      <c r="I1809" s="16"/>
      <c r="J1809" s="16"/>
      <c r="K1809" s="16"/>
      <c r="L1809" s="16"/>
      <c r="M1809" s="16"/>
    </row>
    <row r="1810" spans="1:13" x14ac:dyDescent="0.2">
      <c r="A1810" s="16"/>
      <c r="B1810" s="37"/>
      <c r="C1810" s="16"/>
      <c r="D1810" s="16"/>
      <c r="E1810" s="16"/>
      <c r="F1810" s="16"/>
      <c r="G1810" s="16"/>
      <c r="H1810" s="16"/>
      <c r="I1810" s="16"/>
      <c r="J1810" s="16"/>
      <c r="K1810" s="16"/>
      <c r="L1810" s="16"/>
      <c r="M1810" s="16"/>
    </row>
    <row r="1811" spans="1:13" x14ac:dyDescent="0.2">
      <c r="A1811" s="16"/>
      <c r="B1811" s="37"/>
      <c r="C1811" s="16"/>
      <c r="D1811" s="16"/>
      <c r="E1811" s="16"/>
      <c r="F1811" s="16"/>
      <c r="G1811" s="16"/>
      <c r="H1811" s="16"/>
      <c r="I1811" s="16"/>
      <c r="J1811" s="16"/>
      <c r="K1811" s="16"/>
      <c r="L1811" s="16"/>
      <c r="M1811" s="16"/>
    </row>
    <row r="1812" spans="1:13" x14ac:dyDescent="0.2">
      <c r="A1812" s="16"/>
      <c r="B1812" s="37"/>
      <c r="C1812" s="16"/>
      <c r="D1812" s="16"/>
      <c r="E1812" s="16"/>
      <c r="F1812" s="16"/>
      <c r="G1812" s="16"/>
      <c r="H1812" s="16"/>
      <c r="I1812" s="16"/>
      <c r="J1812" s="16"/>
      <c r="K1812" s="16"/>
      <c r="L1812" s="16"/>
      <c r="M1812" s="16"/>
    </row>
    <row r="1813" spans="1:13" x14ac:dyDescent="0.2">
      <c r="A1813" s="16"/>
      <c r="B1813" s="37"/>
      <c r="C1813" s="16"/>
      <c r="D1813" s="16"/>
      <c r="E1813" s="16"/>
      <c r="F1813" s="16"/>
      <c r="G1813" s="16"/>
      <c r="H1813" s="16"/>
      <c r="I1813" s="16"/>
      <c r="J1813" s="16"/>
      <c r="K1813" s="16"/>
      <c r="L1813" s="16"/>
      <c r="M1813" s="16"/>
    </row>
    <row r="1814" spans="1:13" x14ac:dyDescent="0.2">
      <c r="A1814" s="16"/>
      <c r="B1814" s="37"/>
      <c r="C1814" s="16"/>
      <c r="D1814" s="16"/>
      <c r="E1814" s="16"/>
      <c r="F1814" s="16"/>
      <c r="G1814" s="16"/>
      <c r="H1814" s="16"/>
      <c r="I1814" s="16"/>
      <c r="J1814" s="16"/>
      <c r="K1814" s="16"/>
      <c r="L1814" s="16"/>
      <c r="M1814" s="16"/>
    </row>
    <row r="1815" spans="1:13" x14ac:dyDescent="0.2">
      <c r="A1815" s="16"/>
      <c r="B1815" s="37"/>
      <c r="C1815" s="16"/>
      <c r="D1815" s="16"/>
      <c r="E1815" s="16"/>
      <c r="F1815" s="16"/>
      <c r="G1815" s="16"/>
      <c r="H1815" s="16"/>
      <c r="I1815" s="16"/>
      <c r="J1815" s="16"/>
      <c r="K1815" s="16"/>
      <c r="L1815" s="16"/>
      <c r="M1815" s="16"/>
    </row>
    <row r="1816" spans="1:13" x14ac:dyDescent="0.2">
      <c r="A1816" s="16"/>
      <c r="B1816" s="37"/>
      <c r="C1816" s="16"/>
      <c r="D1816" s="16"/>
      <c r="E1816" s="16"/>
      <c r="F1816" s="16"/>
      <c r="G1816" s="16"/>
      <c r="H1816" s="16"/>
      <c r="I1816" s="16"/>
      <c r="J1816" s="16"/>
      <c r="K1816" s="16"/>
      <c r="L1816" s="16"/>
      <c r="M1816" s="16"/>
    </row>
    <row r="1817" spans="1:13" x14ac:dyDescent="0.2">
      <c r="A1817" s="16"/>
      <c r="B1817" s="37"/>
      <c r="C1817" s="16"/>
      <c r="D1817" s="16"/>
      <c r="E1817" s="16"/>
      <c r="F1817" s="16"/>
      <c r="G1817" s="16"/>
      <c r="H1817" s="16"/>
      <c r="I1817" s="16"/>
      <c r="J1817" s="16"/>
      <c r="K1817" s="16"/>
      <c r="L1817" s="16"/>
      <c r="M1817" s="16"/>
    </row>
    <row r="1818" spans="1:13" x14ac:dyDescent="0.2">
      <c r="A1818" s="16"/>
      <c r="B1818" s="37"/>
      <c r="C1818" s="16"/>
      <c r="D1818" s="16"/>
      <c r="E1818" s="16"/>
      <c r="F1818" s="16"/>
      <c r="G1818" s="16"/>
      <c r="H1818" s="16"/>
      <c r="I1818" s="16"/>
      <c r="J1818" s="16"/>
      <c r="K1818" s="16"/>
      <c r="L1818" s="16"/>
      <c r="M1818" s="16"/>
    </row>
    <row r="1819" spans="1:13" x14ac:dyDescent="0.2">
      <c r="A1819" s="16"/>
      <c r="B1819" s="37"/>
      <c r="C1819" s="16"/>
      <c r="D1819" s="16"/>
      <c r="E1819" s="16"/>
      <c r="F1819" s="16"/>
      <c r="G1819" s="16"/>
      <c r="H1819" s="16"/>
      <c r="I1819" s="16"/>
      <c r="J1819" s="16"/>
      <c r="K1819" s="16"/>
      <c r="L1819" s="16"/>
      <c r="M1819" s="16"/>
    </row>
    <row r="1820" spans="1:13" x14ac:dyDescent="0.2">
      <c r="A1820" s="16"/>
      <c r="B1820" s="37"/>
      <c r="C1820" s="16"/>
      <c r="D1820" s="16"/>
      <c r="E1820" s="16"/>
      <c r="F1820" s="16"/>
      <c r="G1820" s="16"/>
      <c r="H1820" s="16"/>
      <c r="I1820" s="16"/>
      <c r="J1820" s="16"/>
      <c r="K1820" s="16"/>
      <c r="L1820" s="16"/>
      <c r="M1820" s="16"/>
    </row>
    <row r="1821" spans="1:13" x14ac:dyDescent="0.2">
      <c r="A1821" s="16"/>
      <c r="B1821" s="37"/>
      <c r="C1821" s="16"/>
      <c r="D1821" s="16"/>
      <c r="E1821" s="16"/>
      <c r="F1821" s="16"/>
      <c r="G1821" s="16"/>
      <c r="H1821" s="16"/>
      <c r="I1821" s="16"/>
      <c r="J1821" s="16"/>
      <c r="K1821" s="16"/>
      <c r="L1821" s="16"/>
      <c r="M1821" s="16"/>
    </row>
    <row r="1822" spans="1:13" x14ac:dyDescent="0.2">
      <c r="A1822" s="16"/>
      <c r="B1822" s="37"/>
      <c r="C1822" s="16"/>
      <c r="D1822" s="16"/>
      <c r="E1822" s="16"/>
      <c r="F1822" s="16"/>
      <c r="G1822" s="16"/>
      <c r="H1822" s="16"/>
      <c r="I1822" s="16"/>
      <c r="J1822" s="16"/>
      <c r="K1822" s="16"/>
      <c r="L1822" s="16"/>
      <c r="M1822" s="16"/>
    </row>
    <row r="1823" spans="1:13" x14ac:dyDescent="0.2">
      <c r="A1823" s="16"/>
      <c r="B1823" s="37"/>
      <c r="C1823" s="16"/>
      <c r="D1823" s="16"/>
      <c r="E1823" s="16"/>
      <c r="F1823" s="16"/>
      <c r="G1823" s="16"/>
      <c r="H1823" s="16"/>
      <c r="I1823" s="16"/>
      <c r="J1823" s="16"/>
      <c r="K1823" s="16"/>
      <c r="L1823" s="16"/>
      <c r="M1823" s="16"/>
    </row>
    <row r="1824" spans="1:13" x14ac:dyDescent="0.2">
      <c r="A1824" s="16"/>
      <c r="B1824" s="37"/>
      <c r="C1824" s="16"/>
      <c r="D1824" s="16"/>
      <c r="E1824" s="16"/>
      <c r="F1824" s="16"/>
      <c r="G1824" s="16"/>
      <c r="H1824" s="16"/>
      <c r="I1824" s="16"/>
      <c r="J1824" s="16"/>
      <c r="K1824" s="16"/>
      <c r="L1824" s="16"/>
      <c r="M1824" s="16"/>
    </row>
    <row r="1825" spans="1:13" x14ac:dyDescent="0.2">
      <c r="A1825" s="16"/>
      <c r="B1825" s="37"/>
      <c r="C1825" s="16"/>
      <c r="D1825" s="16"/>
      <c r="E1825" s="16"/>
      <c r="F1825" s="16"/>
      <c r="G1825" s="16"/>
      <c r="H1825" s="16"/>
      <c r="I1825" s="16"/>
      <c r="J1825" s="16"/>
      <c r="K1825" s="16"/>
      <c r="L1825" s="16"/>
      <c r="M1825" s="16"/>
    </row>
    <row r="1826" spans="1:13" x14ac:dyDescent="0.2">
      <c r="A1826" s="16"/>
      <c r="B1826" s="37"/>
      <c r="C1826" s="16"/>
      <c r="D1826" s="16"/>
      <c r="E1826" s="16"/>
      <c r="F1826" s="16"/>
      <c r="G1826" s="16"/>
      <c r="H1826" s="16"/>
      <c r="I1826" s="16"/>
      <c r="J1826" s="16"/>
      <c r="K1826" s="16"/>
      <c r="L1826" s="16"/>
      <c r="M1826" s="16"/>
    </row>
    <row r="1827" spans="1:13" x14ac:dyDescent="0.2">
      <c r="A1827" s="16"/>
      <c r="B1827" s="37"/>
      <c r="C1827" s="16"/>
      <c r="D1827" s="16"/>
      <c r="E1827" s="16"/>
      <c r="F1827" s="16"/>
      <c r="G1827" s="16"/>
      <c r="H1827" s="16"/>
      <c r="I1827" s="16"/>
      <c r="J1827" s="16"/>
      <c r="K1827" s="16"/>
      <c r="L1827" s="16"/>
      <c r="M1827" s="16"/>
    </row>
    <row r="1828" spans="1:13" x14ac:dyDescent="0.2">
      <c r="A1828" s="16"/>
      <c r="B1828" s="37"/>
      <c r="C1828" s="16"/>
      <c r="D1828" s="16"/>
      <c r="E1828" s="16"/>
      <c r="F1828" s="16"/>
      <c r="G1828" s="16"/>
      <c r="H1828" s="16"/>
      <c r="I1828" s="16"/>
      <c r="J1828" s="16"/>
      <c r="K1828" s="16"/>
      <c r="L1828" s="16"/>
      <c r="M1828" s="16"/>
    </row>
    <row r="1829" spans="1:13" x14ac:dyDescent="0.2">
      <c r="A1829" s="16"/>
      <c r="B1829" s="37"/>
      <c r="C1829" s="16"/>
      <c r="D1829" s="16"/>
      <c r="E1829" s="16"/>
      <c r="F1829" s="16"/>
      <c r="G1829" s="16"/>
      <c r="H1829" s="16"/>
      <c r="I1829" s="16"/>
      <c r="J1829" s="16"/>
      <c r="K1829" s="16"/>
      <c r="L1829" s="16"/>
      <c r="M1829" s="16"/>
    </row>
    <row r="1830" spans="1:13" x14ac:dyDescent="0.2">
      <c r="A1830" s="16"/>
      <c r="B1830" s="37"/>
      <c r="C1830" s="16"/>
      <c r="D1830" s="16"/>
      <c r="E1830" s="16"/>
      <c r="F1830" s="16"/>
      <c r="G1830" s="16"/>
      <c r="H1830" s="16"/>
      <c r="I1830" s="16"/>
      <c r="J1830" s="16"/>
      <c r="K1830" s="16"/>
      <c r="L1830" s="16"/>
      <c r="M1830" s="16"/>
    </row>
    <row r="1831" spans="1:13" x14ac:dyDescent="0.2">
      <c r="A1831" s="16"/>
      <c r="B1831" s="37"/>
      <c r="C1831" s="16"/>
      <c r="D1831" s="16"/>
      <c r="E1831" s="16"/>
      <c r="F1831" s="16"/>
      <c r="G1831" s="16"/>
      <c r="H1831" s="16"/>
      <c r="I1831" s="16"/>
      <c r="J1831" s="16"/>
      <c r="K1831" s="16"/>
      <c r="L1831" s="16"/>
      <c r="M1831" s="16"/>
    </row>
    <row r="1832" spans="1:13" x14ac:dyDescent="0.2">
      <c r="A1832" s="16"/>
      <c r="B1832" s="37"/>
      <c r="C1832" s="16"/>
      <c r="D1832" s="16"/>
      <c r="E1832" s="16"/>
      <c r="F1832" s="16"/>
      <c r="G1832" s="16"/>
      <c r="H1832" s="16"/>
      <c r="I1832" s="16"/>
      <c r="J1832" s="16"/>
      <c r="K1832" s="16"/>
      <c r="L1832" s="16"/>
      <c r="M1832" s="16"/>
    </row>
    <row r="1833" spans="1:13" x14ac:dyDescent="0.2">
      <c r="A1833" s="16"/>
      <c r="B1833" s="37"/>
      <c r="C1833" s="16"/>
      <c r="D1833" s="16"/>
      <c r="E1833" s="16"/>
      <c r="F1833" s="16"/>
      <c r="G1833" s="16"/>
      <c r="H1833" s="16"/>
      <c r="I1833" s="16"/>
      <c r="J1833" s="16"/>
      <c r="K1833" s="16"/>
      <c r="L1833" s="16"/>
      <c r="M1833" s="16"/>
    </row>
    <row r="1834" spans="1:13" x14ac:dyDescent="0.2">
      <c r="A1834" s="16"/>
      <c r="B1834" s="37"/>
      <c r="C1834" s="16"/>
      <c r="D1834" s="16"/>
      <c r="E1834" s="16"/>
      <c r="F1834" s="16"/>
      <c r="G1834" s="16"/>
      <c r="H1834" s="16"/>
      <c r="I1834" s="16"/>
      <c r="J1834" s="16"/>
      <c r="K1834" s="16"/>
      <c r="L1834" s="16"/>
      <c r="M1834" s="16"/>
    </row>
    <row r="1835" spans="1:13" x14ac:dyDescent="0.2">
      <c r="A1835" s="16"/>
      <c r="B1835" s="37"/>
      <c r="C1835" s="16"/>
      <c r="D1835" s="16"/>
      <c r="E1835" s="16"/>
      <c r="F1835" s="16"/>
      <c r="G1835" s="16"/>
      <c r="H1835" s="16"/>
      <c r="I1835" s="16"/>
      <c r="J1835" s="16"/>
      <c r="K1835" s="16"/>
      <c r="L1835" s="16"/>
      <c r="M1835" s="16"/>
    </row>
    <row r="1836" spans="1:13" x14ac:dyDescent="0.2">
      <c r="A1836" s="16"/>
      <c r="B1836" s="37"/>
      <c r="C1836" s="16"/>
      <c r="D1836" s="16"/>
      <c r="E1836" s="16"/>
      <c r="F1836" s="16"/>
      <c r="G1836" s="16"/>
      <c r="H1836" s="16"/>
      <c r="I1836" s="16"/>
      <c r="J1836" s="16"/>
      <c r="K1836" s="16"/>
      <c r="L1836" s="16"/>
      <c r="M1836" s="16"/>
    </row>
    <row r="1837" spans="1:13" x14ac:dyDescent="0.2">
      <c r="A1837" s="16"/>
      <c r="B1837" s="37"/>
      <c r="C1837" s="16"/>
      <c r="D1837" s="16"/>
      <c r="E1837" s="16"/>
      <c r="F1837" s="16"/>
      <c r="G1837" s="16"/>
      <c r="H1837" s="16"/>
      <c r="I1837" s="16"/>
      <c r="J1837" s="16"/>
      <c r="K1837" s="16"/>
      <c r="L1837" s="16"/>
      <c r="M1837" s="16"/>
    </row>
    <row r="1838" spans="1:13" x14ac:dyDescent="0.2">
      <c r="A1838" s="16"/>
      <c r="B1838" s="37"/>
      <c r="C1838" s="16"/>
      <c r="D1838" s="16"/>
      <c r="E1838" s="16"/>
      <c r="F1838" s="16"/>
      <c r="G1838" s="16"/>
      <c r="H1838" s="16"/>
      <c r="I1838" s="16"/>
      <c r="J1838" s="16"/>
      <c r="K1838" s="16"/>
      <c r="L1838" s="16"/>
      <c r="M1838" s="16"/>
    </row>
    <row r="1839" spans="1:13" x14ac:dyDescent="0.2">
      <c r="A1839" s="16"/>
      <c r="B1839" s="37"/>
      <c r="C1839" s="16"/>
      <c r="D1839" s="16"/>
      <c r="E1839" s="16"/>
      <c r="F1839" s="16"/>
      <c r="G1839" s="16"/>
      <c r="H1839" s="16"/>
      <c r="I1839" s="16"/>
      <c r="J1839" s="16"/>
      <c r="K1839" s="16"/>
      <c r="L1839" s="16"/>
      <c r="M1839" s="16"/>
    </row>
    <row r="1840" spans="1:13" x14ac:dyDescent="0.2">
      <c r="A1840" s="16"/>
      <c r="B1840" s="37"/>
      <c r="C1840" s="16"/>
      <c r="D1840" s="16"/>
      <c r="E1840" s="16"/>
      <c r="F1840" s="16"/>
      <c r="G1840" s="16"/>
      <c r="H1840" s="16"/>
      <c r="I1840" s="16"/>
      <c r="J1840" s="16"/>
      <c r="K1840" s="16"/>
      <c r="L1840" s="16"/>
      <c r="M1840" s="16"/>
    </row>
    <row r="1841" spans="1:13" x14ac:dyDescent="0.2">
      <c r="A1841" s="16"/>
      <c r="B1841" s="37"/>
      <c r="C1841" s="16"/>
      <c r="D1841" s="16"/>
      <c r="E1841" s="16"/>
      <c r="F1841" s="16"/>
      <c r="G1841" s="16"/>
      <c r="H1841" s="16"/>
      <c r="I1841" s="16"/>
      <c r="J1841" s="16"/>
      <c r="K1841" s="16"/>
      <c r="L1841" s="16"/>
      <c r="M1841" s="16"/>
    </row>
    <row r="1842" spans="1:13" x14ac:dyDescent="0.2">
      <c r="A1842" s="16"/>
      <c r="B1842" s="37"/>
      <c r="C1842" s="16"/>
      <c r="D1842" s="16"/>
      <c r="E1842" s="16"/>
      <c r="F1842" s="16"/>
      <c r="G1842" s="16"/>
      <c r="H1842" s="16"/>
      <c r="I1842" s="16"/>
      <c r="J1842" s="16"/>
      <c r="K1842" s="16"/>
      <c r="L1842" s="16"/>
      <c r="M1842" s="16"/>
    </row>
    <row r="1843" spans="1:13" x14ac:dyDescent="0.2">
      <c r="A1843" s="16"/>
      <c r="B1843" s="37"/>
      <c r="C1843" s="16"/>
      <c r="D1843" s="16"/>
      <c r="E1843" s="16"/>
      <c r="F1843" s="16"/>
      <c r="G1843" s="16"/>
      <c r="H1843" s="16"/>
      <c r="I1843" s="16"/>
      <c r="J1843" s="16"/>
      <c r="K1843" s="16"/>
      <c r="L1843" s="16"/>
      <c r="M1843" s="16"/>
    </row>
    <row r="1844" spans="1:13" x14ac:dyDescent="0.2">
      <c r="A1844" s="16"/>
      <c r="B1844" s="37"/>
      <c r="C1844" s="16"/>
      <c r="D1844" s="16"/>
      <c r="E1844" s="16"/>
      <c r="F1844" s="16"/>
      <c r="G1844" s="16"/>
      <c r="H1844" s="16"/>
      <c r="I1844" s="16"/>
      <c r="J1844" s="16"/>
      <c r="K1844" s="16"/>
      <c r="L1844" s="16"/>
      <c r="M1844" s="16"/>
    </row>
    <row r="1845" spans="1:13" x14ac:dyDescent="0.2">
      <c r="A1845" s="16"/>
      <c r="B1845" s="37"/>
      <c r="C1845" s="16"/>
      <c r="D1845" s="16"/>
      <c r="E1845" s="16"/>
      <c r="F1845" s="16"/>
      <c r="G1845" s="16"/>
      <c r="H1845" s="16"/>
      <c r="I1845" s="16"/>
      <c r="J1845" s="16"/>
      <c r="K1845" s="16"/>
      <c r="L1845" s="16"/>
      <c r="M1845" s="16"/>
    </row>
    <row r="1846" spans="1:13" x14ac:dyDescent="0.2">
      <c r="A1846" s="16"/>
      <c r="B1846" s="37"/>
      <c r="C1846" s="16"/>
      <c r="D1846" s="16"/>
      <c r="E1846" s="16"/>
      <c r="F1846" s="16"/>
      <c r="G1846" s="16"/>
      <c r="H1846" s="16"/>
      <c r="I1846" s="16"/>
      <c r="J1846" s="16"/>
      <c r="K1846" s="16"/>
      <c r="L1846" s="16"/>
      <c r="M1846" s="16"/>
    </row>
    <row r="1847" spans="1:13" x14ac:dyDescent="0.2">
      <c r="A1847" s="16"/>
      <c r="B1847" s="37"/>
      <c r="C1847" s="16"/>
      <c r="D1847" s="16"/>
      <c r="E1847" s="16"/>
      <c r="F1847" s="16"/>
      <c r="G1847" s="16"/>
      <c r="H1847" s="16"/>
      <c r="I1847" s="16"/>
      <c r="J1847" s="16"/>
      <c r="K1847" s="16"/>
      <c r="L1847" s="16"/>
      <c r="M1847" s="16"/>
    </row>
    <row r="1848" spans="1:13" x14ac:dyDescent="0.2">
      <c r="A1848" s="16"/>
      <c r="B1848" s="37"/>
      <c r="C1848" s="16"/>
      <c r="D1848" s="16"/>
      <c r="E1848" s="16"/>
      <c r="F1848" s="16"/>
      <c r="G1848" s="16"/>
      <c r="H1848" s="16"/>
      <c r="I1848" s="16"/>
      <c r="J1848" s="16"/>
      <c r="K1848" s="16"/>
      <c r="L1848" s="16"/>
      <c r="M1848" s="16"/>
    </row>
    <row r="1849" spans="1:13" x14ac:dyDescent="0.2">
      <c r="A1849" s="16"/>
      <c r="B1849" s="37"/>
      <c r="C1849" s="16"/>
      <c r="D1849" s="16"/>
      <c r="E1849" s="16"/>
      <c r="F1849" s="16"/>
      <c r="G1849" s="16"/>
      <c r="H1849" s="16"/>
      <c r="I1849" s="16"/>
      <c r="J1849" s="16"/>
      <c r="K1849" s="16"/>
      <c r="L1849" s="16"/>
      <c r="M1849" s="16"/>
    </row>
    <row r="1850" spans="1:13" x14ac:dyDescent="0.2">
      <c r="A1850" s="16"/>
      <c r="B1850" s="37"/>
      <c r="C1850" s="16"/>
      <c r="D1850" s="16"/>
      <c r="E1850" s="16"/>
      <c r="F1850" s="16"/>
      <c r="G1850" s="16"/>
      <c r="H1850" s="16"/>
      <c r="I1850" s="16"/>
      <c r="J1850" s="16"/>
      <c r="K1850" s="16"/>
      <c r="L1850" s="16"/>
      <c r="M1850" s="16"/>
    </row>
    <row r="1851" spans="1:13" x14ac:dyDescent="0.2">
      <c r="A1851" s="16"/>
      <c r="B1851" s="37"/>
      <c r="C1851" s="16"/>
      <c r="D1851" s="16"/>
      <c r="E1851" s="16"/>
      <c r="F1851" s="16"/>
      <c r="G1851" s="16"/>
      <c r="H1851" s="16"/>
      <c r="I1851" s="16"/>
      <c r="J1851" s="16"/>
      <c r="K1851" s="16"/>
      <c r="L1851" s="16"/>
      <c r="M1851" s="16"/>
    </row>
    <row r="1852" spans="1:13" x14ac:dyDescent="0.2">
      <c r="A1852" s="16"/>
      <c r="B1852" s="37"/>
      <c r="C1852" s="16"/>
      <c r="D1852" s="16"/>
      <c r="E1852" s="16"/>
      <c r="F1852" s="16"/>
      <c r="G1852" s="16"/>
      <c r="H1852" s="16"/>
      <c r="I1852" s="16"/>
      <c r="J1852" s="16"/>
      <c r="K1852" s="16"/>
      <c r="L1852" s="16"/>
      <c r="M1852" s="16"/>
    </row>
    <row r="1853" spans="1:13" x14ac:dyDescent="0.2">
      <c r="A1853" s="16"/>
      <c r="B1853" s="37"/>
      <c r="C1853" s="16"/>
      <c r="D1853" s="16"/>
      <c r="E1853" s="16"/>
      <c r="F1853" s="16"/>
      <c r="G1853" s="16"/>
      <c r="H1853" s="16"/>
      <c r="I1853" s="16"/>
      <c r="J1853" s="16"/>
      <c r="K1853" s="16"/>
      <c r="L1853" s="16"/>
      <c r="M1853" s="16"/>
    </row>
    <row r="1854" spans="1:13" x14ac:dyDescent="0.2">
      <c r="A1854" s="16"/>
      <c r="B1854" s="37"/>
      <c r="C1854" s="16"/>
      <c r="D1854" s="16"/>
      <c r="E1854" s="16"/>
      <c r="F1854" s="16"/>
      <c r="G1854" s="16"/>
      <c r="H1854" s="16"/>
      <c r="I1854" s="16"/>
      <c r="J1854" s="16"/>
      <c r="K1854" s="16"/>
      <c r="L1854" s="16"/>
      <c r="M1854" s="16"/>
    </row>
    <row r="1855" spans="1:13" x14ac:dyDescent="0.2">
      <c r="A1855" s="16"/>
      <c r="B1855" s="37"/>
      <c r="C1855" s="16"/>
      <c r="D1855" s="16"/>
      <c r="E1855" s="16"/>
      <c r="F1855" s="16"/>
      <c r="G1855" s="16"/>
      <c r="H1855" s="16"/>
      <c r="I1855" s="16"/>
      <c r="J1855" s="16"/>
      <c r="K1855" s="16"/>
      <c r="L1855" s="16"/>
      <c r="M1855" s="16"/>
    </row>
    <row r="1856" spans="1:13" x14ac:dyDescent="0.2">
      <c r="A1856" s="16"/>
      <c r="B1856" s="37"/>
      <c r="C1856" s="16"/>
      <c r="D1856" s="16"/>
      <c r="E1856" s="16"/>
      <c r="F1856" s="16"/>
      <c r="G1856" s="16"/>
      <c r="H1856" s="16"/>
      <c r="I1856" s="16"/>
      <c r="J1856" s="16"/>
      <c r="K1856" s="16"/>
      <c r="L1856" s="16"/>
      <c r="M1856" s="16"/>
    </row>
    <row r="1857" spans="1:13" x14ac:dyDescent="0.2">
      <c r="A1857" s="16"/>
      <c r="B1857" s="37"/>
      <c r="C1857" s="16"/>
      <c r="D1857" s="16"/>
      <c r="E1857" s="16"/>
      <c r="F1857" s="16"/>
      <c r="G1857" s="16"/>
      <c r="H1857" s="16"/>
      <c r="I1857" s="16"/>
      <c r="J1857" s="16"/>
      <c r="K1857" s="16"/>
      <c r="L1857" s="16"/>
      <c r="M1857" s="16"/>
    </row>
    <row r="1858" spans="1:13" x14ac:dyDescent="0.2">
      <c r="A1858" s="16"/>
      <c r="B1858" s="37"/>
      <c r="C1858" s="16"/>
      <c r="D1858" s="16"/>
      <c r="E1858" s="16"/>
      <c r="F1858" s="16"/>
      <c r="G1858" s="16"/>
      <c r="H1858" s="16"/>
      <c r="I1858" s="16"/>
      <c r="J1858" s="16"/>
      <c r="K1858" s="16"/>
      <c r="L1858" s="16"/>
      <c r="M1858" s="16"/>
    </row>
    <row r="1859" spans="1:13" x14ac:dyDescent="0.2">
      <c r="A1859" s="16"/>
      <c r="B1859" s="37"/>
      <c r="C1859" s="16"/>
      <c r="D1859" s="16"/>
      <c r="E1859" s="16"/>
      <c r="F1859" s="16"/>
      <c r="G1859" s="16"/>
      <c r="H1859" s="16"/>
      <c r="I1859" s="16"/>
      <c r="J1859" s="16"/>
      <c r="K1859" s="16"/>
      <c r="L1859" s="16"/>
      <c r="M1859" s="16"/>
    </row>
    <row r="1860" spans="1:13" x14ac:dyDescent="0.2">
      <c r="A1860" s="16"/>
      <c r="B1860" s="37"/>
      <c r="C1860" s="16"/>
      <c r="D1860" s="16"/>
      <c r="E1860" s="16"/>
      <c r="F1860" s="16"/>
      <c r="G1860" s="16"/>
      <c r="H1860" s="16"/>
      <c r="I1860" s="16"/>
      <c r="J1860" s="16"/>
      <c r="K1860" s="16"/>
      <c r="L1860" s="16"/>
      <c r="M1860" s="16"/>
    </row>
    <row r="1861" spans="1:13" x14ac:dyDescent="0.2">
      <c r="A1861" s="16"/>
      <c r="B1861" s="37"/>
      <c r="C1861" s="16"/>
      <c r="D1861" s="16"/>
      <c r="E1861" s="16"/>
      <c r="F1861" s="16"/>
      <c r="G1861" s="16"/>
      <c r="H1861" s="16"/>
      <c r="I1861" s="16"/>
      <c r="J1861" s="16"/>
      <c r="K1861" s="16"/>
      <c r="L1861" s="16"/>
      <c r="M1861" s="16"/>
    </row>
    <row r="1862" spans="1:13" x14ac:dyDescent="0.2">
      <c r="A1862" s="16"/>
      <c r="B1862" s="37"/>
      <c r="C1862" s="16"/>
      <c r="D1862" s="16"/>
      <c r="E1862" s="16"/>
      <c r="F1862" s="16"/>
      <c r="G1862" s="16"/>
      <c r="H1862" s="16"/>
      <c r="I1862" s="16"/>
      <c r="J1862" s="16"/>
      <c r="K1862" s="16"/>
      <c r="L1862" s="16"/>
      <c r="M1862" s="16"/>
    </row>
    <row r="1863" spans="1:13" x14ac:dyDescent="0.2">
      <c r="A1863" s="16"/>
      <c r="B1863" s="37"/>
      <c r="C1863" s="16"/>
      <c r="D1863" s="16"/>
      <c r="E1863" s="16"/>
      <c r="F1863" s="16"/>
      <c r="G1863" s="16"/>
      <c r="H1863" s="16"/>
      <c r="I1863" s="16"/>
      <c r="J1863" s="16"/>
      <c r="K1863" s="16"/>
      <c r="L1863" s="16"/>
      <c r="M1863" s="16"/>
    </row>
    <row r="1864" spans="1:13" x14ac:dyDescent="0.2">
      <c r="A1864" s="16"/>
      <c r="B1864" s="37"/>
      <c r="C1864" s="16"/>
      <c r="D1864" s="16"/>
      <c r="E1864" s="16"/>
      <c r="F1864" s="16"/>
      <c r="G1864" s="16"/>
      <c r="H1864" s="16"/>
      <c r="I1864" s="16"/>
      <c r="J1864" s="16"/>
      <c r="K1864" s="16"/>
      <c r="L1864" s="16"/>
      <c r="M1864" s="16"/>
    </row>
    <row r="1865" spans="1:13" x14ac:dyDescent="0.2">
      <c r="A1865" s="16"/>
      <c r="B1865" s="37"/>
      <c r="C1865" s="16"/>
      <c r="D1865" s="16"/>
      <c r="E1865" s="16"/>
      <c r="F1865" s="16"/>
      <c r="G1865" s="16"/>
      <c r="H1865" s="16"/>
      <c r="I1865" s="16"/>
      <c r="J1865" s="16"/>
      <c r="K1865" s="16"/>
      <c r="L1865" s="16"/>
      <c r="M1865" s="16"/>
    </row>
    <row r="1866" spans="1:13" x14ac:dyDescent="0.2">
      <c r="A1866" s="16"/>
      <c r="B1866" s="37"/>
      <c r="C1866" s="16"/>
      <c r="D1866" s="16"/>
      <c r="E1866" s="16"/>
      <c r="F1866" s="16"/>
      <c r="G1866" s="16"/>
      <c r="H1866" s="16"/>
      <c r="I1866" s="16"/>
      <c r="J1866" s="16"/>
      <c r="K1866" s="16"/>
      <c r="L1866" s="16"/>
      <c r="M1866" s="16"/>
    </row>
    <row r="1867" spans="1:13" x14ac:dyDescent="0.2">
      <c r="A1867" s="16"/>
      <c r="B1867" s="37"/>
      <c r="C1867" s="16"/>
      <c r="D1867" s="16"/>
      <c r="E1867" s="16"/>
      <c r="F1867" s="16"/>
      <c r="G1867" s="16"/>
      <c r="H1867" s="16"/>
      <c r="I1867" s="16"/>
      <c r="J1867" s="16"/>
      <c r="K1867" s="16"/>
      <c r="L1867" s="16"/>
      <c r="M1867" s="16"/>
    </row>
    <row r="1868" spans="1:13" x14ac:dyDescent="0.2">
      <c r="A1868" s="16"/>
      <c r="B1868" s="37"/>
      <c r="C1868" s="16"/>
      <c r="D1868" s="16"/>
      <c r="E1868" s="16"/>
      <c r="F1868" s="16"/>
      <c r="G1868" s="16"/>
      <c r="H1868" s="16"/>
      <c r="I1868" s="16"/>
      <c r="J1868" s="16"/>
      <c r="K1868" s="16"/>
      <c r="L1868" s="16"/>
      <c r="M1868" s="16"/>
    </row>
    <row r="1869" spans="1:13" x14ac:dyDescent="0.2">
      <c r="A1869" s="16"/>
      <c r="B1869" s="37"/>
      <c r="C1869" s="16"/>
      <c r="D1869" s="16"/>
      <c r="E1869" s="16"/>
      <c r="F1869" s="16"/>
      <c r="G1869" s="16"/>
      <c r="H1869" s="16"/>
      <c r="I1869" s="16"/>
      <c r="J1869" s="16"/>
      <c r="K1869" s="16"/>
      <c r="L1869" s="16"/>
      <c r="M1869" s="16"/>
    </row>
    <row r="1870" spans="1:13" x14ac:dyDescent="0.2">
      <c r="A1870" s="16"/>
      <c r="B1870" s="37"/>
      <c r="C1870" s="16"/>
      <c r="D1870" s="16"/>
      <c r="E1870" s="16"/>
      <c r="F1870" s="16"/>
      <c r="G1870" s="16"/>
      <c r="H1870" s="16"/>
      <c r="I1870" s="16"/>
      <c r="J1870" s="16"/>
      <c r="K1870" s="16"/>
      <c r="L1870" s="16"/>
      <c r="M1870" s="16"/>
    </row>
    <row r="1871" spans="1:13" x14ac:dyDescent="0.2">
      <c r="A1871" s="16"/>
      <c r="B1871" s="37"/>
      <c r="C1871" s="16"/>
      <c r="D1871" s="16"/>
      <c r="E1871" s="16"/>
      <c r="F1871" s="16"/>
      <c r="G1871" s="16"/>
      <c r="H1871" s="16"/>
      <c r="I1871" s="16"/>
      <c r="J1871" s="16"/>
      <c r="K1871" s="16"/>
      <c r="L1871" s="16"/>
      <c r="M1871" s="16"/>
    </row>
    <row r="1872" spans="1:13" x14ac:dyDescent="0.2">
      <c r="A1872" s="16"/>
      <c r="B1872" s="37"/>
      <c r="C1872" s="16"/>
      <c r="D1872" s="16"/>
      <c r="E1872" s="16"/>
      <c r="F1872" s="16"/>
      <c r="G1872" s="16"/>
      <c r="H1872" s="16"/>
      <c r="I1872" s="16"/>
      <c r="J1872" s="16"/>
      <c r="K1872" s="16"/>
      <c r="L1872" s="16"/>
      <c r="M1872" s="16"/>
    </row>
    <row r="1873" spans="1:13" x14ac:dyDescent="0.2">
      <c r="A1873" s="16"/>
      <c r="B1873" s="37"/>
      <c r="C1873" s="16"/>
      <c r="D1873" s="16"/>
      <c r="E1873" s="16"/>
      <c r="F1873" s="16"/>
      <c r="G1873" s="16"/>
      <c r="H1873" s="16"/>
      <c r="I1873" s="16"/>
      <c r="J1873" s="16"/>
      <c r="K1873" s="16"/>
      <c r="L1873" s="16"/>
      <c r="M1873" s="16"/>
    </row>
    <row r="1874" spans="1:13" x14ac:dyDescent="0.2">
      <c r="A1874" s="16"/>
      <c r="B1874" s="37"/>
      <c r="C1874" s="16"/>
      <c r="D1874" s="16"/>
      <c r="E1874" s="16"/>
      <c r="F1874" s="16"/>
      <c r="G1874" s="16"/>
      <c r="H1874" s="16"/>
      <c r="I1874" s="16"/>
      <c r="J1874" s="16"/>
      <c r="K1874" s="16"/>
      <c r="L1874" s="16"/>
      <c r="M1874" s="16"/>
    </row>
    <row r="1875" spans="1:13" x14ac:dyDescent="0.2">
      <c r="A1875" s="16"/>
      <c r="B1875" s="37"/>
      <c r="C1875" s="16"/>
      <c r="D1875" s="16"/>
      <c r="E1875" s="16"/>
      <c r="F1875" s="16"/>
      <c r="G1875" s="16"/>
      <c r="H1875" s="16"/>
      <c r="I1875" s="16"/>
      <c r="J1875" s="16"/>
      <c r="K1875" s="16"/>
      <c r="L1875" s="16"/>
      <c r="M1875" s="16"/>
    </row>
    <row r="1876" spans="1:13" x14ac:dyDescent="0.2">
      <c r="A1876" s="16"/>
      <c r="B1876" s="37"/>
      <c r="C1876" s="16"/>
      <c r="D1876" s="16"/>
      <c r="E1876" s="16"/>
      <c r="F1876" s="16"/>
      <c r="G1876" s="16"/>
      <c r="H1876" s="16"/>
      <c r="I1876" s="16"/>
      <c r="J1876" s="16"/>
      <c r="K1876" s="16"/>
      <c r="L1876" s="16"/>
      <c r="M1876" s="16"/>
    </row>
    <row r="1877" spans="1:13" x14ac:dyDescent="0.2">
      <c r="A1877" s="16"/>
      <c r="B1877" s="37"/>
      <c r="C1877" s="16"/>
      <c r="D1877" s="16"/>
      <c r="E1877" s="16"/>
      <c r="F1877" s="16"/>
      <c r="G1877" s="16"/>
      <c r="H1877" s="16"/>
      <c r="I1877" s="16"/>
      <c r="J1877" s="16"/>
      <c r="K1877" s="16"/>
      <c r="L1877" s="16"/>
      <c r="M1877" s="16"/>
    </row>
    <row r="1878" spans="1:13" x14ac:dyDescent="0.2">
      <c r="A1878" s="16"/>
      <c r="B1878" s="37"/>
      <c r="C1878" s="16"/>
      <c r="D1878" s="16"/>
      <c r="E1878" s="16"/>
      <c r="F1878" s="16"/>
      <c r="G1878" s="16"/>
      <c r="H1878" s="16"/>
      <c r="I1878" s="16"/>
      <c r="J1878" s="16"/>
      <c r="K1878" s="16"/>
      <c r="L1878" s="16"/>
      <c r="M1878" s="16"/>
    </row>
    <row r="1879" spans="1:13" x14ac:dyDescent="0.2">
      <c r="A1879" s="16"/>
      <c r="B1879" s="37"/>
      <c r="C1879" s="16"/>
      <c r="D1879" s="16"/>
      <c r="E1879" s="16"/>
      <c r="F1879" s="16"/>
      <c r="G1879" s="16"/>
      <c r="H1879" s="16"/>
      <c r="I1879" s="16"/>
      <c r="J1879" s="16"/>
      <c r="K1879" s="16"/>
      <c r="L1879" s="16"/>
      <c r="M1879" s="16"/>
    </row>
    <row r="1880" spans="1:13" x14ac:dyDescent="0.2">
      <c r="A1880" s="16"/>
      <c r="B1880" s="37"/>
      <c r="C1880" s="16"/>
      <c r="D1880" s="16"/>
      <c r="E1880" s="16"/>
      <c r="F1880" s="16"/>
      <c r="G1880" s="16"/>
      <c r="H1880" s="16"/>
      <c r="I1880" s="16"/>
      <c r="J1880" s="16"/>
      <c r="K1880" s="16"/>
      <c r="L1880" s="16"/>
      <c r="M1880" s="16"/>
    </row>
    <row r="1881" spans="1:13" x14ac:dyDescent="0.2">
      <c r="A1881" s="16"/>
      <c r="B1881" s="37"/>
      <c r="C1881" s="16"/>
      <c r="D1881" s="16"/>
      <c r="E1881" s="16"/>
      <c r="F1881" s="16"/>
      <c r="G1881" s="16"/>
      <c r="H1881" s="16"/>
      <c r="I1881" s="16"/>
      <c r="J1881" s="16"/>
      <c r="K1881" s="16"/>
      <c r="L1881" s="16"/>
      <c r="M1881" s="16"/>
    </row>
    <row r="1882" spans="1:13" x14ac:dyDescent="0.2">
      <c r="A1882" s="16"/>
      <c r="B1882" s="37"/>
      <c r="C1882" s="16"/>
      <c r="D1882" s="16"/>
      <c r="E1882" s="16"/>
      <c r="F1882" s="16"/>
      <c r="G1882" s="16"/>
      <c r="H1882" s="16"/>
      <c r="I1882" s="16"/>
      <c r="J1882" s="16"/>
      <c r="K1882" s="16"/>
      <c r="L1882" s="16"/>
      <c r="M1882" s="16"/>
    </row>
    <row r="1883" spans="1:13" x14ac:dyDescent="0.2">
      <c r="A1883" s="16"/>
      <c r="B1883" s="37"/>
      <c r="C1883" s="16"/>
      <c r="D1883" s="16"/>
      <c r="E1883" s="16"/>
      <c r="F1883" s="16"/>
      <c r="G1883" s="16"/>
      <c r="H1883" s="16"/>
      <c r="I1883" s="16"/>
      <c r="J1883" s="16"/>
      <c r="K1883" s="16"/>
      <c r="L1883" s="16"/>
      <c r="M1883" s="16"/>
    </row>
    <row r="1884" spans="1:13" x14ac:dyDescent="0.2">
      <c r="A1884" s="16"/>
      <c r="B1884" s="37"/>
      <c r="C1884" s="16"/>
      <c r="D1884" s="16"/>
      <c r="E1884" s="16"/>
      <c r="F1884" s="16"/>
      <c r="G1884" s="16"/>
      <c r="H1884" s="16"/>
      <c r="I1884" s="16"/>
      <c r="J1884" s="16"/>
      <c r="K1884" s="16"/>
      <c r="L1884" s="16"/>
      <c r="M1884" s="16"/>
    </row>
    <row r="1885" spans="1:13" x14ac:dyDescent="0.2">
      <c r="A1885" s="16"/>
      <c r="B1885" s="37"/>
      <c r="C1885" s="16"/>
      <c r="D1885" s="16"/>
      <c r="E1885" s="16"/>
      <c r="F1885" s="16"/>
      <c r="G1885" s="16"/>
      <c r="H1885" s="16"/>
      <c r="I1885" s="16"/>
      <c r="J1885" s="16"/>
      <c r="K1885" s="16"/>
      <c r="L1885" s="16"/>
      <c r="M1885" s="16"/>
    </row>
    <row r="1886" spans="1:13" x14ac:dyDescent="0.2">
      <c r="A1886" s="16"/>
      <c r="B1886" s="37"/>
      <c r="C1886" s="16"/>
      <c r="D1886" s="16"/>
      <c r="E1886" s="16"/>
      <c r="F1886" s="16"/>
      <c r="G1886" s="16"/>
      <c r="H1886" s="16"/>
      <c r="I1886" s="16"/>
      <c r="J1886" s="16"/>
      <c r="K1886" s="16"/>
      <c r="L1886" s="16"/>
      <c r="M1886" s="16"/>
    </row>
    <row r="1887" spans="1:13" x14ac:dyDescent="0.2">
      <c r="A1887" s="16"/>
      <c r="B1887" s="37"/>
      <c r="C1887" s="16"/>
      <c r="D1887" s="16"/>
      <c r="E1887" s="16"/>
      <c r="F1887" s="16"/>
      <c r="G1887" s="16"/>
      <c r="H1887" s="16"/>
      <c r="I1887" s="16"/>
      <c r="J1887" s="16"/>
      <c r="K1887" s="16"/>
      <c r="L1887" s="16"/>
      <c r="M1887" s="16"/>
    </row>
    <row r="1888" spans="1:13" x14ac:dyDescent="0.2">
      <c r="A1888" s="16"/>
      <c r="B1888" s="37"/>
      <c r="C1888" s="16"/>
      <c r="D1888" s="16"/>
      <c r="E1888" s="16"/>
      <c r="F1888" s="16"/>
      <c r="G1888" s="16"/>
      <c r="H1888" s="16"/>
      <c r="I1888" s="16"/>
      <c r="J1888" s="16"/>
      <c r="K1888" s="16"/>
      <c r="L1888" s="16"/>
      <c r="M1888" s="16"/>
    </row>
    <row r="1889" spans="1:13" x14ac:dyDescent="0.2">
      <c r="A1889" s="16"/>
      <c r="B1889" s="37"/>
      <c r="C1889" s="16"/>
      <c r="D1889" s="16"/>
      <c r="E1889" s="16"/>
      <c r="F1889" s="16"/>
      <c r="G1889" s="16"/>
      <c r="H1889" s="16"/>
      <c r="I1889" s="16"/>
      <c r="J1889" s="16"/>
      <c r="K1889" s="16"/>
      <c r="L1889" s="16"/>
      <c r="M1889" s="16"/>
    </row>
    <row r="1890" spans="1:13" x14ac:dyDescent="0.2">
      <c r="A1890" s="16"/>
      <c r="B1890" s="37"/>
      <c r="C1890" s="16"/>
      <c r="D1890" s="16"/>
      <c r="E1890" s="16"/>
      <c r="F1890" s="16"/>
      <c r="G1890" s="16"/>
      <c r="H1890" s="16"/>
      <c r="I1890" s="16"/>
      <c r="J1890" s="16"/>
      <c r="K1890" s="16"/>
      <c r="L1890" s="16"/>
      <c r="M1890" s="16"/>
    </row>
    <row r="1891" spans="1:13" x14ac:dyDescent="0.2">
      <c r="A1891" s="16"/>
      <c r="B1891" s="37"/>
      <c r="C1891" s="16"/>
      <c r="D1891" s="16"/>
      <c r="E1891" s="16"/>
      <c r="F1891" s="16"/>
      <c r="G1891" s="16"/>
      <c r="H1891" s="16"/>
      <c r="I1891" s="16"/>
      <c r="J1891" s="16"/>
      <c r="K1891" s="16"/>
      <c r="L1891" s="16"/>
      <c r="M1891" s="16"/>
    </row>
    <row r="1892" spans="1:13" x14ac:dyDescent="0.2">
      <c r="A1892" s="16"/>
      <c r="B1892" s="37"/>
      <c r="C1892" s="16"/>
      <c r="D1892" s="16"/>
      <c r="E1892" s="16"/>
      <c r="F1892" s="16"/>
      <c r="G1892" s="16"/>
      <c r="H1892" s="16"/>
      <c r="I1892" s="16"/>
      <c r="J1892" s="16"/>
      <c r="K1892" s="16"/>
      <c r="L1892" s="16"/>
      <c r="M1892" s="16"/>
    </row>
    <row r="1893" spans="1:13" x14ac:dyDescent="0.2">
      <c r="A1893" s="16"/>
      <c r="B1893" s="37"/>
      <c r="C1893" s="16"/>
      <c r="D1893" s="16"/>
      <c r="E1893" s="16"/>
      <c r="F1893" s="16"/>
      <c r="G1893" s="16"/>
      <c r="H1893" s="16"/>
      <c r="I1893" s="16"/>
      <c r="J1893" s="16"/>
      <c r="K1893" s="16"/>
      <c r="L1893" s="16"/>
      <c r="M1893" s="16"/>
    </row>
    <row r="1894" spans="1:13" x14ac:dyDescent="0.2">
      <c r="A1894" s="16"/>
      <c r="B1894" s="37"/>
      <c r="C1894" s="16"/>
      <c r="D1894" s="16"/>
      <c r="E1894" s="16"/>
      <c r="F1894" s="16"/>
      <c r="G1894" s="16"/>
      <c r="H1894" s="16"/>
      <c r="I1894" s="16"/>
      <c r="J1894" s="16"/>
      <c r="K1894" s="16"/>
      <c r="L1894" s="16"/>
      <c r="M1894" s="16"/>
    </row>
    <row r="1895" spans="1:13" x14ac:dyDescent="0.2">
      <c r="A1895" s="16"/>
      <c r="B1895" s="37"/>
      <c r="C1895" s="16"/>
      <c r="D1895" s="16"/>
      <c r="E1895" s="16"/>
      <c r="F1895" s="16"/>
      <c r="G1895" s="16"/>
      <c r="H1895" s="16"/>
      <c r="I1895" s="16"/>
      <c r="J1895" s="16"/>
      <c r="K1895" s="16"/>
      <c r="L1895" s="16"/>
      <c r="M1895" s="16"/>
    </row>
    <row r="1896" spans="1:13" x14ac:dyDescent="0.2">
      <c r="A1896" s="16"/>
      <c r="B1896" s="37"/>
      <c r="C1896" s="16"/>
      <c r="D1896" s="16"/>
      <c r="E1896" s="16"/>
      <c r="F1896" s="16"/>
      <c r="G1896" s="16"/>
      <c r="H1896" s="16"/>
      <c r="I1896" s="16"/>
      <c r="J1896" s="16"/>
      <c r="K1896" s="16"/>
      <c r="L1896" s="16"/>
      <c r="M1896" s="16"/>
    </row>
    <row r="1897" spans="1:13" x14ac:dyDescent="0.2">
      <c r="A1897" s="16"/>
      <c r="B1897" s="37"/>
      <c r="C1897" s="16"/>
      <c r="D1897" s="16"/>
      <c r="E1897" s="16"/>
      <c r="F1897" s="16"/>
      <c r="G1897" s="16"/>
      <c r="H1897" s="16"/>
      <c r="I1897" s="16"/>
      <c r="J1897" s="16"/>
      <c r="K1897" s="16"/>
      <c r="L1897" s="16"/>
      <c r="M1897" s="16"/>
    </row>
    <row r="1898" spans="1:13" x14ac:dyDescent="0.2">
      <c r="A1898" s="16"/>
      <c r="B1898" s="37"/>
      <c r="C1898" s="16"/>
      <c r="D1898" s="16"/>
      <c r="E1898" s="16"/>
      <c r="F1898" s="16"/>
      <c r="G1898" s="16"/>
      <c r="H1898" s="16"/>
      <c r="I1898" s="16"/>
      <c r="J1898" s="16"/>
      <c r="K1898" s="16"/>
      <c r="L1898" s="16"/>
      <c r="M1898" s="16"/>
    </row>
    <row r="1899" spans="1:13" x14ac:dyDescent="0.2">
      <c r="A1899" s="16"/>
      <c r="B1899" s="37"/>
      <c r="C1899" s="16"/>
      <c r="D1899" s="16"/>
      <c r="E1899" s="16"/>
      <c r="F1899" s="16"/>
      <c r="G1899" s="16"/>
      <c r="H1899" s="16"/>
      <c r="I1899" s="16"/>
      <c r="J1899" s="16"/>
      <c r="K1899" s="16"/>
      <c r="L1899" s="16"/>
      <c r="M1899" s="16"/>
    </row>
    <row r="1900" spans="1:13" x14ac:dyDescent="0.2">
      <c r="A1900" s="16"/>
      <c r="B1900" s="37"/>
      <c r="C1900" s="16"/>
      <c r="D1900" s="16"/>
      <c r="E1900" s="16"/>
      <c r="F1900" s="16"/>
      <c r="G1900" s="16"/>
      <c r="H1900" s="16"/>
      <c r="I1900" s="16"/>
      <c r="J1900" s="16"/>
      <c r="K1900" s="16"/>
      <c r="L1900" s="16"/>
      <c r="M1900" s="16"/>
    </row>
    <row r="1901" spans="1:13" x14ac:dyDescent="0.2">
      <c r="A1901" s="16"/>
      <c r="B1901" s="37"/>
      <c r="C1901" s="16"/>
      <c r="D1901" s="16"/>
      <c r="E1901" s="16"/>
      <c r="F1901" s="16"/>
      <c r="G1901" s="16"/>
      <c r="H1901" s="16"/>
      <c r="I1901" s="16"/>
      <c r="J1901" s="16"/>
      <c r="K1901" s="16"/>
      <c r="L1901" s="16"/>
      <c r="M1901" s="16"/>
    </row>
    <row r="1902" spans="1:13" x14ac:dyDescent="0.2">
      <c r="A1902" s="16"/>
      <c r="B1902" s="37"/>
      <c r="C1902" s="16"/>
      <c r="D1902" s="16"/>
      <c r="E1902" s="16"/>
      <c r="F1902" s="16"/>
      <c r="G1902" s="16"/>
      <c r="H1902" s="16"/>
      <c r="I1902" s="16"/>
      <c r="J1902" s="16"/>
      <c r="K1902" s="16"/>
      <c r="L1902" s="16"/>
      <c r="M1902" s="16"/>
    </row>
    <row r="1903" spans="1:13" x14ac:dyDescent="0.2">
      <c r="A1903" s="16"/>
      <c r="B1903" s="37"/>
      <c r="C1903" s="16"/>
      <c r="D1903" s="16"/>
      <c r="E1903" s="16"/>
      <c r="F1903" s="16"/>
      <c r="G1903" s="16"/>
      <c r="H1903" s="16"/>
      <c r="I1903" s="16"/>
      <c r="J1903" s="16"/>
      <c r="K1903" s="16"/>
      <c r="L1903" s="16"/>
      <c r="M1903" s="16"/>
    </row>
    <row r="1904" spans="1:13" x14ac:dyDescent="0.2">
      <c r="A1904" s="16"/>
      <c r="B1904" s="37"/>
      <c r="C1904" s="16"/>
      <c r="D1904" s="16"/>
      <c r="E1904" s="16"/>
      <c r="F1904" s="16"/>
      <c r="G1904" s="16"/>
      <c r="H1904" s="16"/>
      <c r="I1904" s="16"/>
      <c r="J1904" s="16"/>
      <c r="K1904" s="16"/>
      <c r="L1904" s="16"/>
      <c r="M1904" s="16"/>
    </row>
    <row r="1905" spans="1:13" x14ac:dyDescent="0.2">
      <c r="A1905" s="16"/>
      <c r="B1905" s="37"/>
      <c r="C1905" s="16"/>
      <c r="D1905" s="16"/>
      <c r="E1905" s="16"/>
      <c r="F1905" s="16"/>
      <c r="G1905" s="16"/>
      <c r="H1905" s="16"/>
      <c r="I1905" s="16"/>
      <c r="J1905" s="16"/>
      <c r="K1905" s="16"/>
      <c r="L1905" s="16"/>
      <c r="M1905" s="16"/>
    </row>
    <row r="1906" spans="1:13" x14ac:dyDescent="0.2">
      <c r="A1906" s="16"/>
      <c r="B1906" s="37"/>
      <c r="C1906" s="16"/>
      <c r="D1906" s="16"/>
      <c r="E1906" s="16"/>
      <c r="F1906" s="16"/>
      <c r="G1906" s="16"/>
      <c r="H1906" s="16"/>
      <c r="I1906" s="16"/>
      <c r="J1906" s="16"/>
      <c r="K1906" s="16"/>
      <c r="L1906" s="16"/>
      <c r="M1906" s="16"/>
    </row>
    <row r="1907" spans="1:13" x14ac:dyDescent="0.2">
      <c r="A1907" s="16"/>
      <c r="B1907" s="37"/>
      <c r="C1907" s="16"/>
      <c r="D1907" s="16"/>
      <c r="E1907" s="16"/>
      <c r="F1907" s="16"/>
      <c r="G1907" s="16"/>
      <c r="H1907" s="16"/>
      <c r="I1907" s="16"/>
      <c r="J1907" s="16"/>
      <c r="K1907" s="16"/>
      <c r="L1907" s="16"/>
      <c r="M1907" s="16"/>
    </row>
    <row r="1908" spans="1:13" x14ac:dyDescent="0.2">
      <c r="A1908" s="16"/>
      <c r="B1908" s="37"/>
      <c r="C1908" s="16"/>
      <c r="D1908" s="16"/>
      <c r="E1908" s="16"/>
      <c r="F1908" s="16"/>
      <c r="G1908" s="16"/>
      <c r="H1908" s="16"/>
      <c r="I1908" s="16"/>
      <c r="J1908" s="16"/>
      <c r="K1908" s="16"/>
      <c r="L1908" s="16"/>
      <c r="M1908" s="16"/>
    </row>
    <row r="1909" spans="1:13" x14ac:dyDescent="0.2">
      <c r="A1909" s="16"/>
      <c r="B1909" s="37"/>
      <c r="C1909" s="16"/>
      <c r="D1909" s="16"/>
      <c r="E1909" s="16"/>
      <c r="F1909" s="16"/>
      <c r="G1909" s="16"/>
      <c r="H1909" s="16"/>
      <c r="I1909" s="16"/>
      <c r="J1909" s="16"/>
      <c r="K1909" s="16"/>
      <c r="L1909" s="16"/>
      <c r="M1909" s="16"/>
    </row>
    <row r="1910" spans="1:13" x14ac:dyDescent="0.2">
      <c r="A1910" s="16"/>
      <c r="B1910" s="37"/>
      <c r="C1910" s="16"/>
      <c r="D1910" s="16"/>
      <c r="E1910" s="16"/>
      <c r="F1910" s="16"/>
      <c r="G1910" s="16"/>
      <c r="H1910" s="16"/>
      <c r="I1910" s="16"/>
      <c r="J1910" s="16"/>
      <c r="K1910" s="16"/>
      <c r="L1910" s="16"/>
      <c r="M1910" s="16"/>
    </row>
    <row r="1911" spans="1:13" x14ac:dyDescent="0.2">
      <c r="A1911" s="16"/>
      <c r="B1911" s="37"/>
      <c r="C1911" s="16"/>
      <c r="D1911" s="16"/>
      <c r="E1911" s="16"/>
      <c r="F1911" s="16"/>
      <c r="G1911" s="16"/>
      <c r="H1911" s="16"/>
      <c r="I1911" s="16"/>
      <c r="J1911" s="16"/>
      <c r="K1911" s="16"/>
      <c r="L1911" s="16"/>
      <c r="M1911" s="16"/>
    </row>
    <row r="1912" spans="1:13" x14ac:dyDescent="0.2">
      <c r="A1912" s="16"/>
      <c r="B1912" s="37"/>
      <c r="C1912" s="16"/>
      <c r="D1912" s="16"/>
      <c r="E1912" s="16"/>
      <c r="F1912" s="16"/>
      <c r="G1912" s="16"/>
      <c r="H1912" s="16"/>
      <c r="I1912" s="16"/>
      <c r="J1912" s="16"/>
      <c r="K1912" s="16"/>
      <c r="L1912" s="16"/>
      <c r="M1912" s="16"/>
    </row>
    <row r="1913" spans="1:13" x14ac:dyDescent="0.2">
      <c r="A1913" s="16"/>
      <c r="B1913" s="37"/>
      <c r="C1913" s="16"/>
      <c r="D1913" s="16"/>
      <c r="E1913" s="16"/>
      <c r="F1913" s="16"/>
      <c r="G1913" s="16"/>
      <c r="H1913" s="16"/>
      <c r="I1913" s="16"/>
      <c r="J1913" s="16"/>
      <c r="K1913" s="16"/>
      <c r="L1913" s="16"/>
      <c r="M1913" s="16"/>
    </row>
    <row r="1914" spans="1:13" x14ac:dyDescent="0.2">
      <c r="A1914" s="16"/>
      <c r="B1914" s="37"/>
      <c r="C1914" s="16"/>
      <c r="D1914" s="16"/>
      <c r="E1914" s="16"/>
      <c r="F1914" s="16"/>
      <c r="G1914" s="16"/>
      <c r="H1914" s="16"/>
      <c r="I1914" s="16"/>
      <c r="J1914" s="16"/>
      <c r="K1914" s="16"/>
      <c r="L1914" s="16"/>
      <c r="M1914" s="16"/>
    </row>
    <row r="1915" spans="1:13" x14ac:dyDescent="0.2">
      <c r="A1915" s="16"/>
      <c r="B1915" s="37"/>
      <c r="C1915" s="16"/>
      <c r="D1915" s="16"/>
      <c r="E1915" s="16"/>
      <c r="F1915" s="16"/>
      <c r="G1915" s="16"/>
      <c r="H1915" s="16"/>
      <c r="I1915" s="16"/>
      <c r="J1915" s="16"/>
      <c r="K1915" s="16"/>
      <c r="L1915" s="16"/>
      <c r="M1915" s="16"/>
    </row>
    <row r="1916" spans="1:13" x14ac:dyDescent="0.2">
      <c r="A1916" s="16"/>
      <c r="B1916" s="37"/>
      <c r="C1916" s="16"/>
      <c r="D1916" s="16"/>
      <c r="E1916" s="16"/>
      <c r="F1916" s="16"/>
      <c r="G1916" s="16"/>
      <c r="H1916" s="16"/>
      <c r="I1916" s="16"/>
      <c r="J1916" s="16"/>
      <c r="K1916" s="16"/>
      <c r="L1916" s="16"/>
      <c r="M1916" s="16"/>
    </row>
    <row r="1917" spans="1:13" x14ac:dyDescent="0.2">
      <c r="A1917" s="16"/>
      <c r="B1917" s="37"/>
      <c r="C1917" s="16"/>
      <c r="D1917" s="16"/>
      <c r="E1917" s="16"/>
      <c r="F1917" s="16"/>
      <c r="G1917" s="16"/>
      <c r="H1917" s="16"/>
      <c r="I1917" s="16"/>
      <c r="J1917" s="16"/>
      <c r="K1917" s="16"/>
      <c r="L1917" s="16"/>
      <c r="M1917" s="16"/>
    </row>
    <row r="1918" spans="1:13" x14ac:dyDescent="0.2">
      <c r="A1918" s="16"/>
      <c r="B1918" s="37"/>
      <c r="C1918" s="16"/>
      <c r="D1918" s="16"/>
      <c r="E1918" s="16"/>
      <c r="F1918" s="16"/>
      <c r="G1918" s="16"/>
      <c r="H1918" s="16"/>
      <c r="I1918" s="16"/>
      <c r="J1918" s="16"/>
      <c r="K1918" s="16"/>
      <c r="L1918" s="16"/>
      <c r="M1918" s="16"/>
    </row>
    <row r="1919" spans="1:13" x14ac:dyDescent="0.2">
      <c r="A1919" s="16"/>
      <c r="B1919" s="37"/>
      <c r="C1919" s="16"/>
      <c r="D1919" s="16"/>
      <c r="E1919" s="16"/>
      <c r="F1919" s="16"/>
      <c r="G1919" s="16"/>
      <c r="H1919" s="16"/>
      <c r="I1919" s="16"/>
      <c r="J1919" s="16"/>
      <c r="K1919" s="16"/>
      <c r="L1919" s="16"/>
      <c r="M1919" s="16"/>
    </row>
    <row r="1920" spans="1:13" x14ac:dyDescent="0.2">
      <c r="A1920" s="16"/>
      <c r="B1920" s="37"/>
      <c r="C1920" s="16"/>
      <c r="D1920" s="16"/>
      <c r="E1920" s="16"/>
      <c r="F1920" s="16"/>
      <c r="G1920" s="16"/>
      <c r="H1920" s="16"/>
      <c r="I1920" s="16"/>
      <c r="J1920" s="16"/>
      <c r="K1920" s="16"/>
      <c r="L1920" s="16"/>
      <c r="M1920" s="16"/>
    </row>
    <row r="1921" spans="1:13" x14ac:dyDescent="0.2">
      <c r="A1921" s="16"/>
      <c r="B1921" s="37"/>
      <c r="C1921" s="16"/>
      <c r="D1921" s="16"/>
      <c r="E1921" s="16"/>
      <c r="F1921" s="16"/>
      <c r="G1921" s="16"/>
      <c r="H1921" s="16"/>
      <c r="I1921" s="16"/>
      <c r="J1921" s="16"/>
      <c r="K1921" s="16"/>
      <c r="L1921" s="16"/>
      <c r="M1921" s="16"/>
    </row>
    <row r="1922" spans="1:13" x14ac:dyDescent="0.2">
      <c r="A1922" s="16"/>
      <c r="B1922" s="37"/>
      <c r="C1922" s="16"/>
      <c r="D1922" s="16"/>
      <c r="E1922" s="16"/>
      <c r="F1922" s="16"/>
      <c r="G1922" s="16"/>
      <c r="H1922" s="16"/>
      <c r="I1922" s="16"/>
      <c r="J1922" s="16"/>
      <c r="K1922" s="16"/>
      <c r="L1922" s="16"/>
      <c r="M1922" s="16"/>
    </row>
    <row r="1923" spans="1:13" x14ac:dyDescent="0.2">
      <c r="A1923" s="16"/>
      <c r="B1923" s="37"/>
      <c r="C1923" s="16"/>
      <c r="D1923" s="16"/>
      <c r="E1923" s="16"/>
      <c r="F1923" s="16"/>
      <c r="G1923" s="16"/>
      <c r="H1923" s="16"/>
      <c r="I1923" s="16"/>
      <c r="J1923" s="16"/>
      <c r="K1923" s="16"/>
      <c r="L1923" s="16"/>
      <c r="M1923" s="16"/>
    </row>
    <row r="1924" spans="1:13" x14ac:dyDescent="0.2">
      <c r="A1924" s="16"/>
      <c r="B1924" s="37"/>
      <c r="C1924" s="16"/>
      <c r="D1924" s="16"/>
      <c r="E1924" s="16"/>
      <c r="F1924" s="16"/>
      <c r="G1924" s="16"/>
      <c r="H1924" s="16"/>
      <c r="I1924" s="16"/>
      <c r="J1924" s="16"/>
      <c r="K1924" s="16"/>
      <c r="L1924" s="16"/>
      <c r="M1924" s="16"/>
    </row>
    <row r="1925" spans="1:13" x14ac:dyDescent="0.2">
      <c r="A1925" s="16"/>
      <c r="B1925" s="37"/>
      <c r="C1925" s="16"/>
      <c r="D1925" s="16"/>
      <c r="E1925" s="16"/>
      <c r="F1925" s="16"/>
      <c r="G1925" s="16"/>
      <c r="H1925" s="16"/>
      <c r="I1925" s="16"/>
      <c r="J1925" s="16"/>
      <c r="K1925" s="16"/>
      <c r="L1925" s="16"/>
      <c r="M1925" s="16"/>
    </row>
    <row r="1926" spans="1:13" x14ac:dyDescent="0.2">
      <c r="A1926" s="16"/>
      <c r="B1926" s="37"/>
      <c r="C1926" s="16"/>
      <c r="D1926" s="16"/>
      <c r="E1926" s="16"/>
      <c r="F1926" s="16"/>
      <c r="G1926" s="16"/>
      <c r="H1926" s="16"/>
      <c r="I1926" s="16"/>
      <c r="J1926" s="16"/>
      <c r="K1926" s="16"/>
      <c r="L1926" s="16"/>
      <c r="M1926" s="16"/>
    </row>
    <row r="1927" spans="1:13" x14ac:dyDescent="0.2">
      <c r="A1927" s="16"/>
      <c r="B1927" s="37"/>
      <c r="C1927" s="16"/>
      <c r="D1927" s="16"/>
      <c r="E1927" s="16"/>
      <c r="F1927" s="16"/>
      <c r="G1927" s="16"/>
      <c r="H1927" s="16"/>
      <c r="I1927" s="16"/>
      <c r="J1927" s="16"/>
      <c r="K1927" s="16"/>
      <c r="L1927" s="16"/>
      <c r="M1927" s="16"/>
    </row>
    <row r="1928" spans="1:13" x14ac:dyDescent="0.2">
      <c r="A1928" s="16"/>
      <c r="B1928" s="37"/>
      <c r="C1928" s="16"/>
      <c r="D1928" s="16"/>
      <c r="E1928" s="16"/>
      <c r="F1928" s="16"/>
      <c r="G1928" s="16"/>
      <c r="H1928" s="16"/>
      <c r="I1928" s="16"/>
      <c r="J1928" s="16"/>
      <c r="K1928" s="16"/>
      <c r="L1928" s="16"/>
      <c r="M1928" s="16"/>
    </row>
    <row r="1929" spans="1:13" x14ac:dyDescent="0.2">
      <c r="A1929" s="16"/>
      <c r="B1929" s="37"/>
      <c r="C1929" s="16"/>
      <c r="D1929" s="16"/>
      <c r="E1929" s="16"/>
      <c r="F1929" s="16"/>
      <c r="G1929" s="16"/>
      <c r="H1929" s="16"/>
      <c r="I1929" s="16"/>
      <c r="J1929" s="16"/>
      <c r="K1929" s="16"/>
      <c r="L1929" s="16"/>
      <c r="M1929" s="16"/>
    </row>
    <row r="1930" spans="1:13" x14ac:dyDescent="0.2">
      <c r="A1930" s="16"/>
      <c r="B1930" s="37"/>
      <c r="C1930" s="16"/>
      <c r="D1930" s="16"/>
      <c r="E1930" s="16"/>
      <c r="F1930" s="16"/>
      <c r="G1930" s="16"/>
      <c r="H1930" s="16"/>
      <c r="I1930" s="16"/>
      <c r="J1930" s="16"/>
      <c r="K1930" s="16"/>
      <c r="L1930" s="16"/>
      <c r="M1930" s="16"/>
    </row>
    <row r="1931" spans="1:13" x14ac:dyDescent="0.2">
      <c r="A1931" s="16"/>
      <c r="B1931" s="37"/>
      <c r="C1931" s="16"/>
      <c r="D1931" s="16"/>
      <c r="E1931" s="16"/>
      <c r="F1931" s="16"/>
      <c r="G1931" s="16"/>
      <c r="H1931" s="16"/>
      <c r="I1931" s="16"/>
      <c r="J1931" s="16"/>
      <c r="K1931" s="16"/>
      <c r="L1931" s="16"/>
      <c r="M1931" s="16"/>
    </row>
    <row r="1932" spans="1:13" x14ac:dyDescent="0.2">
      <c r="A1932" s="16"/>
      <c r="B1932" s="37"/>
      <c r="C1932" s="16"/>
      <c r="D1932" s="16"/>
      <c r="E1932" s="16"/>
      <c r="F1932" s="16"/>
      <c r="G1932" s="16"/>
      <c r="H1932" s="16"/>
      <c r="I1932" s="16"/>
      <c r="J1932" s="16"/>
      <c r="K1932" s="16"/>
      <c r="L1932" s="16"/>
      <c r="M1932" s="16"/>
    </row>
    <row r="1933" spans="1:13" x14ac:dyDescent="0.2">
      <c r="A1933" s="16"/>
      <c r="B1933" s="37"/>
      <c r="C1933" s="16"/>
      <c r="D1933" s="16"/>
      <c r="E1933" s="16"/>
      <c r="F1933" s="16"/>
      <c r="G1933" s="16"/>
      <c r="H1933" s="16"/>
      <c r="I1933" s="16"/>
      <c r="J1933" s="16"/>
      <c r="K1933" s="16"/>
      <c r="L1933" s="16"/>
      <c r="M1933" s="16"/>
    </row>
    <row r="1934" spans="1:13" x14ac:dyDescent="0.2">
      <c r="A1934" s="16"/>
      <c r="B1934" s="37"/>
      <c r="C1934" s="16"/>
      <c r="D1934" s="16"/>
      <c r="E1934" s="16"/>
      <c r="F1934" s="16"/>
      <c r="G1934" s="16"/>
      <c r="H1934" s="16"/>
      <c r="I1934" s="16"/>
      <c r="J1934" s="16"/>
      <c r="K1934" s="16"/>
      <c r="L1934" s="16"/>
      <c r="M1934" s="16"/>
    </row>
    <row r="1935" spans="1:13" x14ac:dyDescent="0.2">
      <c r="A1935" s="16"/>
      <c r="B1935" s="37"/>
      <c r="C1935" s="16"/>
      <c r="D1935" s="16"/>
      <c r="E1935" s="16"/>
      <c r="F1935" s="16"/>
      <c r="G1935" s="16"/>
      <c r="H1935" s="16"/>
      <c r="I1935" s="16"/>
      <c r="J1935" s="16"/>
      <c r="K1935" s="16"/>
      <c r="L1935" s="16"/>
      <c r="M1935" s="16"/>
    </row>
    <row r="1936" spans="1:13" x14ac:dyDescent="0.2">
      <c r="A1936" s="16"/>
      <c r="B1936" s="37"/>
      <c r="C1936" s="16"/>
      <c r="D1936" s="16"/>
      <c r="E1936" s="16"/>
      <c r="F1936" s="16"/>
      <c r="G1936" s="16"/>
      <c r="H1936" s="16"/>
      <c r="I1936" s="16"/>
      <c r="J1936" s="16"/>
      <c r="K1936" s="16"/>
      <c r="L1936" s="16"/>
      <c r="M1936" s="16"/>
    </row>
    <row r="1937" spans="1:13" x14ac:dyDescent="0.2">
      <c r="A1937" s="16"/>
      <c r="B1937" s="37"/>
      <c r="C1937" s="16"/>
      <c r="D1937" s="16"/>
      <c r="E1937" s="16"/>
      <c r="F1937" s="16"/>
      <c r="G1937" s="16"/>
      <c r="H1937" s="16"/>
      <c r="I1937" s="16"/>
      <c r="J1937" s="16"/>
      <c r="K1937" s="16"/>
      <c r="L1937" s="16"/>
      <c r="M1937" s="16"/>
    </row>
    <row r="1938" spans="1:13" x14ac:dyDescent="0.2">
      <c r="A1938" s="16"/>
      <c r="B1938" s="37"/>
      <c r="C1938" s="16"/>
      <c r="D1938" s="16"/>
      <c r="E1938" s="16"/>
      <c r="F1938" s="16"/>
      <c r="G1938" s="16"/>
      <c r="H1938" s="16"/>
      <c r="I1938" s="16"/>
      <c r="J1938" s="16"/>
      <c r="K1938" s="16"/>
      <c r="L1938" s="16"/>
      <c r="M1938" s="16"/>
    </row>
    <row r="1939" spans="1:13" x14ac:dyDescent="0.2">
      <c r="A1939" s="16"/>
      <c r="B1939" s="37"/>
      <c r="C1939" s="16"/>
      <c r="D1939" s="16"/>
      <c r="E1939" s="16"/>
      <c r="F1939" s="16"/>
      <c r="G1939" s="16"/>
      <c r="H1939" s="16"/>
      <c r="I1939" s="16"/>
      <c r="J1939" s="16"/>
      <c r="K1939" s="16"/>
      <c r="L1939" s="16"/>
      <c r="M1939" s="16"/>
    </row>
    <row r="1940" spans="1:13" x14ac:dyDescent="0.2">
      <c r="A1940" s="16"/>
      <c r="B1940" s="37"/>
      <c r="C1940" s="16"/>
      <c r="D1940" s="16"/>
      <c r="E1940" s="16"/>
      <c r="F1940" s="16"/>
      <c r="G1940" s="16"/>
      <c r="H1940" s="16"/>
      <c r="I1940" s="16"/>
      <c r="J1940" s="16"/>
      <c r="K1940" s="16"/>
      <c r="L1940" s="16"/>
      <c r="M1940" s="16"/>
    </row>
    <row r="1941" spans="1:13" x14ac:dyDescent="0.2">
      <c r="A1941" s="16"/>
      <c r="B1941" s="37"/>
      <c r="C1941" s="16"/>
      <c r="D1941" s="16"/>
      <c r="E1941" s="16"/>
      <c r="F1941" s="16"/>
      <c r="G1941" s="16"/>
      <c r="H1941" s="16"/>
      <c r="I1941" s="16"/>
      <c r="J1941" s="16"/>
      <c r="K1941" s="16"/>
      <c r="L1941" s="16"/>
      <c r="M1941" s="16"/>
    </row>
    <row r="1942" spans="1:13" x14ac:dyDescent="0.2">
      <c r="A1942" s="16"/>
      <c r="B1942" s="37"/>
      <c r="C1942" s="16"/>
      <c r="D1942" s="16"/>
      <c r="E1942" s="16"/>
      <c r="F1942" s="16"/>
      <c r="G1942" s="16"/>
      <c r="H1942" s="16"/>
      <c r="I1942" s="16"/>
      <c r="J1942" s="16"/>
      <c r="K1942" s="16"/>
      <c r="L1942" s="16"/>
      <c r="M1942" s="16"/>
    </row>
    <row r="1943" spans="1:13" x14ac:dyDescent="0.2">
      <c r="A1943" s="16"/>
      <c r="B1943" s="37"/>
      <c r="C1943" s="16"/>
      <c r="D1943" s="16"/>
      <c r="E1943" s="16"/>
      <c r="F1943" s="16"/>
      <c r="G1943" s="16"/>
      <c r="H1943" s="16"/>
      <c r="I1943" s="16"/>
      <c r="J1943" s="16"/>
      <c r="K1943" s="16"/>
      <c r="L1943" s="16"/>
      <c r="M1943" s="16"/>
    </row>
    <row r="1944" spans="1:13" x14ac:dyDescent="0.2">
      <c r="A1944" s="16"/>
      <c r="B1944" s="37"/>
      <c r="C1944" s="16"/>
      <c r="D1944" s="16"/>
      <c r="E1944" s="16"/>
      <c r="F1944" s="16"/>
      <c r="G1944" s="16"/>
      <c r="H1944" s="16"/>
      <c r="I1944" s="16"/>
      <c r="J1944" s="16"/>
      <c r="K1944" s="16"/>
      <c r="L1944" s="16"/>
      <c r="M1944" s="16"/>
    </row>
    <row r="1945" spans="1:13" x14ac:dyDescent="0.2">
      <c r="A1945" s="16"/>
      <c r="B1945" s="37"/>
      <c r="C1945" s="16"/>
      <c r="D1945" s="16"/>
      <c r="E1945" s="16"/>
      <c r="F1945" s="16"/>
      <c r="G1945" s="16"/>
      <c r="H1945" s="16"/>
      <c r="I1945" s="16"/>
      <c r="J1945" s="16"/>
      <c r="K1945" s="16"/>
      <c r="L1945" s="16"/>
      <c r="M1945" s="16"/>
    </row>
    <row r="1946" spans="1:13" x14ac:dyDescent="0.2">
      <c r="A1946" s="16"/>
      <c r="B1946" s="37"/>
      <c r="C1946" s="16"/>
      <c r="D1946" s="16"/>
      <c r="E1946" s="16"/>
      <c r="F1946" s="16"/>
      <c r="G1946" s="16"/>
      <c r="H1946" s="16"/>
      <c r="I1946" s="16"/>
      <c r="J1946" s="16"/>
      <c r="K1946" s="16"/>
      <c r="L1946" s="16"/>
      <c r="M1946" s="16"/>
    </row>
    <row r="1947" spans="1:13" x14ac:dyDescent="0.2">
      <c r="A1947" s="16"/>
      <c r="B1947" s="37"/>
      <c r="C1947" s="16"/>
      <c r="D1947" s="16"/>
      <c r="E1947" s="16"/>
      <c r="F1947" s="16"/>
      <c r="G1947" s="16"/>
      <c r="H1947" s="16"/>
      <c r="I1947" s="16"/>
      <c r="J1947" s="16"/>
      <c r="K1947" s="16"/>
      <c r="L1947" s="16"/>
      <c r="M1947" s="16"/>
    </row>
    <row r="1948" spans="1:13" x14ac:dyDescent="0.2">
      <c r="A1948" s="16"/>
      <c r="B1948" s="37"/>
      <c r="C1948" s="16"/>
      <c r="D1948" s="16"/>
      <c r="E1948" s="16"/>
      <c r="F1948" s="16"/>
      <c r="G1948" s="16"/>
      <c r="H1948" s="16"/>
      <c r="I1948" s="16"/>
      <c r="J1948" s="16"/>
      <c r="K1948" s="16"/>
      <c r="L1948" s="16"/>
      <c r="M1948" s="16"/>
    </row>
    <row r="1949" spans="1:13" x14ac:dyDescent="0.2">
      <c r="A1949" s="16"/>
      <c r="B1949" s="37"/>
      <c r="C1949" s="16"/>
      <c r="D1949" s="16"/>
      <c r="E1949" s="16"/>
      <c r="F1949" s="16"/>
      <c r="G1949" s="16"/>
      <c r="H1949" s="16"/>
      <c r="I1949" s="16"/>
      <c r="J1949" s="16"/>
      <c r="K1949" s="16"/>
      <c r="L1949" s="16"/>
      <c r="M1949" s="16"/>
    </row>
    <row r="1950" spans="1:13" x14ac:dyDescent="0.2">
      <c r="A1950" s="16"/>
      <c r="B1950" s="37"/>
      <c r="C1950" s="16"/>
      <c r="D1950" s="16"/>
      <c r="E1950" s="16"/>
      <c r="F1950" s="16"/>
      <c r="G1950" s="16"/>
      <c r="H1950" s="16"/>
      <c r="I1950" s="16"/>
      <c r="J1950" s="16"/>
      <c r="K1950" s="16"/>
      <c r="L1950" s="16"/>
      <c r="M1950" s="16"/>
    </row>
    <row r="1951" spans="1:13" x14ac:dyDescent="0.2">
      <c r="A1951" s="16"/>
      <c r="B1951" s="37"/>
      <c r="C1951" s="16"/>
      <c r="D1951" s="16"/>
      <c r="E1951" s="16"/>
      <c r="F1951" s="16"/>
      <c r="G1951" s="16"/>
      <c r="H1951" s="16"/>
      <c r="I1951" s="16"/>
      <c r="J1951" s="16"/>
      <c r="K1951" s="16"/>
      <c r="L1951" s="16"/>
      <c r="M1951" s="16"/>
    </row>
    <row r="1952" spans="1:13" x14ac:dyDescent="0.2">
      <c r="A1952" s="16"/>
      <c r="B1952" s="37"/>
      <c r="C1952" s="16"/>
      <c r="D1952" s="16"/>
      <c r="E1952" s="16"/>
      <c r="F1952" s="16"/>
      <c r="G1952" s="16"/>
      <c r="H1952" s="16"/>
      <c r="I1952" s="16"/>
      <c r="J1952" s="16"/>
      <c r="K1952" s="16"/>
      <c r="L1952" s="16"/>
      <c r="M1952" s="16"/>
    </row>
    <row r="1953" spans="1:13" x14ac:dyDescent="0.2">
      <c r="A1953" s="16"/>
      <c r="B1953" s="37"/>
      <c r="C1953" s="16"/>
      <c r="D1953" s="16"/>
      <c r="E1953" s="16"/>
      <c r="F1953" s="16"/>
      <c r="G1953" s="16"/>
      <c r="H1953" s="16"/>
      <c r="I1953" s="16"/>
      <c r="J1953" s="16"/>
      <c r="K1953" s="16"/>
      <c r="L1953" s="16"/>
      <c r="M1953" s="16"/>
    </row>
    <row r="1954" spans="1:13" x14ac:dyDescent="0.2">
      <c r="A1954" s="16"/>
      <c r="B1954" s="37"/>
      <c r="C1954" s="16"/>
      <c r="D1954" s="16"/>
      <c r="E1954" s="16"/>
      <c r="F1954" s="16"/>
      <c r="G1954" s="16"/>
      <c r="H1954" s="16"/>
      <c r="I1954" s="16"/>
      <c r="J1954" s="16"/>
      <c r="K1954" s="16"/>
      <c r="L1954" s="16"/>
      <c r="M1954" s="16"/>
    </row>
    <row r="1955" spans="1:13" x14ac:dyDescent="0.2">
      <c r="A1955" s="16"/>
      <c r="B1955" s="37"/>
      <c r="C1955" s="16"/>
      <c r="D1955" s="16"/>
      <c r="E1955" s="16"/>
      <c r="F1955" s="16"/>
      <c r="G1955" s="16"/>
      <c r="H1955" s="16"/>
      <c r="I1955" s="16"/>
      <c r="J1955" s="16"/>
      <c r="K1955" s="16"/>
      <c r="L1955" s="16"/>
      <c r="M1955" s="16"/>
    </row>
    <row r="1956" spans="1:13" x14ac:dyDescent="0.2">
      <c r="A1956" s="16"/>
      <c r="B1956" s="37"/>
      <c r="C1956" s="16"/>
      <c r="D1956" s="16"/>
      <c r="E1956" s="16"/>
      <c r="F1956" s="16"/>
      <c r="G1956" s="16"/>
      <c r="H1956" s="16"/>
      <c r="I1956" s="16"/>
      <c r="J1956" s="16"/>
      <c r="K1956" s="16"/>
      <c r="L1956" s="16"/>
      <c r="M1956" s="16"/>
    </row>
    <row r="1957" spans="1:13" x14ac:dyDescent="0.2">
      <c r="A1957" s="16"/>
      <c r="B1957" s="37"/>
      <c r="C1957" s="16"/>
      <c r="D1957" s="16"/>
      <c r="E1957" s="16"/>
      <c r="F1957" s="16"/>
      <c r="G1957" s="16"/>
      <c r="H1957" s="16"/>
      <c r="I1957" s="16"/>
      <c r="J1957" s="16"/>
      <c r="K1957" s="16"/>
      <c r="L1957" s="16"/>
      <c r="M1957" s="16"/>
    </row>
    <row r="1958" spans="1:13" x14ac:dyDescent="0.2">
      <c r="A1958" s="16"/>
      <c r="B1958" s="37"/>
      <c r="C1958" s="16"/>
      <c r="D1958" s="16"/>
      <c r="E1958" s="16"/>
      <c r="F1958" s="16"/>
      <c r="G1958" s="16"/>
      <c r="H1958" s="16"/>
      <c r="I1958" s="16"/>
      <c r="J1958" s="16"/>
      <c r="K1958" s="16"/>
      <c r="L1958" s="16"/>
      <c r="M1958" s="16"/>
    </row>
    <row r="1959" spans="1:13" x14ac:dyDescent="0.2">
      <c r="A1959" s="16"/>
      <c r="B1959" s="37"/>
      <c r="C1959" s="16"/>
      <c r="D1959" s="16"/>
      <c r="E1959" s="16"/>
      <c r="F1959" s="16"/>
      <c r="G1959" s="16"/>
      <c r="H1959" s="16"/>
      <c r="I1959" s="16"/>
      <c r="J1959" s="16"/>
      <c r="K1959" s="16"/>
      <c r="L1959" s="16"/>
      <c r="M1959" s="16"/>
    </row>
    <row r="1960" spans="1:13" x14ac:dyDescent="0.2">
      <c r="A1960" s="16"/>
      <c r="B1960" s="37"/>
      <c r="C1960" s="16"/>
      <c r="D1960" s="16"/>
      <c r="E1960" s="16"/>
      <c r="F1960" s="16"/>
      <c r="G1960" s="16"/>
      <c r="H1960" s="16"/>
      <c r="I1960" s="16"/>
      <c r="J1960" s="16"/>
      <c r="K1960" s="16"/>
      <c r="L1960" s="16"/>
      <c r="M1960" s="16"/>
    </row>
    <row r="1961" spans="1:13" x14ac:dyDescent="0.2">
      <c r="A1961" s="16"/>
      <c r="B1961" s="37"/>
      <c r="C1961" s="16"/>
      <c r="D1961" s="16"/>
      <c r="E1961" s="16"/>
      <c r="F1961" s="16"/>
      <c r="G1961" s="16"/>
      <c r="H1961" s="16"/>
      <c r="I1961" s="16"/>
      <c r="J1961" s="16"/>
      <c r="K1961" s="16"/>
      <c r="L1961" s="16"/>
      <c r="M1961" s="16"/>
    </row>
    <row r="1962" spans="1:13" x14ac:dyDescent="0.2">
      <c r="A1962" s="16"/>
      <c r="B1962" s="37"/>
      <c r="C1962" s="16"/>
      <c r="D1962" s="16"/>
      <c r="E1962" s="16"/>
      <c r="F1962" s="16"/>
      <c r="G1962" s="16"/>
      <c r="H1962" s="16"/>
      <c r="I1962" s="16"/>
      <c r="J1962" s="16"/>
      <c r="K1962" s="16"/>
      <c r="L1962" s="16"/>
      <c r="M1962" s="16"/>
    </row>
    <row r="1963" spans="1:13" x14ac:dyDescent="0.2">
      <c r="A1963" s="16"/>
      <c r="B1963" s="37"/>
      <c r="C1963" s="16"/>
      <c r="D1963" s="16"/>
      <c r="E1963" s="16"/>
      <c r="F1963" s="16"/>
      <c r="G1963" s="16"/>
      <c r="H1963" s="16"/>
      <c r="I1963" s="16"/>
      <c r="J1963" s="16"/>
      <c r="K1963" s="16"/>
      <c r="L1963" s="16"/>
      <c r="M1963" s="16"/>
    </row>
    <row r="1964" spans="1:13" x14ac:dyDescent="0.2">
      <c r="A1964" s="16"/>
      <c r="B1964" s="37"/>
      <c r="C1964" s="16"/>
      <c r="D1964" s="16"/>
      <c r="E1964" s="16"/>
      <c r="F1964" s="16"/>
      <c r="G1964" s="16"/>
      <c r="H1964" s="16"/>
      <c r="I1964" s="16"/>
      <c r="J1964" s="16"/>
      <c r="K1964" s="16"/>
      <c r="L1964" s="16"/>
      <c r="M1964" s="16"/>
    </row>
    <row r="1965" spans="1:13" x14ac:dyDescent="0.2">
      <c r="A1965" s="16"/>
      <c r="B1965" s="37"/>
      <c r="C1965" s="16"/>
      <c r="D1965" s="16"/>
      <c r="E1965" s="16"/>
      <c r="F1965" s="16"/>
      <c r="G1965" s="16"/>
      <c r="H1965" s="16"/>
      <c r="I1965" s="16"/>
      <c r="J1965" s="16"/>
      <c r="K1965" s="16"/>
      <c r="L1965" s="16"/>
      <c r="M1965" s="16"/>
    </row>
    <row r="1966" spans="1:13" x14ac:dyDescent="0.2">
      <c r="A1966" s="16"/>
      <c r="B1966" s="37"/>
      <c r="C1966" s="16"/>
      <c r="D1966" s="16"/>
      <c r="E1966" s="16"/>
      <c r="F1966" s="16"/>
      <c r="G1966" s="16"/>
      <c r="H1966" s="16"/>
      <c r="I1966" s="16"/>
      <c r="J1966" s="16"/>
      <c r="K1966" s="16"/>
      <c r="L1966" s="16"/>
      <c r="M1966" s="16"/>
    </row>
    <row r="1967" spans="1:13" x14ac:dyDescent="0.2">
      <c r="A1967" s="16"/>
      <c r="B1967" s="37"/>
      <c r="C1967" s="16"/>
      <c r="D1967" s="16"/>
      <c r="E1967" s="16"/>
      <c r="F1967" s="16"/>
      <c r="G1967" s="16"/>
      <c r="H1967" s="16"/>
      <c r="I1967" s="16"/>
      <c r="J1967" s="16"/>
      <c r="K1967" s="16"/>
      <c r="L1967" s="16"/>
      <c r="M1967" s="16"/>
    </row>
    <row r="1968" spans="1:13" x14ac:dyDescent="0.2">
      <c r="A1968" s="16"/>
      <c r="B1968" s="37"/>
      <c r="C1968" s="16"/>
      <c r="D1968" s="16"/>
      <c r="E1968" s="16"/>
      <c r="F1968" s="16"/>
      <c r="G1968" s="16"/>
      <c r="H1968" s="16"/>
      <c r="I1968" s="16"/>
      <c r="J1968" s="16"/>
      <c r="K1968" s="16"/>
      <c r="L1968" s="16"/>
      <c r="M1968" s="16"/>
    </row>
    <row r="1969" spans="1:13" x14ac:dyDescent="0.2">
      <c r="A1969" s="16"/>
      <c r="B1969" s="37"/>
      <c r="C1969" s="16"/>
      <c r="D1969" s="16"/>
      <c r="E1969" s="16"/>
      <c r="F1969" s="16"/>
      <c r="G1969" s="16"/>
      <c r="H1969" s="16"/>
      <c r="I1969" s="16"/>
      <c r="J1969" s="16"/>
      <c r="K1969" s="16"/>
      <c r="L1969" s="16"/>
      <c r="M1969" s="16"/>
    </row>
    <row r="1970" spans="1:13" x14ac:dyDescent="0.2">
      <c r="A1970" s="16"/>
      <c r="B1970" s="37"/>
      <c r="C1970" s="16"/>
      <c r="D1970" s="16"/>
      <c r="E1970" s="16"/>
      <c r="F1970" s="16"/>
      <c r="G1970" s="16"/>
      <c r="H1970" s="16"/>
      <c r="I1970" s="16"/>
      <c r="J1970" s="16"/>
      <c r="K1970" s="16"/>
      <c r="L1970" s="16"/>
      <c r="M1970" s="16"/>
    </row>
    <row r="1971" spans="1:13" x14ac:dyDescent="0.2">
      <c r="A1971" s="16"/>
      <c r="B1971" s="37"/>
      <c r="C1971" s="16"/>
      <c r="D1971" s="16"/>
      <c r="E1971" s="16"/>
      <c r="F1971" s="16"/>
      <c r="G1971" s="16"/>
      <c r="H1971" s="16"/>
      <c r="I1971" s="16"/>
      <c r="J1971" s="16"/>
      <c r="K1971" s="16"/>
      <c r="L1971" s="16"/>
      <c r="M1971" s="16"/>
    </row>
    <row r="1972" spans="1:13" x14ac:dyDescent="0.2">
      <c r="A1972" s="16"/>
      <c r="B1972" s="37"/>
      <c r="C1972" s="16"/>
      <c r="D1972" s="16"/>
      <c r="E1972" s="16"/>
      <c r="F1972" s="16"/>
      <c r="G1972" s="16"/>
      <c r="H1972" s="16"/>
      <c r="I1972" s="16"/>
      <c r="J1972" s="16"/>
      <c r="K1972" s="16"/>
      <c r="L1972" s="16"/>
      <c r="M1972" s="16"/>
    </row>
    <row r="1973" spans="1:13" x14ac:dyDescent="0.2">
      <c r="A1973" s="16"/>
      <c r="B1973" s="37"/>
      <c r="C1973" s="16"/>
      <c r="D1973" s="16"/>
      <c r="E1973" s="16"/>
      <c r="F1973" s="16"/>
      <c r="G1973" s="16"/>
      <c r="H1973" s="16"/>
      <c r="I1973" s="16"/>
      <c r="J1973" s="16"/>
      <c r="K1973" s="16"/>
      <c r="L1973" s="16"/>
      <c r="M1973" s="16"/>
    </row>
    <row r="1974" spans="1:13" x14ac:dyDescent="0.2">
      <c r="A1974" s="16"/>
      <c r="B1974" s="37"/>
      <c r="C1974" s="16"/>
      <c r="D1974" s="16"/>
      <c r="E1974" s="16"/>
      <c r="F1974" s="16"/>
      <c r="G1974" s="16"/>
      <c r="H1974" s="16"/>
      <c r="I1974" s="16"/>
      <c r="J1974" s="16"/>
      <c r="K1974" s="16"/>
      <c r="L1974" s="16"/>
      <c r="M1974" s="16"/>
    </row>
    <row r="1975" spans="1:13" x14ac:dyDescent="0.2">
      <c r="A1975" s="16"/>
      <c r="B1975" s="37"/>
      <c r="C1975" s="16"/>
      <c r="D1975" s="16"/>
      <c r="E1975" s="16"/>
      <c r="F1975" s="16"/>
      <c r="G1975" s="16"/>
      <c r="H1975" s="16"/>
      <c r="I1975" s="16"/>
      <c r="J1975" s="16"/>
      <c r="K1975" s="16"/>
      <c r="L1975" s="16"/>
      <c r="M1975" s="16"/>
    </row>
    <row r="1976" spans="1:13" x14ac:dyDescent="0.2">
      <c r="A1976" s="16"/>
      <c r="B1976" s="37"/>
      <c r="C1976" s="16"/>
      <c r="D1976" s="16"/>
      <c r="E1976" s="16"/>
      <c r="F1976" s="16"/>
      <c r="G1976" s="16"/>
      <c r="H1976" s="16"/>
      <c r="I1976" s="16"/>
      <c r="J1976" s="16"/>
      <c r="K1976" s="16"/>
      <c r="L1976" s="16"/>
      <c r="M1976" s="16"/>
    </row>
    <row r="1977" spans="1:13" x14ac:dyDescent="0.2">
      <c r="A1977" s="16"/>
      <c r="B1977" s="37"/>
      <c r="C1977" s="16"/>
      <c r="D1977" s="16"/>
      <c r="E1977" s="16"/>
      <c r="F1977" s="16"/>
      <c r="G1977" s="16"/>
      <c r="H1977" s="16"/>
      <c r="I1977" s="16"/>
      <c r="J1977" s="16"/>
      <c r="K1977" s="16"/>
      <c r="L1977" s="16"/>
      <c r="M1977" s="16"/>
    </row>
    <row r="1978" spans="1:13" x14ac:dyDescent="0.2">
      <c r="A1978" s="16"/>
      <c r="B1978" s="37"/>
      <c r="C1978" s="16"/>
      <c r="D1978" s="16"/>
      <c r="E1978" s="16"/>
      <c r="F1978" s="16"/>
      <c r="G1978" s="16"/>
      <c r="H1978" s="16"/>
      <c r="I1978" s="16"/>
      <c r="J1978" s="16"/>
      <c r="K1978" s="16"/>
      <c r="L1978" s="16"/>
      <c r="M1978" s="16"/>
    </row>
    <row r="1979" spans="1:13" x14ac:dyDescent="0.2">
      <c r="A1979" s="16"/>
      <c r="B1979" s="37"/>
      <c r="C1979" s="16"/>
      <c r="D1979" s="16"/>
      <c r="E1979" s="16"/>
      <c r="F1979" s="16"/>
      <c r="G1979" s="16"/>
      <c r="H1979" s="16"/>
      <c r="I1979" s="16"/>
      <c r="J1979" s="16"/>
      <c r="K1979" s="16"/>
      <c r="L1979" s="16"/>
      <c r="M1979" s="16"/>
    </row>
    <row r="1980" spans="1:13" x14ac:dyDescent="0.2">
      <c r="A1980" s="16"/>
      <c r="B1980" s="37"/>
      <c r="C1980" s="16"/>
      <c r="D1980" s="16"/>
      <c r="E1980" s="16"/>
      <c r="F1980" s="16"/>
      <c r="G1980" s="16"/>
      <c r="H1980" s="16"/>
      <c r="I1980" s="16"/>
      <c r="J1980" s="16"/>
      <c r="K1980" s="16"/>
      <c r="L1980" s="16"/>
      <c r="M1980" s="16"/>
    </row>
    <row r="1981" spans="1:13" x14ac:dyDescent="0.2">
      <c r="A1981" s="16"/>
      <c r="B1981" s="37"/>
      <c r="C1981" s="16"/>
      <c r="D1981" s="16"/>
      <c r="E1981" s="16"/>
      <c r="F1981" s="16"/>
      <c r="G1981" s="16"/>
      <c r="H1981" s="16"/>
      <c r="I1981" s="16"/>
      <c r="J1981" s="16"/>
      <c r="K1981" s="16"/>
      <c r="L1981" s="16"/>
      <c r="M1981" s="16"/>
    </row>
    <row r="1982" spans="1:13" x14ac:dyDescent="0.2">
      <c r="A1982" s="16"/>
      <c r="B1982" s="37"/>
      <c r="C1982" s="16"/>
      <c r="D1982" s="16"/>
      <c r="E1982" s="16"/>
      <c r="F1982" s="16"/>
      <c r="G1982" s="16"/>
      <c r="H1982" s="16"/>
      <c r="I1982" s="16"/>
      <c r="J1982" s="16"/>
      <c r="K1982" s="16"/>
      <c r="L1982" s="16"/>
      <c r="M1982" s="16"/>
    </row>
    <row r="1983" spans="1:13" x14ac:dyDescent="0.2">
      <c r="A1983" s="16"/>
      <c r="B1983" s="37"/>
      <c r="C1983" s="16"/>
      <c r="D1983" s="16"/>
      <c r="E1983" s="16"/>
      <c r="F1983" s="16"/>
      <c r="G1983" s="16"/>
      <c r="H1983" s="16"/>
      <c r="I1983" s="16"/>
      <c r="J1983" s="16"/>
      <c r="K1983" s="16"/>
      <c r="L1983" s="16"/>
      <c r="M1983" s="16"/>
    </row>
    <row r="1984" spans="1:13" x14ac:dyDescent="0.2">
      <c r="A1984" s="16"/>
      <c r="B1984" s="37"/>
      <c r="C1984" s="16"/>
      <c r="D1984" s="16"/>
      <c r="E1984" s="16"/>
      <c r="F1984" s="16"/>
      <c r="G1984" s="16"/>
      <c r="H1984" s="16"/>
      <c r="I1984" s="16"/>
      <c r="J1984" s="16"/>
      <c r="K1984" s="16"/>
      <c r="L1984" s="16"/>
      <c r="M1984" s="16"/>
    </row>
    <row r="1985" spans="1:13" x14ac:dyDescent="0.2">
      <c r="A1985" s="16"/>
      <c r="B1985" s="37"/>
      <c r="C1985" s="16"/>
      <c r="D1985" s="16"/>
      <c r="E1985" s="16"/>
      <c r="F1985" s="16"/>
      <c r="G1985" s="16"/>
      <c r="H1985" s="16"/>
      <c r="I1985" s="16"/>
      <c r="J1985" s="16"/>
      <c r="K1985" s="16"/>
      <c r="L1985" s="16"/>
      <c r="M1985" s="16"/>
    </row>
    <row r="1986" spans="1:13" x14ac:dyDescent="0.2">
      <c r="A1986" s="16"/>
      <c r="B1986" s="37"/>
      <c r="C1986" s="16"/>
      <c r="D1986" s="16"/>
      <c r="E1986" s="16"/>
      <c r="F1986" s="16"/>
      <c r="G1986" s="16"/>
      <c r="H1986" s="16"/>
      <c r="I1986" s="16"/>
      <c r="J1986" s="16"/>
      <c r="K1986" s="16"/>
      <c r="L1986" s="16"/>
      <c r="M1986" s="16"/>
    </row>
    <row r="1987" spans="1:13" x14ac:dyDescent="0.2">
      <c r="A1987" s="16"/>
      <c r="B1987" s="37"/>
      <c r="C1987" s="16"/>
      <c r="D1987" s="16"/>
      <c r="E1987" s="16"/>
      <c r="F1987" s="16"/>
      <c r="G1987" s="16"/>
      <c r="H1987" s="16"/>
      <c r="I1987" s="16"/>
      <c r="J1987" s="16"/>
      <c r="K1987" s="16"/>
      <c r="L1987" s="16"/>
      <c r="M1987" s="16"/>
    </row>
    <row r="1988" spans="1:13" x14ac:dyDescent="0.2">
      <c r="A1988" s="16"/>
      <c r="B1988" s="37"/>
      <c r="C1988" s="16"/>
      <c r="D1988" s="16"/>
      <c r="E1988" s="16"/>
      <c r="F1988" s="16"/>
      <c r="G1988" s="16"/>
      <c r="H1988" s="16"/>
      <c r="I1988" s="16"/>
      <c r="J1988" s="16"/>
      <c r="K1988" s="16"/>
      <c r="L1988" s="16"/>
      <c r="M1988" s="16"/>
    </row>
    <row r="1989" spans="1:13" x14ac:dyDescent="0.2">
      <c r="A1989" s="16"/>
      <c r="B1989" s="37"/>
      <c r="C1989" s="16"/>
      <c r="D1989" s="16"/>
      <c r="E1989" s="16"/>
      <c r="F1989" s="16"/>
      <c r="G1989" s="16"/>
      <c r="H1989" s="16"/>
      <c r="I1989" s="16"/>
      <c r="J1989" s="16"/>
      <c r="K1989" s="16"/>
      <c r="L1989" s="16"/>
      <c r="M1989" s="16"/>
    </row>
    <row r="1990" spans="1:13" x14ac:dyDescent="0.2">
      <c r="A1990" s="16"/>
      <c r="B1990" s="37"/>
      <c r="C1990" s="16"/>
      <c r="D1990" s="16"/>
      <c r="E1990" s="16"/>
      <c r="F1990" s="16"/>
      <c r="G1990" s="16"/>
      <c r="H1990" s="16"/>
      <c r="I1990" s="16"/>
      <c r="J1990" s="16"/>
      <c r="K1990" s="16"/>
      <c r="L1990" s="16"/>
      <c r="M1990" s="16"/>
    </row>
    <row r="1991" spans="1:13" x14ac:dyDescent="0.2">
      <c r="A1991" s="16"/>
      <c r="B1991" s="37"/>
      <c r="C1991" s="16"/>
      <c r="D1991" s="16"/>
      <c r="E1991" s="16"/>
      <c r="F1991" s="16"/>
      <c r="G1991" s="16"/>
      <c r="H1991" s="16"/>
      <c r="I1991" s="16"/>
      <c r="J1991" s="16"/>
      <c r="K1991" s="16"/>
      <c r="L1991" s="16"/>
      <c r="M1991" s="16"/>
    </row>
    <row r="1992" spans="1:13" x14ac:dyDescent="0.2">
      <c r="A1992" s="16"/>
      <c r="B1992" s="37"/>
      <c r="C1992" s="16"/>
      <c r="D1992" s="16"/>
      <c r="E1992" s="16"/>
      <c r="F1992" s="16"/>
      <c r="G1992" s="16"/>
      <c r="H1992" s="16"/>
      <c r="I1992" s="16"/>
      <c r="J1992" s="16"/>
      <c r="K1992" s="16"/>
      <c r="L1992" s="16"/>
      <c r="M1992" s="16"/>
    </row>
    <row r="1993" spans="1:13" x14ac:dyDescent="0.2">
      <c r="A1993" s="16"/>
      <c r="B1993" s="37"/>
      <c r="C1993" s="16"/>
      <c r="D1993" s="16"/>
      <c r="E1993" s="16"/>
      <c r="F1993" s="16"/>
      <c r="G1993" s="16"/>
      <c r="H1993" s="16"/>
      <c r="I1993" s="16"/>
      <c r="J1993" s="16"/>
      <c r="K1993" s="16"/>
      <c r="L1993" s="16"/>
      <c r="M1993" s="16"/>
    </row>
    <row r="1994" spans="1:13" x14ac:dyDescent="0.2">
      <c r="A1994" s="16"/>
      <c r="B1994" s="37"/>
      <c r="C1994" s="16"/>
      <c r="D1994" s="16"/>
      <c r="E1994" s="16"/>
      <c r="F1994" s="16"/>
      <c r="G1994" s="16"/>
      <c r="H1994" s="16"/>
      <c r="I1994" s="16"/>
      <c r="J1994" s="16"/>
      <c r="K1994" s="16"/>
      <c r="L1994" s="16"/>
      <c r="M1994" s="16"/>
    </row>
    <row r="1995" spans="1:13" x14ac:dyDescent="0.2">
      <c r="A1995" s="16"/>
      <c r="B1995" s="37"/>
      <c r="C1995" s="16"/>
      <c r="D1995" s="16"/>
      <c r="E1995" s="16"/>
      <c r="F1995" s="16"/>
      <c r="G1995" s="16"/>
      <c r="H1995" s="16"/>
      <c r="I1995" s="16"/>
      <c r="J1995" s="16"/>
      <c r="K1995" s="16"/>
      <c r="L1995" s="16"/>
      <c r="M1995" s="16"/>
    </row>
    <row r="1996" spans="1:13" x14ac:dyDescent="0.2">
      <c r="A1996" s="16"/>
      <c r="B1996" s="37"/>
      <c r="C1996" s="16"/>
      <c r="D1996" s="16"/>
      <c r="E1996" s="16"/>
      <c r="F1996" s="16"/>
      <c r="G1996" s="16"/>
      <c r="H1996" s="16"/>
      <c r="I1996" s="16"/>
      <c r="J1996" s="16"/>
      <c r="K1996" s="16"/>
      <c r="L1996" s="16"/>
      <c r="M1996" s="16"/>
    </row>
    <row r="1997" spans="1:13" x14ac:dyDescent="0.2">
      <c r="A1997" s="16"/>
      <c r="B1997" s="37"/>
      <c r="C1997" s="16"/>
      <c r="D1997" s="16"/>
      <c r="E1997" s="16"/>
      <c r="F1997" s="16"/>
      <c r="G1997" s="16"/>
      <c r="H1997" s="16"/>
      <c r="I1997" s="16"/>
      <c r="J1997" s="16"/>
      <c r="K1997" s="16"/>
      <c r="L1997" s="16"/>
      <c r="M1997" s="16"/>
    </row>
    <row r="1998" spans="1:13" x14ac:dyDescent="0.2">
      <c r="A1998" s="16"/>
      <c r="B1998" s="37"/>
      <c r="C1998" s="16"/>
      <c r="D1998" s="16"/>
      <c r="E1998" s="16"/>
      <c r="F1998" s="16"/>
      <c r="G1998" s="16"/>
      <c r="H1998" s="16"/>
      <c r="I1998" s="16"/>
      <c r="J1998" s="16"/>
      <c r="K1998" s="16"/>
      <c r="L1998" s="16"/>
      <c r="M1998" s="16"/>
    </row>
    <row r="1999" spans="1:13" x14ac:dyDescent="0.2">
      <c r="A1999" s="16"/>
      <c r="B1999" s="37"/>
      <c r="C1999" s="16"/>
      <c r="D1999" s="16"/>
      <c r="E1999" s="16"/>
      <c r="F1999" s="16"/>
      <c r="G1999" s="16"/>
      <c r="H1999" s="16"/>
      <c r="I1999" s="16"/>
      <c r="J1999" s="16"/>
      <c r="K1999" s="16"/>
      <c r="L1999" s="16"/>
      <c r="M1999" s="16"/>
    </row>
    <row r="2000" spans="1:13" x14ac:dyDescent="0.2">
      <c r="A2000" s="16"/>
      <c r="B2000" s="37"/>
      <c r="C2000" s="16"/>
      <c r="D2000" s="16"/>
      <c r="E2000" s="16"/>
      <c r="F2000" s="16"/>
      <c r="G2000" s="16"/>
      <c r="H2000" s="16"/>
      <c r="I2000" s="16"/>
      <c r="J2000" s="16"/>
      <c r="K2000" s="16"/>
      <c r="L2000" s="16"/>
      <c r="M2000" s="16"/>
    </row>
    <row r="2001" spans="1:13" x14ac:dyDescent="0.2">
      <c r="A2001" s="16"/>
      <c r="B2001" s="37"/>
      <c r="C2001" s="16"/>
      <c r="D2001" s="16"/>
      <c r="E2001" s="16"/>
      <c r="F2001" s="16"/>
      <c r="G2001" s="16"/>
      <c r="H2001" s="16"/>
      <c r="I2001" s="16"/>
      <c r="J2001" s="16"/>
      <c r="K2001" s="16"/>
      <c r="L2001" s="16"/>
      <c r="M2001" s="16"/>
    </row>
    <row r="2002" spans="1:13" x14ac:dyDescent="0.2">
      <c r="A2002" s="16"/>
      <c r="B2002" s="37"/>
      <c r="C2002" s="16"/>
      <c r="D2002" s="16"/>
      <c r="E2002" s="16"/>
      <c r="F2002" s="16"/>
      <c r="G2002" s="16"/>
      <c r="H2002" s="16"/>
      <c r="I2002" s="16"/>
      <c r="J2002" s="16"/>
      <c r="K2002" s="16"/>
      <c r="L2002" s="16"/>
      <c r="M2002" s="16"/>
    </row>
    <row r="2003" spans="1:13" x14ac:dyDescent="0.2">
      <c r="A2003" s="16"/>
      <c r="B2003" s="37"/>
      <c r="C2003" s="16"/>
      <c r="D2003" s="16"/>
      <c r="E2003" s="16"/>
      <c r="F2003" s="16"/>
      <c r="G2003" s="16"/>
      <c r="H2003" s="16"/>
      <c r="I2003" s="16"/>
      <c r="J2003" s="16"/>
      <c r="K2003" s="16"/>
      <c r="L2003" s="16"/>
      <c r="M2003" s="16"/>
    </row>
    <row r="2004" spans="1:13" x14ac:dyDescent="0.2">
      <c r="A2004" s="16"/>
      <c r="B2004" s="37"/>
      <c r="C2004" s="16"/>
      <c r="D2004" s="16"/>
      <c r="E2004" s="16"/>
      <c r="F2004" s="16"/>
      <c r="G2004" s="16"/>
      <c r="H2004" s="16"/>
      <c r="I2004" s="16"/>
      <c r="J2004" s="16"/>
      <c r="K2004" s="16"/>
      <c r="L2004" s="16"/>
      <c r="M2004" s="16"/>
    </row>
    <row r="2005" spans="1:13" x14ac:dyDescent="0.2">
      <c r="A2005" s="16"/>
      <c r="B2005" s="37"/>
      <c r="C2005" s="16"/>
      <c r="D2005" s="16"/>
      <c r="E2005" s="16"/>
      <c r="F2005" s="16"/>
      <c r="G2005" s="16"/>
      <c r="H2005" s="16"/>
      <c r="I2005" s="16"/>
      <c r="J2005" s="16"/>
      <c r="K2005" s="16"/>
      <c r="L2005" s="16"/>
      <c r="M2005" s="16"/>
    </row>
    <row r="2006" spans="1:13" x14ac:dyDescent="0.2">
      <c r="A2006" s="16"/>
      <c r="B2006" s="37"/>
      <c r="C2006" s="16"/>
      <c r="D2006" s="16"/>
      <c r="E2006" s="16"/>
      <c r="F2006" s="16"/>
      <c r="G2006" s="16"/>
      <c r="H2006" s="16"/>
      <c r="I2006" s="16"/>
      <c r="J2006" s="16"/>
      <c r="K2006" s="16"/>
      <c r="L2006" s="16"/>
      <c r="M2006" s="16"/>
    </row>
    <row r="2007" spans="1:13" x14ac:dyDescent="0.2">
      <c r="A2007" s="16"/>
      <c r="B2007" s="37"/>
      <c r="C2007" s="16"/>
      <c r="D2007" s="16"/>
      <c r="E2007" s="16"/>
      <c r="F2007" s="16"/>
      <c r="G2007" s="16"/>
      <c r="H2007" s="16"/>
      <c r="I2007" s="16"/>
      <c r="J2007" s="16"/>
      <c r="K2007" s="16"/>
      <c r="L2007" s="16"/>
      <c r="M2007" s="16"/>
    </row>
    <row r="2008" spans="1:13" x14ac:dyDescent="0.2">
      <c r="A2008" s="16"/>
      <c r="B2008" s="37"/>
      <c r="C2008" s="16"/>
      <c r="D2008" s="16"/>
      <c r="E2008" s="16"/>
      <c r="F2008" s="16"/>
      <c r="G2008" s="16"/>
      <c r="H2008" s="16"/>
      <c r="I2008" s="16"/>
      <c r="J2008" s="16"/>
      <c r="K2008" s="16"/>
      <c r="L2008" s="16"/>
      <c r="M2008" s="16"/>
    </row>
    <row r="2009" spans="1:13" x14ac:dyDescent="0.2">
      <c r="A2009" s="16"/>
      <c r="B2009" s="37"/>
      <c r="C2009" s="16"/>
      <c r="D2009" s="16"/>
      <c r="E2009" s="16"/>
      <c r="F2009" s="16"/>
      <c r="G2009" s="16"/>
      <c r="H2009" s="16"/>
      <c r="I2009" s="16"/>
      <c r="J2009" s="16"/>
      <c r="K2009" s="16"/>
      <c r="L2009" s="16"/>
      <c r="M2009" s="16"/>
    </row>
    <row r="2010" spans="1:13" x14ac:dyDescent="0.2">
      <c r="A2010" s="16"/>
      <c r="B2010" s="37"/>
      <c r="C2010" s="16"/>
      <c r="D2010" s="16"/>
      <c r="E2010" s="16"/>
      <c r="F2010" s="16"/>
      <c r="G2010" s="16"/>
      <c r="H2010" s="16"/>
      <c r="I2010" s="16"/>
      <c r="J2010" s="16"/>
      <c r="K2010" s="16"/>
      <c r="L2010" s="16"/>
      <c r="M2010" s="16"/>
    </row>
    <row r="2011" spans="1:13" x14ac:dyDescent="0.2">
      <c r="A2011" s="16"/>
      <c r="B2011" s="37"/>
      <c r="C2011" s="16"/>
      <c r="D2011" s="16"/>
      <c r="E2011" s="16"/>
      <c r="F2011" s="16"/>
      <c r="G2011" s="16"/>
      <c r="H2011" s="16"/>
      <c r="I2011" s="16"/>
      <c r="J2011" s="16"/>
      <c r="K2011" s="16"/>
      <c r="L2011" s="16"/>
      <c r="M2011" s="16"/>
    </row>
    <row r="2012" spans="1:13" x14ac:dyDescent="0.2">
      <c r="A2012" s="16"/>
      <c r="B2012" s="37"/>
      <c r="C2012" s="16"/>
      <c r="D2012" s="16"/>
      <c r="E2012" s="16"/>
      <c r="F2012" s="16"/>
      <c r="G2012" s="16"/>
      <c r="H2012" s="16"/>
      <c r="I2012" s="16"/>
      <c r="J2012" s="16"/>
      <c r="K2012" s="16"/>
      <c r="L2012" s="16"/>
      <c r="M2012" s="16"/>
    </row>
    <row r="2013" spans="1:13" x14ac:dyDescent="0.2">
      <c r="A2013" s="16"/>
      <c r="B2013" s="37"/>
      <c r="C2013" s="16"/>
      <c r="D2013" s="16"/>
      <c r="E2013" s="16"/>
      <c r="F2013" s="16"/>
      <c r="G2013" s="16"/>
      <c r="H2013" s="16"/>
      <c r="I2013" s="16"/>
      <c r="J2013" s="16"/>
      <c r="K2013" s="16"/>
      <c r="L2013" s="16"/>
      <c r="M2013" s="16"/>
    </row>
    <row r="2014" spans="1:13" x14ac:dyDescent="0.2">
      <c r="A2014" s="16"/>
      <c r="B2014" s="37"/>
      <c r="C2014" s="16"/>
      <c r="D2014" s="16"/>
      <c r="E2014" s="16"/>
      <c r="F2014" s="16"/>
      <c r="G2014" s="16"/>
      <c r="H2014" s="16"/>
      <c r="I2014" s="16"/>
      <c r="J2014" s="16"/>
      <c r="K2014" s="16"/>
      <c r="L2014" s="16"/>
      <c r="M2014" s="16"/>
    </row>
    <row r="2015" spans="1:13" x14ac:dyDescent="0.2">
      <c r="A2015" s="16"/>
      <c r="B2015" s="37"/>
      <c r="C2015" s="16"/>
      <c r="D2015" s="16"/>
      <c r="E2015" s="16"/>
      <c r="F2015" s="16"/>
      <c r="G2015" s="16"/>
      <c r="H2015" s="16"/>
      <c r="I2015" s="16"/>
      <c r="J2015" s="16"/>
      <c r="K2015" s="16"/>
      <c r="L2015" s="16"/>
      <c r="M2015" s="16"/>
    </row>
    <row r="2016" spans="1:13" x14ac:dyDescent="0.2">
      <c r="A2016" s="16"/>
      <c r="B2016" s="37"/>
      <c r="C2016" s="16"/>
      <c r="D2016" s="16"/>
      <c r="E2016" s="16"/>
      <c r="F2016" s="16"/>
      <c r="G2016" s="16"/>
      <c r="H2016" s="16"/>
      <c r="I2016" s="16"/>
      <c r="J2016" s="16"/>
      <c r="K2016" s="16"/>
      <c r="L2016" s="16"/>
      <c r="M2016" s="16"/>
    </row>
    <row r="2017" spans="1:13" x14ac:dyDescent="0.2">
      <c r="A2017" s="16"/>
      <c r="B2017" s="37"/>
      <c r="C2017" s="16"/>
      <c r="D2017" s="16"/>
      <c r="E2017" s="16"/>
      <c r="F2017" s="16"/>
      <c r="G2017" s="16"/>
      <c r="H2017" s="16"/>
      <c r="I2017" s="16"/>
      <c r="J2017" s="16"/>
      <c r="K2017" s="16"/>
      <c r="L2017" s="16"/>
      <c r="M2017" s="16"/>
    </row>
    <row r="2018" spans="1:13" x14ac:dyDescent="0.2">
      <c r="A2018" s="16"/>
      <c r="B2018" s="37"/>
      <c r="C2018" s="16"/>
      <c r="D2018" s="16"/>
      <c r="E2018" s="16"/>
      <c r="F2018" s="16"/>
      <c r="G2018" s="16"/>
      <c r="H2018" s="16"/>
      <c r="I2018" s="16"/>
      <c r="J2018" s="16"/>
      <c r="K2018" s="16"/>
      <c r="L2018" s="16"/>
      <c r="M2018" s="16"/>
    </row>
    <row r="2019" spans="1:13" x14ac:dyDescent="0.2">
      <c r="A2019" s="16"/>
      <c r="B2019" s="37"/>
      <c r="C2019" s="16"/>
      <c r="D2019" s="16"/>
      <c r="E2019" s="16"/>
      <c r="F2019" s="16"/>
      <c r="G2019" s="16"/>
      <c r="H2019" s="16"/>
      <c r="I2019" s="16"/>
      <c r="J2019" s="16"/>
      <c r="K2019" s="16"/>
      <c r="L2019" s="16"/>
      <c r="M2019" s="16"/>
    </row>
    <row r="2020" spans="1:13" x14ac:dyDescent="0.2">
      <c r="A2020" s="16"/>
      <c r="B2020" s="37"/>
      <c r="C2020" s="16"/>
      <c r="D2020" s="16"/>
      <c r="E2020" s="16"/>
      <c r="F2020" s="16"/>
      <c r="G2020" s="16"/>
      <c r="H2020" s="16"/>
      <c r="I2020" s="16"/>
      <c r="J2020" s="16"/>
      <c r="K2020" s="16"/>
      <c r="L2020" s="16"/>
      <c r="M2020" s="16"/>
    </row>
    <row r="2021" spans="1:13" x14ac:dyDescent="0.2">
      <c r="A2021" s="16"/>
      <c r="B2021" s="37"/>
      <c r="C2021" s="16"/>
      <c r="D2021" s="16"/>
      <c r="E2021" s="16"/>
      <c r="F2021" s="16"/>
      <c r="G2021" s="16"/>
      <c r="H2021" s="16"/>
      <c r="I2021" s="16"/>
      <c r="J2021" s="16"/>
      <c r="K2021" s="16"/>
      <c r="L2021" s="16"/>
      <c r="M2021" s="16"/>
    </row>
    <row r="2022" spans="1:13" x14ac:dyDescent="0.2">
      <c r="A2022" s="16"/>
      <c r="B2022" s="37"/>
      <c r="C2022" s="16"/>
      <c r="D2022" s="16"/>
      <c r="E2022" s="16"/>
      <c r="F2022" s="16"/>
      <c r="G2022" s="16"/>
      <c r="H2022" s="16"/>
      <c r="I2022" s="16"/>
      <c r="J2022" s="16"/>
      <c r="K2022" s="16"/>
      <c r="L2022" s="16"/>
      <c r="M2022" s="16"/>
    </row>
    <row r="2023" spans="1:13" x14ac:dyDescent="0.2">
      <c r="A2023" s="16"/>
      <c r="B2023" s="37"/>
      <c r="C2023" s="16"/>
      <c r="D2023" s="16"/>
      <c r="E2023" s="16"/>
      <c r="F2023" s="16"/>
      <c r="G2023" s="16"/>
      <c r="H2023" s="16"/>
      <c r="I2023" s="16"/>
      <c r="J2023" s="16"/>
      <c r="K2023" s="16"/>
      <c r="L2023" s="16"/>
      <c r="M2023" s="16"/>
    </row>
    <row r="2024" spans="1:13" x14ac:dyDescent="0.2">
      <c r="A2024" s="16"/>
      <c r="B2024" s="37"/>
      <c r="C2024" s="16"/>
      <c r="D2024" s="16"/>
      <c r="E2024" s="16"/>
      <c r="F2024" s="16"/>
      <c r="G2024" s="16"/>
      <c r="H2024" s="16"/>
      <c r="I2024" s="16"/>
      <c r="J2024" s="16"/>
      <c r="K2024" s="16"/>
      <c r="L2024" s="16"/>
      <c r="M2024" s="16"/>
    </row>
    <row r="2025" spans="1:13" x14ac:dyDescent="0.2">
      <c r="A2025" s="16"/>
      <c r="B2025" s="37"/>
      <c r="C2025" s="16"/>
      <c r="D2025" s="16"/>
      <c r="E2025" s="16"/>
      <c r="F2025" s="16"/>
      <c r="G2025" s="16"/>
      <c r="H2025" s="16"/>
      <c r="I2025" s="16"/>
      <c r="J2025" s="16"/>
      <c r="K2025" s="16"/>
      <c r="L2025" s="16"/>
      <c r="M2025" s="16"/>
    </row>
    <row r="2026" spans="1:13" x14ac:dyDescent="0.2">
      <c r="A2026" s="16"/>
      <c r="B2026" s="37"/>
      <c r="C2026" s="16"/>
      <c r="D2026" s="16"/>
      <c r="E2026" s="16"/>
      <c r="F2026" s="16"/>
      <c r="G2026" s="16"/>
      <c r="H2026" s="16"/>
      <c r="I2026" s="16"/>
      <c r="J2026" s="16"/>
      <c r="K2026" s="16"/>
      <c r="L2026" s="16"/>
      <c r="M2026" s="16"/>
    </row>
    <row r="2027" spans="1:13" x14ac:dyDescent="0.2">
      <c r="A2027" s="16"/>
      <c r="B2027" s="37"/>
      <c r="C2027" s="16"/>
      <c r="D2027" s="16"/>
      <c r="E2027" s="16"/>
      <c r="F2027" s="16"/>
      <c r="G2027" s="16"/>
      <c r="H2027" s="16"/>
      <c r="I2027" s="16"/>
      <c r="J2027" s="16"/>
      <c r="K2027" s="16"/>
      <c r="L2027" s="16"/>
      <c r="M2027" s="16"/>
    </row>
    <row r="2028" spans="1:13" x14ac:dyDescent="0.2">
      <c r="A2028" s="16"/>
      <c r="B2028" s="37"/>
      <c r="C2028" s="16"/>
      <c r="D2028" s="16"/>
      <c r="E2028" s="16"/>
      <c r="F2028" s="16"/>
      <c r="G2028" s="16"/>
      <c r="H2028" s="16"/>
      <c r="I2028" s="16"/>
      <c r="J2028" s="16"/>
      <c r="K2028" s="16"/>
      <c r="L2028" s="16"/>
      <c r="M2028" s="16"/>
    </row>
    <row r="2029" spans="1:13" x14ac:dyDescent="0.2">
      <c r="A2029" s="16"/>
      <c r="B2029" s="37"/>
      <c r="C2029" s="16"/>
      <c r="D2029" s="16"/>
      <c r="E2029" s="16"/>
      <c r="F2029" s="16"/>
      <c r="G2029" s="16"/>
      <c r="H2029" s="16"/>
      <c r="I2029" s="16"/>
      <c r="J2029" s="16"/>
      <c r="K2029" s="16"/>
      <c r="L2029" s="16"/>
      <c r="M2029" s="16"/>
    </row>
    <row r="2030" spans="1:13" x14ac:dyDescent="0.2">
      <c r="A2030" s="16"/>
      <c r="B2030" s="37"/>
      <c r="C2030" s="16"/>
      <c r="D2030" s="16"/>
      <c r="E2030" s="16"/>
      <c r="F2030" s="16"/>
      <c r="G2030" s="16"/>
      <c r="H2030" s="16"/>
      <c r="I2030" s="16"/>
      <c r="J2030" s="16"/>
      <c r="K2030" s="16"/>
      <c r="L2030" s="16"/>
      <c r="M2030" s="16"/>
    </row>
    <row r="2031" spans="1:13" x14ac:dyDescent="0.2">
      <c r="A2031" s="16"/>
      <c r="B2031" s="37"/>
      <c r="C2031" s="16"/>
      <c r="D2031" s="16"/>
      <c r="E2031" s="16"/>
      <c r="F2031" s="16"/>
      <c r="G2031" s="16"/>
      <c r="H2031" s="16"/>
      <c r="I2031" s="16"/>
      <c r="J2031" s="16"/>
      <c r="K2031" s="16"/>
      <c r="L2031" s="16"/>
      <c r="M2031" s="16"/>
    </row>
    <row r="2032" spans="1:13" x14ac:dyDescent="0.2">
      <c r="A2032" s="16"/>
      <c r="B2032" s="37"/>
      <c r="C2032" s="16"/>
      <c r="D2032" s="16"/>
      <c r="E2032" s="16"/>
      <c r="F2032" s="16"/>
      <c r="G2032" s="16"/>
      <c r="H2032" s="16"/>
      <c r="I2032" s="16"/>
      <c r="J2032" s="16"/>
      <c r="K2032" s="16"/>
      <c r="L2032" s="16"/>
      <c r="M2032" s="16"/>
    </row>
    <row r="2033" spans="1:13" x14ac:dyDescent="0.2">
      <c r="A2033" s="16"/>
      <c r="B2033" s="37"/>
      <c r="C2033" s="16"/>
      <c r="D2033" s="16"/>
      <c r="E2033" s="16"/>
      <c r="F2033" s="16"/>
      <c r="G2033" s="16"/>
      <c r="H2033" s="16"/>
      <c r="I2033" s="16"/>
      <c r="J2033" s="16"/>
      <c r="K2033" s="16"/>
      <c r="L2033" s="16"/>
      <c r="M2033" s="16"/>
    </row>
    <row r="2034" spans="1:13" x14ac:dyDescent="0.2">
      <c r="A2034" s="16"/>
      <c r="B2034" s="37"/>
      <c r="C2034" s="16"/>
      <c r="D2034" s="16"/>
      <c r="E2034" s="16"/>
      <c r="F2034" s="16"/>
      <c r="G2034" s="16"/>
      <c r="H2034" s="16"/>
      <c r="I2034" s="16"/>
      <c r="J2034" s="16"/>
      <c r="K2034" s="16"/>
      <c r="L2034" s="16"/>
      <c r="M2034" s="16"/>
    </row>
    <row r="2035" spans="1:13" x14ac:dyDescent="0.2">
      <c r="A2035" s="16"/>
      <c r="B2035" s="37"/>
      <c r="C2035" s="16"/>
      <c r="D2035" s="16"/>
      <c r="E2035" s="16"/>
      <c r="F2035" s="16"/>
      <c r="G2035" s="16"/>
      <c r="H2035" s="16"/>
      <c r="I2035" s="16"/>
      <c r="J2035" s="16"/>
      <c r="K2035" s="16"/>
      <c r="L2035" s="16"/>
      <c r="M2035" s="16"/>
    </row>
    <row r="2036" spans="1:13" x14ac:dyDescent="0.2">
      <c r="A2036" s="16"/>
      <c r="B2036" s="37"/>
      <c r="C2036" s="16"/>
      <c r="D2036" s="16"/>
      <c r="E2036" s="16"/>
      <c r="F2036" s="16"/>
      <c r="G2036" s="16"/>
      <c r="H2036" s="16"/>
      <c r="I2036" s="16"/>
      <c r="J2036" s="16"/>
      <c r="K2036" s="16"/>
      <c r="L2036" s="16"/>
      <c r="M2036" s="16"/>
    </row>
    <row r="2037" spans="1:13" x14ac:dyDescent="0.2">
      <c r="A2037" s="16"/>
      <c r="B2037" s="37"/>
      <c r="C2037" s="16"/>
      <c r="D2037" s="16"/>
      <c r="E2037" s="16"/>
      <c r="F2037" s="16"/>
      <c r="G2037" s="16"/>
      <c r="H2037" s="16"/>
      <c r="I2037" s="16"/>
      <c r="J2037" s="16"/>
      <c r="K2037" s="16"/>
      <c r="L2037" s="16"/>
      <c r="M2037" s="16"/>
    </row>
    <row r="2038" spans="1:13" x14ac:dyDescent="0.2">
      <c r="A2038" s="16"/>
      <c r="B2038" s="37"/>
      <c r="C2038" s="16"/>
      <c r="D2038" s="16"/>
      <c r="E2038" s="16"/>
      <c r="F2038" s="16"/>
      <c r="G2038" s="16"/>
      <c r="H2038" s="16"/>
      <c r="I2038" s="16"/>
      <c r="J2038" s="16"/>
      <c r="K2038" s="16"/>
      <c r="L2038" s="16"/>
      <c r="M2038" s="16"/>
    </row>
    <row r="2039" spans="1:13" x14ac:dyDescent="0.2">
      <c r="A2039" s="16"/>
      <c r="B2039" s="37"/>
      <c r="C2039" s="16"/>
      <c r="D2039" s="16"/>
      <c r="E2039" s="16"/>
      <c r="F2039" s="16"/>
      <c r="G2039" s="16"/>
      <c r="H2039" s="16"/>
      <c r="I2039" s="16"/>
      <c r="J2039" s="16"/>
      <c r="K2039" s="16"/>
      <c r="L2039" s="16"/>
      <c r="M2039" s="16"/>
    </row>
    <row r="2040" spans="1:13" x14ac:dyDescent="0.2">
      <c r="A2040" s="16"/>
      <c r="B2040" s="37"/>
      <c r="C2040" s="16"/>
      <c r="D2040" s="16"/>
      <c r="E2040" s="16"/>
      <c r="F2040" s="16"/>
      <c r="G2040" s="16"/>
      <c r="H2040" s="16"/>
      <c r="I2040" s="16"/>
      <c r="J2040" s="16"/>
      <c r="K2040" s="16"/>
      <c r="L2040" s="16"/>
      <c r="M2040" s="16"/>
    </row>
    <row r="2041" spans="1:13" x14ac:dyDescent="0.2">
      <c r="A2041" s="16"/>
      <c r="B2041" s="37"/>
      <c r="C2041" s="16"/>
      <c r="D2041" s="16"/>
      <c r="E2041" s="16"/>
      <c r="F2041" s="16"/>
      <c r="G2041" s="16"/>
      <c r="H2041" s="16"/>
      <c r="I2041" s="16"/>
      <c r="J2041" s="16"/>
      <c r="K2041" s="16"/>
      <c r="L2041" s="16"/>
      <c r="M2041" s="16"/>
    </row>
    <row r="2042" spans="1:13" x14ac:dyDescent="0.2">
      <c r="A2042" s="16"/>
      <c r="B2042" s="37"/>
      <c r="C2042" s="16"/>
      <c r="D2042" s="16"/>
      <c r="E2042" s="16"/>
      <c r="F2042" s="16"/>
      <c r="G2042" s="16"/>
      <c r="H2042" s="16"/>
      <c r="I2042" s="16"/>
      <c r="J2042" s="16"/>
      <c r="K2042" s="16"/>
      <c r="L2042" s="16"/>
      <c r="M2042" s="16"/>
    </row>
    <row r="2043" spans="1:13" x14ac:dyDescent="0.2">
      <c r="A2043" s="16"/>
      <c r="B2043" s="37"/>
      <c r="C2043" s="16"/>
      <c r="D2043" s="16"/>
      <c r="E2043" s="16"/>
      <c r="F2043" s="16"/>
      <c r="G2043" s="16"/>
      <c r="H2043" s="16"/>
      <c r="I2043" s="16"/>
      <c r="J2043" s="16"/>
      <c r="K2043" s="16"/>
      <c r="L2043" s="16"/>
      <c r="M2043" s="16"/>
    </row>
    <row r="2044" spans="1:13" x14ac:dyDescent="0.2">
      <c r="A2044" s="16"/>
      <c r="B2044" s="37"/>
      <c r="C2044" s="16"/>
      <c r="D2044" s="16"/>
      <c r="E2044" s="16"/>
      <c r="F2044" s="16"/>
      <c r="G2044" s="16"/>
      <c r="H2044" s="16"/>
      <c r="I2044" s="16"/>
      <c r="J2044" s="16"/>
      <c r="K2044" s="16"/>
      <c r="L2044" s="16"/>
      <c r="M2044" s="16"/>
    </row>
    <row r="2045" spans="1:13" x14ac:dyDescent="0.2">
      <c r="A2045" s="16"/>
      <c r="B2045" s="37"/>
      <c r="C2045" s="16"/>
      <c r="D2045" s="16"/>
      <c r="E2045" s="16"/>
      <c r="F2045" s="16"/>
      <c r="G2045" s="16"/>
      <c r="H2045" s="16"/>
      <c r="I2045" s="16"/>
      <c r="J2045" s="16"/>
      <c r="K2045" s="16"/>
      <c r="L2045" s="16"/>
      <c r="M2045" s="16"/>
    </row>
    <row r="2046" spans="1:13" x14ac:dyDescent="0.2">
      <c r="A2046" s="16"/>
      <c r="B2046" s="37"/>
      <c r="C2046" s="16"/>
      <c r="D2046" s="16"/>
      <c r="E2046" s="16"/>
      <c r="F2046" s="16"/>
      <c r="G2046" s="16"/>
      <c r="H2046" s="16"/>
      <c r="I2046" s="16"/>
      <c r="J2046" s="16"/>
      <c r="K2046" s="16"/>
      <c r="L2046" s="16"/>
      <c r="M2046" s="16"/>
    </row>
    <row r="2047" spans="1:13" x14ac:dyDescent="0.2">
      <c r="A2047" s="16"/>
      <c r="B2047" s="37"/>
      <c r="C2047" s="16"/>
      <c r="D2047" s="16"/>
      <c r="E2047" s="16"/>
      <c r="F2047" s="16"/>
      <c r="G2047" s="16"/>
      <c r="H2047" s="16"/>
      <c r="I2047" s="16"/>
      <c r="J2047" s="16"/>
      <c r="K2047" s="16"/>
      <c r="L2047" s="16"/>
      <c r="M2047" s="16"/>
    </row>
    <row r="2048" spans="1:13" x14ac:dyDescent="0.2">
      <c r="A2048" s="16"/>
      <c r="B2048" s="37"/>
      <c r="C2048" s="16"/>
      <c r="D2048" s="16"/>
      <c r="E2048" s="16"/>
      <c r="F2048" s="16"/>
      <c r="G2048" s="16"/>
      <c r="H2048" s="16"/>
      <c r="I2048" s="16"/>
      <c r="J2048" s="16"/>
      <c r="K2048" s="16"/>
      <c r="L2048" s="16"/>
      <c r="M2048" s="16"/>
    </row>
    <row r="2049" spans="1:13" x14ac:dyDescent="0.2">
      <c r="A2049" s="16"/>
      <c r="B2049" s="37"/>
      <c r="C2049" s="16"/>
      <c r="D2049" s="16"/>
      <c r="E2049" s="16"/>
      <c r="F2049" s="16"/>
      <c r="G2049" s="16"/>
      <c r="H2049" s="16"/>
      <c r="I2049" s="16"/>
      <c r="J2049" s="16"/>
      <c r="K2049" s="16"/>
      <c r="L2049" s="16"/>
      <c r="M2049" s="16"/>
    </row>
    <row r="2050" spans="1:13" x14ac:dyDescent="0.2">
      <c r="A2050" s="16"/>
      <c r="B2050" s="37"/>
      <c r="C2050" s="16"/>
      <c r="D2050" s="16"/>
      <c r="E2050" s="16"/>
      <c r="F2050" s="16"/>
      <c r="G2050" s="16"/>
      <c r="H2050" s="16"/>
      <c r="I2050" s="16"/>
      <c r="J2050" s="16"/>
      <c r="K2050" s="16"/>
      <c r="L2050" s="16"/>
      <c r="M2050" s="16"/>
    </row>
    <row r="2051" spans="1:13" x14ac:dyDescent="0.2">
      <c r="A2051" s="16"/>
      <c r="B2051" s="37"/>
      <c r="C2051" s="16"/>
      <c r="D2051" s="16"/>
      <c r="E2051" s="16"/>
      <c r="F2051" s="16"/>
      <c r="G2051" s="16"/>
      <c r="H2051" s="16"/>
      <c r="I2051" s="16"/>
      <c r="J2051" s="16"/>
      <c r="K2051" s="16"/>
      <c r="L2051" s="16"/>
      <c r="M2051" s="16"/>
    </row>
    <row r="2052" spans="1:13" x14ac:dyDescent="0.2">
      <c r="A2052" s="16"/>
      <c r="B2052" s="37"/>
      <c r="C2052" s="16"/>
      <c r="D2052" s="16"/>
      <c r="E2052" s="16"/>
      <c r="F2052" s="16"/>
      <c r="G2052" s="16"/>
      <c r="H2052" s="16"/>
      <c r="I2052" s="16"/>
      <c r="J2052" s="16"/>
      <c r="K2052" s="16"/>
      <c r="L2052" s="16"/>
      <c r="M2052" s="16"/>
    </row>
    <row r="2053" spans="1:13" x14ac:dyDescent="0.2">
      <c r="A2053" s="16"/>
      <c r="B2053" s="37"/>
      <c r="C2053" s="16"/>
      <c r="D2053" s="16"/>
      <c r="E2053" s="16"/>
      <c r="F2053" s="16"/>
      <c r="G2053" s="16"/>
      <c r="H2053" s="16"/>
      <c r="I2053" s="16"/>
      <c r="J2053" s="16"/>
      <c r="K2053" s="16"/>
      <c r="L2053" s="16"/>
      <c r="M2053" s="16"/>
    </row>
    <row r="2054" spans="1:13" x14ac:dyDescent="0.2">
      <c r="A2054" s="16"/>
      <c r="B2054" s="37"/>
      <c r="C2054" s="16"/>
      <c r="D2054" s="16"/>
      <c r="E2054" s="16"/>
      <c r="F2054" s="16"/>
      <c r="G2054" s="16"/>
      <c r="H2054" s="16"/>
      <c r="I2054" s="16"/>
      <c r="J2054" s="16"/>
      <c r="K2054" s="16"/>
      <c r="L2054" s="16"/>
      <c r="M2054" s="16"/>
    </row>
    <row r="2055" spans="1:13" x14ac:dyDescent="0.2">
      <c r="A2055" s="16"/>
      <c r="B2055" s="37"/>
      <c r="C2055" s="16"/>
      <c r="D2055" s="16"/>
      <c r="E2055" s="16"/>
      <c r="F2055" s="16"/>
      <c r="G2055" s="16"/>
      <c r="H2055" s="16"/>
      <c r="I2055" s="16"/>
      <c r="J2055" s="16"/>
      <c r="K2055" s="16"/>
      <c r="L2055" s="16"/>
      <c r="M2055" s="16"/>
    </row>
    <row r="2056" spans="1:13" x14ac:dyDescent="0.2">
      <c r="A2056" s="16"/>
      <c r="B2056" s="37"/>
      <c r="C2056" s="16"/>
      <c r="D2056" s="16"/>
      <c r="E2056" s="16"/>
      <c r="F2056" s="16"/>
      <c r="G2056" s="16"/>
      <c r="H2056" s="16"/>
      <c r="I2056" s="16"/>
      <c r="J2056" s="16"/>
      <c r="K2056" s="16"/>
      <c r="L2056" s="16"/>
      <c r="M2056" s="16"/>
    </row>
    <row r="2057" spans="1:13" x14ac:dyDescent="0.2">
      <c r="A2057" s="16"/>
      <c r="B2057" s="37"/>
      <c r="C2057" s="16"/>
      <c r="D2057" s="16"/>
      <c r="E2057" s="16"/>
      <c r="F2057" s="16"/>
      <c r="G2057" s="16"/>
      <c r="H2057" s="16"/>
      <c r="I2057" s="16"/>
      <c r="J2057" s="16"/>
      <c r="K2057" s="16"/>
      <c r="L2057" s="16"/>
      <c r="M2057" s="16"/>
    </row>
    <row r="2058" spans="1:13" x14ac:dyDescent="0.2">
      <c r="A2058" s="16"/>
      <c r="B2058" s="37"/>
      <c r="C2058" s="16"/>
      <c r="D2058" s="16"/>
      <c r="E2058" s="16"/>
      <c r="F2058" s="16"/>
      <c r="G2058" s="16"/>
      <c r="H2058" s="16"/>
      <c r="I2058" s="16"/>
      <c r="J2058" s="16"/>
      <c r="K2058" s="16"/>
      <c r="L2058" s="16"/>
      <c r="M2058" s="16"/>
    </row>
    <row r="2059" spans="1:13" x14ac:dyDescent="0.2">
      <c r="A2059" s="16"/>
      <c r="B2059" s="37"/>
      <c r="C2059" s="16"/>
      <c r="D2059" s="16"/>
      <c r="E2059" s="16"/>
      <c r="F2059" s="16"/>
      <c r="G2059" s="16"/>
      <c r="H2059" s="16"/>
      <c r="I2059" s="16"/>
      <c r="J2059" s="16"/>
      <c r="K2059" s="16"/>
      <c r="L2059" s="16"/>
      <c r="M2059" s="16"/>
    </row>
    <row r="2060" spans="1:13" x14ac:dyDescent="0.2">
      <c r="A2060" s="16"/>
      <c r="B2060" s="37"/>
      <c r="C2060" s="16"/>
      <c r="D2060" s="16"/>
      <c r="E2060" s="16"/>
      <c r="F2060" s="16"/>
      <c r="G2060" s="16"/>
      <c r="H2060" s="16"/>
      <c r="I2060" s="16"/>
      <c r="J2060" s="16"/>
      <c r="K2060" s="16"/>
      <c r="L2060" s="16"/>
      <c r="M2060" s="16"/>
    </row>
    <row r="2061" spans="1:13" x14ac:dyDescent="0.2">
      <c r="A2061" s="16"/>
      <c r="B2061" s="37"/>
      <c r="C2061" s="16"/>
      <c r="D2061" s="16"/>
      <c r="E2061" s="16"/>
      <c r="F2061" s="16"/>
      <c r="G2061" s="16"/>
      <c r="H2061" s="16"/>
      <c r="I2061" s="16"/>
      <c r="J2061" s="16"/>
      <c r="K2061" s="16"/>
      <c r="L2061" s="16"/>
      <c r="M2061" s="16"/>
    </row>
    <row r="2062" spans="1:13" x14ac:dyDescent="0.2">
      <c r="A2062" s="16"/>
      <c r="B2062" s="37"/>
      <c r="C2062" s="16"/>
      <c r="D2062" s="16"/>
      <c r="E2062" s="16"/>
      <c r="F2062" s="16"/>
      <c r="G2062" s="16"/>
      <c r="H2062" s="16"/>
      <c r="I2062" s="16"/>
      <c r="J2062" s="16"/>
      <c r="K2062" s="16"/>
      <c r="L2062" s="16"/>
      <c r="M2062" s="16"/>
    </row>
    <row r="2063" spans="1:13" x14ac:dyDescent="0.2">
      <c r="A2063" s="16"/>
      <c r="B2063" s="37"/>
      <c r="C2063" s="16"/>
      <c r="D2063" s="16"/>
      <c r="E2063" s="16"/>
      <c r="F2063" s="16"/>
      <c r="G2063" s="16"/>
      <c r="H2063" s="16"/>
      <c r="I2063" s="16"/>
      <c r="J2063" s="16"/>
      <c r="K2063" s="16"/>
      <c r="L2063" s="16"/>
      <c r="M2063" s="16"/>
    </row>
    <row r="2064" spans="1:13" x14ac:dyDescent="0.2">
      <c r="A2064" s="16"/>
      <c r="B2064" s="37"/>
      <c r="C2064" s="16"/>
      <c r="D2064" s="16"/>
      <c r="E2064" s="16"/>
      <c r="F2064" s="16"/>
      <c r="G2064" s="16"/>
      <c r="H2064" s="16"/>
      <c r="I2064" s="16"/>
      <c r="J2064" s="16"/>
      <c r="K2064" s="16"/>
      <c r="L2064" s="16"/>
      <c r="M2064" s="16"/>
    </row>
    <row r="2065" spans="1:13" x14ac:dyDescent="0.2">
      <c r="A2065" s="16"/>
      <c r="B2065" s="37"/>
      <c r="C2065" s="16"/>
      <c r="D2065" s="16"/>
      <c r="E2065" s="16"/>
      <c r="F2065" s="16"/>
      <c r="G2065" s="16"/>
      <c r="H2065" s="16"/>
      <c r="I2065" s="16"/>
      <c r="J2065" s="16"/>
      <c r="K2065" s="16"/>
      <c r="L2065" s="16"/>
      <c r="M2065" s="16"/>
    </row>
    <row r="2066" spans="1:13" x14ac:dyDescent="0.2">
      <c r="A2066" s="16"/>
      <c r="B2066" s="37"/>
      <c r="C2066" s="16"/>
      <c r="D2066" s="16"/>
      <c r="E2066" s="16"/>
      <c r="F2066" s="16"/>
      <c r="G2066" s="16"/>
      <c r="H2066" s="16"/>
      <c r="I2066" s="16"/>
      <c r="J2066" s="16"/>
      <c r="K2066" s="16"/>
      <c r="L2066" s="16"/>
      <c r="M2066" s="16"/>
    </row>
    <row r="2067" spans="1:13" x14ac:dyDescent="0.2">
      <c r="A2067" s="16"/>
      <c r="B2067" s="37"/>
      <c r="C2067" s="16"/>
      <c r="D2067" s="16"/>
      <c r="E2067" s="16"/>
      <c r="F2067" s="16"/>
      <c r="G2067" s="16"/>
      <c r="H2067" s="16"/>
      <c r="I2067" s="16"/>
      <c r="J2067" s="16"/>
      <c r="K2067" s="16"/>
      <c r="L2067" s="16"/>
      <c r="M2067" s="16"/>
    </row>
    <row r="2068" spans="1:13" x14ac:dyDescent="0.2">
      <c r="A2068" s="16"/>
      <c r="B2068" s="37"/>
      <c r="C2068" s="16"/>
      <c r="D2068" s="16"/>
      <c r="E2068" s="16"/>
      <c r="F2068" s="16"/>
      <c r="G2068" s="16"/>
      <c r="H2068" s="16"/>
      <c r="I2068" s="16"/>
      <c r="J2068" s="16"/>
      <c r="K2068" s="16"/>
      <c r="L2068" s="16"/>
      <c r="M2068" s="16"/>
    </row>
    <row r="2069" spans="1:13" x14ac:dyDescent="0.2">
      <c r="A2069" s="16"/>
      <c r="B2069" s="37"/>
      <c r="C2069" s="16"/>
      <c r="D2069" s="16"/>
      <c r="E2069" s="16"/>
      <c r="F2069" s="16"/>
      <c r="G2069" s="16"/>
      <c r="H2069" s="16"/>
      <c r="I2069" s="16"/>
      <c r="J2069" s="16"/>
      <c r="K2069" s="16"/>
      <c r="L2069" s="16"/>
      <c r="M2069" s="16"/>
    </row>
    <row r="2070" spans="1:13" x14ac:dyDescent="0.2">
      <c r="A2070" s="16"/>
      <c r="B2070" s="37"/>
      <c r="C2070" s="16"/>
      <c r="D2070" s="16"/>
      <c r="E2070" s="16"/>
      <c r="F2070" s="16"/>
      <c r="G2070" s="16"/>
      <c r="H2070" s="16"/>
      <c r="I2070" s="16"/>
      <c r="J2070" s="16"/>
      <c r="K2070" s="16"/>
      <c r="L2070" s="16"/>
      <c r="M2070" s="16"/>
    </row>
    <row r="2071" spans="1:13" x14ac:dyDescent="0.2">
      <c r="A2071" s="16"/>
      <c r="B2071" s="37"/>
      <c r="C2071" s="16"/>
      <c r="D2071" s="16"/>
      <c r="E2071" s="16"/>
      <c r="F2071" s="16"/>
      <c r="G2071" s="16"/>
      <c r="H2071" s="16"/>
      <c r="I2071" s="16"/>
      <c r="J2071" s="16"/>
      <c r="K2071" s="16"/>
      <c r="L2071" s="16"/>
      <c r="M2071" s="16"/>
    </row>
    <row r="2072" spans="1:13" x14ac:dyDescent="0.2">
      <c r="A2072" s="16"/>
      <c r="B2072" s="37"/>
      <c r="C2072" s="16"/>
      <c r="D2072" s="16"/>
      <c r="E2072" s="16"/>
      <c r="F2072" s="16"/>
      <c r="G2072" s="16"/>
      <c r="H2072" s="16"/>
      <c r="I2072" s="16"/>
      <c r="J2072" s="16"/>
      <c r="K2072" s="16"/>
      <c r="L2072" s="16"/>
      <c r="M2072" s="16"/>
    </row>
    <row r="2073" spans="1:13" x14ac:dyDescent="0.2">
      <c r="A2073" s="16"/>
      <c r="B2073" s="37"/>
      <c r="C2073" s="16"/>
      <c r="D2073" s="16"/>
      <c r="E2073" s="16"/>
      <c r="F2073" s="16"/>
      <c r="G2073" s="16"/>
      <c r="H2073" s="16"/>
      <c r="I2073" s="16"/>
      <c r="J2073" s="16"/>
      <c r="K2073" s="16"/>
      <c r="L2073" s="16"/>
      <c r="M2073" s="16"/>
    </row>
    <row r="2074" spans="1:13" x14ac:dyDescent="0.2">
      <c r="A2074" s="16"/>
      <c r="B2074" s="37"/>
      <c r="C2074" s="16"/>
      <c r="D2074" s="16"/>
      <c r="E2074" s="16"/>
      <c r="F2074" s="16"/>
      <c r="G2074" s="16"/>
      <c r="H2074" s="16"/>
      <c r="I2074" s="16"/>
      <c r="J2074" s="16"/>
      <c r="K2074" s="16"/>
      <c r="L2074" s="16"/>
      <c r="M2074" s="16"/>
    </row>
    <row r="2075" spans="1:13" x14ac:dyDescent="0.2">
      <c r="A2075" s="16"/>
      <c r="B2075" s="37"/>
      <c r="C2075" s="16"/>
      <c r="D2075" s="16"/>
      <c r="E2075" s="16"/>
      <c r="F2075" s="16"/>
      <c r="G2075" s="16"/>
      <c r="H2075" s="16"/>
      <c r="I2075" s="16"/>
      <c r="J2075" s="16"/>
      <c r="K2075" s="16"/>
      <c r="L2075" s="16"/>
      <c r="M2075" s="16"/>
    </row>
    <row r="2076" spans="1:13" x14ac:dyDescent="0.2">
      <c r="A2076" s="16"/>
      <c r="B2076" s="37"/>
      <c r="C2076" s="16"/>
      <c r="D2076" s="16"/>
      <c r="E2076" s="16"/>
      <c r="F2076" s="16"/>
      <c r="G2076" s="16"/>
      <c r="H2076" s="16"/>
      <c r="I2076" s="16"/>
      <c r="J2076" s="16"/>
      <c r="K2076" s="16"/>
      <c r="L2076" s="16"/>
      <c r="M2076" s="16"/>
    </row>
    <row r="2077" spans="1:13" x14ac:dyDescent="0.2">
      <c r="A2077" s="16"/>
      <c r="B2077" s="37"/>
      <c r="C2077" s="16"/>
      <c r="D2077" s="16"/>
      <c r="E2077" s="16"/>
      <c r="F2077" s="16"/>
      <c r="G2077" s="16"/>
      <c r="H2077" s="16"/>
      <c r="I2077" s="16"/>
      <c r="J2077" s="16"/>
      <c r="K2077" s="16"/>
      <c r="L2077" s="16"/>
      <c r="M2077" s="16"/>
    </row>
    <row r="2078" spans="1:13" x14ac:dyDescent="0.2">
      <c r="A2078" s="16"/>
      <c r="B2078" s="37"/>
      <c r="C2078" s="16"/>
      <c r="D2078" s="16"/>
      <c r="E2078" s="16"/>
      <c r="F2078" s="16"/>
      <c r="G2078" s="16"/>
      <c r="H2078" s="16"/>
      <c r="I2078" s="16"/>
      <c r="J2078" s="16"/>
      <c r="K2078" s="16"/>
      <c r="L2078" s="16"/>
      <c r="M2078" s="16"/>
    </row>
    <row r="2079" spans="1:13" x14ac:dyDescent="0.2">
      <c r="A2079" s="16"/>
      <c r="B2079" s="37"/>
      <c r="C2079" s="16"/>
      <c r="D2079" s="16"/>
      <c r="E2079" s="16"/>
      <c r="F2079" s="16"/>
      <c r="G2079" s="16"/>
      <c r="H2079" s="16"/>
      <c r="I2079" s="16"/>
      <c r="J2079" s="16"/>
      <c r="K2079" s="16"/>
      <c r="L2079" s="16"/>
      <c r="M2079" s="16"/>
    </row>
    <row r="2080" spans="1:13" x14ac:dyDescent="0.2">
      <c r="A2080" s="16"/>
      <c r="B2080" s="37"/>
      <c r="C2080" s="16"/>
      <c r="D2080" s="16"/>
      <c r="E2080" s="16"/>
      <c r="F2080" s="16"/>
      <c r="G2080" s="16"/>
      <c r="H2080" s="16"/>
      <c r="I2080" s="16"/>
      <c r="J2080" s="16"/>
      <c r="K2080" s="16"/>
      <c r="L2080" s="16"/>
      <c r="M2080" s="16"/>
    </row>
    <row r="2081" spans="1:13" x14ac:dyDescent="0.2">
      <c r="A2081" s="16"/>
      <c r="B2081" s="37"/>
      <c r="C2081" s="16"/>
      <c r="D2081" s="16"/>
      <c r="E2081" s="16"/>
      <c r="F2081" s="16"/>
      <c r="G2081" s="16"/>
      <c r="H2081" s="16"/>
      <c r="I2081" s="16"/>
      <c r="J2081" s="16"/>
      <c r="K2081" s="16"/>
      <c r="L2081" s="16"/>
      <c r="M2081" s="16"/>
    </row>
    <row r="2082" spans="1:13" x14ac:dyDescent="0.2">
      <c r="A2082" s="16"/>
      <c r="B2082" s="37"/>
      <c r="C2082" s="16"/>
      <c r="D2082" s="16"/>
      <c r="E2082" s="16"/>
      <c r="F2082" s="16"/>
      <c r="G2082" s="16"/>
      <c r="H2082" s="16"/>
      <c r="I2082" s="16"/>
      <c r="J2082" s="16"/>
      <c r="K2082" s="16"/>
      <c r="L2082" s="16"/>
      <c r="M2082" s="16"/>
    </row>
    <row r="2083" spans="1:13" x14ac:dyDescent="0.2">
      <c r="A2083" s="16"/>
      <c r="B2083" s="37"/>
      <c r="C2083" s="16"/>
      <c r="D2083" s="16"/>
      <c r="E2083" s="16"/>
      <c r="F2083" s="16"/>
      <c r="G2083" s="16"/>
      <c r="H2083" s="16"/>
      <c r="I2083" s="16"/>
      <c r="J2083" s="16"/>
      <c r="K2083" s="16"/>
      <c r="L2083" s="16"/>
      <c r="M2083" s="16"/>
    </row>
    <row r="2084" spans="1:13" x14ac:dyDescent="0.2">
      <c r="A2084" s="16"/>
      <c r="B2084" s="37"/>
      <c r="C2084" s="16"/>
      <c r="D2084" s="16"/>
      <c r="E2084" s="16"/>
      <c r="F2084" s="16"/>
      <c r="G2084" s="16"/>
      <c r="H2084" s="16"/>
      <c r="I2084" s="16"/>
      <c r="J2084" s="16"/>
      <c r="K2084" s="16"/>
      <c r="L2084" s="16"/>
      <c r="M2084" s="16"/>
    </row>
    <row r="2085" spans="1:13" x14ac:dyDescent="0.2">
      <c r="A2085" s="16"/>
      <c r="B2085" s="37"/>
      <c r="C2085" s="16"/>
      <c r="D2085" s="16"/>
      <c r="E2085" s="16"/>
      <c r="F2085" s="16"/>
      <c r="G2085" s="16"/>
      <c r="H2085" s="16"/>
      <c r="I2085" s="16"/>
      <c r="J2085" s="16"/>
      <c r="K2085" s="16"/>
      <c r="L2085" s="16"/>
      <c r="M2085" s="16"/>
    </row>
    <row r="2086" spans="1:13" x14ac:dyDescent="0.2">
      <c r="A2086" s="16"/>
      <c r="B2086" s="37"/>
      <c r="C2086" s="16"/>
      <c r="D2086" s="16"/>
      <c r="E2086" s="16"/>
      <c r="F2086" s="16"/>
      <c r="G2086" s="16"/>
      <c r="H2086" s="16"/>
      <c r="I2086" s="16"/>
      <c r="J2086" s="16"/>
      <c r="K2086" s="16"/>
      <c r="L2086" s="16"/>
      <c r="M2086" s="16"/>
    </row>
    <row r="2087" spans="1:13" x14ac:dyDescent="0.2">
      <c r="A2087" s="16"/>
      <c r="B2087" s="37"/>
      <c r="C2087" s="16"/>
      <c r="D2087" s="16"/>
      <c r="E2087" s="16"/>
      <c r="F2087" s="16"/>
      <c r="G2087" s="16"/>
      <c r="H2087" s="16"/>
      <c r="I2087" s="16"/>
      <c r="J2087" s="16"/>
      <c r="K2087" s="16"/>
      <c r="L2087" s="16"/>
      <c r="M2087" s="16"/>
    </row>
    <row r="2088" spans="1:13" x14ac:dyDescent="0.2">
      <c r="A2088" s="16"/>
      <c r="B2088" s="37"/>
      <c r="C2088" s="16"/>
      <c r="D2088" s="16"/>
      <c r="E2088" s="16"/>
      <c r="F2088" s="16"/>
      <c r="G2088" s="16"/>
      <c r="H2088" s="16"/>
      <c r="I2088" s="16"/>
      <c r="J2088" s="16"/>
      <c r="K2088" s="16"/>
      <c r="L2088" s="16"/>
      <c r="M2088" s="16"/>
    </row>
    <row r="2089" spans="1:13" x14ac:dyDescent="0.2">
      <c r="A2089" s="16"/>
      <c r="B2089" s="37"/>
      <c r="C2089" s="16"/>
      <c r="D2089" s="16"/>
      <c r="E2089" s="16"/>
      <c r="F2089" s="16"/>
      <c r="G2089" s="16"/>
      <c r="H2089" s="16"/>
      <c r="I2089" s="16"/>
      <c r="J2089" s="16"/>
      <c r="K2089" s="16"/>
      <c r="L2089" s="16"/>
      <c r="M2089" s="16"/>
    </row>
    <row r="2090" spans="1:13" x14ac:dyDescent="0.2">
      <c r="A2090" s="16"/>
      <c r="B2090" s="37"/>
      <c r="C2090" s="16"/>
      <c r="D2090" s="16"/>
      <c r="E2090" s="16"/>
      <c r="F2090" s="16"/>
      <c r="G2090" s="16"/>
      <c r="H2090" s="16"/>
      <c r="I2090" s="16"/>
      <c r="J2090" s="16"/>
      <c r="K2090" s="16"/>
      <c r="L2090" s="16"/>
      <c r="M2090" s="16"/>
    </row>
    <row r="2091" spans="1:13" x14ac:dyDescent="0.2">
      <c r="A2091" s="16"/>
      <c r="B2091" s="37"/>
      <c r="C2091" s="16"/>
      <c r="D2091" s="16"/>
      <c r="E2091" s="16"/>
      <c r="F2091" s="16"/>
      <c r="G2091" s="16"/>
      <c r="H2091" s="16"/>
      <c r="I2091" s="16"/>
      <c r="J2091" s="16"/>
      <c r="K2091" s="16"/>
      <c r="L2091" s="16"/>
      <c r="M2091" s="16"/>
    </row>
    <row r="2092" spans="1:13" x14ac:dyDescent="0.2">
      <c r="A2092" s="16"/>
      <c r="B2092" s="37"/>
      <c r="C2092" s="16"/>
      <c r="D2092" s="16"/>
      <c r="E2092" s="16"/>
      <c r="F2092" s="16"/>
      <c r="G2092" s="16"/>
      <c r="H2092" s="16"/>
      <c r="I2092" s="16"/>
      <c r="J2092" s="16"/>
      <c r="K2092" s="16"/>
      <c r="L2092" s="16"/>
      <c r="M2092" s="16"/>
    </row>
    <row r="2093" spans="1:13" x14ac:dyDescent="0.2">
      <c r="A2093" s="16"/>
      <c r="B2093" s="37"/>
      <c r="C2093" s="16"/>
      <c r="D2093" s="16"/>
      <c r="E2093" s="16"/>
      <c r="F2093" s="16"/>
      <c r="G2093" s="16"/>
      <c r="H2093" s="16"/>
      <c r="I2093" s="16"/>
      <c r="J2093" s="16"/>
      <c r="K2093" s="16"/>
      <c r="L2093" s="16"/>
      <c r="M2093" s="16"/>
    </row>
    <row r="2094" spans="1:13" x14ac:dyDescent="0.2">
      <c r="A2094" s="16"/>
      <c r="B2094" s="37"/>
      <c r="C2094" s="16"/>
      <c r="D2094" s="16"/>
      <c r="E2094" s="16"/>
      <c r="F2094" s="16"/>
      <c r="G2094" s="16"/>
      <c r="H2094" s="16"/>
      <c r="I2094" s="16"/>
      <c r="J2094" s="16"/>
      <c r="K2094" s="16"/>
      <c r="L2094" s="16"/>
      <c r="M2094" s="16"/>
    </row>
    <row r="2095" spans="1:13" x14ac:dyDescent="0.2">
      <c r="A2095" s="16"/>
      <c r="B2095" s="37"/>
      <c r="C2095" s="16"/>
      <c r="D2095" s="16"/>
      <c r="E2095" s="16"/>
      <c r="F2095" s="16"/>
      <c r="G2095" s="16"/>
      <c r="H2095" s="16"/>
      <c r="I2095" s="16"/>
      <c r="J2095" s="16"/>
      <c r="K2095" s="16"/>
      <c r="L2095" s="16"/>
      <c r="M2095" s="16"/>
    </row>
    <row r="2096" spans="1:13" x14ac:dyDescent="0.2">
      <c r="A2096" s="16"/>
      <c r="B2096" s="37"/>
      <c r="C2096" s="16"/>
      <c r="D2096" s="16"/>
      <c r="E2096" s="16"/>
      <c r="F2096" s="16"/>
      <c r="G2096" s="16"/>
      <c r="H2096" s="16"/>
      <c r="I2096" s="16"/>
      <c r="J2096" s="16"/>
      <c r="K2096" s="16"/>
      <c r="L2096" s="16"/>
      <c r="M2096" s="16"/>
    </row>
    <row r="2097" spans="1:13" x14ac:dyDescent="0.2">
      <c r="A2097" s="16"/>
      <c r="B2097" s="37"/>
      <c r="C2097" s="16"/>
      <c r="D2097" s="16"/>
      <c r="E2097" s="16"/>
      <c r="F2097" s="16"/>
      <c r="G2097" s="16"/>
      <c r="H2097" s="16"/>
      <c r="I2097" s="16"/>
      <c r="J2097" s="16"/>
      <c r="K2097" s="16"/>
      <c r="L2097" s="16"/>
      <c r="M2097" s="16"/>
    </row>
    <row r="2098" spans="1:13" x14ac:dyDescent="0.2">
      <c r="A2098" s="16"/>
      <c r="B2098" s="37"/>
      <c r="C2098" s="16"/>
      <c r="D2098" s="16"/>
      <c r="E2098" s="16"/>
      <c r="F2098" s="16"/>
      <c r="G2098" s="16"/>
      <c r="H2098" s="16"/>
      <c r="I2098" s="16"/>
      <c r="J2098" s="16"/>
      <c r="K2098" s="16"/>
      <c r="L2098" s="16"/>
      <c r="M2098" s="16"/>
    </row>
    <row r="2099" spans="1:13" x14ac:dyDescent="0.2">
      <c r="A2099" s="16"/>
      <c r="B2099" s="37"/>
      <c r="C2099" s="16"/>
      <c r="D2099" s="16"/>
      <c r="E2099" s="16"/>
      <c r="F2099" s="16"/>
      <c r="G2099" s="16"/>
      <c r="H2099" s="16"/>
      <c r="I2099" s="16"/>
      <c r="J2099" s="16"/>
      <c r="K2099" s="16"/>
      <c r="L2099" s="16"/>
      <c r="M2099" s="16"/>
    </row>
    <row r="2100" spans="1:13" x14ac:dyDescent="0.2">
      <c r="A2100" s="16"/>
      <c r="B2100" s="37"/>
      <c r="C2100" s="16"/>
      <c r="D2100" s="16"/>
      <c r="E2100" s="16"/>
      <c r="F2100" s="16"/>
      <c r="G2100" s="16"/>
      <c r="H2100" s="16"/>
      <c r="I2100" s="16"/>
      <c r="J2100" s="16"/>
      <c r="K2100" s="16"/>
      <c r="L2100" s="16"/>
      <c r="M2100" s="16"/>
    </row>
    <row r="2101" spans="1:13" x14ac:dyDescent="0.2">
      <c r="A2101" s="16"/>
      <c r="B2101" s="37"/>
      <c r="C2101" s="16"/>
      <c r="D2101" s="16"/>
      <c r="E2101" s="16"/>
      <c r="F2101" s="16"/>
      <c r="G2101" s="16"/>
      <c r="H2101" s="16"/>
      <c r="I2101" s="16"/>
      <c r="J2101" s="16"/>
      <c r="K2101" s="16"/>
      <c r="L2101" s="16"/>
      <c r="M2101" s="16"/>
    </row>
    <row r="2102" spans="1:13" x14ac:dyDescent="0.2">
      <c r="A2102" s="16"/>
      <c r="B2102" s="37"/>
      <c r="C2102" s="16"/>
      <c r="D2102" s="16"/>
      <c r="E2102" s="16"/>
      <c r="F2102" s="16"/>
      <c r="G2102" s="16"/>
      <c r="H2102" s="16"/>
      <c r="I2102" s="16"/>
      <c r="J2102" s="16"/>
      <c r="K2102" s="16"/>
      <c r="L2102" s="16"/>
      <c r="M2102" s="16"/>
    </row>
    <row r="2103" spans="1:13" x14ac:dyDescent="0.2">
      <c r="A2103" s="16"/>
      <c r="B2103" s="37"/>
      <c r="C2103" s="16"/>
      <c r="D2103" s="16"/>
      <c r="E2103" s="16"/>
      <c r="F2103" s="16"/>
      <c r="G2103" s="16"/>
      <c r="H2103" s="16"/>
      <c r="I2103" s="16"/>
      <c r="J2103" s="16"/>
      <c r="K2103" s="16"/>
      <c r="L2103" s="16"/>
      <c r="M2103" s="16"/>
    </row>
    <row r="2104" spans="1:13" x14ac:dyDescent="0.2">
      <c r="A2104" s="16"/>
      <c r="B2104" s="37"/>
      <c r="C2104" s="16"/>
      <c r="D2104" s="16"/>
      <c r="E2104" s="16"/>
      <c r="F2104" s="16"/>
      <c r="G2104" s="16"/>
      <c r="H2104" s="16"/>
      <c r="I2104" s="16"/>
      <c r="J2104" s="16"/>
      <c r="K2104" s="16"/>
      <c r="L2104" s="16"/>
      <c r="M2104" s="16"/>
    </row>
    <row r="2105" spans="1:13" x14ac:dyDescent="0.2">
      <c r="A2105" s="16"/>
      <c r="B2105" s="37"/>
      <c r="C2105" s="16"/>
      <c r="D2105" s="16"/>
      <c r="E2105" s="16"/>
      <c r="F2105" s="16"/>
      <c r="G2105" s="16"/>
      <c r="H2105" s="16"/>
      <c r="I2105" s="16"/>
      <c r="J2105" s="16"/>
      <c r="K2105" s="16"/>
      <c r="L2105" s="16"/>
      <c r="M2105" s="16"/>
    </row>
    <row r="2106" spans="1:13" x14ac:dyDescent="0.2">
      <c r="A2106" s="16"/>
      <c r="B2106" s="37"/>
      <c r="C2106" s="16"/>
      <c r="D2106" s="16"/>
      <c r="E2106" s="16"/>
      <c r="F2106" s="16"/>
      <c r="G2106" s="16"/>
      <c r="H2106" s="16"/>
      <c r="I2106" s="16"/>
      <c r="J2106" s="16"/>
      <c r="K2106" s="16"/>
      <c r="L2106" s="16"/>
      <c r="M2106" s="16"/>
    </row>
    <row r="2107" spans="1:13" x14ac:dyDescent="0.2">
      <c r="A2107" s="16"/>
      <c r="B2107" s="37"/>
      <c r="C2107" s="16"/>
      <c r="D2107" s="16"/>
      <c r="E2107" s="16"/>
      <c r="F2107" s="16"/>
      <c r="G2107" s="16"/>
      <c r="H2107" s="16"/>
      <c r="I2107" s="16"/>
      <c r="J2107" s="16"/>
      <c r="K2107" s="16"/>
      <c r="L2107" s="16"/>
      <c r="M2107" s="16"/>
    </row>
    <row r="2108" spans="1:13" x14ac:dyDescent="0.2">
      <c r="A2108" s="16"/>
      <c r="B2108" s="37"/>
      <c r="C2108" s="16"/>
      <c r="D2108" s="16"/>
      <c r="E2108" s="16"/>
      <c r="F2108" s="16"/>
      <c r="G2108" s="16"/>
      <c r="H2108" s="16"/>
      <c r="I2108" s="16"/>
      <c r="J2108" s="16"/>
      <c r="K2108" s="16"/>
      <c r="L2108" s="16"/>
      <c r="M2108" s="16"/>
    </row>
    <row r="2109" spans="1:13" x14ac:dyDescent="0.2">
      <c r="A2109" s="16"/>
      <c r="B2109" s="37"/>
      <c r="C2109" s="16"/>
      <c r="D2109" s="16"/>
      <c r="E2109" s="16"/>
      <c r="F2109" s="16"/>
      <c r="G2109" s="16"/>
      <c r="H2109" s="16"/>
      <c r="I2109" s="16"/>
      <c r="J2109" s="16"/>
      <c r="K2109" s="16"/>
      <c r="L2109" s="16"/>
      <c r="M2109" s="16"/>
    </row>
    <row r="2110" spans="1:13" x14ac:dyDescent="0.2">
      <c r="A2110" s="16"/>
      <c r="B2110" s="37"/>
      <c r="C2110" s="16"/>
      <c r="D2110" s="16"/>
      <c r="E2110" s="16"/>
      <c r="F2110" s="16"/>
      <c r="G2110" s="16"/>
      <c r="H2110" s="16"/>
      <c r="I2110" s="16"/>
      <c r="J2110" s="16"/>
      <c r="K2110" s="16"/>
      <c r="L2110" s="16"/>
      <c r="M2110" s="16"/>
    </row>
    <row r="2111" spans="1:13" x14ac:dyDescent="0.2">
      <c r="A2111" s="16"/>
      <c r="B2111" s="37"/>
      <c r="C2111" s="16"/>
      <c r="D2111" s="16"/>
      <c r="E2111" s="16"/>
      <c r="F2111" s="16"/>
      <c r="G2111" s="16"/>
      <c r="H2111" s="16"/>
      <c r="I2111" s="16"/>
      <c r="J2111" s="16"/>
      <c r="K2111" s="16"/>
      <c r="L2111" s="16"/>
      <c r="M2111" s="16"/>
    </row>
    <row r="2112" spans="1:13" x14ac:dyDescent="0.2">
      <c r="A2112" s="16"/>
      <c r="B2112" s="37"/>
      <c r="C2112" s="16"/>
      <c r="D2112" s="16"/>
      <c r="E2112" s="16"/>
      <c r="F2112" s="16"/>
      <c r="G2112" s="16"/>
      <c r="H2112" s="16"/>
      <c r="I2112" s="16"/>
      <c r="J2112" s="16"/>
      <c r="K2112" s="16"/>
      <c r="L2112" s="16"/>
      <c r="M2112" s="16"/>
    </row>
    <row r="2113" spans="1:13" x14ac:dyDescent="0.2">
      <c r="A2113" s="16"/>
      <c r="B2113" s="37"/>
      <c r="C2113" s="16"/>
      <c r="D2113" s="16"/>
      <c r="E2113" s="16"/>
      <c r="F2113" s="16"/>
      <c r="G2113" s="16"/>
      <c r="H2113" s="16"/>
      <c r="I2113" s="16"/>
      <c r="J2113" s="16"/>
      <c r="K2113" s="16"/>
      <c r="L2113" s="16"/>
      <c r="M2113" s="16"/>
    </row>
    <row r="2114" spans="1:13" x14ac:dyDescent="0.2">
      <c r="A2114" s="16"/>
      <c r="B2114" s="37"/>
      <c r="C2114" s="16"/>
      <c r="D2114" s="16"/>
      <c r="E2114" s="16"/>
      <c r="F2114" s="16"/>
      <c r="G2114" s="16"/>
      <c r="H2114" s="16"/>
      <c r="I2114" s="16"/>
      <c r="J2114" s="16"/>
      <c r="K2114" s="16"/>
      <c r="L2114" s="16"/>
      <c r="M2114" s="16"/>
    </row>
    <row r="2115" spans="1:13" x14ac:dyDescent="0.2">
      <c r="A2115" s="16"/>
      <c r="B2115" s="37"/>
      <c r="C2115" s="16"/>
      <c r="D2115" s="16"/>
      <c r="E2115" s="16"/>
      <c r="F2115" s="16"/>
      <c r="G2115" s="16"/>
      <c r="H2115" s="16"/>
      <c r="I2115" s="16"/>
      <c r="J2115" s="16"/>
      <c r="K2115" s="16"/>
      <c r="L2115" s="16"/>
      <c r="M2115" s="16"/>
    </row>
    <row r="2116" spans="1:13" x14ac:dyDescent="0.2">
      <c r="A2116" s="16"/>
      <c r="B2116" s="37"/>
      <c r="C2116" s="16"/>
      <c r="D2116" s="16"/>
      <c r="E2116" s="16"/>
      <c r="F2116" s="16"/>
      <c r="G2116" s="16"/>
      <c r="H2116" s="16"/>
      <c r="I2116" s="16"/>
      <c r="J2116" s="16"/>
      <c r="K2116" s="16"/>
      <c r="L2116" s="16"/>
      <c r="M2116" s="16"/>
    </row>
    <row r="2117" spans="1:13" x14ac:dyDescent="0.2">
      <c r="A2117" s="16"/>
      <c r="B2117" s="37"/>
      <c r="C2117" s="16"/>
      <c r="D2117" s="16"/>
      <c r="E2117" s="16"/>
      <c r="F2117" s="16"/>
      <c r="G2117" s="16"/>
      <c r="H2117" s="16"/>
      <c r="I2117" s="16"/>
      <c r="J2117" s="16"/>
      <c r="K2117" s="16"/>
      <c r="L2117" s="16"/>
      <c r="M2117" s="16"/>
    </row>
    <row r="2118" spans="1:13" x14ac:dyDescent="0.2">
      <c r="A2118" s="16"/>
      <c r="B2118" s="37"/>
      <c r="C2118" s="16"/>
      <c r="D2118" s="16"/>
      <c r="E2118" s="16"/>
      <c r="F2118" s="16"/>
      <c r="G2118" s="16"/>
      <c r="H2118" s="16"/>
      <c r="I2118" s="16"/>
      <c r="J2118" s="16"/>
      <c r="K2118" s="16"/>
      <c r="L2118" s="16"/>
      <c r="M2118" s="16"/>
    </row>
    <row r="2119" spans="1:13" x14ac:dyDescent="0.2">
      <c r="A2119" s="16"/>
      <c r="B2119" s="37"/>
      <c r="C2119" s="16"/>
      <c r="D2119" s="16"/>
      <c r="E2119" s="16"/>
      <c r="F2119" s="16"/>
      <c r="G2119" s="16"/>
      <c r="H2119" s="16"/>
      <c r="I2119" s="16"/>
      <c r="J2119" s="16"/>
      <c r="K2119" s="16"/>
      <c r="L2119" s="16"/>
      <c r="M2119" s="16"/>
    </row>
    <row r="2120" spans="1:13" x14ac:dyDescent="0.2">
      <c r="A2120" s="16"/>
      <c r="B2120" s="37"/>
      <c r="C2120" s="16"/>
      <c r="D2120" s="16"/>
      <c r="E2120" s="16"/>
      <c r="F2120" s="16"/>
      <c r="G2120" s="16"/>
      <c r="H2120" s="16"/>
      <c r="I2120" s="16"/>
      <c r="J2120" s="16"/>
      <c r="K2120" s="16"/>
      <c r="L2120" s="16"/>
      <c r="M2120" s="16"/>
    </row>
    <row r="2121" spans="1:13" x14ac:dyDescent="0.2">
      <c r="A2121" s="16"/>
      <c r="B2121" s="37"/>
      <c r="C2121" s="16"/>
      <c r="D2121" s="16"/>
      <c r="E2121" s="16"/>
      <c r="F2121" s="16"/>
      <c r="G2121" s="16"/>
      <c r="H2121" s="16"/>
      <c r="I2121" s="16"/>
      <c r="J2121" s="16"/>
      <c r="K2121" s="16"/>
      <c r="L2121" s="16"/>
      <c r="M2121" s="16"/>
    </row>
    <row r="2122" spans="1:13" x14ac:dyDescent="0.2">
      <c r="A2122" s="16"/>
      <c r="B2122" s="37"/>
      <c r="C2122" s="16"/>
      <c r="D2122" s="16"/>
      <c r="E2122" s="16"/>
      <c r="F2122" s="16"/>
      <c r="G2122" s="16"/>
      <c r="H2122" s="16"/>
      <c r="I2122" s="16"/>
      <c r="J2122" s="16"/>
      <c r="K2122" s="16"/>
      <c r="L2122" s="16"/>
      <c r="M2122" s="16"/>
    </row>
    <row r="2123" spans="1:13" x14ac:dyDescent="0.2">
      <c r="A2123" s="16"/>
      <c r="B2123" s="37"/>
      <c r="C2123" s="16"/>
      <c r="D2123" s="16"/>
      <c r="E2123" s="16"/>
      <c r="F2123" s="16"/>
      <c r="G2123" s="16"/>
      <c r="H2123" s="16"/>
      <c r="I2123" s="16"/>
      <c r="J2123" s="16"/>
      <c r="K2123" s="16"/>
      <c r="L2123" s="16"/>
      <c r="M2123" s="16"/>
    </row>
    <row r="2124" spans="1:13" x14ac:dyDescent="0.2">
      <c r="A2124" s="16"/>
      <c r="B2124" s="37"/>
      <c r="C2124" s="16"/>
      <c r="D2124" s="16"/>
      <c r="E2124" s="16"/>
      <c r="F2124" s="16"/>
      <c r="G2124" s="16"/>
      <c r="H2124" s="16"/>
      <c r="I2124" s="16"/>
      <c r="J2124" s="16"/>
      <c r="K2124" s="16"/>
      <c r="L2124" s="16"/>
      <c r="M2124" s="16"/>
    </row>
    <row r="2125" spans="1:13" x14ac:dyDescent="0.2">
      <c r="A2125" s="16"/>
      <c r="B2125" s="37"/>
      <c r="C2125" s="16"/>
      <c r="D2125" s="16"/>
      <c r="E2125" s="16"/>
      <c r="F2125" s="16"/>
      <c r="G2125" s="16"/>
      <c r="H2125" s="16"/>
      <c r="I2125" s="16"/>
      <c r="J2125" s="16"/>
      <c r="K2125" s="16"/>
      <c r="L2125" s="16"/>
      <c r="M2125" s="16"/>
    </row>
    <row r="2126" spans="1:13" x14ac:dyDescent="0.2">
      <c r="A2126" s="16"/>
      <c r="B2126" s="37"/>
      <c r="C2126" s="16"/>
      <c r="D2126" s="16"/>
      <c r="E2126" s="16"/>
      <c r="F2126" s="16"/>
      <c r="G2126" s="16"/>
      <c r="H2126" s="16"/>
      <c r="I2126" s="16"/>
      <c r="J2126" s="16"/>
      <c r="K2126" s="16"/>
      <c r="L2126" s="16"/>
      <c r="M2126" s="16"/>
    </row>
    <row r="2127" spans="1:13" x14ac:dyDescent="0.2">
      <c r="A2127" s="16"/>
      <c r="B2127" s="37"/>
      <c r="C2127" s="16"/>
      <c r="D2127" s="16"/>
      <c r="E2127" s="16"/>
      <c r="F2127" s="16"/>
      <c r="G2127" s="16"/>
      <c r="H2127" s="16"/>
      <c r="I2127" s="16"/>
      <c r="J2127" s="16"/>
      <c r="K2127" s="16"/>
      <c r="L2127" s="16"/>
      <c r="M2127" s="16"/>
    </row>
    <row r="2128" spans="1:13" x14ac:dyDescent="0.2">
      <c r="A2128" s="16"/>
      <c r="B2128" s="37"/>
      <c r="C2128" s="16"/>
      <c r="D2128" s="16"/>
      <c r="E2128" s="16"/>
      <c r="F2128" s="16"/>
      <c r="G2128" s="16"/>
      <c r="H2128" s="16"/>
      <c r="I2128" s="16"/>
      <c r="J2128" s="16"/>
      <c r="K2128" s="16"/>
      <c r="L2128" s="16"/>
      <c r="M2128" s="16"/>
    </row>
    <row r="2129" spans="1:13" x14ac:dyDescent="0.2">
      <c r="A2129" s="16"/>
      <c r="B2129" s="37"/>
      <c r="C2129" s="16"/>
      <c r="D2129" s="16"/>
      <c r="E2129" s="16"/>
      <c r="F2129" s="16"/>
      <c r="G2129" s="16"/>
      <c r="H2129" s="16"/>
      <c r="I2129" s="16"/>
      <c r="J2129" s="16"/>
      <c r="K2129" s="16"/>
      <c r="L2129" s="16"/>
      <c r="M2129" s="16"/>
    </row>
    <row r="2130" spans="1:13" x14ac:dyDescent="0.2">
      <c r="A2130" s="16"/>
      <c r="B2130" s="37"/>
      <c r="C2130" s="16"/>
      <c r="D2130" s="16"/>
      <c r="E2130" s="16"/>
      <c r="F2130" s="16"/>
      <c r="G2130" s="16"/>
      <c r="H2130" s="16"/>
      <c r="I2130" s="16"/>
      <c r="J2130" s="16"/>
      <c r="K2130" s="16"/>
      <c r="L2130" s="16"/>
      <c r="M2130" s="16"/>
    </row>
    <row r="2131" spans="1:13" x14ac:dyDescent="0.2">
      <c r="A2131" s="16"/>
      <c r="B2131" s="37"/>
      <c r="C2131" s="16"/>
      <c r="D2131" s="16"/>
      <c r="E2131" s="16"/>
      <c r="F2131" s="16"/>
      <c r="G2131" s="16"/>
      <c r="H2131" s="16"/>
      <c r="I2131" s="16"/>
      <c r="J2131" s="16"/>
      <c r="K2131" s="16"/>
      <c r="L2131" s="16"/>
      <c r="M2131" s="16"/>
    </row>
    <row r="2132" spans="1:13" x14ac:dyDescent="0.2">
      <c r="A2132" s="16"/>
      <c r="B2132" s="37"/>
      <c r="C2132" s="16"/>
      <c r="D2132" s="16"/>
      <c r="E2132" s="16"/>
      <c r="F2132" s="16"/>
      <c r="G2132" s="16"/>
      <c r="H2132" s="16"/>
      <c r="I2132" s="16"/>
      <c r="J2132" s="16"/>
      <c r="K2132" s="16"/>
      <c r="L2132" s="16"/>
      <c r="M2132" s="16"/>
    </row>
    <row r="2133" spans="1:13" x14ac:dyDescent="0.2">
      <c r="A2133" s="16"/>
      <c r="B2133" s="37"/>
      <c r="C2133" s="16"/>
      <c r="D2133" s="16"/>
      <c r="E2133" s="16"/>
      <c r="F2133" s="16"/>
      <c r="G2133" s="16"/>
      <c r="H2133" s="16"/>
      <c r="I2133" s="16"/>
      <c r="J2133" s="16"/>
      <c r="K2133" s="16"/>
      <c r="L2133" s="16"/>
      <c r="M2133" s="16"/>
    </row>
    <row r="2134" spans="1:13" x14ac:dyDescent="0.2">
      <c r="A2134" s="16"/>
      <c r="B2134" s="37"/>
      <c r="C2134" s="16"/>
      <c r="D2134" s="16"/>
      <c r="E2134" s="16"/>
      <c r="F2134" s="16"/>
      <c r="G2134" s="16"/>
      <c r="H2134" s="16"/>
      <c r="I2134" s="16"/>
      <c r="J2134" s="16"/>
      <c r="K2134" s="16"/>
      <c r="L2134" s="16"/>
      <c r="M2134" s="16"/>
    </row>
    <row r="2135" spans="1:13" x14ac:dyDescent="0.2">
      <c r="A2135" s="16"/>
      <c r="B2135" s="37"/>
      <c r="C2135" s="16"/>
      <c r="D2135" s="16"/>
      <c r="E2135" s="16"/>
      <c r="F2135" s="16"/>
      <c r="G2135" s="16"/>
      <c r="H2135" s="16"/>
      <c r="I2135" s="16"/>
      <c r="J2135" s="16"/>
      <c r="K2135" s="16"/>
      <c r="L2135" s="16"/>
      <c r="M2135" s="16"/>
    </row>
    <row r="2136" spans="1:13" x14ac:dyDescent="0.2">
      <c r="A2136" s="16"/>
      <c r="B2136" s="37"/>
      <c r="C2136" s="16"/>
      <c r="D2136" s="16"/>
      <c r="E2136" s="16"/>
      <c r="F2136" s="16"/>
      <c r="G2136" s="16"/>
      <c r="H2136" s="16"/>
      <c r="I2136" s="16"/>
      <c r="J2136" s="16"/>
      <c r="K2136" s="16"/>
      <c r="L2136" s="16"/>
      <c r="M2136" s="16"/>
    </row>
    <row r="2137" spans="1:13" x14ac:dyDescent="0.2">
      <c r="A2137" s="16"/>
      <c r="B2137" s="37"/>
      <c r="C2137" s="16"/>
      <c r="D2137" s="16"/>
      <c r="E2137" s="16"/>
      <c r="F2137" s="16"/>
      <c r="G2137" s="16"/>
      <c r="H2137" s="16"/>
      <c r="I2137" s="16"/>
      <c r="J2137" s="16"/>
      <c r="K2137" s="16"/>
      <c r="L2137" s="16"/>
      <c r="M2137" s="16"/>
    </row>
    <row r="2138" spans="1:13" x14ac:dyDescent="0.2">
      <c r="A2138" s="16"/>
      <c r="B2138" s="37"/>
      <c r="C2138" s="16"/>
      <c r="D2138" s="16"/>
      <c r="E2138" s="16"/>
      <c r="F2138" s="16"/>
      <c r="G2138" s="16"/>
      <c r="H2138" s="16"/>
      <c r="I2138" s="16"/>
      <c r="J2138" s="16"/>
      <c r="K2138" s="16"/>
      <c r="L2138" s="16"/>
      <c r="M2138" s="16"/>
    </row>
    <row r="2139" spans="1:13" x14ac:dyDescent="0.2">
      <c r="A2139" s="16"/>
      <c r="B2139" s="37"/>
      <c r="C2139" s="16"/>
      <c r="D2139" s="16"/>
      <c r="E2139" s="16"/>
      <c r="F2139" s="16"/>
      <c r="G2139" s="16"/>
      <c r="H2139" s="16"/>
      <c r="I2139" s="16"/>
      <c r="J2139" s="16"/>
      <c r="K2139" s="16"/>
      <c r="L2139" s="16"/>
      <c r="M2139" s="16"/>
    </row>
    <row r="2140" spans="1:13" x14ac:dyDescent="0.2">
      <c r="A2140" s="16"/>
      <c r="B2140" s="37"/>
      <c r="C2140" s="16"/>
      <c r="D2140" s="16"/>
      <c r="E2140" s="16"/>
      <c r="F2140" s="16"/>
      <c r="G2140" s="16"/>
      <c r="H2140" s="16"/>
      <c r="I2140" s="16"/>
      <c r="J2140" s="16"/>
      <c r="K2140" s="16"/>
      <c r="L2140" s="16"/>
      <c r="M2140" s="16"/>
    </row>
    <row r="2141" spans="1:13" x14ac:dyDescent="0.2">
      <c r="A2141" s="16"/>
      <c r="B2141" s="37"/>
      <c r="C2141" s="16"/>
      <c r="D2141" s="16"/>
      <c r="E2141" s="16"/>
      <c r="F2141" s="16"/>
      <c r="G2141" s="16"/>
      <c r="H2141" s="16"/>
      <c r="I2141" s="16"/>
      <c r="J2141" s="16"/>
      <c r="K2141" s="16"/>
      <c r="L2141" s="16"/>
      <c r="M2141" s="16"/>
    </row>
    <row r="2142" spans="1:13" x14ac:dyDescent="0.2">
      <c r="A2142" s="16"/>
      <c r="B2142" s="37"/>
      <c r="C2142" s="16"/>
      <c r="D2142" s="16"/>
      <c r="E2142" s="16"/>
      <c r="F2142" s="16"/>
      <c r="G2142" s="16"/>
      <c r="H2142" s="16"/>
      <c r="I2142" s="16"/>
      <c r="J2142" s="16"/>
      <c r="K2142" s="16"/>
      <c r="L2142" s="16"/>
      <c r="M2142" s="16"/>
    </row>
    <row r="2143" spans="1:13" x14ac:dyDescent="0.2">
      <c r="A2143" s="16"/>
      <c r="B2143" s="37"/>
      <c r="C2143" s="16"/>
      <c r="D2143" s="16"/>
      <c r="E2143" s="16"/>
      <c r="F2143" s="16"/>
      <c r="G2143" s="16"/>
      <c r="H2143" s="16"/>
      <c r="I2143" s="16"/>
      <c r="J2143" s="16"/>
      <c r="K2143" s="16"/>
      <c r="L2143" s="16"/>
      <c r="M2143" s="16"/>
    </row>
    <row r="2144" spans="1:13" x14ac:dyDescent="0.2">
      <c r="A2144" s="16"/>
      <c r="B2144" s="37"/>
      <c r="C2144" s="16"/>
      <c r="D2144" s="16"/>
      <c r="E2144" s="16"/>
      <c r="F2144" s="16"/>
      <c r="G2144" s="16"/>
      <c r="H2144" s="16"/>
      <c r="I2144" s="16"/>
      <c r="J2144" s="16"/>
      <c r="K2144" s="16"/>
      <c r="L2144" s="16"/>
      <c r="M2144" s="16"/>
    </row>
    <row r="2145" spans="1:13" x14ac:dyDescent="0.2">
      <c r="A2145" s="16"/>
      <c r="B2145" s="37"/>
      <c r="C2145" s="16"/>
      <c r="D2145" s="16"/>
      <c r="E2145" s="16"/>
      <c r="F2145" s="16"/>
      <c r="G2145" s="16"/>
      <c r="H2145" s="16"/>
      <c r="I2145" s="16"/>
      <c r="J2145" s="16"/>
      <c r="K2145" s="16"/>
      <c r="L2145" s="16"/>
      <c r="M2145" s="16"/>
    </row>
    <row r="2146" spans="1:13" x14ac:dyDescent="0.2">
      <c r="A2146" s="16"/>
      <c r="B2146" s="37"/>
      <c r="C2146" s="16"/>
      <c r="D2146" s="16"/>
      <c r="E2146" s="16"/>
      <c r="F2146" s="16"/>
      <c r="G2146" s="16"/>
      <c r="H2146" s="16"/>
      <c r="I2146" s="16"/>
      <c r="J2146" s="16"/>
      <c r="K2146" s="16"/>
      <c r="L2146" s="16"/>
      <c r="M2146" s="16"/>
    </row>
    <row r="2147" spans="1:13" x14ac:dyDescent="0.2">
      <c r="A2147" s="16"/>
      <c r="B2147" s="37"/>
      <c r="C2147" s="16"/>
      <c r="D2147" s="16"/>
      <c r="E2147" s="16"/>
      <c r="F2147" s="16"/>
      <c r="G2147" s="16"/>
      <c r="H2147" s="16"/>
      <c r="I2147" s="16"/>
      <c r="J2147" s="16"/>
      <c r="K2147" s="16"/>
      <c r="L2147" s="16"/>
      <c r="M2147" s="16"/>
    </row>
    <row r="2148" spans="1:13" x14ac:dyDescent="0.2">
      <c r="A2148" s="16"/>
      <c r="B2148" s="37"/>
      <c r="C2148" s="16"/>
      <c r="D2148" s="16"/>
      <c r="E2148" s="16"/>
      <c r="F2148" s="16"/>
      <c r="G2148" s="16"/>
      <c r="H2148" s="16"/>
      <c r="I2148" s="16"/>
      <c r="J2148" s="16"/>
      <c r="K2148" s="16"/>
      <c r="L2148" s="16"/>
      <c r="M2148" s="16"/>
    </row>
    <row r="2149" spans="1:13" x14ac:dyDescent="0.2">
      <c r="A2149" s="16"/>
      <c r="B2149" s="37"/>
      <c r="C2149" s="16"/>
      <c r="D2149" s="16"/>
      <c r="E2149" s="16"/>
      <c r="F2149" s="16"/>
      <c r="G2149" s="16"/>
      <c r="H2149" s="16"/>
      <c r="I2149" s="16"/>
      <c r="J2149" s="16"/>
      <c r="K2149" s="16"/>
      <c r="L2149" s="16"/>
      <c r="M2149" s="16"/>
    </row>
    <row r="2150" spans="1:13" x14ac:dyDescent="0.2">
      <c r="A2150" s="16"/>
      <c r="B2150" s="37"/>
      <c r="C2150" s="16"/>
      <c r="D2150" s="16"/>
      <c r="E2150" s="16"/>
      <c r="F2150" s="16"/>
      <c r="G2150" s="16"/>
      <c r="H2150" s="16"/>
      <c r="I2150" s="16"/>
      <c r="J2150" s="16"/>
      <c r="K2150" s="16"/>
      <c r="L2150" s="16"/>
      <c r="M2150" s="16"/>
    </row>
    <row r="2151" spans="1:13" x14ac:dyDescent="0.2">
      <c r="A2151" s="16"/>
      <c r="B2151" s="37"/>
      <c r="C2151" s="16"/>
      <c r="D2151" s="16"/>
      <c r="E2151" s="16"/>
      <c r="F2151" s="16"/>
      <c r="G2151" s="16"/>
      <c r="H2151" s="16"/>
      <c r="I2151" s="16"/>
      <c r="J2151" s="16"/>
      <c r="K2151" s="16"/>
      <c r="L2151" s="16"/>
      <c r="M2151" s="16"/>
    </row>
    <row r="2152" spans="1:13" x14ac:dyDescent="0.2">
      <c r="A2152" s="16"/>
      <c r="B2152" s="37"/>
      <c r="C2152" s="16"/>
      <c r="D2152" s="16"/>
      <c r="E2152" s="16"/>
      <c r="F2152" s="16"/>
      <c r="G2152" s="16"/>
      <c r="H2152" s="16"/>
      <c r="I2152" s="16"/>
      <c r="J2152" s="16"/>
      <c r="K2152" s="16"/>
      <c r="L2152" s="16"/>
      <c r="M2152" s="16"/>
    </row>
    <row r="2153" spans="1:13" x14ac:dyDescent="0.2">
      <c r="A2153" s="16"/>
      <c r="B2153" s="37"/>
      <c r="C2153" s="16"/>
      <c r="D2153" s="16"/>
      <c r="E2153" s="16"/>
      <c r="F2153" s="16"/>
      <c r="G2153" s="16"/>
      <c r="H2153" s="16"/>
      <c r="I2153" s="16"/>
      <c r="J2153" s="16"/>
      <c r="K2153" s="16"/>
      <c r="L2153" s="16"/>
      <c r="M2153" s="16"/>
    </row>
    <row r="2154" spans="1:13" x14ac:dyDescent="0.2">
      <c r="A2154" s="16"/>
      <c r="B2154" s="37"/>
      <c r="C2154" s="16"/>
      <c r="D2154" s="16"/>
      <c r="E2154" s="16"/>
      <c r="F2154" s="16"/>
      <c r="G2154" s="16"/>
      <c r="H2154" s="16"/>
      <c r="I2154" s="16"/>
      <c r="J2154" s="16"/>
      <c r="K2154" s="16"/>
      <c r="L2154" s="16"/>
      <c r="M2154" s="16"/>
    </row>
    <row r="2155" spans="1:13" x14ac:dyDescent="0.2">
      <c r="A2155" s="16"/>
      <c r="B2155" s="37"/>
      <c r="C2155" s="16"/>
      <c r="D2155" s="16"/>
      <c r="E2155" s="16"/>
      <c r="F2155" s="16"/>
      <c r="G2155" s="16"/>
      <c r="H2155" s="16"/>
      <c r="I2155" s="16"/>
      <c r="J2155" s="16"/>
      <c r="K2155" s="16"/>
      <c r="L2155" s="16"/>
      <c r="M2155" s="16"/>
    </row>
    <row r="2156" spans="1:13" x14ac:dyDescent="0.2">
      <c r="A2156" s="16"/>
      <c r="B2156" s="37"/>
      <c r="C2156" s="16"/>
      <c r="D2156" s="16"/>
      <c r="E2156" s="16"/>
      <c r="F2156" s="16"/>
      <c r="G2156" s="16"/>
      <c r="H2156" s="16"/>
      <c r="I2156" s="16"/>
      <c r="J2156" s="16"/>
      <c r="K2156" s="16"/>
      <c r="L2156" s="16"/>
      <c r="M2156" s="16"/>
    </row>
    <row r="2157" spans="1:13" x14ac:dyDescent="0.2">
      <c r="A2157" s="16"/>
      <c r="B2157" s="37"/>
      <c r="C2157" s="16"/>
      <c r="D2157" s="16"/>
      <c r="E2157" s="16"/>
      <c r="F2157" s="16"/>
      <c r="G2157" s="16"/>
      <c r="H2157" s="16"/>
      <c r="I2157" s="16"/>
      <c r="J2157" s="16"/>
      <c r="K2157" s="16"/>
      <c r="L2157" s="16"/>
      <c r="M2157" s="16"/>
    </row>
    <row r="2158" spans="1:13" x14ac:dyDescent="0.2">
      <c r="A2158" s="16"/>
      <c r="B2158" s="37"/>
      <c r="C2158" s="16"/>
      <c r="D2158" s="16"/>
      <c r="E2158" s="16"/>
      <c r="F2158" s="16"/>
      <c r="G2158" s="16"/>
      <c r="H2158" s="16"/>
      <c r="I2158" s="16"/>
      <c r="J2158" s="16"/>
      <c r="K2158" s="16"/>
      <c r="L2158" s="16"/>
      <c r="M2158" s="16"/>
    </row>
    <row r="2159" spans="1:13" x14ac:dyDescent="0.2">
      <c r="A2159" s="16"/>
      <c r="B2159" s="37"/>
      <c r="C2159" s="16"/>
      <c r="D2159" s="16"/>
      <c r="E2159" s="16"/>
      <c r="F2159" s="16"/>
      <c r="G2159" s="16"/>
      <c r="H2159" s="16"/>
      <c r="I2159" s="16"/>
      <c r="J2159" s="16"/>
      <c r="K2159" s="16"/>
      <c r="L2159" s="16"/>
      <c r="M2159" s="16"/>
    </row>
    <row r="2160" spans="1:13" x14ac:dyDescent="0.2">
      <c r="A2160" s="16"/>
      <c r="B2160" s="37"/>
      <c r="C2160" s="16"/>
      <c r="D2160" s="16"/>
      <c r="E2160" s="16"/>
      <c r="F2160" s="16"/>
      <c r="G2160" s="16"/>
      <c r="H2160" s="16"/>
      <c r="I2160" s="16"/>
      <c r="J2160" s="16"/>
      <c r="K2160" s="16"/>
      <c r="L2160" s="16"/>
      <c r="M2160" s="16"/>
    </row>
    <row r="2161" spans="1:13" x14ac:dyDescent="0.2">
      <c r="A2161" s="16"/>
      <c r="B2161" s="37"/>
      <c r="C2161" s="16"/>
      <c r="D2161" s="16"/>
      <c r="E2161" s="16"/>
      <c r="F2161" s="16"/>
      <c r="G2161" s="16"/>
      <c r="H2161" s="16"/>
      <c r="I2161" s="16"/>
      <c r="J2161" s="16"/>
      <c r="K2161" s="16"/>
      <c r="L2161" s="16"/>
      <c r="M2161" s="16"/>
    </row>
    <row r="2162" spans="1:13" x14ac:dyDescent="0.2">
      <c r="A2162" s="16"/>
      <c r="B2162" s="37"/>
      <c r="C2162" s="16"/>
      <c r="D2162" s="16"/>
      <c r="E2162" s="16"/>
      <c r="F2162" s="16"/>
      <c r="G2162" s="16"/>
      <c r="H2162" s="16"/>
      <c r="I2162" s="16"/>
      <c r="J2162" s="16"/>
      <c r="K2162" s="16"/>
      <c r="L2162" s="16"/>
      <c r="M2162" s="16"/>
    </row>
    <row r="2163" spans="1:13" x14ac:dyDescent="0.2">
      <c r="A2163" s="16"/>
      <c r="B2163" s="37"/>
      <c r="C2163" s="16"/>
      <c r="D2163" s="16"/>
      <c r="E2163" s="16"/>
      <c r="F2163" s="16"/>
      <c r="G2163" s="16"/>
      <c r="H2163" s="16"/>
      <c r="I2163" s="16"/>
      <c r="J2163" s="16"/>
      <c r="K2163" s="16"/>
      <c r="L2163" s="16"/>
      <c r="M2163" s="16"/>
    </row>
    <row r="2164" spans="1:13" x14ac:dyDescent="0.2">
      <c r="A2164" s="16"/>
      <c r="B2164" s="37"/>
      <c r="C2164" s="16"/>
      <c r="D2164" s="16"/>
      <c r="E2164" s="16"/>
      <c r="F2164" s="16"/>
      <c r="G2164" s="16"/>
      <c r="H2164" s="16"/>
      <c r="I2164" s="16"/>
      <c r="J2164" s="16"/>
      <c r="K2164" s="16"/>
      <c r="L2164" s="16"/>
      <c r="M2164" s="16"/>
    </row>
    <row r="2165" spans="1:13" x14ac:dyDescent="0.2">
      <c r="A2165" s="16"/>
      <c r="B2165" s="37"/>
      <c r="C2165" s="16"/>
      <c r="D2165" s="16"/>
      <c r="E2165" s="16"/>
      <c r="F2165" s="16"/>
      <c r="G2165" s="16"/>
      <c r="H2165" s="16"/>
      <c r="I2165" s="16"/>
      <c r="J2165" s="16"/>
      <c r="K2165" s="16"/>
      <c r="L2165" s="16"/>
      <c r="M2165" s="16"/>
    </row>
    <row r="2166" spans="1:13" x14ac:dyDescent="0.2">
      <c r="A2166" s="16"/>
      <c r="B2166" s="37"/>
      <c r="C2166" s="16"/>
      <c r="D2166" s="16"/>
      <c r="E2166" s="16"/>
      <c r="F2166" s="16"/>
      <c r="G2166" s="16"/>
      <c r="H2166" s="16"/>
      <c r="I2166" s="16"/>
      <c r="J2166" s="16"/>
      <c r="K2166" s="16"/>
      <c r="L2166" s="16"/>
      <c r="M2166" s="16"/>
    </row>
    <row r="2167" spans="1:13" x14ac:dyDescent="0.2">
      <c r="A2167" s="16"/>
      <c r="B2167" s="37"/>
      <c r="C2167" s="16"/>
      <c r="D2167" s="16"/>
      <c r="E2167" s="16"/>
      <c r="F2167" s="16"/>
      <c r="G2167" s="16"/>
      <c r="H2167" s="16"/>
      <c r="I2167" s="16"/>
      <c r="J2167" s="16"/>
      <c r="K2167" s="16"/>
      <c r="L2167" s="16"/>
      <c r="M2167" s="16"/>
    </row>
    <row r="2168" spans="1:13" x14ac:dyDescent="0.2">
      <c r="A2168" s="16"/>
      <c r="B2168" s="37"/>
      <c r="C2168" s="16"/>
      <c r="D2168" s="16"/>
      <c r="E2168" s="16"/>
      <c r="F2168" s="16"/>
      <c r="G2168" s="16"/>
      <c r="H2168" s="16"/>
      <c r="I2168" s="16"/>
      <c r="J2168" s="16"/>
      <c r="K2168" s="16"/>
      <c r="L2168" s="16"/>
      <c r="M2168" s="16"/>
    </row>
    <row r="2169" spans="1:13" x14ac:dyDescent="0.2">
      <c r="A2169" s="16"/>
      <c r="B2169" s="37"/>
      <c r="C2169" s="16"/>
      <c r="D2169" s="16"/>
      <c r="E2169" s="16"/>
      <c r="F2169" s="16"/>
      <c r="G2169" s="16"/>
      <c r="H2169" s="16"/>
      <c r="I2169" s="16"/>
      <c r="J2169" s="16"/>
      <c r="K2169" s="16"/>
      <c r="L2169" s="16"/>
      <c r="M2169" s="16"/>
    </row>
    <row r="2170" spans="1:13" x14ac:dyDescent="0.2">
      <c r="A2170" s="16"/>
      <c r="B2170" s="37"/>
      <c r="C2170" s="16"/>
      <c r="D2170" s="16"/>
      <c r="E2170" s="16"/>
      <c r="F2170" s="16"/>
      <c r="G2170" s="16"/>
      <c r="H2170" s="16"/>
      <c r="I2170" s="16"/>
      <c r="J2170" s="16"/>
      <c r="K2170" s="16"/>
      <c r="L2170" s="16"/>
      <c r="M2170" s="16"/>
    </row>
    <row r="2171" spans="1:13" x14ac:dyDescent="0.2">
      <c r="A2171" s="16"/>
      <c r="B2171" s="37"/>
      <c r="C2171" s="16"/>
      <c r="D2171" s="16"/>
      <c r="E2171" s="16"/>
      <c r="F2171" s="16"/>
      <c r="G2171" s="16"/>
      <c r="H2171" s="16"/>
      <c r="I2171" s="16"/>
      <c r="J2171" s="16"/>
      <c r="K2171" s="16"/>
      <c r="L2171" s="16"/>
      <c r="M2171" s="16"/>
    </row>
    <row r="2172" spans="1:13" x14ac:dyDescent="0.2">
      <c r="A2172" s="16"/>
      <c r="B2172" s="37"/>
      <c r="C2172" s="16"/>
      <c r="D2172" s="16"/>
      <c r="E2172" s="16"/>
      <c r="F2172" s="16"/>
      <c r="G2172" s="16"/>
      <c r="H2172" s="16"/>
      <c r="I2172" s="16"/>
      <c r="J2172" s="16"/>
      <c r="K2172" s="16"/>
      <c r="L2172" s="16"/>
      <c r="M2172" s="16"/>
    </row>
    <row r="2173" spans="1:13" x14ac:dyDescent="0.2">
      <c r="A2173" s="16"/>
      <c r="B2173" s="37"/>
      <c r="C2173" s="16"/>
      <c r="D2173" s="16"/>
      <c r="E2173" s="16"/>
      <c r="F2173" s="16"/>
      <c r="G2173" s="16"/>
      <c r="H2173" s="16"/>
      <c r="I2173" s="16"/>
      <c r="J2173" s="16"/>
      <c r="K2173" s="16"/>
      <c r="L2173" s="16"/>
      <c r="M2173" s="16"/>
    </row>
    <row r="2174" spans="1:13" x14ac:dyDescent="0.2">
      <c r="A2174" s="16"/>
      <c r="B2174" s="37"/>
      <c r="C2174" s="16"/>
      <c r="D2174" s="16"/>
      <c r="E2174" s="16"/>
      <c r="F2174" s="16"/>
      <c r="G2174" s="16"/>
      <c r="H2174" s="16"/>
      <c r="I2174" s="16"/>
      <c r="J2174" s="16"/>
      <c r="K2174" s="16"/>
      <c r="L2174" s="16"/>
      <c r="M2174" s="16"/>
    </row>
    <row r="2175" spans="1:13" x14ac:dyDescent="0.2">
      <c r="A2175" s="16"/>
      <c r="B2175" s="37"/>
      <c r="C2175" s="16"/>
      <c r="D2175" s="16"/>
      <c r="E2175" s="16"/>
      <c r="F2175" s="16"/>
      <c r="G2175" s="16"/>
      <c r="H2175" s="16"/>
      <c r="I2175" s="16"/>
      <c r="J2175" s="16"/>
      <c r="K2175" s="16"/>
      <c r="L2175" s="16"/>
      <c r="M2175" s="16"/>
    </row>
    <row r="2176" spans="1:13" x14ac:dyDescent="0.2">
      <c r="A2176" s="16"/>
      <c r="B2176" s="37"/>
      <c r="C2176" s="16"/>
      <c r="D2176" s="16"/>
      <c r="E2176" s="16"/>
      <c r="F2176" s="16"/>
      <c r="G2176" s="16"/>
      <c r="H2176" s="16"/>
      <c r="I2176" s="16"/>
      <c r="J2176" s="16"/>
      <c r="K2176" s="16"/>
      <c r="L2176" s="16"/>
      <c r="M2176" s="16"/>
    </row>
    <row r="2177" spans="1:13" x14ac:dyDescent="0.2">
      <c r="A2177" s="16"/>
      <c r="B2177" s="37"/>
      <c r="C2177" s="16"/>
      <c r="D2177" s="16"/>
      <c r="E2177" s="16"/>
      <c r="F2177" s="16"/>
      <c r="G2177" s="16"/>
      <c r="H2177" s="16"/>
      <c r="I2177" s="16"/>
      <c r="J2177" s="16"/>
      <c r="K2177" s="16"/>
      <c r="L2177" s="16"/>
      <c r="M2177" s="16"/>
    </row>
    <row r="2178" spans="1:13" x14ac:dyDescent="0.2">
      <c r="A2178" s="16"/>
      <c r="B2178" s="37"/>
      <c r="C2178" s="16"/>
      <c r="D2178" s="16"/>
      <c r="E2178" s="16"/>
      <c r="F2178" s="16"/>
      <c r="G2178" s="16"/>
      <c r="H2178" s="16"/>
      <c r="I2178" s="16"/>
      <c r="J2178" s="16"/>
      <c r="K2178" s="16"/>
      <c r="L2178" s="16"/>
      <c r="M2178" s="16"/>
    </row>
    <row r="2179" spans="1:13" x14ac:dyDescent="0.2">
      <c r="A2179" s="16"/>
      <c r="B2179" s="37"/>
      <c r="C2179" s="16"/>
      <c r="D2179" s="16"/>
      <c r="E2179" s="16"/>
      <c r="F2179" s="16"/>
      <c r="G2179" s="16"/>
      <c r="H2179" s="16"/>
      <c r="I2179" s="16"/>
      <c r="J2179" s="16"/>
      <c r="K2179" s="16"/>
      <c r="L2179" s="16"/>
      <c r="M2179" s="16"/>
    </row>
    <row r="2180" spans="1:13" x14ac:dyDescent="0.2">
      <c r="A2180" s="16"/>
      <c r="B2180" s="37"/>
      <c r="C2180" s="16"/>
      <c r="D2180" s="16"/>
      <c r="E2180" s="16"/>
      <c r="F2180" s="16"/>
      <c r="G2180" s="16"/>
      <c r="H2180" s="16"/>
      <c r="I2180" s="16"/>
      <c r="J2180" s="16"/>
      <c r="K2180" s="16"/>
      <c r="L2180" s="16"/>
      <c r="M2180" s="16"/>
    </row>
    <row r="2181" spans="1:13" x14ac:dyDescent="0.2">
      <c r="A2181" s="16"/>
      <c r="B2181" s="37"/>
      <c r="C2181" s="16"/>
      <c r="D2181" s="16"/>
      <c r="E2181" s="16"/>
      <c r="F2181" s="16"/>
      <c r="G2181" s="16"/>
      <c r="H2181" s="16"/>
      <c r="I2181" s="16"/>
      <c r="J2181" s="16"/>
      <c r="K2181" s="16"/>
      <c r="L2181" s="16"/>
      <c r="M2181" s="16"/>
    </row>
    <row r="2182" spans="1:13" x14ac:dyDescent="0.2">
      <c r="A2182" s="16"/>
      <c r="B2182" s="37"/>
      <c r="C2182" s="16"/>
      <c r="D2182" s="16"/>
      <c r="E2182" s="16"/>
      <c r="F2182" s="16"/>
      <c r="G2182" s="16"/>
      <c r="H2182" s="16"/>
      <c r="I2182" s="16"/>
      <c r="J2182" s="16"/>
      <c r="K2182" s="16"/>
      <c r="L2182" s="16"/>
      <c r="M2182" s="16"/>
    </row>
    <row r="2183" spans="1:13" x14ac:dyDescent="0.2">
      <c r="A2183" s="16"/>
      <c r="B2183" s="37"/>
      <c r="C2183" s="16"/>
      <c r="D2183" s="16"/>
      <c r="E2183" s="16"/>
      <c r="F2183" s="16"/>
      <c r="G2183" s="16"/>
      <c r="H2183" s="16"/>
      <c r="I2183" s="16"/>
      <c r="J2183" s="16"/>
      <c r="K2183" s="16"/>
      <c r="L2183" s="16"/>
      <c r="M2183" s="16"/>
    </row>
    <row r="2184" spans="1:13" x14ac:dyDescent="0.2">
      <c r="A2184" s="16"/>
      <c r="B2184" s="37"/>
      <c r="C2184" s="16"/>
      <c r="D2184" s="16"/>
      <c r="E2184" s="16"/>
      <c r="F2184" s="16"/>
      <c r="G2184" s="16"/>
      <c r="H2184" s="16"/>
      <c r="I2184" s="16"/>
      <c r="J2184" s="16"/>
      <c r="K2184" s="16"/>
      <c r="L2184" s="16"/>
      <c r="M2184" s="16"/>
    </row>
    <row r="2185" spans="1:13" x14ac:dyDescent="0.2">
      <c r="A2185" s="16"/>
      <c r="B2185" s="37"/>
      <c r="C2185" s="16"/>
      <c r="D2185" s="16"/>
      <c r="E2185" s="16"/>
      <c r="F2185" s="16"/>
      <c r="G2185" s="16"/>
      <c r="H2185" s="16"/>
      <c r="I2185" s="16"/>
      <c r="J2185" s="16"/>
      <c r="K2185" s="16"/>
      <c r="L2185" s="16"/>
      <c r="M2185" s="16"/>
    </row>
    <row r="2186" spans="1:13" x14ac:dyDescent="0.2">
      <c r="A2186" s="16"/>
      <c r="B2186" s="37"/>
      <c r="C2186" s="16"/>
      <c r="D2186" s="16"/>
      <c r="E2186" s="16"/>
      <c r="F2186" s="16"/>
      <c r="G2186" s="16"/>
      <c r="H2186" s="16"/>
      <c r="I2186" s="16"/>
      <c r="J2186" s="16"/>
      <c r="K2186" s="16"/>
      <c r="L2186" s="16"/>
      <c r="M2186" s="16"/>
    </row>
    <row r="2187" spans="1:13" x14ac:dyDescent="0.2">
      <c r="A2187" s="16"/>
      <c r="B2187" s="37"/>
      <c r="C2187" s="16"/>
      <c r="D2187" s="16"/>
      <c r="E2187" s="16"/>
      <c r="F2187" s="16"/>
      <c r="G2187" s="16"/>
      <c r="H2187" s="16"/>
      <c r="I2187" s="16"/>
      <c r="J2187" s="16"/>
      <c r="K2187" s="16"/>
      <c r="L2187" s="16"/>
      <c r="M2187" s="16"/>
    </row>
    <row r="2188" spans="1:13" x14ac:dyDescent="0.2">
      <c r="A2188" s="16"/>
      <c r="B2188" s="37"/>
      <c r="C2188" s="16"/>
      <c r="D2188" s="16"/>
      <c r="E2188" s="16"/>
      <c r="F2188" s="16"/>
      <c r="G2188" s="16"/>
      <c r="H2188" s="16"/>
      <c r="I2188" s="16"/>
      <c r="J2188" s="16"/>
      <c r="K2188" s="16"/>
      <c r="L2188" s="16"/>
      <c r="M2188" s="16"/>
    </row>
    <row r="2189" spans="1:13" x14ac:dyDescent="0.2">
      <c r="A2189" s="16"/>
      <c r="B2189" s="37"/>
      <c r="C2189" s="16"/>
      <c r="D2189" s="16"/>
      <c r="E2189" s="16"/>
      <c r="F2189" s="16"/>
      <c r="G2189" s="16"/>
      <c r="H2189" s="16"/>
      <c r="I2189" s="16"/>
      <c r="J2189" s="16"/>
      <c r="K2189" s="16"/>
      <c r="L2189" s="16"/>
      <c r="M2189" s="16"/>
    </row>
    <row r="2190" spans="1:13" x14ac:dyDescent="0.2">
      <c r="A2190" s="16"/>
      <c r="B2190" s="37"/>
      <c r="C2190" s="16"/>
      <c r="D2190" s="16"/>
      <c r="E2190" s="16"/>
      <c r="F2190" s="16"/>
      <c r="G2190" s="16"/>
      <c r="H2190" s="16"/>
      <c r="I2190" s="16"/>
      <c r="J2190" s="16"/>
      <c r="K2190" s="16"/>
      <c r="L2190" s="16"/>
      <c r="M2190" s="16"/>
    </row>
    <row r="2191" spans="1:13" x14ac:dyDescent="0.2">
      <c r="A2191" s="16"/>
      <c r="B2191" s="37"/>
      <c r="C2191" s="16"/>
      <c r="D2191" s="16"/>
      <c r="E2191" s="16"/>
      <c r="F2191" s="16"/>
      <c r="G2191" s="16"/>
      <c r="H2191" s="16"/>
      <c r="I2191" s="16"/>
      <c r="J2191" s="16"/>
      <c r="K2191" s="16"/>
      <c r="L2191" s="16"/>
      <c r="M2191" s="16"/>
    </row>
    <row r="2192" spans="1:13" x14ac:dyDescent="0.2">
      <c r="A2192" s="16"/>
      <c r="B2192" s="37"/>
      <c r="C2192" s="16"/>
      <c r="D2192" s="16"/>
      <c r="E2192" s="16"/>
      <c r="F2192" s="16"/>
      <c r="G2192" s="16"/>
      <c r="H2192" s="16"/>
      <c r="I2192" s="16"/>
      <c r="J2192" s="16"/>
      <c r="K2192" s="16"/>
      <c r="L2192" s="16"/>
      <c r="M2192" s="16"/>
    </row>
    <row r="2193" spans="1:13" x14ac:dyDescent="0.2">
      <c r="A2193" s="16"/>
      <c r="B2193" s="37"/>
      <c r="C2193" s="16"/>
      <c r="D2193" s="16"/>
      <c r="E2193" s="16"/>
      <c r="F2193" s="16"/>
      <c r="G2193" s="16"/>
      <c r="H2193" s="16"/>
      <c r="I2193" s="16"/>
      <c r="J2193" s="16"/>
      <c r="K2193" s="16"/>
      <c r="L2193" s="16"/>
      <c r="M2193" s="16"/>
    </row>
    <row r="2194" spans="1:13" x14ac:dyDescent="0.2">
      <c r="A2194" s="16"/>
      <c r="B2194" s="37"/>
      <c r="C2194" s="16"/>
      <c r="D2194" s="16"/>
      <c r="E2194" s="16"/>
      <c r="F2194" s="16"/>
      <c r="G2194" s="16"/>
      <c r="H2194" s="16"/>
      <c r="I2194" s="16"/>
      <c r="J2194" s="16"/>
      <c r="K2194" s="16"/>
      <c r="L2194" s="16"/>
      <c r="M2194" s="16"/>
    </row>
    <row r="2195" spans="1:13" x14ac:dyDescent="0.2">
      <c r="A2195" s="16"/>
      <c r="B2195" s="37"/>
      <c r="C2195" s="16"/>
      <c r="D2195" s="16"/>
      <c r="E2195" s="16"/>
      <c r="F2195" s="16"/>
      <c r="G2195" s="16"/>
      <c r="H2195" s="16"/>
      <c r="I2195" s="16"/>
      <c r="J2195" s="16"/>
      <c r="K2195" s="16"/>
      <c r="L2195" s="16"/>
      <c r="M2195" s="16"/>
    </row>
    <row r="2196" spans="1:13" x14ac:dyDescent="0.2">
      <c r="A2196" s="16"/>
      <c r="B2196" s="37"/>
      <c r="C2196" s="16"/>
      <c r="D2196" s="16"/>
      <c r="E2196" s="16"/>
      <c r="F2196" s="16"/>
      <c r="G2196" s="16"/>
      <c r="H2196" s="16"/>
      <c r="I2196" s="16"/>
      <c r="J2196" s="16"/>
      <c r="K2196" s="16"/>
      <c r="L2196" s="16"/>
      <c r="M2196" s="16"/>
    </row>
    <row r="2197" spans="1:13" x14ac:dyDescent="0.2">
      <c r="A2197" s="16"/>
      <c r="B2197" s="37"/>
      <c r="C2197" s="16"/>
      <c r="D2197" s="16"/>
      <c r="E2197" s="16"/>
      <c r="F2197" s="16"/>
      <c r="G2197" s="16"/>
      <c r="H2197" s="16"/>
      <c r="I2197" s="16"/>
      <c r="J2197" s="16"/>
      <c r="K2197" s="16"/>
      <c r="L2197" s="16"/>
      <c r="M2197" s="16"/>
    </row>
    <row r="2198" spans="1:13" x14ac:dyDescent="0.2">
      <c r="A2198" s="16"/>
      <c r="B2198" s="37"/>
      <c r="C2198" s="16"/>
      <c r="D2198" s="16"/>
      <c r="E2198" s="16"/>
      <c r="F2198" s="16"/>
      <c r="G2198" s="16"/>
      <c r="H2198" s="16"/>
      <c r="I2198" s="16"/>
      <c r="J2198" s="16"/>
      <c r="K2198" s="16"/>
      <c r="L2198" s="16"/>
      <c r="M2198" s="16"/>
    </row>
    <row r="2199" spans="1:13" x14ac:dyDescent="0.2">
      <c r="A2199" s="16"/>
      <c r="B2199" s="37"/>
      <c r="C2199" s="16"/>
      <c r="D2199" s="16"/>
      <c r="E2199" s="16"/>
      <c r="F2199" s="16"/>
      <c r="G2199" s="16"/>
      <c r="H2199" s="16"/>
      <c r="I2199" s="16"/>
      <c r="J2199" s="16"/>
      <c r="K2199" s="16"/>
      <c r="L2199" s="16"/>
      <c r="M2199" s="16"/>
    </row>
    <row r="2200" spans="1:13" x14ac:dyDescent="0.2">
      <c r="A2200" s="16"/>
      <c r="B2200" s="37"/>
      <c r="C2200" s="16"/>
      <c r="D2200" s="16"/>
      <c r="E2200" s="16"/>
      <c r="F2200" s="16"/>
      <c r="G2200" s="16"/>
      <c r="H2200" s="16"/>
      <c r="I2200" s="16"/>
      <c r="J2200" s="16"/>
      <c r="K2200" s="16"/>
      <c r="L2200" s="16"/>
      <c r="M2200" s="16"/>
    </row>
    <row r="2201" spans="1:13" x14ac:dyDescent="0.2">
      <c r="A2201" s="16"/>
      <c r="B2201" s="37"/>
      <c r="C2201" s="16"/>
      <c r="D2201" s="16"/>
      <c r="E2201" s="16"/>
      <c r="F2201" s="16"/>
      <c r="G2201" s="16"/>
      <c r="H2201" s="16"/>
      <c r="I2201" s="16"/>
      <c r="J2201" s="16"/>
      <c r="K2201" s="16"/>
      <c r="L2201" s="16"/>
      <c r="M2201" s="16"/>
    </row>
    <row r="2202" spans="1:13" x14ac:dyDescent="0.2">
      <c r="A2202" s="16"/>
      <c r="B2202" s="37"/>
      <c r="C2202" s="16"/>
      <c r="D2202" s="16"/>
      <c r="E2202" s="16"/>
      <c r="F2202" s="16"/>
      <c r="G2202" s="16"/>
      <c r="H2202" s="16"/>
      <c r="I2202" s="16"/>
      <c r="J2202" s="16"/>
      <c r="K2202" s="16"/>
      <c r="L2202" s="16"/>
      <c r="M2202" s="16"/>
    </row>
    <row r="2203" spans="1:13" x14ac:dyDescent="0.2">
      <c r="A2203" s="16"/>
      <c r="B2203" s="37"/>
      <c r="C2203" s="16"/>
      <c r="D2203" s="16"/>
      <c r="E2203" s="16"/>
      <c r="F2203" s="16"/>
      <c r="G2203" s="16"/>
      <c r="H2203" s="16"/>
      <c r="I2203" s="16"/>
      <c r="J2203" s="16"/>
      <c r="K2203" s="16"/>
      <c r="L2203" s="16"/>
      <c r="M2203" s="16"/>
    </row>
    <row r="2204" spans="1:13" x14ac:dyDescent="0.2">
      <c r="A2204" s="16"/>
      <c r="B2204" s="37"/>
      <c r="C2204" s="16"/>
      <c r="D2204" s="16"/>
      <c r="E2204" s="16"/>
      <c r="F2204" s="16"/>
      <c r="G2204" s="16"/>
      <c r="H2204" s="16"/>
      <c r="I2204" s="16"/>
      <c r="J2204" s="16"/>
      <c r="K2204" s="16"/>
      <c r="L2204" s="16"/>
      <c r="M2204" s="16"/>
    </row>
    <row r="2205" spans="1:13" x14ac:dyDescent="0.2">
      <c r="A2205" s="16"/>
      <c r="B2205" s="37"/>
      <c r="C2205" s="16"/>
      <c r="D2205" s="16"/>
      <c r="E2205" s="16"/>
      <c r="F2205" s="16"/>
      <c r="G2205" s="16"/>
      <c r="H2205" s="16"/>
      <c r="I2205" s="16"/>
      <c r="J2205" s="16"/>
      <c r="K2205" s="16"/>
      <c r="L2205" s="16"/>
      <c r="M2205" s="16"/>
    </row>
    <row r="2206" spans="1:13" x14ac:dyDescent="0.2">
      <c r="A2206" s="16"/>
      <c r="B2206" s="37"/>
      <c r="C2206" s="16"/>
      <c r="D2206" s="16"/>
      <c r="E2206" s="16"/>
      <c r="F2206" s="16"/>
      <c r="G2206" s="16"/>
      <c r="H2206" s="16"/>
      <c r="I2206" s="16"/>
      <c r="J2206" s="16"/>
      <c r="K2206" s="16"/>
      <c r="L2206" s="16"/>
      <c r="M2206" s="16"/>
    </row>
    <row r="2207" spans="1:13" x14ac:dyDescent="0.2">
      <c r="A2207" s="16"/>
      <c r="B2207" s="37"/>
      <c r="C2207" s="16"/>
      <c r="D2207" s="16"/>
      <c r="E2207" s="16"/>
      <c r="F2207" s="16"/>
      <c r="G2207" s="16"/>
      <c r="H2207" s="16"/>
      <c r="I2207" s="16"/>
      <c r="J2207" s="16"/>
      <c r="K2207" s="16"/>
      <c r="L2207" s="16"/>
      <c r="M2207" s="16"/>
    </row>
    <row r="2208" spans="1:13" x14ac:dyDescent="0.2">
      <c r="A2208" s="16"/>
      <c r="B2208" s="37"/>
      <c r="C2208" s="16"/>
      <c r="D2208" s="16"/>
      <c r="E2208" s="16"/>
      <c r="F2208" s="16"/>
      <c r="G2208" s="16"/>
      <c r="H2208" s="16"/>
      <c r="I2208" s="16"/>
      <c r="J2208" s="16"/>
      <c r="K2208" s="16"/>
      <c r="L2208" s="16"/>
      <c r="M2208" s="16"/>
    </row>
    <row r="2209" spans="1:13" x14ac:dyDescent="0.2">
      <c r="A2209" s="16"/>
      <c r="B2209" s="37"/>
      <c r="C2209" s="16"/>
      <c r="D2209" s="16"/>
      <c r="E2209" s="16"/>
      <c r="F2209" s="16"/>
      <c r="G2209" s="16"/>
      <c r="H2209" s="16"/>
      <c r="I2209" s="16"/>
      <c r="J2209" s="16"/>
      <c r="K2209" s="16"/>
      <c r="L2209" s="16"/>
      <c r="M2209" s="16"/>
    </row>
    <row r="2210" spans="1:13" x14ac:dyDescent="0.2">
      <c r="A2210" s="16"/>
      <c r="B2210" s="37"/>
      <c r="C2210" s="16"/>
      <c r="D2210" s="16"/>
      <c r="E2210" s="16"/>
      <c r="F2210" s="16"/>
      <c r="G2210" s="16"/>
      <c r="H2210" s="16"/>
      <c r="I2210" s="16"/>
      <c r="J2210" s="16"/>
      <c r="K2210" s="16"/>
      <c r="L2210" s="16"/>
      <c r="M2210" s="16"/>
    </row>
    <row r="2211" spans="1:13" x14ac:dyDescent="0.2">
      <c r="A2211" s="16"/>
      <c r="B2211" s="37"/>
      <c r="C2211" s="16"/>
      <c r="D2211" s="16"/>
      <c r="E2211" s="16"/>
      <c r="F2211" s="16"/>
      <c r="G2211" s="16"/>
      <c r="H2211" s="16"/>
      <c r="I2211" s="16"/>
      <c r="J2211" s="16"/>
      <c r="K2211" s="16"/>
      <c r="L2211" s="16"/>
      <c r="M2211" s="16"/>
    </row>
    <row r="2212" spans="1:13" x14ac:dyDescent="0.2">
      <c r="A2212" s="16"/>
      <c r="B2212" s="37"/>
      <c r="C2212" s="16"/>
      <c r="D2212" s="16"/>
      <c r="E2212" s="16"/>
      <c r="F2212" s="16"/>
      <c r="G2212" s="16"/>
      <c r="H2212" s="16"/>
      <c r="I2212" s="16"/>
      <c r="J2212" s="16"/>
      <c r="K2212" s="16"/>
      <c r="L2212" s="16"/>
      <c r="M2212" s="16"/>
    </row>
    <row r="2213" spans="1:13" x14ac:dyDescent="0.2">
      <c r="A2213" s="16"/>
      <c r="B2213" s="37"/>
      <c r="C2213" s="16"/>
      <c r="D2213" s="16"/>
      <c r="E2213" s="16"/>
      <c r="F2213" s="16"/>
      <c r="G2213" s="16"/>
      <c r="H2213" s="16"/>
      <c r="I2213" s="16"/>
      <c r="J2213" s="16"/>
      <c r="K2213" s="16"/>
      <c r="L2213" s="16"/>
      <c r="M2213" s="16"/>
    </row>
    <row r="2214" spans="1:13" x14ac:dyDescent="0.2">
      <c r="A2214" s="16"/>
      <c r="B2214" s="37"/>
      <c r="C2214" s="16"/>
      <c r="D2214" s="16"/>
      <c r="E2214" s="16"/>
      <c r="F2214" s="16"/>
      <c r="G2214" s="16"/>
      <c r="H2214" s="16"/>
      <c r="I2214" s="16"/>
      <c r="J2214" s="16"/>
      <c r="K2214" s="16"/>
      <c r="L2214" s="16"/>
      <c r="M2214" s="16"/>
    </row>
    <row r="2215" spans="1:13" x14ac:dyDescent="0.2">
      <c r="A2215" s="16"/>
      <c r="B2215" s="37"/>
      <c r="C2215" s="16"/>
      <c r="D2215" s="16"/>
      <c r="E2215" s="16"/>
      <c r="F2215" s="16"/>
      <c r="G2215" s="16"/>
      <c r="H2215" s="16"/>
      <c r="I2215" s="16"/>
      <c r="J2215" s="16"/>
      <c r="K2215" s="16"/>
      <c r="L2215" s="16"/>
      <c r="M2215" s="16"/>
    </row>
    <row r="2216" spans="1:13" x14ac:dyDescent="0.2">
      <c r="A2216" s="16"/>
      <c r="B2216" s="37"/>
      <c r="C2216" s="16"/>
      <c r="D2216" s="16"/>
      <c r="E2216" s="16"/>
      <c r="F2216" s="16"/>
      <c r="G2216" s="16"/>
      <c r="H2216" s="16"/>
      <c r="I2216" s="16"/>
      <c r="J2216" s="16"/>
      <c r="K2216" s="16"/>
      <c r="L2216" s="16"/>
      <c r="M2216" s="16"/>
    </row>
    <row r="2217" spans="1:13" x14ac:dyDescent="0.2">
      <c r="A2217" s="16"/>
      <c r="B2217" s="37"/>
      <c r="C2217" s="16"/>
      <c r="D2217" s="16"/>
      <c r="E2217" s="16"/>
      <c r="F2217" s="16"/>
      <c r="G2217" s="16"/>
      <c r="H2217" s="16"/>
      <c r="I2217" s="16"/>
      <c r="J2217" s="16"/>
      <c r="K2217" s="16"/>
      <c r="L2217" s="16"/>
      <c r="M2217" s="16"/>
    </row>
    <row r="2218" spans="1:13" x14ac:dyDescent="0.2">
      <c r="A2218" s="16"/>
      <c r="B2218" s="37"/>
      <c r="C2218" s="16"/>
      <c r="D2218" s="16"/>
      <c r="E2218" s="16"/>
      <c r="F2218" s="16"/>
      <c r="G2218" s="16"/>
      <c r="H2218" s="16"/>
      <c r="I2218" s="16"/>
      <c r="J2218" s="16"/>
      <c r="K2218" s="16"/>
      <c r="L2218" s="16"/>
      <c r="M2218" s="16"/>
    </row>
    <row r="2219" spans="1:13" x14ac:dyDescent="0.2">
      <c r="A2219" s="16"/>
      <c r="B2219" s="37"/>
      <c r="C2219" s="16"/>
      <c r="D2219" s="16"/>
      <c r="E2219" s="16"/>
      <c r="F2219" s="16"/>
      <c r="G2219" s="16"/>
      <c r="H2219" s="16"/>
      <c r="I2219" s="16"/>
      <c r="J2219" s="16"/>
      <c r="K2219" s="16"/>
      <c r="L2219" s="16"/>
      <c r="M2219" s="16"/>
    </row>
    <row r="2220" spans="1:13" x14ac:dyDescent="0.2">
      <c r="A2220" s="16"/>
      <c r="B2220" s="37"/>
      <c r="C2220" s="16"/>
      <c r="D2220" s="16"/>
      <c r="E2220" s="16"/>
      <c r="F2220" s="16"/>
      <c r="G2220" s="16"/>
      <c r="H2220" s="16"/>
      <c r="I2220" s="16"/>
      <c r="J2220" s="16"/>
      <c r="K2220" s="16"/>
      <c r="L2220" s="16"/>
      <c r="M2220" s="16"/>
    </row>
    <row r="2221" spans="1:13" x14ac:dyDescent="0.2">
      <c r="A2221" s="16"/>
      <c r="B2221" s="37"/>
      <c r="C2221" s="16"/>
      <c r="D2221" s="16"/>
      <c r="E2221" s="16"/>
      <c r="F2221" s="16"/>
      <c r="G2221" s="16"/>
      <c r="H2221" s="16"/>
      <c r="I2221" s="16"/>
      <c r="J2221" s="16"/>
      <c r="K2221" s="16"/>
      <c r="L2221" s="16"/>
      <c r="M2221" s="16"/>
    </row>
    <row r="2222" spans="1:13" x14ac:dyDescent="0.2">
      <c r="A2222" s="16"/>
      <c r="B2222" s="37"/>
      <c r="C2222" s="16"/>
      <c r="D2222" s="16"/>
      <c r="E2222" s="16"/>
      <c r="F2222" s="16"/>
      <c r="G2222" s="16"/>
      <c r="H2222" s="16"/>
      <c r="I2222" s="16"/>
      <c r="J2222" s="16"/>
      <c r="K2222" s="16"/>
      <c r="L2222" s="16"/>
      <c r="M2222" s="16"/>
    </row>
    <row r="2223" spans="1:13" x14ac:dyDescent="0.2">
      <c r="A2223" s="16"/>
      <c r="B2223" s="37"/>
      <c r="C2223" s="16"/>
      <c r="D2223" s="16"/>
      <c r="E2223" s="16"/>
      <c r="F2223" s="16"/>
      <c r="G2223" s="16"/>
      <c r="H2223" s="16"/>
      <c r="I2223" s="16"/>
      <c r="J2223" s="16"/>
      <c r="K2223" s="16"/>
      <c r="L2223" s="16"/>
      <c r="M2223" s="16"/>
    </row>
    <row r="2224" spans="1:13" x14ac:dyDescent="0.2">
      <c r="A2224" s="16"/>
      <c r="B2224" s="37"/>
      <c r="C2224" s="16"/>
      <c r="D2224" s="16"/>
      <c r="E2224" s="16"/>
      <c r="F2224" s="16"/>
      <c r="G2224" s="16"/>
      <c r="H2224" s="16"/>
      <c r="I2224" s="16"/>
      <c r="J2224" s="16"/>
      <c r="K2224" s="16"/>
      <c r="L2224" s="16"/>
      <c r="M2224" s="16"/>
    </row>
    <row r="2225" spans="1:13" x14ac:dyDescent="0.2">
      <c r="A2225" s="16"/>
      <c r="B2225" s="37"/>
      <c r="C2225" s="16"/>
      <c r="D2225" s="16"/>
      <c r="E2225" s="16"/>
      <c r="F2225" s="16"/>
      <c r="G2225" s="16"/>
      <c r="H2225" s="16"/>
      <c r="I2225" s="16"/>
      <c r="J2225" s="16"/>
      <c r="K2225" s="16"/>
      <c r="L2225" s="16"/>
      <c r="M2225" s="16"/>
    </row>
    <row r="2226" spans="1:13" x14ac:dyDescent="0.2">
      <c r="A2226" s="16"/>
      <c r="B2226" s="37"/>
      <c r="C2226" s="16"/>
      <c r="D2226" s="16"/>
      <c r="E2226" s="16"/>
      <c r="F2226" s="16"/>
      <c r="G2226" s="16"/>
      <c r="H2226" s="16"/>
      <c r="I2226" s="16"/>
      <c r="J2226" s="16"/>
      <c r="K2226" s="16"/>
      <c r="L2226" s="16"/>
      <c r="M2226" s="16"/>
    </row>
    <row r="2227" spans="1:13" x14ac:dyDescent="0.2">
      <c r="A2227" s="16"/>
      <c r="B2227" s="37"/>
      <c r="C2227" s="16"/>
      <c r="D2227" s="16"/>
      <c r="E2227" s="16"/>
      <c r="F2227" s="16"/>
      <c r="G2227" s="16"/>
      <c r="H2227" s="16"/>
      <c r="I2227" s="16"/>
      <c r="J2227" s="16"/>
      <c r="K2227" s="16"/>
      <c r="L2227" s="16"/>
      <c r="M2227" s="16"/>
    </row>
    <row r="2228" spans="1:13" x14ac:dyDescent="0.2">
      <c r="A2228" s="16"/>
      <c r="B2228" s="37"/>
      <c r="C2228" s="16"/>
      <c r="D2228" s="16"/>
      <c r="E2228" s="16"/>
      <c r="F2228" s="16"/>
      <c r="G2228" s="16"/>
      <c r="H2228" s="16"/>
      <c r="I2228" s="16"/>
      <c r="J2228" s="16"/>
      <c r="K2228" s="16"/>
      <c r="L2228" s="16"/>
      <c r="M2228" s="16"/>
    </row>
    <row r="2229" spans="1:13" x14ac:dyDescent="0.2">
      <c r="A2229" s="16"/>
      <c r="B2229" s="37"/>
      <c r="C2229" s="16"/>
      <c r="D2229" s="16"/>
      <c r="E2229" s="16"/>
      <c r="F2229" s="16"/>
      <c r="G2229" s="16"/>
      <c r="H2229" s="16"/>
      <c r="I2229" s="16"/>
      <c r="J2229" s="16"/>
      <c r="K2229" s="16"/>
      <c r="L2229" s="16"/>
      <c r="M2229" s="16"/>
    </row>
    <row r="2230" spans="1:13" x14ac:dyDescent="0.2">
      <c r="A2230" s="16"/>
      <c r="B2230" s="37"/>
      <c r="C2230" s="16"/>
      <c r="D2230" s="16"/>
      <c r="E2230" s="16"/>
      <c r="F2230" s="16"/>
      <c r="G2230" s="16"/>
      <c r="H2230" s="16"/>
      <c r="I2230" s="16"/>
      <c r="J2230" s="16"/>
      <c r="K2230" s="16"/>
      <c r="L2230" s="16"/>
      <c r="M2230" s="16"/>
    </row>
    <row r="2231" spans="1:13" x14ac:dyDescent="0.2">
      <c r="A2231" s="16"/>
      <c r="B2231" s="37"/>
      <c r="C2231" s="16"/>
      <c r="D2231" s="16"/>
      <c r="E2231" s="16"/>
      <c r="F2231" s="16"/>
      <c r="G2231" s="16"/>
      <c r="H2231" s="16"/>
      <c r="I2231" s="16"/>
      <c r="J2231" s="16"/>
      <c r="K2231" s="16"/>
      <c r="L2231" s="16"/>
      <c r="M2231" s="16"/>
    </row>
    <row r="2232" spans="1:13" x14ac:dyDescent="0.2">
      <c r="A2232" s="16"/>
      <c r="B2232" s="37"/>
      <c r="C2232" s="16"/>
      <c r="D2232" s="16"/>
      <c r="E2232" s="16"/>
      <c r="F2232" s="16"/>
      <c r="G2232" s="16"/>
      <c r="H2232" s="16"/>
      <c r="I2232" s="16"/>
      <c r="J2232" s="16"/>
      <c r="K2232" s="16"/>
      <c r="L2232" s="16"/>
      <c r="M2232" s="16"/>
    </row>
    <row r="2233" spans="1:13" x14ac:dyDescent="0.2">
      <c r="A2233" s="16"/>
      <c r="B2233" s="37"/>
      <c r="C2233" s="16"/>
      <c r="D2233" s="16"/>
      <c r="E2233" s="16"/>
      <c r="F2233" s="16"/>
      <c r="G2233" s="16"/>
      <c r="H2233" s="16"/>
      <c r="I2233" s="16"/>
      <c r="J2233" s="16"/>
      <c r="K2233" s="16"/>
      <c r="L2233" s="16"/>
      <c r="M2233" s="16"/>
    </row>
    <row r="2234" spans="1:13" x14ac:dyDescent="0.2">
      <c r="A2234" s="16"/>
      <c r="B2234" s="37"/>
      <c r="C2234" s="16"/>
      <c r="D2234" s="16"/>
      <c r="E2234" s="16"/>
      <c r="F2234" s="16"/>
      <c r="G2234" s="16"/>
      <c r="H2234" s="16"/>
      <c r="I2234" s="16"/>
      <c r="J2234" s="16"/>
      <c r="K2234" s="16"/>
      <c r="L2234" s="16"/>
      <c r="M2234" s="16"/>
    </row>
    <row r="2235" spans="1:13" x14ac:dyDescent="0.2">
      <c r="A2235" s="16"/>
      <c r="B2235" s="37"/>
      <c r="C2235" s="16"/>
      <c r="D2235" s="16"/>
      <c r="E2235" s="16"/>
      <c r="F2235" s="16"/>
      <c r="G2235" s="16"/>
      <c r="H2235" s="16"/>
      <c r="I2235" s="16"/>
      <c r="J2235" s="16"/>
      <c r="K2235" s="16"/>
      <c r="L2235" s="16"/>
      <c r="M2235" s="16"/>
    </row>
    <row r="2236" spans="1:13" x14ac:dyDescent="0.2">
      <c r="A2236" s="16"/>
      <c r="B2236" s="37"/>
      <c r="C2236" s="16"/>
      <c r="D2236" s="16"/>
      <c r="E2236" s="16"/>
      <c r="F2236" s="16"/>
      <c r="G2236" s="16"/>
      <c r="H2236" s="16"/>
      <c r="I2236" s="16"/>
      <c r="J2236" s="16"/>
      <c r="K2236" s="16"/>
      <c r="L2236" s="16"/>
      <c r="M2236" s="16"/>
    </row>
    <row r="2237" spans="1:13" x14ac:dyDescent="0.2">
      <c r="A2237" s="16"/>
      <c r="B2237" s="37"/>
      <c r="C2237" s="16"/>
      <c r="D2237" s="16"/>
      <c r="E2237" s="16"/>
      <c r="F2237" s="16"/>
      <c r="G2237" s="16"/>
      <c r="H2237" s="16"/>
      <c r="I2237" s="16"/>
      <c r="J2237" s="16"/>
      <c r="K2237" s="16"/>
      <c r="L2237" s="16"/>
      <c r="M2237" s="16"/>
    </row>
    <row r="2238" spans="1:13" x14ac:dyDescent="0.2">
      <c r="A2238" s="16"/>
      <c r="B2238" s="37"/>
      <c r="C2238" s="16"/>
      <c r="D2238" s="16"/>
      <c r="E2238" s="16"/>
      <c r="F2238" s="16"/>
      <c r="G2238" s="16"/>
      <c r="H2238" s="16"/>
      <c r="I2238" s="16"/>
      <c r="J2238" s="16"/>
      <c r="K2238" s="16"/>
      <c r="L2238" s="16"/>
      <c r="M2238" s="16"/>
    </row>
    <row r="2239" spans="1:13" x14ac:dyDescent="0.2">
      <c r="A2239" s="16"/>
      <c r="B2239" s="37"/>
      <c r="C2239" s="16"/>
      <c r="D2239" s="16"/>
      <c r="E2239" s="16"/>
      <c r="F2239" s="16"/>
      <c r="G2239" s="16"/>
      <c r="H2239" s="16"/>
      <c r="I2239" s="16"/>
      <c r="J2239" s="16"/>
      <c r="K2239" s="16"/>
      <c r="L2239" s="16"/>
      <c r="M2239" s="16"/>
    </row>
    <row r="2240" spans="1:13" x14ac:dyDescent="0.2">
      <c r="A2240" s="16"/>
      <c r="B2240" s="37"/>
      <c r="C2240" s="16"/>
      <c r="D2240" s="16"/>
      <c r="E2240" s="16"/>
      <c r="F2240" s="16"/>
      <c r="G2240" s="16"/>
      <c r="H2240" s="16"/>
      <c r="I2240" s="16"/>
      <c r="J2240" s="16"/>
      <c r="K2240" s="16"/>
      <c r="L2240" s="16"/>
      <c r="M2240" s="16"/>
    </row>
    <row r="2241" spans="1:13" x14ac:dyDescent="0.2">
      <c r="A2241" s="16"/>
      <c r="B2241" s="37"/>
      <c r="C2241" s="16"/>
      <c r="D2241" s="16"/>
      <c r="E2241" s="16"/>
      <c r="F2241" s="16"/>
      <c r="G2241" s="16"/>
      <c r="H2241" s="16"/>
      <c r="I2241" s="16"/>
      <c r="J2241" s="16"/>
      <c r="K2241" s="16"/>
      <c r="L2241" s="16"/>
      <c r="M2241" s="16"/>
    </row>
    <row r="2242" spans="1:13" x14ac:dyDescent="0.2">
      <c r="A2242" s="16"/>
      <c r="B2242" s="37"/>
      <c r="C2242" s="16"/>
      <c r="D2242" s="16"/>
      <c r="E2242" s="16"/>
      <c r="F2242" s="16"/>
      <c r="G2242" s="16"/>
      <c r="H2242" s="16"/>
      <c r="I2242" s="16"/>
      <c r="J2242" s="16"/>
      <c r="K2242" s="16"/>
      <c r="L2242" s="16"/>
      <c r="M2242" s="16"/>
    </row>
    <row r="2243" spans="1:13" x14ac:dyDescent="0.2">
      <c r="A2243" s="16"/>
      <c r="B2243" s="37"/>
      <c r="C2243" s="16"/>
      <c r="D2243" s="16"/>
      <c r="E2243" s="16"/>
      <c r="F2243" s="16"/>
      <c r="G2243" s="16"/>
      <c r="H2243" s="16"/>
      <c r="I2243" s="16"/>
      <c r="J2243" s="16"/>
      <c r="K2243" s="16"/>
      <c r="L2243" s="16"/>
      <c r="M2243" s="16"/>
    </row>
    <row r="2244" spans="1:13" x14ac:dyDescent="0.2">
      <c r="A2244" s="16"/>
      <c r="B2244" s="37"/>
      <c r="C2244" s="16"/>
      <c r="D2244" s="16"/>
      <c r="E2244" s="16"/>
      <c r="F2244" s="16"/>
      <c r="G2244" s="16"/>
      <c r="H2244" s="16"/>
      <c r="I2244" s="16"/>
      <c r="J2244" s="16"/>
      <c r="K2244" s="16"/>
      <c r="L2244" s="16"/>
      <c r="M2244" s="16"/>
    </row>
    <row r="2245" spans="1:13" x14ac:dyDescent="0.2">
      <c r="A2245" s="16"/>
      <c r="B2245" s="37"/>
      <c r="C2245" s="16"/>
      <c r="D2245" s="16"/>
      <c r="E2245" s="16"/>
      <c r="F2245" s="16"/>
      <c r="G2245" s="16"/>
      <c r="H2245" s="16"/>
      <c r="I2245" s="16"/>
      <c r="J2245" s="16"/>
      <c r="K2245" s="16"/>
      <c r="L2245" s="16"/>
      <c r="M2245" s="16"/>
    </row>
    <row r="2246" spans="1:13" x14ac:dyDescent="0.2">
      <c r="A2246" s="16"/>
      <c r="B2246" s="37"/>
      <c r="C2246" s="16"/>
      <c r="D2246" s="16"/>
      <c r="E2246" s="16"/>
      <c r="F2246" s="16"/>
      <c r="G2246" s="16"/>
      <c r="H2246" s="16"/>
      <c r="I2246" s="16"/>
      <c r="J2246" s="16"/>
      <c r="K2246" s="16"/>
      <c r="L2246" s="16"/>
      <c r="M2246" s="16"/>
    </row>
    <row r="2247" spans="1:13" x14ac:dyDescent="0.2">
      <c r="A2247" s="16"/>
      <c r="B2247" s="37"/>
      <c r="C2247" s="16"/>
      <c r="D2247" s="16"/>
      <c r="E2247" s="16"/>
      <c r="F2247" s="16"/>
      <c r="G2247" s="16"/>
      <c r="H2247" s="16"/>
      <c r="I2247" s="16"/>
      <c r="J2247" s="16"/>
      <c r="K2247" s="16"/>
      <c r="L2247" s="16"/>
      <c r="M2247" s="16"/>
    </row>
    <row r="2248" spans="1:13" x14ac:dyDescent="0.2">
      <c r="A2248" s="16"/>
      <c r="B2248" s="37"/>
      <c r="C2248" s="16"/>
      <c r="D2248" s="16"/>
      <c r="E2248" s="16"/>
      <c r="F2248" s="16"/>
      <c r="G2248" s="16"/>
      <c r="H2248" s="16"/>
      <c r="I2248" s="16"/>
      <c r="J2248" s="16"/>
      <c r="K2248" s="16"/>
      <c r="L2248" s="16"/>
      <c r="M2248" s="16"/>
    </row>
    <row r="2249" spans="1:13" x14ac:dyDescent="0.2">
      <c r="A2249" s="16"/>
      <c r="B2249" s="37"/>
      <c r="C2249" s="16"/>
      <c r="D2249" s="16"/>
      <c r="E2249" s="16"/>
      <c r="F2249" s="16"/>
      <c r="G2249" s="16"/>
      <c r="H2249" s="16"/>
      <c r="I2249" s="16"/>
      <c r="J2249" s="16"/>
      <c r="K2249" s="16"/>
      <c r="L2249" s="16"/>
      <c r="M2249" s="16"/>
    </row>
    <row r="2250" spans="1:13" x14ac:dyDescent="0.2">
      <c r="A2250" s="16"/>
      <c r="B2250" s="37"/>
      <c r="C2250" s="16"/>
      <c r="D2250" s="16"/>
      <c r="E2250" s="16"/>
      <c r="F2250" s="16"/>
      <c r="G2250" s="16"/>
      <c r="H2250" s="16"/>
      <c r="I2250" s="16"/>
      <c r="J2250" s="16"/>
      <c r="K2250" s="16"/>
      <c r="L2250" s="16"/>
      <c r="M2250" s="16"/>
    </row>
    <row r="2251" spans="1:13" x14ac:dyDescent="0.2">
      <c r="A2251" s="16"/>
      <c r="B2251" s="37"/>
      <c r="C2251" s="16"/>
      <c r="D2251" s="16"/>
      <c r="E2251" s="16"/>
      <c r="F2251" s="16"/>
      <c r="G2251" s="16"/>
      <c r="H2251" s="16"/>
      <c r="I2251" s="16"/>
      <c r="J2251" s="16"/>
      <c r="K2251" s="16"/>
      <c r="L2251" s="16"/>
      <c r="M2251" s="16"/>
    </row>
    <row r="2252" spans="1:13" x14ac:dyDescent="0.2">
      <c r="A2252" s="16"/>
      <c r="B2252" s="37"/>
      <c r="C2252" s="16"/>
      <c r="D2252" s="16"/>
      <c r="E2252" s="16"/>
      <c r="F2252" s="16"/>
      <c r="G2252" s="16"/>
      <c r="H2252" s="16"/>
      <c r="I2252" s="16"/>
      <c r="J2252" s="16"/>
      <c r="K2252" s="16"/>
      <c r="L2252" s="16"/>
      <c r="M2252" s="16"/>
    </row>
    <row r="2253" spans="1:13" x14ac:dyDescent="0.2">
      <c r="A2253" s="16"/>
      <c r="B2253" s="37"/>
      <c r="C2253" s="16"/>
      <c r="D2253" s="16"/>
      <c r="E2253" s="16"/>
      <c r="F2253" s="16"/>
      <c r="G2253" s="16"/>
      <c r="H2253" s="16"/>
      <c r="I2253" s="16"/>
      <c r="J2253" s="16"/>
      <c r="K2253" s="16"/>
      <c r="L2253" s="16"/>
      <c r="M2253" s="16"/>
    </row>
    <row r="2254" spans="1:13" x14ac:dyDescent="0.2">
      <c r="A2254" s="16"/>
      <c r="B2254" s="37"/>
      <c r="C2254" s="16"/>
      <c r="D2254" s="16"/>
      <c r="E2254" s="16"/>
      <c r="F2254" s="16"/>
      <c r="G2254" s="16"/>
      <c r="H2254" s="16"/>
      <c r="I2254" s="16"/>
      <c r="J2254" s="16"/>
      <c r="K2254" s="16"/>
      <c r="L2254" s="16"/>
      <c r="M2254" s="16"/>
    </row>
    <row r="2255" spans="1:13" x14ac:dyDescent="0.2">
      <c r="A2255" s="16"/>
      <c r="B2255" s="37"/>
      <c r="C2255" s="16"/>
      <c r="D2255" s="16"/>
      <c r="E2255" s="16"/>
      <c r="F2255" s="16"/>
      <c r="G2255" s="16"/>
      <c r="H2255" s="16"/>
      <c r="I2255" s="16"/>
      <c r="J2255" s="16"/>
      <c r="K2255" s="16"/>
      <c r="L2255" s="16"/>
      <c r="M2255" s="16"/>
    </row>
    <row r="2256" spans="1:13" x14ac:dyDescent="0.2">
      <c r="A2256" s="16"/>
      <c r="B2256" s="37"/>
      <c r="C2256" s="16"/>
      <c r="D2256" s="16"/>
      <c r="E2256" s="16"/>
      <c r="F2256" s="16"/>
      <c r="G2256" s="16"/>
      <c r="H2256" s="16"/>
      <c r="I2256" s="16"/>
      <c r="J2256" s="16"/>
      <c r="K2256" s="16"/>
      <c r="L2256" s="16"/>
      <c r="M2256" s="16"/>
    </row>
    <row r="2257" spans="1:13" x14ac:dyDescent="0.2">
      <c r="A2257" s="16"/>
      <c r="B2257" s="37"/>
      <c r="C2257" s="16"/>
      <c r="D2257" s="16"/>
      <c r="E2257" s="16"/>
      <c r="F2257" s="16"/>
      <c r="G2257" s="16"/>
      <c r="H2257" s="16"/>
      <c r="I2257" s="16"/>
      <c r="J2257" s="16"/>
      <c r="K2257" s="16"/>
      <c r="L2257" s="16"/>
      <c r="M2257" s="16"/>
    </row>
    <row r="2258" spans="1:13" x14ac:dyDescent="0.2">
      <c r="A2258" s="16"/>
      <c r="B2258" s="37"/>
      <c r="C2258" s="16"/>
      <c r="D2258" s="16"/>
      <c r="E2258" s="16"/>
      <c r="F2258" s="16"/>
      <c r="G2258" s="16"/>
      <c r="H2258" s="16"/>
      <c r="I2258" s="16"/>
      <c r="J2258" s="16"/>
      <c r="K2258" s="16"/>
      <c r="L2258" s="16"/>
      <c r="M2258" s="16"/>
    </row>
    <row r="2259" spans="1:13" x14ac:dyDescent="0.2">
      <c r="A2259" s="16"/>
      <c r="B2259" s="37"/>
      <c r="C2259" s="16"/>
      <c r="D2259" s="16"/>
      <c r="E2259" s="16"/>
      <c r="F2259" s="16"/>
      <c r="G2259" s="16"/>
      <c r="H2259" s="16"/>
      <c r="I2259" s="16"/>
      <c r="J2259" s="16"/>
      <c r="K2259" s="16"/>
      <c r="L2259" s="16"/>
      <c r="M2259" s="16"/>
    </row>
    <row r="2260" spans="1:13" x14ac:dyDescent="0.2">
      <c r="A2260" s="16"/>
      <c r="B2260" s="37"/>
      <c r="C2260" s="16"/>
      <c r="D2260" s="16"/>
      <c r="E2260" s="16"/>
      <c r="F2260" s="16"/>
      <c r="G2260" s="16"/>
      <c r="H2260" s="16"/>
      <c r="I2260" s="16"/>
      <c r="J2260" s="16"/>
      <c r="K2260" s="16"/>
      <c r="L2260" s="16"/>
      <c r="M2260" s="16"/>
    </row>
    <row r="2261" spans="1:13" x14ac:dyDescent="0.2">
      <c r="A2261" s="16"/>
      <c r="B2261" s="37"/>
      <c r="C2261" s="16"/>
      <c r="D2261" s="16"/>
      <c r="E2261" s="16"/>
      <c r="F2261" s="16"/>
      <c r="G2261" s="16"/>
      <c r="H2261" s="16"/>
      <c r="I2261" s="16"/>
      <c r="J2261" s="16"/>
      <c r="K2261" s="16"/>
      <c r="L2261" s="16"/>
      <c r="M2261" s="16"/>
    </row>
    <row r="2262" spans="1:13" x14ac:dyDescent="0.2">
      <c r="A2262" s="16"/>
      <c r="B2262" s="37"/>
      <c r="C2262" s="16"/>
      <c r="D2262" s="16"/>
      <c r="E2262" s="16"/>
      <c r="F2262" s="16"/>
      <c r="G2262" s="16"/>
      <c r="H2262" s="16"/>
      <c r="I2262" s="16"/>
      <c r="J2262" s="16"/>
      <c r="K2262" s="16"/>
      <c r="L2262" s="16"/>
      <c r="M2262" s="16"/>
    </row>
    <row r="2263" spans="1:13" x14ac:dyDescent="0.2">
      <c r="A2263" s="16"/>
      <c r="B2263" s="37"/>
      <c r="C2263" s="16"/>
      <c r="D2263" s="16"/>
      <c r="E2263" s="16"/>
      <c r="F2263" s="16"/>
      <c r="G2263" s="16"/>
      <c r="H2263" s="16"/>
      <c r="I2263" s="16"/>
      <c r="J2263" s="16"/>
      <c r="K2263" s="16"/>
      <c r="L2263" s="16"/>
      <c r="M2263" s="16"/>
    </row>
    <row r="2264" spans="1:13" x14ac:dyDescent="0.2">
      <c r="A2264" s="16"/>
      <c r="B2264" s="37"/>
      <c r="C2264" s="16"/>
      <c r="D2264" s="16"/>
      <c r="E2264" s="16"/>
      <c r="F2264" s="16"/>
      <c r="G2264" s="16"/>
      <c r="H2264" s="16"/>
      <c r="I2264" s="16"/>
      <c r="J2264" s="16"/>
      <c r="K2264" s="16"/>
      <c r="L2264" s="16"/>
      <c r="M2264" s="16"/>
    </row>
    <row r="2265" spans="1:13" x14ac:dyDescent="0.2">
      <c r="A2265" s="16"/>
      <c r="B2265" s="37"/>
      <c r="C2265" s="16"/>
      <c r="D2265" s="16"/>
      <c r="E2265" s="16"/>
      <c r="F2265" s="16"/>
      <c r="G2265" s="16"/>
      <c r="H2265" s="16"/>
      <c r="I2265" s="16"/>
      <c r="J2265" s="16"/>
      <c r="K2265" s="16"/>
      <c r="L2265" s="16"/>
      <c r="M2265" s="16"/>
    </row>
    <row r="2266" spans="1:13" x14ac:dyDescent="0.2">
      <c r="A2266" s="16"/>
      <c r="B2266" s="37"/>
      <c r="C2266" s="16"/>
      <c r="D2266" s="16"/>
      <c r="E2266" s="16"/>
      <c r="F2266" s="16"/>
      <c r="G2266" s="16"/>
      <c r="H2266" s="16"/>
      <c r="I2266" s="16"/>
      <c r="J2266" s="16"/>
      <c r="K2266" s="16"/>
      <c r="L2266" s="16"/>
      <c r="M2266" s="16"/>
    </row>
    <row r="2267" spans="1:13" x14ac:dyDescent="0.2">
      <c r="A2267" s="16"/>
      <c r="B2267" s="37"/>
      <c r="C2267" s="16"/>
      <c r="D2267" s="16"/>
      <c r="E2267" s="16"/>
      <c r="F2267" s="16"/>
      <c r="G2267" s="16"/>
      <c r="H2267" s="16"/>
      <c r="I2267" s="16"/>
      <c r="J2267" s="16"/>
      <c r="K2267" s="16"/>
      <c r="L2267" s="16"/>
      <c r="M2267" s="16"/>
    </row>
    <row r="2268" spans="1:13" x14ac:dyDescent="0.2">
      <c r="A2268" s="16"/>
      <c r="B2268" s="37"/>
      <c r="C2268" s="16"/>
      <c r="D2268" s="16"/>
      <c r="E2268" s="16"/>
      <c r="F2268" s="16"/>
      <c r="G2268" s="16"/>
      <c r="H2268" s="16"/>
      <c r="I2268" s="16"/>
      <c r="J2268" s="16"/>
      <c r="K2268" s="16"/>
      <c r="L2268" s="16"/>
      <c r="M2268" s="16"/>
    </row>
    <row r="2269" spans="1:13" x14ac:dyDescent="0.2">
      <c r="A2269" s="16"/>
      <c r="B2269" s="37"/>
      <c r="C2269" s="16"/>
      <c r="D2269" s="16"/>
      <c r="E2269" s="16"/>
      <c r="F2269" s="16"/>
      <c r="G2269" s="16"/>
      <c r="H2269" s="16"/>
      <c r="I2269" s="16"/>
      <c r="J2269" s="16"/>
      <c r="K2269" s="16"/>
      <c r="L2269" s="16"/>
      <c r="M2269" s="16"/>
    </row>
    <row r="2270" spans="1:13" x14ac:dyDescent="0.2">
      <c r="A2270" s="16"/>
      <c r="B2270" s="37"/>
      <c r="C2270" s="16"/>
      <c r="D2270" s="16"/>
      <c r="E2270" s="16"/>
      <c r="F2270" s="16"/>
      <c r="G2270" s="16"/>
      <c r="H2270" s="16"/>
      <c r="I2270" s="16"/>
      <c r="J2270" s="16"/>
      <c r="K2270" s="16"/>
      <c r="L2270" s="16"/>
      <c r="M2270" s="16"/>
    </row>
    <row r="2271" spans="1:13" x14ac:dyDescent="0.2">
      <c r="A2271" s="16"/>
      <c r="B2271" s="37"/>
      <c r="C2271" s="16"/>
      <c r="D2271" s="16"/>
      <c r="E2271" s="16"/>
      <c r="F2271" s="16"/>
      <c r="G2271" s="16"/>
      <c r="H2271" s="16"/>
      <c r="I2271" s="16"/>
      <c r="J2271" s="16"/>
      <c r="K2271" s="16"/>
      <c r="L2271" s="16"/>
      <c r="M2271" s="16"/>
    </row>
    <row r="2272" spans="1:13" x14ac:dyDescent="0.2">
      <c r="A2272" s="16"/>
      <c r="B2272" s="37"/>
      <c r="C2272" s="16"/>
      <c r="D2272" s="16"/>
      <c r="E2272" s="16"/>
      <c r="F2272" s="16"/>
      <c r="G2272" s="16"/>
      <c r="H2272" s="16"/>
      <c r="I2272" s="16"/>
      <c r="J2272" s="16"/>
      <c r="K2272" s="16"/>
      <c r="L2272" s="16"/>
      <c r="M2272" s="16"/>
    </row>
    <row r="2273" spans="1:13" x14ac:dyDescent="0.2">
      <c r="A2273" s="16"/>
      <c r="B2273" s="37"/>
      <c r="C2273" s="16"/>
      <c r="D2273" s="16"/>
      <c r="E2273" s="16"/>
      <c r="F2273" s="16"/>
      <c r="G2273" s="16"/>
      <c r="H2273" s="16"/>
      <c r="I2273" s="16"/>
      <c r="J2273" s="16"/>
      <c r="K2273" s="16"/>
      <c r="L2273" s="16"/>
      <c r="M2273" s="16"/>
    </row>
    <row r="2274" spans="1:13" x14ac:dyDescent="0.2">
      <c r="A2274" s="16"/>
      <c r="B2274" s="37"/>
      <c r="C2274" s="16"/>
      <c r="D2274" s="16"/>
      <c r="E2274" s="16"/>
      <c r="F2274" s="16"/>
      <c r="G2274" s="16"/>
      <c r="H2274" s="16"/>
      <c r="I2274" s="16"/>
      <c r="J2274" s="16"/>
      <c r="K2274" s="16"/>
      <c r="L2274" s="16"/>
      <c r="M2274" s="16"/>
    </row>
    <row r="2275" spans="1:13" x14ac:dyDescent="0.2">
      <c r="A2275" s="16"/>
      <c r="B2275" s="37"/>
      <c r="C2275" s="16"/>
      <c r="D2275" s="16"/>
      <c r="E2275" s="16"/>
      <c r="F2275" s="16"/>
      <c r="G2275" s="16"/>
      <c r="H2275" s="16"/>
      <c r="I2275" s="16"/>
      <c r="J2275" s="16"/>
      <c r="K2275" s="16"/>
      <c r="L2275" s="16"/>
      <c r="M2275" s="16"/>
    </row>
    <row r="2276" spans="1:13" x14ac:dyDescent="0.2">
      <c r="A2276" s="16"/>
      <c r="B2276" s="37"/>
      <c r="C2276" s="16"/>
      <c r="D2276" s="16"/>
      <c r="E2276" s="16"/>
      <c r="F2276" s="16"/>
      <c r="G2276" s="16"/>
      <c r="H2276" s="16"/>
      <c r="I2276" s="16"/>
      <c r="J2276" s="16"/>
      <c r="K2276" s="16"/>
      <c r="L2276" s="16"/>
      <c r="M2276" s="16"/>
    </row>
    <row r="2277" spans="1:13" x14ac:dyDescent="0.2">
      <c r="A2277" s="16"/>
      <c r="B2277" s="37"/>
      <c r="C2277" s="16"/>
      <c r="D2277" s="16"/>
      <c r="E2277" s="16"/>
      <c r="F2277" s="16"/>
      <c r="G2277" s="16"/>
      <c r="H2277" s="16"/>
      <c r="I2277" s="16"/>
      <c r="J2277" s="16"/>
      <c r="K2277" s="16"/>
      <c r="L2277" s="16"/>
      <c r="M2277" s="16"/>
    </row>
    <row r="2278" spans="1:13" x14ac:dyDescent="0.2">
      <c r="A2278" s="16"/>
      <c r="B2278" s="37"/>
      <c r="C2278" s="16"/>
      <c r="D2278" s="16"/>
      <c r="E2278" s="16"/>
      <c r="F2278" s="16"/>
      <c r="G2278" s="16"/>
      <c r="H2278" s="16"/>
      <c r="I2278" s="16"/>
      <c r="J2278" s="16"/>
      <c r="K2278" s="16"/>
      <c r="L2278" s="16"/>
      <c r="M2278" s="16"/>
    </row>
    <row r="2279" spans="1:13" x14ac:dyDescent="0.2">
      <c r="A2279" s="16"/>
      <c r="B2279" s="37"/>
      <c r="C2279" s="16"/>
      <c r="D2279" s="16"/>
      <c r="E2279" s="16"/>
      <c r="F2279" s="16"/>
      <c r="G2279" s="16"/>
      <c r="H2279" s="16"/>
      <c r="I2279" s="16"/>
      <c r="J2279" s="16"/>
      <c r="K2279" s="16"/>
      <c r="L2279" s="16"/>
      <c r="M2279" s="16"/>
    </row>
    <row r="2280" spans="1:13" x14ac:dyDescent="0.2">
      <c r="A2280" s="16"/>
      <c r="B2280" s="37"/>
      <c r="C2280" s="16"/>
      <c r="D2280" s="16"/>
      <c r="E2280" s="16"/>
      <c r="F2280" s="16"/>
      <c r="G2280" s="16"/>
      <c r="H2280" s="16"/>
      <c r="I2280" s="16"/>
      <c r="J2280" s="16"/>
      <c r="K2280" s="16"/>
      <c r="L2280" s="16"/>
      <c r="M2280" s="16"/>
    </row>
    <row r="2281" spans="1:13" x14ac:dyDescent="0.2">
      <c r="A2281" s="16"/>
      <c r="B2281" s="37"/>
      <c r="C2281" s="16"/>
      <c r="D2281" s="16"/>
      <c r="E2281" s="16"/>
      <c r="F2281" s="16"/>
      <c r="G2281" s="16"/>
      <c r="H2281" s="16"/>
      <c r="I2281" s="16"/>
      <c r="J2281" s="16"/>
      <c r="K2281" s="16"/>
      <c r="L2281" s="16"/>
      <c r="M2281" s="16"/>
    </row>
    <row r="2282" spans="1:13" x14ac:dyDescent="0.2">
      <c r="A2282" s="16"/>
      <c r="B2282" s="37"/>
      <c r="C2282" s="16"/>
      <c r="D2282" s="16"/>
      <c r="E2282" s="16"/>
      <c r="F2282" s="16"/>
      <c r="G2282" s="16"/>
      <c r="H2282" s="16"/>
      <c r="I2282" s="16"/>
      <c r="J2282" s="16"/>
      <c r="K2282" s="16"/>
      <c r="L2282" s="16"/>
      <c r="M2282" s="16"/>
    </row>
    <row r="2283" spans="1:13" x14ac:dyDescent="0.2">
      <c r="A2283" s="16"/>
      <c r="B2283" s="37"/>
      <c r="C2283" s="16"/>
      <c r="D2283" s="16"/>
      <c r="E2283" s="16"/>
      <c r="F2283" s="16"/>
      <c r="G2283" s="16"/>
      <c r="H2283" s="16"/>
      <c r="I2283" s="16"/>
      <c r="J2283" s="16"/>
      <c r="K2283" s="16"/>
      <c r="L2283" s="16"/>
      <c r="M2283" s="16"/>
    </row>
    <row r="2284" spans="1:13" x14ac:dyDescent="0.2">
      <c r="A2284" s="16"/>
      <c r="B2284" s="37"/>
      <c r="C2284" s="16"/>
      <c r="D2284" s="16"/>
      <c r="E2284" s="16"/>
      <c r="F2284" s="16"/>
      <c r="G2284" s="16"/>
      <c r="H2284" s="16"/>
      <c r="I2284" s="16"/>
      <c r="J2284" s="16"/>
      <c r="K2284" s="16"/>
      <c r="L2284" s="16"/>
      <c r="M2284" s="16"/>
    </row>
    <row r="2285" spans="1:13" x14ac:dyDescent="0.2">
      <c r="A2285" s="16"/>
      <c r="B2285" s="37"/>
      <c r="C2285" s="16"/>
      <c r="D2285" s="16"/>
      <c r="E2285" s="16"/>
      <c r="F2285" s="16"/>
      <c r="G2285" s="16"/>
      <c r="H2285" s="16"/>
      <c r="I2285" s="16"/>
      <c r="J2285" s="16"/>
      <c r="K2285" s="16"/>
      <c r="L2285" s="16"/>
      <c r="M2285" s="16"/>
    </row>
    <row r="2286" spans="1:13" x14ac:dyDescent="0.2">
      <c r="A2286" s="16"/>
      <c r="B2286" s="37"/>
      <c r="C2286" s="16"/>
      <c r="D2286" s="16"/>
      <c r="E2286" s="16"/>
      <c r="F2286" s="16"/>
      <c r="G2286" s="16"/>
      <c r="H2286" s="16"/>
      <c r="I2286" s="16"/>
      <c r="J2286" s="16"/>
      <c r="K2286" s="16"/>
      <c r="L2286" s="16"/>
      <c r="M2286" s="16"/>
    </row>
    <row r="2287" spans="1:13" x14ac:dyDescent="0.2">
      <c r="A2287" s="16"/>
      <c r="B2287" s="37"/>
      <c r="C2287" s="16"/>
      <c r="D2287" s="16"/>
      <c r="E2287" s="16"/>
      <c r="F2287" s="16"/>
      <c r="G2287" s="16"/>
      <c r="H2287" s="16"/>
      <c r="I2287" s="16"/>
      <c r="J2287" s="16"/>
      <c r="K2287" s="16"/>
      <c r="L2287" s="16"/>
      <c r="M2287" s="16"/>
    </row>
    <row r="2288" spans="1:13" x14ac:dyDescent="0.2">
      <c r="A2288" s="16"/>
      <c r="B2288" s="37"/>
      <c r="C2288" s="16"/>
      <c r="D2288" s="16"/>
      <c r="E2288" s="16"/>
      <c r="F2288" s="16"/>
      <c r="G2288" s="16"/>
      <c r="H2288" s="16"/>
      <c r="I2288" s="16"/>
      <c r="J2288" s="16"/>
      <c r="K2288" s="16"/>
      <c r="L2288" s="16"/>
      <c r="M2288" s="16"/>
    </row>
    <row r="2289" spans="1:13" x14ac:dyDescent="0.2">
      <c r="A2289" s="16"/>
      <c r="B2289" s="37"/>
      <c r="C2289" s="16"/>
      <c r="D2289" s="16"/>
      <c r="E2289" s="16"/>
      <c r="F2289" s="16"/>
      <c r="G2289" s="16"/>
      <c r="H2289" s="16"/>
      <c r="I2289" s="16"/>
      <c r="J2289" s="16"/>
      <c r="K2289" s="16"/>
      <c r="L2289" s="16"/>
      <c r="M2289" s="16"/>
    </row>
    <row r="2290" spans="1:13" x14ac:dyDescent="0.2">
      <c r="A2290" s="16"/>
      <c r="B2290" s="37"/>
      <c r="C2290" s="16"/>
      <c r="D2290" s="16"/>
      <c r="E2290" s="16"/>
      <c r="F2290" s="16"/>
      <c r="G2290" s="16"/>
      <c r="H2290" s="16"/>
      <c r="I2290" s="16"/>
      <c r="J2290" s="16"/>
      <c r="K2290" s="16"/>
      <c r="L2290" s="16"/>
      <c r="M2290" s="16"/>
    </row>
    <row r="2291" spans="1:13" x14ac:dyDescent="0.2">
      <c r="A2291" s="16"/>
      <c r="B2291" s="37"/>
      <c r="C2291" s="16"/>
      <c r="D2291" s="16"/>
      <c r="E2291" s="16"/>
      <c r="F2291" s="16"/>
      <c r="G2291" s="16"/>
      <c r="H2291" s="16"/>
      <c r="I2291" s="16"/>
      <c r="J2291" s="16"/>
      <c r="K2291" s="16"/>
      <c r="L2291" s="16"/>
      <c r="M2291" s="16"/>
    </row>
    <row r="2292" spans="1:13" x14ac:dyDescent="0.2">
      <c r="A2292" s="16"/>
      <c r="B2292" s="37"/>
      <c r="C2292" s="16"/>
      <c r="D2292" s="16"/>
      <c r="E2292" s="16"/>
      <c r="F2292" s="16"/>
      <c r="G2292" s="16"/>
      <c r="H2292" s="16"/>
      <c r="I2292" s="16"/>
      <c r="J2292" s="16"/>
      <c r="K2292" s="16"/>
      <c r="L2292" s="16"/>
      <c r="M2292" s="16"/>
    </row>
    <row r="2293" spans="1:13" x14ac:dyDescent="0.2">
      <c r="A2293" s="16"/>
      <c r="B2293" s="37"/>
      <c r="C2293" s="16"/>
      <c r="D2293" s="16"/>
      <c r="E2293" s="16"/>
      <c r="F2293" s="16"/>
      <c r="G2293" s="16"/>
      <c r="H2293" s="16"/>
      <c r="I2293" s="16"/>
      <c r="J2293" s="16"/>
      <c r="K2293" s="16"/>
      <c r="L2293" s="16"/>
      <c r="M2293" s="16"/>
    </row>
    <row r="2294" spans="1:13" x14ac:dyDescent="0.2">
      <c r="A2294" s="16"/>
      <c r="B2294" s="37"/>
      <c r="C2294" s="16"/>
      <c r="D2294" s="16"/>
      <c r="E2294" s="16"/>
      <c r="F2294" s="16"/>
      <c r="G2294" s="16"/>
      <c r="H2294" s="16"/>
      <c r="I2294" s="16"/>
      <c r="J2294" s="16"/>
      <c r="K2294" s="16"/>
      <c r="L2294" s="16"/>
      <c r="M2294" s="16"/>
    </row>
    <row r="2295" spans="1:13" x14ac:dyDescent="0.2">
      <c r="A2295" s="16"/>
      <c r="B2295" s="37"/>
      <c r="C2295" s="16"/>
      <c r="D2295" s="16"/>
      <c r="E2295" s="16"/>
      <c r="F2295" s="16"/>
      <c r="G2295" s="16"/>
      <c r="H2295" s="16"/>
      <c r="I2295" s="16"/>
      <c r="J2295" s="16"/>
      <c r="K2295" s="16"/>
      <c r="L2295" s="16"/>
      <c r="M2295" s="16"/>
    </row>
    <row r="2296" spans="1:13" x14ac:dyDescent="0.2">
      <c r="A2296" s="16"/>
      <c r="B2296" s="37"/>
      <c r="C2296" s="16"/>
      <c r="D2296" s="16"/>
      <c r="E2296" s="16"/>
      <c r="F2296" s="16"/>
      <c r="G2296" s="16"/>
      <c r="H2296" s="16"/>
      <c r="I2296" s="16"/>
      <c r="J2296" s="16"/>
      <c r="K2296" s="16"/>
      <c r="L2296" s="16"/>
      <c r="M2296" s="16"/>
    </row>
    <row r="2297" spans="1:13" x14ac:dyDescent="0.2">
      <c r="A2297" s="16"/>
      <c r="B2297" s="37"/>
      <c r="C2297" s="16"/>
      <c r="D2297" s="16"/>
      <c r="E2297" s="16"/>
      <c r="F2297" s="16"/>
      <c r="G2297" s="16"/>
      <c r="H2297" s="16"/>
      <c r="I2297" s="16"/>
      <c r="J2297" s="16"/>
      <c r="K2297" s="16"/>
      <c r="L2297" s="16"/>
      <c r="M2297" s="16"/>
    </row>
    <row r="2298" spans="1:13" x14ac:dyDescent="0.2">
      <c r="A2298" s="16"/>
      <c r="B2298" s="37"/>
      <c r="C2298" s="16"/>
      <c r="D2298" s="16"/>
      <c r="E2298" s="16"/>
      <c r="F2298" s="16"/>
      <c r="G2298" s="16"/>
      <c r="H2298" s="16"/>
      <c r="I2298" s="16"/>
      <c r="J2298" s="16"/>
      <c r="K2298" s="16"/>
      <c r="L2298" s="16"/>
      <c r="M2298" s="16"/>
    </row>
    <row r="2299" spans="1:13" x14ac:dyDescent="0.2">
      <c r="A2299" s="16"/>
      <c r="B2299" s="37"/>
      <c r="C2299" s="16"/>
      <c r="D2299" s="16"/>
      <c r="E2299" s="16"/>
      <c r="F2299" s="16"/>
      <c r="G2299" s="16"/>
      <c r="H2299" s="16"/>
      <c r="I2299" s="16"/>
      <c r="J2299" s="16"/>
      <c r="K2299" s="16"/>
      <c r="L2299" s="16"/>
      <c r="M2299" s="16"/>
    </row>
    <row r="2300" spans="1:13" x14ac:dyDescent="0.2">
      <c r="A2300" s="16"/>
      <c r="B2300" s="37"/>
      <c r="C2300" s="16"/>
      <c r="D2300" s="16"/>
      <c r="E2300" s="16"/>
      <c r="F2300" s="16"/>
      <c r="G2300" s="16"/>
      <c r="H2300" s="16"/>
      <c r="I2300" s="16"/>
      <c r="J2300" s="16"/>
      <c r="K2300" s="16"/>
      <c r="L2300" s="16"/>
      <c r="M2300" s="16"/>
    </row>
    <row r="2301" spans="1:13" x14ac:dyDescent="0.2">
      <c r="A2301" s="16"/>
      <c r="B2301" s="37"/>
      <c r="C2301" s="16"/>
      <c r="D2301" s="16"/>
      <c r="E2301" s="16"/>
      <c r="F2301" s="16"/>
      <c r="G2301" s="16"/>
      <c r="H2301" s="16"/>
      <c r="I2301" s="16"/>
      <c r="J2301" s="16"/>
      <c r="K2301" s="16"/>
      <c r="L2301" s="16"/>
      <c r="M2301" s="16"/>
    </row>
    <row r="2302" spans="1:13" x14ac:dyDescent="0.2">
      <c r="A2302" s="16"/>
      <c r="B2302" s="37"/>
      <c r="C2302" s="16"/>
      <c r="D2302" s="16"/>
      <c r="E2302" s="16"/>
      <c r="F2302" s="16"/>
      <c r="G2302" s="16"/>
      <c r="H2302" s="16"/>
      <c r="I2302" s="16"/>
      <c r="J2302" s="16"/>
      <c r="K2302" s="16"/>
      <c r="L2302" s="16"/>
      <c r="M2302" s="16"/>
    </row>
    <row r="2303" spans="1:13" x14ac:dyDescent="0.2">
      <c r="A2303" s="16"/>
      <c r="B2303" s="37"/>
      <c r="C2303" s="16"/>
      <c r="D2303" s="16"/>
      <c r="E2303" s="16"/>
      <c r="F2303" s="16"/>
      <c r="G2303" s="16"/>
      <c r="H2303" s="16"/>
      <c r="I2303" s="16"/>
      <c r="J2303" s="16"/>
      <c r="K2303" s="16"/>
      <c r="L2303" s="16"/>
      <c r="M2303" s="16"/>
    </row>
    <row r="2304" spans="1:13" x14ac:dyDescent="0.2">
      <c r="A2304" s="16"/>
      <c r="B2304" s="37"/>
      <c r="C2304" s="16"/>
      <c r="D2304" s="16"/>
      <c r="E2304" s="16"/>
      <c r="F2304" s="16"/>
      <c r="G2304" s="16"/>
      <c r="H2304" s="16"/>
      <c r="I2304" s="16"/>
      <c r="J2304" s="16"/>
      <c r="K2304" s="16"/>
      <c r="L2304" s="16"/>
      <c r="M2304" s="16"/>
    </row>
    <row r="2305" spans="1:13" x14ac:dyDescent="0.2">
      <c r="A2305" s="16"/>
      <c r="B2305" s="37"/>
      <c r="C2305" s="16"/>
      <c r="D2305" s="16"/>
      <c r="E2305" s="16"/>
      <c r="F2305" s="16"/>
      <c r="G2305" s="16"/>
      <c r="H2305" s="16"/>
      <c r="I2305" s="16"/>
      <c r="J2305" s="16"/>
      <c r="K2305" s="16"/>
      <c r="L2305" s="16"/>
      <c r="M2305" s="16"/>
    </row>
    <row r="2306" spans="1:13" x14ac:dyDescent="0.2">
      <c r="A2306" s="16"/>
      <c r="B2306" s="37"/>
      <c r="C2306" s="16"/>
      <c r="D2306" s="16"/>
      <c r="E2306" s="16"/>
      <c r="F2306" s="16"/>
      <c r="G2306" s="16"/>
      <c r="H2306" s="16"/>
      <c r="I2306" s="16"/>
      <c r="J2306" s="16"/>
      <c r="K2306" s="16"/>
      <c r="L2306" s="16"/>
      <c r="M2306" s="16"/>
    </row>
    <row r="2307" spans="1:13" x14ac:dyDescent="0.2">
      <c r="A2307" s="16"/>
      <c r="B2307" s="37"/>
      <c r="C2307" s="16"/>
      <c r="D2307" s="16"/>
      <c r="E2307" s="16"/>
      <c r="F2307" s="16"/>
      <c r="G2307" s="16"/>
      <c r="H2307" s="16"/>
      <c r="I2307" s="16"/>
      <c r="J2307" s="16"/>
      <c r="K2307" s="16"/>
      <c r="L2307" s="16"/>
      <c r="M2307" s="16"/>
    </row>
    <row r="2308" spans="1:13" x14ac:dyDescent="0.2">
      <c r="A2308" s="16"/>
      <c r="B2308" s="37"/>
      <c r="C2308" s="16"/>
      <c r="D2308" s="16"/>
      <c r="E2308" s="16"/>
      <c r="F2308" s="16"/>
      <c r="G2308" s="16"/>
      <c r="H2308" s="16"/>
      <c r="I2308" s="16"/>
      <c r="J2308" s="16"/>
      <c r="K2308" s="16"/>
      <c r="L2308" s="16"/>
      <c r="M2308" s="16"/>
    </row>
    <row r="2309" spans="1:13" x14ac:dyDescent="0.2">
      <c r="A2309" s="16"/>
      <c r="B2309" s="37"/>
      <c r="C2309" s="16"/>
      <c r="D2309" s="16"/>
      <c r="E2309" s="16"/>
      <c r="F2309" s="16"/>
      <c r="G2309" s="16"/>
      <c r="H2309" s="16"/>
      <c r="I2309" s="16"/>
      <c r="J2309" s="16"/>
      <c r="K2309" s="16"/>
      <c r="L2309" s="16"/>
      <c r="M2309" s="16"/>
    </row>
    <row r="2310" spans="1:13" x14ac:dyDescent="0.2">
      <c r="A2310" s="16"/>
      <c r="B2310" s="37"/>
      <c r="C2310" s="16"/>
      <c r="D2310" s="16"/>
      <c r="E2310" s="16"/>
      <c r="F2310" s="16"/>
      <c r="G2310" s="16"/>
      <c r="H2310" s="16"/>
      <c r="I2310" s="16"/>
      <c r="J2310" s="16"/>
      <c r="K2310" s="16"/>
      <c r="L2310" s="16"/>
      <c r="M2310" s="16"/>
    </row>
    <row r="2311" spans="1:13" x14ac:dyDescent="0.2">
      <c r="A2311" s="16"/>
      <c r="B2311" s="37"/>
      <c r="C2311" s="16"/>
      <c r="D2311" s="16"/>
      <c r="E2311" s="16"/>
      <c r="F2311" s="16"/>
      <c r="G2311" s="16"/>
      <c r="H2311" s="16"/>
      <c r="I2311" s="16"/>
      <c r="J2311" s="16"/>
      <c r="K2311" s="16"/>
      <c r="L2311" s="16"/>
      <c r="M2311" s="16"/>
    </row>
    <row r="2312" spans="1:13" x14ac:dyDescent="0.2">
      <c r="A2312" s="16"/>
      <c r="B2312" s="37"/>
      <c r="C2312" s="16"/>
      <c r="D2312" s="16"/>
      <c r="E2312" s="16"/>
      <c r="F2312" s="16"/>
      <c r="G2312" s="16"/>
      <c r="H2312" s="16"/>
      <c r="I2312" s="16"/>
      <c r="J2312" s="16"/>
      <c r="K2312" s="16"/>
      <c r="L2312" s="16"/>
      <c r="M2312" s="16"/>
    </row>
    <row r="2313" spans="1:13" x14ac:dyDescent="0.2">
      <c r="A2313" s="16"/>
      <c r="B2313" s="37"/>
      <c r="C2313" s="16"/>
      <c r="D2313" s="16"/>
      <c r="E2313" s="16"/>
      <c r="F2313" s="16"/>
      <c r="G2313" s="16"/>
      <c r="H2313" s="16"/>
      <c r="I2313" s="16"/>
      <c r="J2313" s="16"/>
      <c r="K2313" s="16"/>
      <c r="L2313" s="16"/>
      <c r="M2313" s="16"/>
    </row>
    <row r="2314" spans="1:13" x14ac:dyDescent="0.2">
      <c r="A2314" s="16"/>
      <c r="B2314" s="37"/>
      <c r="C2314" s="16"/>
      <c r="D2314" s="16"/>
      <c r="E2314" s="16"/>
      <c r="F2314" s="16"/>
      <c r="G2314" s="16"/>
      <c r="H2314" s="16"/>
      <c r="I2314" s="16"/>
      <c r="J2314" s="16"/>
      <c r="K2314" s="16"/>
      <c r="L2314" s="16"/>
      <c r="M2314" s="16"/>
    </row>
    <row r="2315" spans="1:13" x14ac:dyDescent="0.2">
      <c r="A2315" s="16"/>
      <c r="B2315" s="37"/>
      <c r="C2315" s="16"/>
      <c r="D2315" s="16"/>
      <c r="E2315" s="16"/>
      <c r="F2315" s="16"/>
      <c r="G2315" s="16"/>
      <c r="H2315" s="16"/>
      <c r="I2315" s="16"/>
      <c r="J2315" s="16"/>
      <c r="K2315" s="16"/>
      <c r="L2315" s="16"/>
      <c r="M2315" s="16"/>
    </row>
    <row r="2316" spans="1:13" x14ac:dyDescent="0.2">
      <c r="A2316" s="16"/>
      <c r="B2316" s="37"/>
      <c r="C2316" s="16"/>
      <c r="D2316" s="16"/>
      <c r="E2316" s="16"/>
      <c r="F2316" s="16"/>
      <c r="G2316" s="16"/>
      <c r="H2316" s="16"/>
      <c r="I2316" s="16"/>
      <c r="J2316" s="16"/>
      <c r="K2316" s="16"/>
      <c r="L2316" s="16"/>
      <c r="M2316" s="16"/>
    </row>
    <row r="2317" spans="1:13" x14ac:dyDescent="0.2">
      <c r="A2317" s="16"/>
      <c r="B2317" s="37"/>
      <c r="C2317" s="16"/>
      <c r="D2317" s="16"/>
      <c r="E2317" s="16"/>
      <c r="F2317" s="16"/>
      <c r="G2317" s="16"/>
      <c r="H2317" s="16"/>
      <c r="I2317" s="16"/>
      <c r="J2317" s="16"/>
      <c r="K2317" s="16"/>
      <c r="L2317" s="16"/>
      <c r="M2317" s="16"/>
    </row>
    <row r="2318" spans="1:13" x14ac:dyDescent="0.2">
      <c r="A2318" s="16"/>
      <c r="B2318" s="37"/>
      <c r="C2318" s="16"/>
      <c r="D2318" s="16"/>
      <c r="E2318" s="16"/>
      <c r="F2318" s="16"/>
      <c r="G2318" s="16"/>
      <c r="H2318" s="16"/>
      <c r="I2318" s="16"/>
      <c r="J2318" s="16"/>
      <c r="K2318" s="16"/>
      <c r="L2318" s="16"/>
      <c r="M2318" s="16"/>
    </row>
    <row r="2319" spans="1:13" x14ac:dyDescent="0.2">
      <c r="A2319" s="16"/>
      <c r="B2319" s="37"/>
      <c r="C2319" s="16"/>
      <c r="D2319" s="16"/>
      <c r="E2319" s="16"/>
      <c r="F2319" s="16"/>
      <c r="G2319" s="16"/>
      <c r="H2319" s="16"/>
      <c r="I2319" s="16"/>
      <c r="J2319" s="16"/>
      <c r="K2319" s="16"/>
      <c r="L2319" s="16"/>
      <c r="M2319" s="16"/>
    </row>
    <row r="2320" spans="1:13" x14ac:dyDescent="0.2">
      <c r="A2320" s="16"/>
      <c r="B2320" s="37"/>
      <c r="C2320" s="16"/>
      <c r="D2320" s="16"/>
      <c r="E2320" s="16"/>
      <c r="F2320" s="16"/>
      <c r="G2320" s="16"/>
      <c r="H2320" s="16"/>
      <c r="I2320" s="16"/>
      <c r="J2320" s="16"/>
      <c r="K2320" s="16"/>
      <c r="L2320" s="16"/>
      <c r="M2320" s="16"/>
    </row>
    <row r="2321" spans="1:13" x14ac:dyDescent="0.2">
      <c r="A2321" s="16"/>
      <c r="B2321" s="37"/>
      <c r="C2321" s="16"/>
      <c r="D2321" s="16"/>
      <c r="E2321" s="16"/>
      <c r="F2321" s="16"/>
      <c r="G2321" s="16"/>
      <c r="H2321" s="16"/>
      <c r="I2321" s="16"/>
      <c r="J2321" s="16"/>
      <c r="K2321" s="16"/>
      <c r="L2321" s="16"/>
      <c r="M2321" s="16"/>
    </row>
    <row r="2322" spans="1:13" x14ac:dyDescent="0.2">
      <c r="A2322" s="16"/>
      <c r="B2322" s="37"/>
      <c r="C2322" s="16"/>
      <c r="D2322" s="16"/>
      <c r="E2322" s="16"/>
      <c r="F2322" s="16"/>
      <c r="G2322" s="16"/>
      <c r="H2322" s="16"/>
      <c r="I2322" s="16"/>
      <c r="J2322" s="16"/>
      <c r="K2322" s="16"/>
      <c r="L2322" s="16"/>
      <c r="M2322" s="16"/>
    </row>
    <row r="2323" spans="1:13" x14ac:dyDescent="0.2">
      <c r="A2323" s="16"/>
      <c r="B2323" s="37"/>
      <c r="C2323" s="16"/>
      <c r="D2323" s="16"/>
      <c r="E2323" s="16"/>
      <c r="F2323" s="16"/>
      <c r="G2323" s="16"/>
      <c r="H2323" s="16"/>
      <c r="I2323" s="16"/>
      <c r="J2323" s="16"/>
      <c r="K2323" s="16"/>
      <c r="L2323" s="16"/>
      <c r="M2323" s="16"/>
    </row>
    <row r="2324" spans="1:13" x14ac:dyDescent="0.2">
      <c r="A2324" s="16"/>
      <c r="B2324" s="37"/>
      <c r="C2324" s="16"/>
      <c r="D2324" s="16"/>
      <c r="E2324" s="16"/>
      <c r="F2324" s="16"/>
      <c r="G2324" s="16"/>
      <c r="H2324" s="16"/>
      <c r="I2324" s="16"/>
      <c r="J2324" s="16"/>
      <c r="K2324" s="16"/>
      <c r="L2324" s="16"/>
      <c r="M2324" s="16"/>
    </row>
    <row r="2325" spans="1:13" x14ac:dyDescent="0.2">
      <c r="A2325" s="16"/>
      <c r="B2325" s="37"/>
      <c r="C2325" s="16"/>
      <c r="D2325" s="16"/>
      <c r="E2325" s="16"/>
      <c r="F2325" s="16"/>
      <c r="G2325" s="16"/>
      <c r="H2325" s="16"/>
      <c r="I2325" s="16"/>
      <c r="J2325" s="16"/>
      <c r="K2325" s="16"/>
      <c r="L2325" s="16"/>
      <c r="M2325" s="16"/>
    </row>
    <row r="2326" spans="1:13" x14ac:dyDescent="0.2">
      <c r="A2326" s="16"/>
      <c r="B2326" s="37"/>
      <c r="C2326" s="16"/>
      <c r="D2326" s="16"/>
      <c r="E2326" s="16"/>
      <c r="F2326" s="16"/>
      <c r="G2326" s="16"/>
      <c r="H2326" s="16"/>
      <c r="I2326" s="16"/>
      <c r="J2326" s="16"/>
      <c r="K2326" s="16"/>
      <c r="L2326" s="16"/>
      <c r="M2326" s="16"/>
    </row>
    <row r="2327" spans="1:13" x14ac:dyDescent="0.2">
      <c r="A2327" s="16"/>
      <c r="B2327" s="37"/>
      <c r="C2327" s="16"/>
      <c r="D2327" s="16"/>
      <c r="E2327" s="16"/>
      <c r="F2327" s="16"/>
      <c r="G2327" s="16"/>
      <c r="H2327" s="16"/>
      <c r="I2327" s="16"/>
      <c r="J2327" s="16"/>
      <c r="K2327" s="16"/>
      <c r="L2327" s="16"/>
      <c r="M2327" s="16"/>
    </row>
    <row r="2328" spans="1:13" x14ac:dyDescent="0.2">
      <c r="A2328" s="16"/>
      <c r="B2328" s="37"/>
      <c r="C2328" s="16"/>
      <c r="D2328" s="16"/>
      <c r="E2328" s="16"/>
      <c r="F2328" s="16"/>
      <c r="G2328" s="16"/>
      <c r="H2328" s="16"/>
      <c r="I2328" s="16"/>
      <c r="J2328" s="16"/>
      <c r="K2328" s="16"/>
      <c r="L2328" s="16"/>
      <c r="M2328" s="16"/>
    </row>
    <row r="2329" spans="1:13" x14ac:dyDescent="0.2">
      <c r="A2329" s="16"/>
      <c r="B2329" s="37"/>
      <c r="C2329" s="16"/>
      <c r="D2329" s="16"/>
      <c r="E2329" s="16"/>
      <c r="F2329" s="16"/>
      <c r="G2329" s="16"/>
      <c r="H2329" s="16"/>
      <c r="I2329" s="16"/>
      <c r="J2329" s="16"/>
      <c r="K2329" s="16"/>
      <c r="L2329" s="16"/>
      <c r="M2329" s="16"/>
    </row>
    <row r="2330" spans="1:13" x14ac:dyDescent="0.2">
      <c r="A2330" s="16"/>
      <c r="B2330" s="37"/>
      <c r="C2330" s="16"/>
      <c r="D2330" s="16"/>
      <c r="E2330" s="16"/>
      <c r="F2330" s="16"/>
      <c r="G2330" s="16"/>
      <c r="H2330" s="16"/>
      <c r="I2330" s="16"/>
      <c r="J2330" s="16"/>
      <c r="K2330" s="16"/>
      <c r="L2330" s="16"/>
      <c r="M2330" s="16"/>
    </row>
    <row r="2331" spans="1:13" x14ac:dyDescent="0.2">
      <c r="A2331" s="16"/>
      <c r="B2331" s="37"/>
      <c r="C2331" s="16"/>
      <c r="D2331" s="16"/>
      <c r="E2331" s="16"/>
      <c r="F2331" s="16"/>
      <c r="G2331" s="16"/>
      <c r="H2331" s="16"/>
      <c r="I2331" s="16"/>
      <c r="J2331" s="16"/>
      <c r="K2331" s="16"/>
      <c r="L2331" s="16"/>
      <c r="M2331" s="16"/>
    </row>
    <row r="2332" spans="1:13" x14ac:dyDescent="0.2">
      <c r="A2332" s="16"/>
      <c r="B2332" s="37"/>
      <c r="C2332" s="16"/>
      <c r="D2332" s="16"/>
      <c r="E2332" s="16"/>
      <c r="F2332" s="16"/>
      <c r="G2332" s="16"/>
      <c r="H2332" s="16"/>
      <c r="I2332" s="16"/>
      <c r="J2332" s="16"/>
      <c r="K2332" s="16"/>
      <c r="L2332" s="16"/>
      <c r="M2332" s="16"/>
    </row>
    <row r="2333" spans="1:13" x14ac:dyDescent="0.2">
      <c r="A2333" s="16"/>
      <c r="B2333" s="37"/>
      <c r="C2333" s="16"/>
      <c r="D2333" s="16"/>
      <c r="E2333" s="16"/>
      <c r="F2333" s="16"/>
      <c r="G2333" s="16"/>
      <c r="H2333" s="16"/>
      <c r="I2333" s="16"/>
      <c r="J2333" s="16"/>
      <c r="K2333" s="16"/>
      <c r="L2333" s="16"/>
      <c r="M2333" s="16"/>
    </row>
    <row r="2334" spans="1:13" x14ac:dyDescent="0.2">
      <c r="A2334" s="16"/>
      <c r="B2334" s="37"/>
      <c r="C2334" s="16"/>
      <c r="D2334" s="16"/>
      <c r="E2334" s="16"/>
      <c r="F2334" s="16"/>
      <c r="G2334" s="16"/>
      <c r="H2334" s="16"/>
      <c r="I2334" s="16"/>
      <c r="J2334" s="16"/>
      <c r="K2334" s="16"/>
      <c r="L2334" s="16"/>
      <c r="M2334" s="16"/>
    </row>
    <row r="2335" spans="1:13" x14ac:dyDescent="0.2">
      <c r="A2335" s="16"/>
      <c r="B2335" s="37"/>
      <c r="C2335" s="16"/>
      <c r="D2335" s="16"/>
      <c r="E2335" s="16"/>
      <c r="F2335" s="16"/>
      <c r="G2335" s="16"/>
      <c r="H2335" s="16"/>
      <c r="I2335" s="16"/>
      <c r="J2335" s="16"/>
      <c r="K2335" s="16"/>
      <c r="L2335" s="16"/>
      <c r="M2335" s="16"/>
    </row>
    <row r="2336" spans="1:13" x14ac:dyDescent="0.2">
      <c r="A2336" s="16"/>
      <c r="B2336" s="37"/>
      <c r="C2336" s="16"/>
      <c r="D2336" s="16"/>
      <c r="E2336" s="16"/>
      <c r="F2336" s="16"/>
      <c r="G2336" s="16"/>
      <c r="H2336" s="16"/>
      <c r="I2336" s="16"/>
      <c r="J2336" s="16"/>
      <c r="K2336" s="16"/>
      <c r="L2336" s="16"/>
      <c r="M2336" s="16"/>
    </row>
    <row r="2337" spans="1:13" x14ac:dyDescent="0.2">
      <c r="A2337" s="16"/>
      <c r="B2337" s="37"/>
      <c r="C2337" s="16"/>
      <c r="D2337" s="16"/>
      <c r="E2337" s="16"/>
      <c r="F2337" s="16"/>
      <c r="G2337" s="16"/>
      <c r="H2337" s="16"/>
      <c r="I2337" s="16"/>
      <c r="J2337" s="16"/>
      <c r="K2337" s="16"/>
      <c r="L2337" s="16"/>
      <c r="M2337" s="16"/>
    </row>
    <row r="2338" spans="1:13" x14ac:dyDescent="0.2">
      <c r="A2338" s="16"/>
      <c r="B2338" s="37"/>
      <c r="C2338" s="16"/>
      <c r="D2338" s="16"/>
      <c r="E2338" s="16"/>
      <c r="F2338" s="16"/>
      <c r="G2338" s="16"/>
      <c r="H2338" s="16"/>
      <c r="I2338" s="16"/>
      <c r="J2338" s="16"/>
      <c r="K2338" s="16"/>
      <c r="L2338" s="16"/>
      <c r="M2338" s="16"/>
    </row>
    <row r="2339" spans="1:13" x14ac:dyDescent="0.2">
      <c r="A2339" s="16"/>
      <c r="B2339" s="37"/>
      <c r="C2339" s="16"/>
      <c r="D2339" s="16"/>
      <c r="E2339" s="16"/>
      <c r="F2339" s="16"/>
      <c r="G2339" s="16"/>
      <c r="H2339" s="16"/>
      <c r="I2339" s="16"/>
      <c r="J2339" s="16"/>
      <c r="K2339" s="16"/>
      <c r="L2339" s="16"/>
      <c r="M2339" s="16"/>
    </row>
    <row r="2340" spans="1:13" x14ac:dyDescent="0.2">
      <c r="A2340" s="16"/>
      <c r="B2340" s="37"/>
      <c r="C2340" s="16"/>
      <c r="D2340" s="16"/>
      <c r="E2340" s="16"/>
      <c r="F2340" s="16"/>
      <c r="G2340" s="16"/>
      <c r="H2340" s="16"/>
      <c r="I2340" s="16"/>
      <c r="J2340" s="16"/>
      <c r="K2340" s="16"/>
      <c r="L2340" s="16"/>
      <c r="M2340" s="16"/>
    </row>
    <row r="2341" spans="1:13" x14ac:dyDescent="0.2">
      <c r="A2341" s="16"/>
      <c r="B2341" s="37"/>
      <c r="C2341" s="16"/>
      <c r="D2341" s="16"/>
      <c r="E2341" s="16"/>
      <c r="F2341" s="16"/>
      <c r="G2341" s="16"/>
      <c r="H2341" s="16"/>
      <c r="I2341" s="16"/>
      <c r="J2341" s="16"/>
      <c r="K2341" s="16"/>
      <c r="L2341" s="16"/>
      <c r="M2341" s="16"/>
    </row>
    <row r="2342" spans="1:13" x14ac:dyDescent="0.2">
      <c r="A2342" s="16"/>
      <c r="B2342" s="37"/>
      <c r="C2342" s="16"/>
      <c r="D2342" s="16"/>
      <c r="E2342" s="16"/>
      <c r="F2342" s="16"/>
      <c r="G2342" s="16"/>
      <c r="H2342" s="16"/>
      <c r="I2342" s="16"/>
      <c r="J2342" s="16"/>
      <c r="K2342" s="16"/>
      <c r="L2342" s="16"/>
      <c r="M2342" s="16"/>
    </row>
    <row r="2343" spans="1:13" x14ac:dyDescent="0.2">
      <c r="A2343" s="16"/>
      <c r="B2343" s="37"/>
      <c r="C2343" s="16"/>
      <c r="D2343" s="16"/>
      <c r="E2343" s="16"/>
      <c r="F2343" s="16"/>
      <c r="G2343" s="16"/>
      <c r="H2343" s="16"/>
      <c r="I2343" s="16"/>
      <c r="J2343" s="16"/>
      <c r="K2343" s="16"/>
      <c r="L2343" s="16"/>
      <c r="M2343" s="16"/>
    </row>
    <row r="2344" spans="1:13" x14ac:dyDescent="0.2">
      <c r="A2344" s="16"/>
      <c r="B2344" s="37"/>
      <c r="C2344" s="16"/>
      <c r="D2344" s="16"/>
      <c r="E2344" s="16"/>
      <c r="F2344" s="16"/>
      <c r="G2344" s="16"/>
      <c r="H2344" s="16"/>
      <c r="I2344" s="16"/>
      <c r="J2344" s="16"/>
      <c r="K2344" s="16"/>
      <c r="L2344" s="16"/>
      <c r="M2344" s="16"/>
    </row>
    <row r="2345" spans="1:13" x14ac:dyDescent="0.2">
      <c r="A2345" s="16"/>
      <c r="B2345" s="37"/>
      <c r="C2345" s="16"/>
      <c r="D2345" s="16"/>
      <c r="E2345" s="16"/>
      <c r="F2345" s="16"/>
      <c r="G2345" s="16"/>
      <c r="H2345" s="16"/>
      <c r="I2345" s="16"/>
      <c r="J2345" s="16"/>
      <c r="K2345" s="16"/>
      <c r="L2345" s="16"/>
      <c r="M2345" s="16"/>
    </row>
    <row r="2346" spans="1:13" x14ac:dyDescent="0.2">
      <c r="A2346" s="16"/>
      <c r="B2346" s="37"/>
      <c r="C2346" s="16"/>
      <c r="D2346" s="16"/>
      <c r="E2346" s="16"/>
      <c r="F2346" s="16"/>
      <c r="G2346" s="16"/>
      <c r="H2346" s="16"/>
      <c r="I2346" s="16"/>
      <c r="J2346" s="16"/>
      <c r="K2346" s="16"/>
      <c r="L2346" s="16"/>
      <c r="M2346" s="16"/>
    </row>
    <row r="2347" spans="1:13" x14ac:dyDescent="0.2">
      <c r="A2347" s="16"/>
      <c r="B2347" s="37"/>
      <c r="C2347" s="16"/>
      <c r="D2347" s="16"/>
      <c r="E2347" s="16"/>
      <c r="F2347" s="16"/>
      <c r="G2347" s="16"/>
      <c r="H2347" s="16"/>
      <c r="I2347" s="16"/>
      <c r="J2347" s="16"/>
      <c r="K2347" s="16"/>
      <c r="L2347" s="16"/>
      <c r="M2347" s="16"/>
    </row>
    <row r="2348" spans="1:13" x14ac:dyDescent="0.2">
      <c r="A2348" s="16"/>
      <c r="B2348" s="37"/>
      <c r="C2348" s="16"/>
      <c r="D2348" s="16"/>
      <c r="E2348" s="16"/>
      <c r="F2348" s="16"/>
      <c r="G2348" s="16"/>
      <c r="H2348" s="16"/>
      <c r="I2348" s="16"/>
      <c r="J2348" s="16"/>
      <c r="K2348" s="16"/>
      <c r="L2348" s="16"/>
      <c r="M2348" s="16"/>
    </row>
    <row r="2349" spans="1:13" x14ac:dyDescent="0.2">
      <c r="A2349" s="16"/>
      <c r="B2349" s="37"/>
      <c r="C2349" s="16"/>
      <c r="D2349" s="16"/>
      <c r="E2349" s="16"/>
      <c r="F2349" s="16"/>
      <c r="G2349" s="16"/>
      <c r="H2349" s="16"/>
      <c r="I2349" s="16"/>
      <c r="J2349" s="16"/>
      <c r="K2349" s="16"/>
      <c r="L2349" s="16"/>
      <c r="M2349" s="16"/>
    </row>
    <row r="2350" spans="1:13" x14ac:dyDescent="0.2">
      <c r="A2350" s="16"/>
      <c r="B2350" s="37"/>
      <c r="C2350" s="16"/>
      <c r="D2350" s="16"/>
      <c r="E2350" s="16"/>
      <c r="F2350" s="16"/>
      <c r="G2350" s="16"/>
      <c r="H2350" s="16"/>
      <c r="I2350" s="16"/>
      <c r="J2350" s="16"/>
      <c r="K2350" s="16"/>
      <c r="L2350" s="16"/>
      <c r="M2350" s="16"/>
    </row>
    <row r="2351" spans="1:13" x14ac:dyDescent="0.2">
      <c r="A2351" s="16"/>
      <c r="B2351" s="37"/>
      <c r="C2351" s="16"/>
      <c r="D2351" s="16"/>
      <c r="E2351" s="16"/>
      <c r="F2351" s="16"/>
      <c r="G2351" s="16"/>
      <c r="H2351" s="16"/>
      <c r="I2351" s="16"/>
      <c r="J2351" s="16"/>
      <c r="K2351" s="16"/>
      <c r="L2351" s="16"/>
      <c r="M2351" s="16"/>
    </row>
    <row r="2352" spans="1:13" x14ac:dyDescent="0.2">
      <c r="A2352" s="16"/>
      <c r="B2352" s="37"/>
      <c r="C2352" s="16"/>
      <c r="D2352" s="16"/>
      <c r="E2352" s="16"/>
      <c r="F2352" s="16"/>
      <c r="G2352" s="16"/>
      <c r="H2352" s="16"/>
      <c r="I2352" s="16"/>
      <c r="J2352" s="16"/>
      <c r="K2352" s="16"/>
      <c r="L2352" s="16"/>
      <c r="M2352" s="16"/>
    </row>
    <row r="2353" spans="1:13" x14ac:dyDescent="0.2">
      <c r="A2353" s="16"/>
      <c r="B2353" s="37"/>
      <c r="C2353" s="16"/>
      <c r="D2353" s="16"/>
      <c r="E2353" s="16"/>
      <c r="F2353" s="16"/>
      <c r="G2353" s="16"/>
      <c r="H2353" s="16"/>
      <c r="I2353" s="16"/>
      <c r="J2353" s="16"/>
      <c r="K2353" s="16"/>
      <c r="L2353" s="16"/>
      <c r="M2353" s="16"/>
    </row>
    <row r="2354" spans="1:13" x14ac:dyDescent="0.2">
      <c r="A2354" s="16"/>
      <c r="B2354" s="37"/>
      <c r="C2354" s="16"/>
      <c r="D2354" s="16"/>
      <c r="E2354" s="16"/>
      <c r="F2354" s="16"/>
      <c r="G2354" s="16"/>
      <c r="H2354" s="16"/>
      <c r="I2354" s="16"/>
      <c r="J2354" s="16"/>
      <c r="K2354" s="16"/>
      <c r="L2354" s="16"/>
      <c r="M2354" s="16"/>
    </row>
    <row r="2355" spans="1:13" x14ac:dyDescent="0.2">
      <c r="A2355" s="16"/>
      <c r="B2355" s="37"/>
      <c r="C2355" s="16"/>
      <c r="D2355" s="16"/>
      <c r="E2355" s="16"/>
      <c r="F2355" s="16"/>
      <c r="G2355" s="16"/>
      <c r="H2355" s="16"/>
      <c r="I2355" s="16"/>
      <c r="J2355" s="16"/>
      <c r="K2355" s="16"/>
      <c r="L2355" s="16"/>
      <c r="M2355" s="16"/>
    </row>
    <row r="2356" spans="1:13" x14ac:dyDescent="0.2">
      <c r="A2356" s="16"/>
      <c r="B2356" s="37"/>
      <c r="C2356" s="16"/>
      <c r="D2356" s="16"/>
      <c r="E2356" s="16"/>
      <c r="F2356" s="16"/>
      <c r="G2356" s="16"/>
      <c r="H2356" s="16"/>
      <c r="I2356" s="16"/>
      <c r="J2356" s="16"/>
      <c r="K2356" s="16"/>
      <c r="L2356" s="16"/>
      <c r="M2356" s="16"/>
    </row>
    <row r="2357" spans="1:13" x14ac:dyDescent="0.2">
      <c r="A2357" s="16"/>
      <c r="B2357" s="37"/>
      <c r="C2357" s="16"/>
      <c r="D2357" s="16"/>
      <c r="E2357" s="16"/>
      <c r="F2357" s="16"/>
      <c r="G2357" s="16"/>
      <c r="H2357" s="16"/>
      <c r="I2357" s="16"/>
      <c r="J2357" s="16"/>
      <c r="K2357" s="16"/>
      <c r="L2357" s="16"/>
      <c r="M2357" s="16"/>
    </row>
    <row r="2358" spans="1:13" x14ac:dyDescent="0.2">
      <c r="A2358" s="16"/>
      <c r="B2358" s="37"/>
      <c r="C2358" s="16"/>
      <c r="D2358" s="16"/>
      <c r="E2358" s="16"/>
      <c r="F2358" s="16"/>
      <c r="G2358" s="16"/>
      <c r="H2358" s="16"/>
      <c r="I2358" s="16"/>
      <c r="J2358" s="16"/>
      <c r="K2358" s="16"/>
      <c r="L2358" s="16"/>
      <c r="M2358" s="16"/>
    </row>
    <row r="2359" spans="1:13" x14ac:dyDescent="0.2">
      <c r="A2359" s="16"/>
      <c r="B2359" s="37"/>
      <c r="C2359" s="16"/>
      <c r="D2359" s="16"/>
      <c r="E2359" s="16"/>
      <c r="F2359" s="16"/>
      <c r="G2359" s="16"/>
      <c r="H2359" s="16"/>
      <c r="I2359" s="16"/>
      <c r="J2359" s="16"/>
      <c r="K2359" s="16"/>
      <c r="L2359" s="16"/>
      <c r="M2359" s="16"/>
    </row>
    <row r="2360" spans="1:13" x14ac:dyDescent="0.2">
      <c r="A2360" s="16"/>
      <c r="B2360" s="37"/>
      <c r="C2360" s="16"/>
      <c r="D2360" s="16"/>
      <c r="E2360" s="16"/>
      <c r="F2360" s="16"/>
      <c r="G2360" s="16"/>
      <c r="H2360" s="16"/>
      <c r="I2360" s="16"/>
      <c r="J2360" s="16"/>
      <c r="K2360" s="16"/>
      <c r="L2360" s="16"/>
      <c r="M2360" s="16"/>
    </row>
    <row r="2361" spans="1:13" x14ac:dyDescent="0.2">
      <c r="A2361" s="16"/>
      <c r="B2361" s="37"/>
      <c r="C2361" s="16"/>
      <c r="D2361" s="16"/>
      <c r="E2361" s="16"/>
      <c r="F2361" s="16"/>
      <c r="G2361" s="16"/>
      <c r="H2361" s="16"/>
      <c r="I2361" s="16"/>
      <c r="J2361" s="16"/>
      <c r="K2361" s="16"/>
      <c r="L2361" s="16"/>
      <c r="M2361" s="16"/>
    </row>
    <row r="2362" spans="1:13" x14ac:dyDescent="0.2">
      <c r="A2362" s="16"/>
      <c r="B2362" s="37"/>
      <c r="C2362" s="16"/>
      <c r="D2362" s="16"/>
      <c r="E2362" s="16"/>
      <c r="F2362" s="16"/>
      <c r="G2362" s="16"/>
      <c r="H2362" s="16"/>
      <c r="I2362" s="16"/>
      <c r="J2362" s="16"/>
      <c r="K2362" s="16"/>
      <c r="L2362" s="16"/>
      <c r="M2362" s="16"/>
    </row>
    <row r="2363" spans="1:13" x14ac:dyDescent="0.2">
      <c r="A2363" s="16"/>
      <c r="B2363" s="37"/>
      <c r="C2363" s="16"/>
      <c r="D2363" s="16"/>
      <c r="E2363" s="16"/>
      <c r="F2363" s="16"/>
      <c r="G2363" s="16"/>
      <c r="H2363" s="16"/>
      <c r="I2363" s="16"/>
      <c r="J2363" s="16"/>
      <c r="K2363" s="16"/>
      <c r="L2363" s="16"/>
      <c r="M2363" s="16"/>
    </row>
    <row r="2364" spans="1:13" x14ac:dyDescent="0.2">
      <c r="A2364" s="16"/>
      <c r="B2364" s="37"/>
      <c r="C2364" s="16"/>
      <c r="D2364" s="16"/>
      <c r="E2364" s="16"/>
      <c r="F2364" s="16"/>
      <c r="G2364" s="16"/>
      <c r="H2364" s="16"/>
      <c r="I2364" s="16"/>
      <c r="J2364" s="16"/>
      <c r="K2364" s="16"/>
      <c r="L2364" s="16"/>
      <c r="M2364" s="16"/>
    </row>
    <row r="2365" spans="1:13" x14ac:dyDescent="0.2">
      <c r="A2365" s="16"/>
      <c r="B2365" s="37"/>
      <c r="C2365" s="16"/>
      <c r="D2365" s="16"/>
      <c r="E2365" s="16"/>
      <c r="F2365" s="16"/>
      <c r="G2365" s="16"/>
      <c r="H2365" s="16"/>
      <c r="I2365" s="16"/>
      <c r="J2365" s="16"/>
      <c r="K2365" s="16"/>
      <c r="L2365" s="16"/>
      <c r="M2365" s="16"/>
    </row>
    <row r="2366" spans="1:13" x14ac:dyDescent="0.2">
      <c r="A2366" s="16"/>
      <c r="B2366" s="37"/>
      <c r="C2366" s="16"/>
      <c r="D2366" s="16"/>
      <c r="E2366" s="16"/>
      <c r="F2366" s="16"/>
      <c r="G2366" s="16"/>
      <c r="H2366" s="16"/>
      <c r="I2366" s="16"/>
      <c r="J2366" s="16"/>
      <c r="K2366" s="16"/>
      <c r="L2366" s="16"/>
      <c r="M2366" s="16"/>
    </row>
    <row r="2367" spans="1:13" x14ac:dyDescent="0.2">
      <c r="A2367" s="16"/>
      <c r="B2367" s="37"/>
      <c r="C2367" s="16"/>
      <c r="D2367" s="16"/>
      <c r="E2367" s="16"/>
      <c r="F2367" s="16"/>
      <c r="G2367" s="16"/>
      <c r="H2367" s="16"/>
      <c r="I2367" s="16"/>
      <c r="J2367" s="16"/>
      <c r="K2367" s="16"/>
      <c r="L2367" s="16"/>
      <c r="M2367" s="16"/>
    </row>
    <row r="2368" spans="1:13" x14ac:dyDescent="0.2">
      <c r="A2368" s="16"/>
      <c r="B2368" s="37"/>
      <c r="C2368" s="16"/>
      <c r="D2368" s="16"/>
      <c r="E2368" s="16"/>
      <c r="F2368" s="16"/>
      <c r="G2368" s="16"/>
      <c r="H2368" s="16"/>
      <c r="I2368" s="16"/>
      <c r="J2368" s="16"/>
      <c r="K2368" s="16"/>
      <c r="L2368" s="16"/>
      <c r="M2368" s="16"/>
    </row>
    <row r="2369" spans="1:13" x14ac:dyDescent="0.2">
      <c r="A2369" s="16"/>
      <c r="B2369" s="37"/>
      <c r="C2369" s="16"/>
      <c r="D2369" s="16"/>
      <c r="E2369" s="16"/>
      <c r="F2369" s="16"/>
      <c r="G2369" s="16"/>
      <c r="H2369" s="16"/>
      <c r="I2369" s="16"/>
      <c r="J2369" s="16"/>
      <c r="K2369" s="16"/>
      <c r="L2369" s="16"/>
      <c r="M2369" s="16"/>
    </row>
    <row r="2370" spans="1:13" x14ac:dyDescent="0.2">
      <c r="A2370" s="16"/>
      <c r="B2370" s="37"/>
      <c r="C2370" s="16"/>
      <c r="D2370" s="16"/>
      <c r="E2370" s="16"/>
      <c r="F2370" s="16"/>
      <c r="G2370" s="16"/>
      <c r="H2370" s="16"/>
      <c r="I2370" s="16"/>
      <c r="J2370" s="16"/>
      <c r="K2370" s="16"/>
      <c r="L2370" s="16"/>
      <c r="M2370" s="16"/>
    </row>
    <row r="2371" spans="1:13" x14ac:dyDescent="0.2">
      <c r="A2371" s="16"/>
      <c r="B2371" s="37"/>
      <c r="C2371" s="16"/>
      <c r="D2371" s="16"/>
      <c r="E2371" s="16"/>
      <c r="F2371" s="16"/>
      <c r="G2371" s="16"/>
      <c r="H2371" s="16"/>
      <c r="I2371" s="16"/>
      <c r="J2371" s="16"/>
      <c r="K2371" s="16"/>
      <c r="L2371" s="16"/>
      <c r="M2371" s="16"/>
    </row>
    <row r="2372" spans="1:13" x14ac:dyDescent="0.2">
      <c r="A2372" s="16"/>
      <c r="B2372" s="37"/>
      <c r="C2372" s="16"/>
      <c r="D2372" s="16"/>
      <c r="E2372" s="16"/>
      <c r="F2372" s="16"/>
      <c r="G2372" s="16"/>
      <c r="H2372" s="16"/>
      <c r="I2372" s="16"/>
      <c r="J2372" s="16"/>
      <c r="K2372" s="16"/>
      <c r="L2372" s="16"/>
      <c r="M2372" s="16"/>
    </row>
    <row r="2373" spans="1:13" x14ac:dyDescent="0.2">
      <c r="A2373" s="16"/>
      <c r="B2373" s="37"/>
      <c r="C2373" s="16"/>
      <c r="D2373" s="16"/>
      <c r="E2373" s="16"/>
      <c r="F2373" s="16"/>
      <c r="G2373" s="16"/>
      <c r="H2373" s="16"/>
      <c r="I2373" s="16"/>
      <c r="J2373" s="16"/>
      <c r="K2373" s="16"/>
      <c r="L2373" s="16"/>
      <c r="M2373" s="16"/>
    </row>
    <row r="2374" spans="1:13" x14ac:dyDescent="0.2">
      <c r="A2374" s="16"/>
      <c r="B2374" s="37"/>
      <c r="C2374" s="16"/>
      <c r="D2374" s="16"/>
      <c r="E2374" s="16"/>
      <c r="F2374" s="16"/>
      <c r="G2374" s="16"/>
      <c r="H2374" s="16"/>
      <c r="I2374" s="16"/>
      <c r="J2374" s="16"/>
      <c r="K2374" s="16"/>
      <c r="L2374" s="16"/>
      <c r="M2374" s="16"/>
    </row>
    <row r="2375" spans="1:13" x14ac:dyDescent="0.2">
      <c r="A2375" s="16"/>
      <c r="B2375" s="37"/>
      <c r="C2375" s="16"/>
      <c r="D2375" s="16"/>
      <c r="E2375" s="16"/>
      <c r="F2375" s="16"/>
      <c r="G2375" s="16"/>
      <c r="H2375" s="16"/>
      <c r="I2375" s="16"/>
      <c r="J2375" s="16"/>
      <c r="K2375" s="16"/>
      <c r="L2375" s="16"/>
      <c r="M2375" s="16"/>
    </row>
    <row r="2376" spans="1:13" x14ac:dyDescent="0.2">
      <c r="A2376" s="16"/>
      <c r="B2376" s="37"/>
      <c r="C2376" s="16"/>
      <c r="D2376" s="16"/>
      <c r="E2376" s="16"/>
      <c r="F2376" s="16"/>
      <c r="G2376" s="16"/>
      <c r="H2376" s="16"/>
      <c r="I2376" s="16"/>
      <c r="J2376" s="16"/>
      <c r="K2376" s="16"/>
      <c r="L2376" s="16"/>
      <c r="M2376" s="16"/>
    </row>
    <row r="2377" spans="1:13" x14ac:dyDescent="0.2">
      <c r="A2377" s="16"/>
      <c r="B2377" s="37"/>
      <c r="C2377" s="16"/>
      <c r="D2377" s="16"/>
      <c r="E2377" s="16"/>
      <c r="F2377" s="16"/>
      <c r="G2377" s="16"/>
      <c r="H2377" s="16"/>
      <c r="I2377" s="16"/>
      <c r="J2377" s="16"/>
      <c r="K2377" s="16"/>
      <c r="L2377" s="16"/>
      <c r="M2377" s="16"/>
    </row>
    <row r="2378" spans="1:13" x14ac:dyDescent="0.2">
      <c r="A2378" s="16"/>
      <c r="B2378" s="37"/>
      <c r="C2378" s="16"/>
      <c r="D2378" s="16"/>
      <c r="E2378" s="16"/>
      <c r="F2378" s="16"/>
      <c r="G2378" s="16"/>
      <c r="H2378" s="16"/>
      <c r="I2378" s="16"/>
      <c r="J2378" s="16"/>
      <c r="K2378" s="16"/>
      <c r="L2378" s="16"/>
      <c r="M2378" s="16"/>
    </row>
    <row r="2379" spans="1:13" x14ac:dyDescent="0.2">
      <c r="A2379" s="16"/>
      <c r="B2379" s="37"/>
      <c r="C2379" s="16"/>
      <c r="D2379" s="16"/>
      <c r="E2379" s="16"/>
      <c r="F2379" s="16"/>
      <c r="G2379" s="16"/>
      <c r="H2379" s="16"/>
      <c r="I2379" s="16"/>
      <c r="J2379" s="16"/>
      <c r="K2379" s="16"/>
      <c r="L2379" s="16"/>
      <c r="M2379" s="16"/>
    </row>
    <row r="2380" spans="1:13" x14ac:dyDescent="0.2">
      <c r="A2380" s="16"/>
      <c r="B2380" s="37"/>
      <c r="C2380" s="16"/>
      <c r="D2380" s="16"/>
      <c r="E2380" s="16"/>
      <c r="F2380" s="16"/>
      <c r="G2380" s="16"/>
      <c r="H2380" s="16"/>
      <c r="I2380" s="16"/>
      <c r="J2380" s="16"/>
      <c r="K2380" s="16"/>
      <c r="L2380" s="16"/>
      <c r="M2380" s="16"/>
    </row>
    <row r="2381" spans="1:13" x14ac:dyDescent="0.2">
      <c r="A2381" s="16"/>
      <c r="B2381" s="37"/>
      <c r="C2381" s="16"/>
      <c r="D2381" s="16"/>
      <c r="E2381" s="16"/>
      <c r="F2381" s="16"/>
      <c r="G2381" s="16"/>
      <c r="H2381" s="16"/>
      <c r="I2381" s="16"/>
      <c r="J2381" s="16"/>
      <c r="K2381" s="16"/>
      <c r="L2381" s="16"/>
      <c r="M2381" s="16"/>
    </row>
    <row r="2382" spans="1:13" x14ac:dyDescent="0.2">
      <c r="A2382" s="16"/>
      <c r="B2382" s="37"/>
      <c r="C2382" s="16"/>
      <c r="D2382" s="16"/>
      <c r="E2382" s="16"/>
      <c r="F2382" s="16"/>
      <c r="G2382" s="16"/>
      <c r="H2382" s="16"/>
      <c r="I2382" s="16"/>
      <c r="J2382" s="16"/>
      <c r="K2382" s="16"/>
      <c r="L2382" s="16"/>
      <c r="M2382" s="16"/>
    </row>
    <row r="2383" spans="1:13" x14ac:dyDescent="0.2">
      <c r="A2383" s="16"/>
      <c r="B2383" s="37"/>
      <c r="C2383" s="16"/>
      <c r="D2383" s="16"/>
      <c r="E2383" s="16"/>
      <c r="F2383" s="16"/>
      <c r="G2383" s="16"/>
      <c r="H2383" s="16"/>
      <c r="I2383" s="16"/>
      <c r="J2383" s="16"/>
      <c r="K2383" s="16"/>
      <c r="L2383" s="16"/>
      <c r="M2383" s="16"/>
    </row>
    <row r="2384" spans="1:13" x14ac:dyDescent="0.2">
      <c r="A2384" s="16"/>
      <c r="B2384" s="37"/>
      <c r="C2384" s="16"/>
      <c r="D2384" s="16"/>
      <c r="E2384" s="16"/>
      <c r="F2384" s="16"/>
      <c r="G2384" s="16"/>
      <c r="H2384" s="16"/>
      <c r="I2384" s="16"/>
      <c r="J2384" s="16"/>
      <c r="K2384" s="16"/>
      <c r="L2384" s="16"/>
      <c r="M2384" s="16"/>
    </row>
    <row r="2385" spans="1:13" x14ac:dyDescent="0.2">
      <c r="A2385" s="16"/>
      <c r="B2385" s="37"/>
      <c r="C2385" s="16"/>
      <c r="D2385" s="16"/>
      <c r="E2385" s="16"/>
      <c r="F2385" s="16"/>
      <c r="G2385" s="16"/>
      <c r="H2385" s="16"/>
      <c r="I2385" s="16"/>
      <c r="J2385" s="16"/>
      <c r="K2385" s="16"/>
      <c r="L2385" s="16"/>
      <c r="M2385" s="16"/>
    </row>
    <row r="2386" spans="1:13" x14ac:dyDescent="0.2">
      <c r="A2386" s="16"/>
      <c r="B2386" s="37"/>
      <c r="C2386" s="16"/>
      <c r="D2386" s="16"/>
      <c r="E2386" s="16"/>
      <c r="F2386" s="16"/>
      <c r="G2386" s="16"/>
      <c r="H2386" s="16"/>
      <c r="I2386" s="16"/>
      <c r="J2386" s="16"/>
      <c r="K2386" s="16"/>
      <c r="L2386" s="16"/>
      <c r="M2386" s="16"/>
    </row>
    <row r="2387" spans="1:13" x14ac:dyDescent="0.2">
      <c r="A2387" s="16"/>
      <c r="B2387" s="37"/>
      <c r="C2387" s="16"/>
      <c r="D2387" s="16"/>
      <c r="E2387" s="16"/>
      <c r="F2387" s="16"/>
      <c r="G2387" s="16"/>
      <c r="H2387" s="16"/>
      <c r="I2387" s="16"/>
      <c r="J2387" s="16"/>
      <c r="K2387" s="16"/>
      <c r="L2387" s="16"/>
      <c r="M2387" s="16"/>
    </row>
    <row r="2388" spans="1:13" x14ac:dyDescent="0.2">
      <c r="A2388" s="16"/>
      <c r="B2388" s="37"/>
      <c r="C2388" s="16"/>
      <c r="D2388" s="16"/>
      <c r="E2388" s="16"/>
      <c r="F2388" s="16"/>
      <c r="G2388" s="16"/>
      <c r="H2388" s="16"/>
      <c r="I2388" s="16"/>
      <c r="J2388" s="16"/>
      <c r="K2388" s="16"/>
      <c r="L2388" s="16"/>
      <c r="M2388" s="16"/>
    </row>
    <row r="2389" spans="1:13" x14ac:dyDescent="0.2">
      <c r="A2389" s="16"/>
      <c r="B2389" s="37"/>
      <c r="C2389" s="16"/>
      <c r="D2389" s="16"/>
      <c r="E2389" s="16"/>
      <c r="F2389" s="16"/>
      <c r="G2389" s="16"/>
      <c r="H2389" s="16"/>
      <c r="I2389" s="16"/>
      <c r="J2389" s="16"/>
      <c r="K2389" s="16"/>
      <c r="L2389" s="16"/>
      <c r="M2389" s="16"/>
    </row>
    <row r="2390" spans="1:13" x14ac:dyDescent="0.2">
      <c r="A2390" s="16"/>
      <c r="B2390" s="37"/>
      <c r="C2390" s="16"/>
      <c r="D2390" s="16"/>
      <c r="E2390" s="16"/>
      <c r="F2390" s="16"/>
      <c r="G2390" s="16"/>
      <c r="H2390" s="16"/>
      <c r="I2390" s="16"/>
      <c r="J2390" s="16"/>
      <c r="K2390" s="16"/>
      <c r="L2390" s="16"/>
      <c r="M2390" s="16"/>
    </row>
    <row r="2391" spans="1:13" x14ac:dyDescent="0.2">
      <c r="A2391" s="16"/>
      <c r="B2391" s="37"/>
      <c r="C2391" s="16"/>
      <c r="D2391" s="16"/>
      <c r="E2391" s="16"/>
      <c r="F2391" s="16"/>
      <c r="G2391" s="16"/>
      <c r="H2391" s="16"/>
      <c r="I2391" s="16"/>
      <c r="J2391" s="16"/>
      <c r="K2391" s="16"/>
      <c r="L2391" s="16"/>
      <c r="M2391" s="16"/>
    </row>
    <row r="2392" spans="1:13" x14ac:dyDescent="0.2">
      <c r="A2392" s="16"/>
      <c r="B2392" s="37"/>
      <c r="C2392" s="16"/>
      <c r="D2392" s="16"/>
      <c r="E2392" s="16"/>
      <c r="F2392" s="16"/>
      <c r="G2392" s="16"/>
      <c r="H2392" s="16"/>
      <c r="I2392" s="16"/>
      <c r="J2392" s="16"/>
      <c r="K2392" s="16"/>
      <c r="L2392" s="16"/>
      <c r="M2392" s="16"/>
    </row>
    <row r="2393" spans="1:13" x14ac:dyDescent="0.2">
      <c r="A2393" s="16"/>
      <c r="B2393" s="37"/>
      <c r="C2393" s="16"/>
      <c r="D2393" s="16"/>
      <c r="E2393" s="16"/>
      <c r="F2393" s="16"/>
      <c r="G2393" s="16"/>
      <c r="H2393" s="16"/>
      <c r="I2393" s="16"/>
      <c r="J2393" s="16"/>
      <c r="K2393" s="16"/>
      <c r="L2393" s="16"/>
      <c r="M2393" s="16"/>
    </row>
    <row r="2394" spans="1:13" x14ac:dyDescent="0.2">
      <c r="A2394" s="16"/>
      <c r="B2394" s="37"/>
      <c r="C2394" s="16"/>
      <c r="D2394" s="16"/>
      <c r="E2394" s="16"/>
      <c r="F2394" s="16"/>
      <c r="G2394" s="16"/>
      <c r="H2394" s="16"/>
      <c r="I2394" s="16"/>
      <c r="J2394" s="16"/>
      <c r="K2394" s="16"/>
      <c r="L2394" s="16"/>
      <c r="M2394" s="16"/>
    </row>
    <row r="2395" spans="1:13" x14ac:dyDescent="0.2">
      <c r="A2395" s="16"/>
      <c r="B2395" s="37"/>
      <c r="C2395" s="16"/>
      <c r="D2395" s="16"/>
      <c r="E2395" s="16"/>
      <c r="F2395" s="16"/>
      <c r="G2395" s="16"/>
      <c r="H2395" s="16"/>
      <c r="I2395" s="16"/>
      <c r="J2395" s="16"/>
      <c r="K2395" s="16"/>
      <c r="L2395" s="16"/>
      <c r="M2395" s="16"/>
    </row>
    <row r="2396" spans="1:13" x14ac:dyDescent="0.2">
      <c r="A2396" s="16"/>
      <c r="B2396" s="37"/>
      <c r="C2396" s="16"/>
      <c r="D2396" s="16"/>
      <c r="E2396" s="16"/>
      <c r="F2396" s="16"/>
      <c r="G2396" s="16"/>
      <c r="H2396" s="16"/>
      <c r="I2396" s="16"/>
      <c r="J2396" s="16"/>
      <c r="K2396" s="16"/>
      <c r="L2396" s="16"/>
      <c r="M2396" s="16"/>
    </row>
    <row r="2397" spans="1:13" x14ac:dyDescent="0.2">
      <c r="A2397" s="16"/>
      <c r="B2397" s="37"/>
      <c r="C2397" s="16"/>
      <c r="D2397" s="16"/>
      <c r="E2397" s="16"/>
      <c r="F2397" s="16"/>
      <c r="G2397" s="16"/>
      <c r="H2397" s="16"/>
      <c r="I2397" s="16"/>
      <c r="J2397" s="16"/>
      <c r="K2397" s="16"/>
      <c r="L2397" s="16"/>
      <c r="M2397" s="16"/>
    </row>
    <row r="2398" spans="1:13" x14ac:dyDescent="0.2">
      <c r="A2398" s="16"/>
      <c r="B2398" s="37"/>
      <c r="C2398" s="16"/>
      <c r="D2398" s="16"/>
      <c r="E2398" s="16"/>
      <c r="F2398" s="16"/>
      <c r="G2398" s="16"/>
      <c r="H2398" s="16"/>
      <c r="I2398" s="16"/>
      <c r="J2398" s="16"/>
      <c r="K2398" s="16"/>
      <c r="L2398" s="16"/>
      <c r="M2398" s="16"/>
    </row>
    <row r="2399" spans="1:13" x14ac:dyDescent="0.2">
      <c r="A2399" s="16"/>
      <c r="B2399" s="37"/>
      <c r="C2399" s="16"/>
      <c r="D2399" s="16"/>
      <c r="E2399" s="16"/>
      <c r="F2399" s="16"/>
      <c r="G2399" s="16"/>
      <c r="H2399" s="16"/>
      <c r="I2399" s="16"/>
      <c r="J2399" s="16"/>
      <c r="K2399" s="16"/>
      <c r="L2399" s="16"/>
      <c r="M2399" s="16"/>
    </row>
    <row r="2400" spans="1:13" x14ac:dyDescent="0.2">
      <c r="A2400" s="16"/>
      <c r="B2400" s="37"/>
      <c r="C2400" s="16"/>
      <c r="D2400" s="16"/>
      <c r="E2400" s="16"/>
      <c r="F2400" s="16"/>
      <c r="G2400" s="16"/>
      <c r="H2400" s="16"/>
      <c r="I2400" s="16"/>
      <c r="J2400" s="16"/>
      <c r="K2400" s="16"/>
      <c r="L2400" s="16"/>
      <c r="M2400" s="16"/>
    </row>
    <row r="2401" spans="1:13" x14ac:dyDescent="0.2">
      <c r="A2401" s="16"/>
      <c r="B2401" s="37"/>
      <c r="C2401" s="16"/>
      <c r="D2401" s="16"/>
      <c r="E2401" s="16"/>
      <c r="F2401" s="16"/>
      <c r="G2401" s="16"/>
      <c r="H2401" s="16"/>
      <c r="I2401" s="16"/>
      <c r="J2401" s="16"/>
      <c r="K2401" s="16"/>
      <c r="L2401" s="16"/>
      <c r="M2401" s="16"/>
    </row>
    <row r="2402" spans="1:13" x14ac:dyDescent="0.2">
      <c r="A2402" s="16"/>
      <c r="B2402" s="37"/>
      <c r="C2402" s="16"/>
      <c r="D2402" s="16"/>
      <c r="E2402" s="16"/>
      <c r="F2402" s="16"/>
      <c r="G2402" s="16"/>
      <c r="H2402" s="16"/>
      <c r="I2402" s="16"/>
      <c r="J2402" s="16"/>
      <c r="K2402" s="16"/>
      <c r="L2402" s="16"/>
      <c r="M2402" s="16"/>
    </row>
    <row r="2403" spans="1:13" x14ac:dyDescent="0.2">
      <c r="A2403" s="16"/>
      <c r="B2403" s="37"/>
      <c r="C2403" s="16"/>
      <c r="D2403" s="16"/>
      <c r="E2403" s="16"/>
      <c r="F2403" s="16"/>
      <c r="G2403" s="16"/>
      <c r="H2403" s="16"/>
      <c r="I2403" s="16"/>
      <c r="J2403" s="16"/>
      <c r="K2403" s="16"/>
      <c r="L2403" s="16"/>
      <c r="M2403" s="16"/>
    </row>
    <row r="2404" spans="1:13" x14ac:dyDescent="0.2">
      <c r="A2404" s="16"/>
      <c r="B2404" s="37"/>
      <c r="C2404" s="16"/>
      <c r="D2404" s="16"/>
      <c r="E2404" s="16"/>
      <c r="F2404" s="16"/>
      <c r="G2404" s="16"/>
      <c r="H2404" s="16"/>
      <c r="I2404" s="16"/>
      <c r="J2404" s="16"/>
      <c r="K2404" s="16"/>
      <c r="L2404" s="16"/>
      <c r="M2404" s="16"/>
    </row>
    <row r="2405" spans="1:13" x14ac:dyDescent="0.2">
      <c r="A2405" s="16"/>
      <c r="B2405" s="37"/>
      <c r="C2405" s="16"/>
      <c r="D2405" s="16"/>
      <c r="E2405" s="16"/>
      <c r="F2405" s="16"/>
      <c r="G2405" s="16"/>
      <c r="H2405" s="16"/>
      <c r="I2405" s="16"/>
      <c r="J2405" s="16"/>
      <c r="K2405" s="16"/>
      <c r="L2405" s="16"/>
      <c r="M2405" s="16"/>
    </row>
    <row r="2406" spans="1:13" x14ac:dyDescent="0.2">
      <c r="A2406" s="16"/>
      <c r="B2406" s="37"/>
      <c r="C2406" s="16"/>
      <c r="D2406" s="16"/>
      <c r="E2406" s="16"/>
      <c r="F2406" s="16"/>
      <c r="G2406" s="16"/>
      <c r="H2406" s="16"/>
      <c r="I2406" s="16"/>
      <c r="J2406" s="16"/>
      <c r="K2406" s="16"/>
      <c r="L2406" s="16"/>
      <c r="M2406" s="16"/>
    </row>
    <row r="2407" spans="1:13" x14ac:dyDescent="0.2">
      <c r="A2407" s="16"/>
      <c r="B2407" s="37"/>
      <c r="C2407" s="16"/>
      <c r="D2407" s="16"/>
      <c r="E2407" s="16"/>
      <c r="F2407" s="16"/>
      <c r="G2407" s="16"/>
      <c r="H2407" s="16"/>
      <c r="I2407" s="16"/>
      <c r="J2407" s="16"/>
      <c r="K2407" s="16"/>
      <c r="L2407" s="16"/>
      <c r="M2407" s="16"/>
    </row>
    <row r="2408" spans="1:13" x14ac:dyDescent="0.2">
      <c r="A2408" s="16"/>
      <c r="B2408" s="37"/>
      <c r="C2408" s="16"/>
      <c r="D2408" s="16"/>
      <c r="E2408" s="16"/>
      <c r="F2408" s="16"/>
      <c r="G2408" s="16"/>
      <c r="H2408" s="16"/>
      <c r="I2408" s="16"/>
      <c r="J2408" s="16"/>
      <c r="K2408" s="16"/>
      <c r="L2408" s="16"/>
      <c r="M2408" s="16"/>
    </row>
    <row r="2409" spans="1:13" x14ac:dyDescent="0.2">
      <c r="A2409" s="16"/>
      <c r="B2409" s="37"/>
      <c r="C2409" s="16"/>
      <c r="D2409" s="16"/>
      <c r="E2409" s="16"/>
      <c r="F2409" s="16"/>
      <c r="G2409" s="16"/>
      <c r="H2409" s="16"/>
      <c r="I2409" s="16"/>
      <c r="J2409" s="16"/>
      <c r="K2409" s="16"/>
      <c r="L2409" s="16"/>
      <c r="M2409" s="16"/>
    </row>
    <row r="2410" spans="1:13" x14ac:dyDescent="0.2">
      <c r="A2410" s="16"/>
      <c r="B2410" s="37"/>
      <c r="C2410" s="16"/>
      <c r="D2410" s="16"/>
      <c r="E2410" s="16"/>
      <c r="F2410" s="16"/>
      <c r="G2410" s="16"/>
      <c r="H2410" s="16"/>
      <c r="I2410" s="16"/>
      <c r="J2410" s="16"/>
      <c r="K2410" s="16"/>
      <c r="L2410" s="16"/>
      <c r="M2410" s="16"/>
    </row>
    <row r="2411" spans="1:13" x14ac:dyDescent="0.2">
      <c r="A2411" s="16"/>
      <c r="B2411" s="37"/>
      <c r="C2411" s="16"/>
      <c r="D2411" s="16"/>
      <c r="E2411" s="16"/>
      <c r="F2411" s="16"/>
      <c r="G2411" s="16"/>
      <c r="H2411" s="16"/>
      <c r="I2411" s="16"/>
      <c r="J2411" s="16"/>
      <c r="K2411" s="16"/>
      <c r="L2411" s="16"/>
      <c r="M2411" s="16"/>
    </row>
    <row r="2412" spans="1:13" x14ac:dyDescent="0.2">
      <c r="A2412" s="16"/>
      <c r="B2412" s="37"/>
      <c r="C2412" s="16"/>
      <c r="D2412" s="16"/>
      <c r="E2412" s="16"/>
      <c r="F2412" s="16"/>
      <c r="G2412" s="16"/>
      <c r="H2412" s="16"/>
      <c r="I2412" s="16"/>
      <c r="J2412" s="16"/>
      <c r="K2412" s="16"/>
      <c r="L2412" s="16"/>
      <c r="M2412" s="16"/>
    </row>
    <row r="2413" spans="1:13" x14ac:dyDescent="0.2">
      <c r="A2413" s="16"/>
      <c r="B2413" s="37"/>
      <c r="C2413" s="16"/>
      <c r="D2413" s="16"/>
      <c r="E2413" s="16"/>
      <c r="F2413" s="16"/>
      <c r="G2413" s="16"/>
      <c r="H2413" s="16"/>
      <c r="I2413" s="16"/>
      <c r="J2413" s="16"/>
      <c r="K2413" s="16"/>
      <c r="L2413" s="16"/>
      <c r="M2413" s="16"/>
    </row>
    <row r="2414" spans="1:13" x14ac:dyDescent="0.2">
      <c r="A2414" s="16"/>
      <c r="B2414" s="37"/>
      <c r="C2414" s="16"/>
      <c r="D2414" s="16"/>
      <c r="E2414" s="16"/>
      <c r="F2414" s="16"/>
      <c r="G2414" s="16"/>
      <c r="H2414" s="16"/>
      <c r="I2414" s="16"/>
      <c r="J2414" s="16"/>
      <c r="K2414" s="16"/>
      <c r="L2414" s="16"/>
      <c r="M2414" s="16"/>
    </row>
    <row r="2415" spans="1:13" x14ac:dyDescent="0.2">
      <c r="A2415" s="16"/>
      <c r="B2415" s="37"/>
      <c r="C2415" s="16"/>
      <c r="D2415" s="16"/>
      <c r="E2415" s="16"/>
      <c r="F2415" s="16"/>
      <c r="G2415" s="16"/>
      <c r="H2415" s="16"/>
      <c r="I2415" s="16"/>
      <c r="J2415" s="16"/>
      <c r="K2415" s="16"/>
      <c r="L2415" s="16"/>
      <c r="M2415" s="16"/>
    </row>
    <row r="2416" spans="1:13" x14ac:dyDescent="0.2">
      <c r="A2416" s="16"/>
      <c r="B2416" s="37"/>
      <c r="C2416" s="16"/>
      <c r="D2416" s="16"/>
      <c r="E2416" s="16"/>
      <c r="F2416" s="16"/>
      <c r="G2416" s="16"/>
      <c r="H2416" s="16"/>
      <c r="I2416" s="16"/>
      <c r="J2416" s="16"/>
      <c r="K2416" s="16"/>
      <c r="L2416" s="16"/>
      <c r="M2416" s="16"/>
    </row>
    <row r="2417" spans="1:13" x14ac:dyDescent="0.2">
      <c r="A2417" s="16"/>
      <c r="B2417" s="37"/>
      <c r="C2417" s="16"/>
      <c r="D2417" s="16"/>
      <c r="E2417" s="16"/>
      <c r="F2417" s="16"/>
      <c r="G2417" s="16"/>
      <c r="H2417" s="16"/>
      <c r="I2417" s="16"/>
      <c r="J2417" s="16"/>
      <c r="K2417" s="16"/>
      <c r="L2417" s="16"/>
      <c r="M2417" s="16"/>
    </row>
    <row r="2418" spans="1:13" x14ac:dyDescent="0.2">
      <c r="A2418" s="16"/>
      <c r="B2418" s="37"/>
      <c r="C2418" s="16"/>
      <c r="D2418" s="16"/>
      <c r="E2418" s="16"/>
      <c r="F2418" s="16"/>
      <c r="G2418" s="16"/>
      <c r="H2418" s="16"/>
      <c r="I2418" s="16"/>
      <c r="J2418" s="16"/>
      <c r="K2418" s="16"/>
      <c r="L2418" s="16"/>
      <c r="M2418" s="16"/>
    </row>
    <row r="2419" spans="1:13" x14ac:dyDescent="0.2">
      <c r="A2419" s="16"/>
      <c r="B2419" s="37"/>
      <c r="C2419" s="16"/>
      <c r="D2419" s="16"/>
      <c r="E2419" s="16"/>
      <c r="F2419" s="16"/>
      <c r="G2419" s="16"/>
      <c r="H2419" s="16"/>
      <c r="I2419" s="16"/>
      <c r="J2419" s="16"/>
      <c r="K2419" s="16"/>
      <c r="L2419" s="16"/>
      <c r="M2419" s="16"/>
    </row>
    <row r="2420" spans="1:13" x14ac:dyDescent="0.2">
      <c r="A2420" s="16"/>
      <c r="B2420" s="37"/>
      <c r="C2420" s="16"/>
      <c r="D2420" s="16"/>
      <c r="E2420" s="16"/>
      <c r="F2420" s="16"/>
      <c r="G2420" s="16"/>
      <c r="H2420" s="16"/>
      <c r="I2420" s="16"/>
      <c r="J2420" s="16"/>
      <c r="K2420" s="16"/>
      <c r="L2420" s="16"/>
      <c r="M2420" s="16"/>
    </row>
    <row r="2421" spans="1:13" x14ac:dyDescent="0.2">
      <c r="A2421" s="16"/>
      <c r="B2421" s="37"/>
      <c r="C2421" s="16"/>
      <c r="D2421" s="16"/>
      <c r="E2421" s="16"/>
      <c r="F2421" s="16"/>
      <c r="G2421" s="16"/>
      <c r="H2421" s="16"/>
      <c r="I2421" s="16"/>
      <c r="J2421" s="16"/>
      <c r="K2421" s="16"/>
      <c r="L2421" s="16"/>
      <c r="M2421" s="16"/>
    </row>
    <row r="2422" spans="1:13" x14ac:dyDescent="0.2">
      <c r="A2422" s="16"/>
      <c r="B2422" s="37"/>
      <c r="C2422" s="16"/>
      <c r="D2422" s="16"/>
      <c r="E2422" s="16"/>
      <c r="F2422" s="16"/>
      <c r="G2422" s="16"/>
      <c r="H2422" s="16"/>
      <c r="I2422" s="16"/>
      <c r="J2422" s="16"/>
      <c r="K2422" s="16"/>
      <c r="L2422" s="16"/>
      <c r="M2422" s="16"/>
    </row>
    <row r="2423" spans="1:13" x14ac:dyDescent="0.2">
      <c r="A2423" s="16"/>
      <c r="B2423" s="37"/>
      <c r="C2423" s="16"/>
      <c r="D2423" s="16"/>
      <c r="E2423" s="16"/>
      <c r="F2423" s="16"/>
      <c r="G2423" s="16"/>
      <c r="H2423" s="16"/>
      <c r="I2423" s="16"/>
      <c r="J2423" s="16"/>
      <c r="K2423" s="16"/>
      <c r="L2423" s="16"/>
      <c r="M2423" s="16"/>
    </row>
    <row r="2424" spans="1:13" x14ac:dyDescent="0.2">
      <c r="A2424" s="16"/>
      <c r="B2424" s="37"/>
      <c r="C2424" s="16"/>
      <c r="D2424" s="16"/>
      <c r="E2424" s="16"/>
      <c r="F2424" s="16"/>
      <c r="G2424" s="16"/>
      <c r="H2424" s="16"/>
      <c r="I2424" s="16"/>
      <c r="J2424" s="16"/>
      <c r="K2424" s="16"/>
      <c r="L2424" s="16"/>
      <c r="M2424" s="16"/>
    </row>
    <row r="2425" spans="1:13" x14ac:dyDescent="0.2">
      <c r="A2425" s="16"/>
      <c r="B2425" s="37"/>
      <c r="C2425" s="16"/>
      <c r="D2425" s="16"/>
      <c r="E2425" s="16"/>
      <c r="F2425" s="16"/>
      <c r="G2425" s="16"/>
      <c r="H2425" s="16"/>
      <c r="I2425" s="16"/>
      <c r="J2425" s="16"/>
      <c r="K2425" s="16"/>
      <c r="L2425" s="16"/>
      <c r="M2425" s="16"/>
    </row>
    <row r="2426" spans="1:13" x14ac:dyDescent="0.2">
      <c r="A2426" s="16"/>
      <c r="B2426" s="37"/>
      <c r="C2426" s="16"/>
      <c r="D2426" s="16"/>
      <c r="E2426" s="16"/>
      <c r="F2426" s="16"/>
      <c r="G2426" s="16"/>
      <c r="H2426" s="16"/>
      <c r="I2426" s="16"/>
      <c r="J2426" s="16"/>
      <c r="K2426" s="16"/>
      <c r="L2426" s="16"/>
      <c r="M2426" s="16"/>
    </row>
    <row r="2427" spans="1:13" x14ac:dyDescent="0.2">
      <c r="A2427" s="16"/>
      <c r="B2427" s="37"/>
      <c r="C2427" s="16"/>
      <c r="D2427" s="16"/>
      <c r="E2427" s="16"/>
      <c r="F2427" s="16"/>
      <c r="G2427" s="16"/>
      <c r="H2427" s="16"/>
      <c r="I2427" s="16"/>
      <c r="J2427" s="16"/>
      <c r="K2427" s="16"/>
      <c r="L2427" s="16"/>
      <c r="M2427" s="16"/>
    </row>
    <row r="2428" spans="1:13" x14ac:dyDescent="0.2">
      <c r="A2428" s="16"/>
      <c r="B2428" s="37"/>
      <c r="C2428" s="16"/>
      <c r="D2428" s="16"/>
      <c r="E2428" s="16"/>
      <c r="F2428" s="16"/>
      <c r="G2428" s="16"/>
      <c r="H2428" s="16"/>
      <c r="I2428" s="16"/>
      <c r="J2428" s="16"/>
      <c r="K2428" s="16"/>
      <c r="L2428" s="16"/>
      <c r="M2428" s="16"/>
    </row>
    <row r="2429" spans="1:13" x14ac:dyDescent="0.2">
      <c r="A2429" s="16"/>
      <c r="B2429" s="37"/>
      <c r="C2429" s="16"/>
      <c r="D2429" s="16"/>
      <c r="E2429" s="16"/>
      <c r="F2429" s="16"/>
      <c r="G2429" s="16"/>
      <c r="H2429" s="16"/>
      <c r="I2429" s="16"/>
      <c r="J2429" s="16"/>
      <c r="K2429" s="16"/>
      <c r="L2429" s="16"/>
      <c r="M2429" s="16"/>
    </row>
    <row r="2430" spans="1:13" x14ac:dyDescent="0.2">
      <c r="A2430" s="16"/>
      <c r="B2430" s="37"/>
      <c r="C2430" s="16"/>
      <c r="D2430" s="16"/>
      <c r="E2430" s="16"/>
      <c r="F2430" s="16"/>
      <c r="G2430" s="16"/>
      <c r="H2430" s="16"/>
      <c r="I2430" s="16"/>
      <c r="J2430" s="16"/>
      <c r="K2430" s="16"/>
      <c r="L2430" s="16"/>
      <c r="M2430" s="16"/>
    </row>
    <row r="2431" spans="1:13" x14ac:dyDescent="0.2">
      <c r="A2431" s="16"/>
      <c r="B2431" s="37"/>
      <c r="C2431" s="16"/>
      <c r="D2431" s="16"/>
      <c r="E2431" s="16"/>
      <c r="F2431" s="16"/>
      <c r="G2431" s="16"/>
      <c r="H2431" s="16"/>
      <c r="I2431" s="16"/>
      <c r="J2431" s="16"/>
      <c r="K2431" s="16"/>
      <c r="L2431" s="16"/>
      <c r="M2431" s="16"/>
    </row>
    <row r="2432" spans="1:13" x14ac:dyDescent="0.2">
      <c r="A2432" s="16"/>
      <c r="B2432" s="37"/>
      <c r="C2432" s="16"/>
      <c r="D2432" s="16"/>
      <c r="E2432" s="16"/>
      <c r="F2432" s="16"/>
      <c r="G2432" s="16"/>
      <c r="H2432" s="16"/>
      <c r="I2432" s="16"/>
      <c r="J2432" s="16"/>
      <c r="K2432" s="16"/>
      <c r="L2432" s="16"/>
      <c r="M2432" s="16"/>
    </row>
    <row r="2433" spans="1:13" x14ac:dyDescent="0.2">
      <c r="A2433" s="16"/>
      <c r="B2433" s="37"/>
      <c r="C2433" s="16"/>
      <c r="D2433" s="16"/>
      <c r="E2433" s="16"/>
      <c r="F2433" s="16"/>
      <c r="G2433" s="16"/>
      <c r="H2433" s="16"/>
      <c r="I2433" s="16"/>
      <c r="J2433" s="16"/>
      <c r="K2433" s="16"/>
      <c r="L2433" s="16"/>
      <c r="M2433" s="16"/>
    </row>
    <row r="2434" spans="1:13" x14ac:dyDescent="0.2">
      <c r="A2434" s="16"/>
      <c r="B2434" s="37"/>
      <c r="C2434" s="16"/>
      <c r="D2434" s="16"/>
      <c r="E2434" s="16"/>
      <c r="F2434" s="16"/>
      <c r="G2434" s="16"/>
      <c r="H2434" s="16"/>
      <c r="I2434" s="16"/>
      <c r="J2434" s="16"/>
      <c r="K2434" s="16"/>
      <c r="L2434" s="16"/>
      <c r="M2434" s="16"/>
    </row>
    <row r="2435" spans="1:13" x14ac:dyDescent="0.2">
      <c r="A2435" s="16"/>
      <c r="B2435" s="37"/>
      <c r="C2435" s="16"/>
      <c r="D2435" s="16"/>
      <c r="E2435" s="16"/>
      <c r="F2435" s="16"/>
      <c r="G2435" s="16"/>
      <c r="H2435" s="16"/>
      <c r="I2435" s="16"/>
      <c r="J2435" s="16"/>
      <c r="K2435" s="16"/>
      <c r="L2435" s="16"/>
      <c r="M2435" s="16"/>
    </row>
    <row r="2436" spans="1:13" x14ac:dyDescent="0.2">
      <c r="A2436" s="16"/>
      <c r="B2436" s="37"/>
      <c r="C2436" s="16"/>
      <c r="D2436" s="16"/>
      <c r="E2436" s="16"/>
      <c r="F2436" s="16"/>
      <c r="G2436" s="16"/>
      <c r="H2436" s="16"/>
      <c r="I2436" s="16"/>
      <c r="J2436" s="16"/>
      <c r="K2436" s="16"/>
      <c r="L2436" s="16"/>
      <c r="M2436" s="16"/>
    </row>
    <row r="2437" spans="1:13" x14ac:dyDescent="0.2">
      <c r="A2437" s="16"/>
      <c r="B2437" s="37"/>
      <c r="C2437" s="16"/>
      <c r="D2437" s="16"/>
      <c r="E2437" s="16"/>
      <c r="F2437" s="16"/>
      <c r="G2437" s="16"/>
      <c r="H2437" s="16"/>
      <c r="I2437" s="16"/>
      <c r="J2437" s="16"/>
      <c r="K2437" s="16"/>
      <c r="L2437" s="16"/>
      <c r="M2437" s="16"/>
    </row>
    <row r="2438" spans="1:13" x14ac:dyDescent="0.2">
      <c r="A2438" s="16"/>
      <c r="B2438" s="37"/>
      <c r="C2438" s="16"/>
      <c r="D2438" s="16"/>
      <c r="E2438" s="16"/>
      <c r="F2438" s="16"/>
      <c r="G2438" s="16"/>
      <c r="H2438" s="16"/>
      <c r="I2438" s="16"/>
      <c r="J2438" s="16"/>
      <c r="K2438" s="16"/>
      <c r="L2438" s="16"/>
      <c r="M2438" s="16"/>
    </row>
    <row r="2439" spans="1:13" x14ac:dyDescent="0.2">
      <c r="A2439" s="16"/>
      <c r="B2439" s="37"/>
      <c r="C2439" s="16"/>
      <c r="D2439" s="16"/>
      <c r="E2439" s="16"/>
      <c r="F2439" s="16"/>
      <c r="G2439" s="16"/>
      <c r="H2439" s="16"/>
      <c r="I2439" s="16"/>
      <c r="J2439" s="16"/>
      <c r="K2439" s="16"/>
      <c r="L2439" s="16"/>
      <c r="M2439" s="16"/>
    </row>
    <row r="2440" spans="1:13" x14ac:dyDescent="0.2">
      <c r="A2440" s="16"/>
      <c r="B2440" s="37"/>
      <c r="C2440" s="16"/>
      <c r="D2440" s="16"/>
      <c r="E2440" s="16"/>
      <c r="F2440" s="16"/>
      <c r="G2440" s="16"/>
      <c r="H2440" s="16"/>
      <c r="I2440" s="16"/>
      <c r="J2440" s="16"/>
      <c r="K2440" s="16"/>
      <c r="L2440" s="16"/>
      <c r="M2440" s="16"/>
    </row>
    <row r="2441" spans="1:13" x14ac:dyDescent="0.2">
      <c r="A2441" s="16"/>
      <c r="B2441" s="37"/>
      <c r="C2441" s="16"/>
      <c r="D2441" s="16"/>
      <c r="E2441" s="16"/>
      <c r="F2441" s="16"/>
      <c r="G2441" s="16"/>
      <c r="H2441" s="16"/>
      <c r="I2441" s="16"/>
      <c r="J2441" s="16"/>
      <c r="K2441" s="16"/>
      <c r="L2441" s="16"/>
      <c r="M2441" s="16"/>
    </row>
    <row r="2442" spans="1:13" x14ac:dyDescent="0.2">
      <c r="A2442" s="16"/>
      <c r="B2442" s="37"/>
      <c r="C2442" s="16"/>
      <c r="D2442" s="16"/>
      <c r="E2442" s="16"/>
      <c r="F2442" s="16"/>
      <c r="G2442" s="16"/>
      <c r="H2442" s="16"/>
      <c r="I2442" s="16"/>
      <c r="J2442" s="16"/>
      <c r="K2442" s="16"/>
      <c r="L2442" s="16"/>
      <c r="M2442" s="16"/>
    </row>
    <row r="2443" spans="1:13" x14ac:dyDescent="0.2">
      <c r="A2443" s="16"/>
      <c r="B2443" s="37"/>
      <c r="C2443" s="16"/>
      <c r="D2443" s="16"/>
      <c r="E2443" s="16"/>
      <c r="F2443" s="16"/>
      <c r="G2443" s="16"/>
      <c r="H2443" s="16"/>
      <c r="I2443" s="16"/>
      <c r="J2443" s="16"/>
      <c r="K2443" s="16"/>
      <c r="L2443" s="16"/>
      <c r="M2443" s="16"/>
    </row>
    <row r="2444" spans="1:13" x14ac:dyDescent="0.2">
      <c r="A2444" s="16"/>
      <c r="B2444" s="37"/>
      <c r="C2444" s="16"/>
      <c r="D2444" s="16"/>
      <c r="E2444" s="16"/>
      <c r="F2444" s="16"/>
      <c r="G2444" s="16"/>
      <c r="H2444" s="16"/>
      <c r="I2444" s="16"/>
      <c r="J2444" s="16"/>
      <c r="K2444" s="16"/>
      <c r="L2444" s="16"/>
      <c r="M2444" s="16"/>
    </row>
    <row r="2445" spans="1:13" x14ac:dyDescent="0.2">
      <c r="A2445" s="16"/>
      <c r="B2445" s="37"/>
      <c r="C2445" s="16"/>
      <c r="D2445" s="16"/>
      <c r="E2445" s="16"/>
      <c r="F2445" s="16"/>
      <c r="G2445" s="16"/>
      <c r="H2445" s="16"/>
      <c r="I2445" s="16"/>
      <c r="J2445" s="16"/>
      <c r="K2445" s="16"/>
      <c r="L2445" s="16"/>
      <c r="M2445" s="16"/>
    </row>
    <row r="2446" spans="1:13" x14ac:dyDescent="0.2">
      <c r="A2446" s="16"/>
      <c r="B2446" s="37"/>
      <c r="C2446" s="16"/>
      <c r="D2446" s="16"/>
      <c r="E2446" s="16"/>
      <c r="F2446" s="16"/>
      <c r="G2446" s="16"/>
      <c r="H2446" s="16"/>
      <c r="I2446" s="16"/>
      <c r="J2446" s="16"/>
      <c r="K2446" s="16"/>
      <c r="L2446" s="16"/>
      <c r="M2446" s="16"/>
    </row>
    <row r="2447" spans="1:13" x14ac:dyDescent="0.2">
      <c r="A2447" s="16"/>
      <c r="B2447" s="37"/>
      <c r="C2447" s="16"/>
      <c r="D2447" s="16"/>
      <c r="E2447" s="16"/>
      <c r="F2447" s="16"/>
      <c r="G2447" s="16"/>
      <c r="H2447" s="16"/>
      <c r="I2447" s="16"/>
      <c r="J2447" s="16"/>
      <c r="K2447" s="16"/>
      <c r="L2447" s="16"/>
      <c r="M2447" s="16"/>
    </row>
    <row r="2448" spans="1:13" x14ac:dyDescent="0.2">
      <c r="A2448" s="16"/>
      <c r="B2448" s="37"/>
      <c r="C2448" s="16"/>
      <c r="D2448" s="16"/>
      <c r="E2448" s="16"/>
      <c r="F2448" s="16"/>
      <c r="G2448" s="16"/>
      <c r="H2448" s="16"/>
      <c r="I2448" s="16"/>
      <c r="J2448" s="16"/>
      <c r="K2448" s="16"/>
      <c r="L2448" s="16"/>
      <c r="M2448" s="16"/>
    </row>
    <row r="2449" spans="1:13" x14ac:dyDescent="0.2">
      <c r="A2449" s="16"/>
      <c r="B2449" s="37"/>
      <c r="C2449" s="16"/>
      <c r="D2449" s="16"/>
      <c r="E2449" s="16"/>
      <c r="F2449" s="16"/>
      <c r="G2449" s="16"/>
      <c r="H2449" s="16"/>
      <c r="I2449" s="16"/>
      <c r="J2449" s="16"/>
      <c r="K2449" s="16"/>
      <c r="L2449" s="16"/>
      <c r="M2449" s="16"/>
    </row>
    <row r="2450" spans="1:13" x14ac:dyDescent="0.2">
      <c r="A2450" s="16"/>
      <c r="B2450" s="37"/>
      <c r="C2450" s="16"/>
      <c r="D2450" s="16"/>
      <c r="E2450" s="16"/>
      <c r="F2450" s="16"/>
      <c r="G2450" s="16"/>
      <c r="H2450" s="16"/>
      <c r="I2450" s="16"/>
      <c r="J2450" s="16"/>
      <c r="K2450" s="16"/>
      <c r="L2450" s="16"/>
      <c r="M2450" s="16"/>
    </row>
    <row r="2451" spans="1:13" x14ac:dyDescent="0.2">
      <c r="A2451" s="16"/>
      <c r="B2451" s="37"/>
      <c r="C2451" s="16"/>
      <c r="D2451" s="16"/>
      <c r="E2451" s="16"/>
      <c r="F2451" s="16"/>
      <c r="G2451" s="16"/>
      <c r="H2451" s="16"/>
      <c r="I2451" s="16"/>
      <c r="J2451" s="16"/>
      <c r="K2451" s="16"/>
      <c r="L2451" s="16"/>
      <c r="M2451" s="16"/>
    </row>
    <row r="2452" spans="1:13" x14ac:dyDescent="0.2">
      <c r="A2452" s="16"/>
      <c r="B2452" s="37"/>
      <c r="C2452" s="16"/>
      <c r="D2452" s="16"/>
      <c r="E2452" s="16"/>
      <c r="F2452" s="16"/>
      <c r="G2452" s="16"/>
      <c r="H2452" s="16"/>
      <c r="I2452" s="16"/>
      <c r="J2452" s="16"/>
      <c r="K2452" s="16"/>
      <c r="L2452" s="16"/>
      <c r="M2452" s="16"/>
    </row>
    <row r="2453" spans="1:13" x14ac:dyDescent="0.2">
      <c r="A2453" s="16"/>
      <c r="B2453" s="37"/>
      <c r="C2453" s="16"/>
      <c r="D2453" s="16"/>
      <c r="E2453" s="16"/>
      <c r="F2453" s="16"/>
      <c r="G2453" s="16"/>
      <c r="H2453" s="16"/>
      <c r="I2453" s="16"/>
      <c r="J2453" s="16"/>
      <c r="K2453" s="16"/>
      <c r="L2453" s="16"/>
      <c r="M2453" s="16"/>
    </row>
    <row r="2454" spans="1:13" x14ac:dyDescent="0.2">
      <c r="A2454" s="16"/>
      <c r="B2454" s="37"/>
      <c r="C2454" s="16"/>
      <c r="D2454" s="16"/>
      <c r="E2454" s="16"/>
      <c r="F2454" s="16"/>
      <c r="G2454" s="16"/>
      <c r="H2454" s="16"/>
      <c r="I2454" s="16"/>
      <c r="J2454" s="16"/>
      <c r="K2454" s="16"/>
      <c r="L2454" s="16"/>
      <c r="M2454" s="16"/>
    </row>
    <row r="2455" spans="1:13" x14ac:dyDescent="0.2">
      <c r="A2455" s="16"/>
      <c r="B2455" s="37"/>
      <c r="C2455" s="16"/>
      <c r="D2455" s="16"/>
      <c r="E2455" s="16"/>
      <c r="F2455" s="16"/>
      <c r="G2455" s="16"/>
      <c r="H2455" s="16"/>
      <c r="I2455" s="16"/>
      <c r="J2455" s="16"/>
      <c r="K2455" s="16"/>
      <c r="L2455" s="16"/>
      <c r="M2455" s="16"/>
    </row>
    <row r="2456" spans="1:13" x14ac:dyDescent="0.2">
      <c r="A2456" s="16"/>
      <c r="B2456" s="37"/>
      <c r="C2456" s="16"/>
      <c r="D2456" s="16"/>
      <c r="E2456" s="16"/>
      <c r="F2456" s="16"/>
      <c r="G2456" s="16"/>
      <c r="H2456" s="16"/>
      <c r="I2456" s="16"/>
      <c r="J2456" s="16"/>
      <c r="K2456" s="16"/>
      <c r="L2456" s="16"/>
      <c r="M2456" s="16"/>
    </row>
    <row r="2457" spans="1:13" x14ac:dyDescent="0.2">
      <c r="A2457" s="16"/>
      <c r="B2457" s="37"/>
      <c r="C2457" s="16"/>
      <c r="D2457" s="16"/>
      <c r="E2457" s="16"/>
      <c r="F2457" s="16"/>
      <c r="G2457" s="16"/>
      <c r="H2457" s="16"/>
      <c r="I2457" s="16"/>
      <c r="J2457" s="16"/>
      <c r="K2457" s="16"/>
      <c r="L2457" s="16"/>
      <c r="M2457" s="16"/>
    </row>
    <row r="2458" spans="1:13" x14ac:dyDescent="0.2">
      <c r="A2458" s="16"/>
      <c r="B2458" s="37"/>
      <c r="C2458" s="16"/>
      <c r="D2458" s="16"/>
      <c r="E2458" s="16"/>
      <c r="F2458" s="16"/>
      <c r="G2458" s="16"/>
      <c r="H2458" s="16"/>
      <c r="I2458" s="16"/>
      <c r="J2458" s="16"/>
      <c r="K2458" s="16"/>
      <c r="L2458" s="16"/>
      <c r="M2458" s="16"/>
    </row>
    <row r="2459" spans="1:13" x14ac:dyDescent="0.2">
      <c r="A2459" s="16"/>
      <c r="B2459" s="37"/>
      <c r="C2459" s="16"/>
      <c r="D2459" s="16"/>
      <c r="E2459" s="16"/>
      <c r="F2459" s="16"/>
      <c r="G2459" s="16"/>
      <c r="H2459" s="16"/>
      <c r="I2459" s="16"/>
      <c r="J2459" s="16"/>
      <c r="K2459" s="16"/>
      <c r="L2459" s="16"/>
      <c r="M2459" s="16"/>
    </row>
    <row r="2460" spans="1:13" x14ac:dyDescent="0.2">
      <c r="A2460" s="16"/>
      <c r="B2460" s="37"/>
      <c r="C2460" s="16"/>
      <c r="D2460" s="16"/>
      <c r="E2460" s="16"/>
      <c r="F2460" s="16"/>
      <c r="G2460" s="16"/>
      <c r="H2460" s="16"/>
      <c r="I2460" s="16"/>
      <c r="J2460" s="16"/>
      <c r="K2460" s="16"/>
      <c r="L2460" s="16"/>
      <c r="M2460" s="16"/>
    </row>
    <row r="2461" spans="1:13" x14ac:dyDescent="0.2">
      <c r="A2461" s="16"/>
      <c r="B2461" s="37"/>
      <c r="C2461" s="16"/>
      <c r="D2461" s="16"/>
      <c r="E2461" s="16"/>
      <c r="F2461" s="16"/>
      <c r="G2461" s="16"/>
      <c r="H2461" s="16"/>
      <c r="I2461" s="16"/>
      <c r="J2461" s="16"/>
      <c r="K2461" s="16"/>
      <c r="L2461" s="16"/>
      <c r="M2461" s="16"/>
    </row>
    <row r="2462" spans="1:13" x14ac:dyDescent="0.2">
      <c r="A2462" s="16"/>
      <c r="B2462" s="37"/>
      <c r="C2462" s="16"/>
      <c r="D2462" s="16"/>
      <c r="E2462" s="16"/>
      <c r="F2462" s="16"/>
      <c r="G2462" s="16"/>
      <c r="H2462" s="16"/>
      <c r="I2462" s="16"/>
      <c r="J2462" s="16"/>
      <c r="K2462" s="16"/>
      <c r="L2462" s="16"/>
      <c r="M2462" s="16"/>
    </row>
    <row r="2463" spans="1:13" x14ac:dyDescent="0.2">
      <c r="A2463" s="16"/>
      <c r="B2463" s="37"/>
      <c r="C2463" s="16"/>
      <c r="D2463" s="16"/>
      <c r="E2463" s="16"/>
      <c r="F2463" s="16"/>
      <c r="G2463" s="16"/>
      <c r="H2463" s="16"/>
      <c r="I2463" s="16"/>
      <c r="J2463" s="16"/>
      <c r="K2463" s="16"/>
      <c r="L2463" s="16"/>
      <c r="M2463" s="16"/>
    </row>
    <row r="2464" spans="1:13" x14ac:dyDescent="0.2">
      <c r="A2464" s="16"/>
      <c r="B2464" s="37"/>
      <c r="C2464" s="16"/>
      <c r="D2464" s="16"/>
      <c r="E2464" s="16"/>
      <c r="F2464" s="16"/>
      <c r="G2464" s="16"/>
      <c r="H2464" s="16"/>
      <c r="I2464" s="16"/>
      <c r="J2464" s="16"/>
      <c r="K2464" s="16"/>
      <c r="L2464" s="16"/>
      <c r="M2464" s="16"/>
    </row>
    <row r="2465" spans="1:13" x14ac:dyDescent="0.2">
      <c r="A2465" s="16"/>
      <c r="B2465" s="37"/>
      <c r="C2465" s="16"/>
      <c r="D2465" s="16"/>
      <c r="E2465" s="16"/>
      <c r="F2465" s="16"/>
      <c r="G2465" s="16"/>
      <c r="H2465" s="16"/>
      <c r="I2465" s="16"/>
      <c r="J2465" s="16"/>
      <c r="K2465" s="16"/>
      <c r="L2465" s="16"/>
      <c r="M2465" s="16"/>
    </row>
    <row r="2466" spans="1:13" x14ac:dyDescent="0.2">
      <c r="A2466" s="16"/>
      <c r="B2466" s="37"/>
      <c r="C2466" s="16"/>
      <c r="D2466" s="16"/>
      <c r="E2466" s="16"/>
      <c r="F2466" s="16"/>
      <c r="G2466" s="16"/>
      <c r="H2466" s="16"/>
      <c r="I2466" s="16"/>
      <c r="J2466" s="16"/>
      <c r="K2466" s="16"/>
      <c r="L2466" s="16"/>
      <c r="M2466" s="16"/>
    </row>
    <row r="2467" spans="1:13" x14ac:dyDescent="0.2">
      <c r="A2467" s="16"/>
      <c r="B2467" s="37"/>
      <c r="C2467" s="16"/>
      <c r="D2467" s="16"/>
      <c r="E2467" s="16"/>
      <c r="F2467" s="16"/>
      <c r="G2467" s="16"/>
      <c r="H2467" s="16"/>
      <c r="I2467" s="16"/>
      <c r="J2467" s="16"/>
      <c r="K2467" s="16"/>
      <c r="L2467" s="16"/>
      <c r="M2467" s="16"/>
    </row>
    <row r="2468" spans="1:13" x14ac:dyDescent="0.2">
      <c r="A2468" s="16"/>
      <c r="B2468" s="37"/>
      <c r="C2468" s="16"/>
      <c r="D2468" s="16"/>
      <c r="E2468" s="16"/>
      <c r="F2468" s="16"/>
      <c r="G2468" s="16"/>
      <c r="H2468" s="16"/>
      <c r="I2468" s="16"/>
      <c r="J2468" s="16"/>
      <c r="K2468" s="16"/>
      <c r="L2468" s="16"/>
      <c r="M2468" s="16"/>
    </row>
    <row r="2469" spans="1:13" x14ac:dyDescent="0.2">
      <c r="A2469" s="16"/>
      <c r="B2469" s="37"/>
      <c r="C2469" s="16"/>
      <c r="D2469" s="16"/>
      <c r="E2469" s="16"/>
      <c r="F2469" s="16"/>
      <c r="G2469" s="16"/>
      <c r="H2469" s="16"/>
      <c r="I2469" s="16"/>
      <c r="J2469" s="16"/>
      <c r="K2469" s="16"/>
      <c r="L2469" s="16"/>
      <c r="M2469" s="16"/>
    </row>
    <row r="2470" spans="1:13" x14ac:dyDescent="0.2">
      <c r="A2470" s="16"/>
      <c r="B2470" s="37"/>
      <c r="C2470" s="16"/>
      <c r="D2470" s="16"/>
      <c r="E2470" s="16"/>
      <c r="F2470" s="16"/>
      <c r="G2470" s="16"/>
      <c r="H2470" s="16"/>
      <c r="I2470" s="16"/>
      <c r="J2470" s="16"/>
      <c r="K2470" s="16"/>
      <c r="L2470" s="16"/>
      <c r="M2470" s="16"/>
    </row>
    <row r="2471" spans="1:13" x14ac:dyDescent="0.2">
      <c r="A2471" s="16"/>
      <c r="B2471" s="37"/>
      <c r="C2471" s="16"/>
      <c r="D2471" s="16"/>
      <c r="E2471" s="16"/>
      <c r="F2471" s="16"/>
      <c r="G2471" s="16"/>
      <c r="H2471" s="16"/>
      <c r="I2471" s="16"/>
      <c r="J2471" s="16"/>
      <c r="K2471" s="16"/>
      <c r="L2471" s="16"/>
      <c r="M2471" s="16"/>
    </row>
    <row r="2472" spans="1:13" x14ac:dyDescent="0.2">
      <c r="A2472" s="16"/>
      <c r="B2472" s="37"/>
      <c r="C2472" s="16"/>
      <c r="D2472" s="16"/>
      <c r="E2472" s="16"/>
      <c r="F2472" s="16"/>
      <c r="G2472" s="16"/>
      <c r="H2472" s="16"/>
      <c r="I2472" s="16"/>
      <c r="J2472" s="16"/>
      <c r="K2472" s="16"/>
      <c r="L2472" s="16"/>
      <c r="M2472" s="16"/>
    </row>
    <row r="2473" spans="1:13" x14ac:dyDescent="0.2">
      <c r="A2473" s="16"/>
      <c r="B2473" s="37"/>
      <c r="C2473" s="16"/>
      <c r="D2473" s="16"/>
      <c r="E2473" s="16"/>
      <c r="F2473" s="16"/>
      <c r="G2473" s="16"/>
      <c r="H2473" s="16"/>
      <c r="I2473" s="16"/>
      <c r="J2473" s="16"/>
      <c r="K2473" s="16"/>
      <c r="L2473" s="16"/>
      <c r="M2473" s="16"/>
    </row>
    <row r="2474" spans="1:13" x14ac:dyDescent="0.2">
      <c r="A2474" s="16"/>
      <c r="B2474" s="37"/>
      <c r="C2474" s="16"/>
      <c r="D2474" s="16"/>
      <c r="E2474" s="16"/>
      <c r="F2474" s="16"/>
      <c r="G2474" s="16"/>
      <c r="H2474" s="16"/>
      <c r="I2474" s="16"/>
      <c r="J2474" s="16"/>
      <c r="K2474" s="16"/>
      <c r="L2474" s="16"/>
      <c r="M2474" s="16"/>
    </row>
    <row r="2475" spans="1:13" x14ac:dyDescent="0.2">
      <c r="A2475" s="16"/>
      <c r="B2475" s="37"/>
      <c r="C2475" s="16"/>
      <c r="D2475" s="16"/>
      <c r="E2475" s="16"/>
      <c r="F2475" s="16"/>
      <c r="G2475" s="16"/>
      <c r="H2475" s="16"/>
      <c r="I2475" s="16"/>
      <c r="J2475" s="16"/>
      <c r="K2475" s="16"/>
      <c r="L2475" s="16"/>
      <c r="M2475" s="16"/>
    </row>
    <row r="2476" spans="1:13" x14ac:dyDescent="0.2">
      <c r="A2476" s="16"/>
      <c r="B2476" s="37"/>
      <c r="C2476" s="16"/>
      <c r="D2476" s="16"/>
      <c r="E2476" s="16"/>
      <c r="F2476" s="16"/>
      <c r="G2476" s="16"/>
      <c r="H2476" s="16"/>
      <c r="I2476" s="16"/>
      <c r="J2476" s="16"/>
      <c r="K2476" s="16"/>
      <c r="L2476" s="16"/>
      <c r="M2476" s="16"/>
    </row>
    <row r="2477" spans="1:13" x14ac:dyDescent="0.2">
      <c r="A2477" s="16"/>
      <c r="B2477" s="37"/>
      <c r="C2477" s="16"/>
      <c r="D2477" s="16"/>
      <c r="E2477" s="16"/>
      <c r="F2477" s="16"/>
      <c r="G2477" s="16"/>
      <c r="H2477" s="16"/>
      <c r="I2477" s="16"/>
      <c r="J2477" s="16"/>
      <c r="K2477" s="16"/>
      <c r="L2477" s="16"/>
      <c r="M2477" s="16"/>
    </row>
    <row r="2478" spans="1:13" x14ac:dyDescent="0.2">
      <c r="A2478" s="16"/>
      <c r="B2478" s="37"/>
      <c r="C2478" s="16"/>
      <c r="D2478" s="16"/>
      <c r="E2478" s="16"/>
      <c r="F2478" s="16"/>
      <c r="G2478" s="16"/>
      <c r="H2478" s="16"/>
      <c r="I2478" s="16"/>
      <c r="J2478" s="16"/>
      <c r="K2478" s="16"/>
      <c r="L2478" s="16"/>
      <c r="M2478" s="16"/>
    </row>
    <row r="2479" spans="1:13" x14ac:dyDescent="0.2">
      <c r="A2479" s="16"/>
      <c r="B2479" s="37"/>
      <c r="C2479" s="16"/>
      <c r="D2479" s="16"/>
      <c r="E2479" s="16"/>
      <c r="F2479" s="16"/>
      <c r="G2479" s="16"/>
      <c r="H2479" s="16"/>
      <c r="I2479" s="16"/>
      <c r="J2479" s="16"/>
      <c r="K2479" s="16"/>
      <c r="L2479" s="16"/>
      <c r="M2479" s="16"/>
    </row>
    <row r="2480" spans="1:13" x14ac:dyDescent="0.2">
      <c r="A2480" s="16"/>
      <c r="B2480" s="37"/>
      <c r="C2480" s="16"/>
      <c r="D2480" s="16"/>
      <c r="E2480" s="16"/>
      <c r="F2480" s="16"/>
      <c r="G2480" s="16"/>
      <c r="H2480" s="16"/>
      <c r="I2480" s="16"/>
      <c r="J2480" s="16"/>
      <c r="K2480" s="16"/>
      <c r="L2480" s="16"/>
      <c r="M2480" s="16"/>
    </row>
    <row r="2481" spans="1:13" x14ac:dyDescent="0.2">
      <c r="A2481" s="16"/>
      <c r="B2481" s="37"/>
      <c r="C2481" s="16"/>
      <c r="D2481" s="16"/>
      <c r="E2481" s="16"/>
      <c r="F2481" s="16"/>
      <c r="G2481" s="16"/>
      <c r="H2481" s="16"/>
      <c r="I2481" s="16"/>
      <c r="J2481" s="16"/>
      <c r="K2481" s="16"/>
      <c r="L2481" s="16"/>
      <c r="M2481" s="16"/>
    </row>
    <row r="2482" spans="1:13" x14ac:dyDescent="0.2">
      <c r="A2482" s="16"/>
      <c r="B2482" s="37"/>
      <c r="C2482" s="16"/>
      <c r="D2482" s="16"/>
      <c r="E2482" s="16"/>
      <c r="F2482" s="16"/>
      <c r="G2482" s="16"/>
      <c r="H2482" s="16"/>
      <c r="I2482" s="16"/>
      <c r="J2482" s="16"/>
      <c r="K2482" s="16"/>
      <c r="L2482" s="16"/>
      <c r="M2482" s="16"/>
    </row>
    <row r="2483" spans="1:13" x14ac:dyDescent="0.2">
      <c r="A2483" s="16"/>
      <c r="B2483" s="37"/>
      <c r="C2483" s="16"/>
      <c r="D2483" s="16"/>
      <c r="E2483" s="16"/>
      <c r="F2483" s="16"/>
      <c r="G2483" s="16"/>
      <c r="H2483" s="16"/>
      <c r="I2483" s="16"/>
      <c r="J2483" s="16"/>
      <c r="K2483" s="16"/>
      <c r="L2483" s="16"/>
      <c r="M2483" s="16"/>
    </row>
    <row r="2484" spans="1:13" x14ac:dyDescent="0.2">
      <c r="A2484" s="16"/>
      <c r="B2484" s="37"/>
      <c r="C2484" s="16"/>
      <c r="D2484" s="16"/>
      <c r="E2484" s="16"/>
      <c r="F2484" s="16"/>
      <c r="G2484" s="16"/>
      <c r="H2484" s="16"/>
      <c r="I2484" s="16"/>
      <c r="J2484" s="16"/>
      <c r="K2484" s="16"/>
      <c r="L2484" s="16"/>
      <c r="M2484" s="16"/>
    </row>
    <row r="2485" spans="1:13" x14ac:dyDescent="0.2">
      <c r="A2485" s="16"/>
      <c r="B2485" s="37"/>
      <c r="C2485" s="16"/>
      <c r="D2485" s="16"/>
      <c r="E2485" s="16"/>
      <c r="F2485" s="16"/>
      <c r="G2485" s="16"/>
      <c r="H2485" s="16"/>
      <c r="I2485" s="16"/>
      <c r="J2485" s="16"/>
      <c r="K2485" s="16"/>
      <c r="L2485" s="16"/>
      <c r="M2485" s="16"/>
    </row>
    <row r="2486" spans="1:13" x14ac:dyDescent="0.2">
      <c r="A2486" s="16"/>
      <c r="B2486" s="37"/>
      <c r="C2486" s="16"/>
      <c r="D2486" s="16"/>
      <c r="E2486" s="16"/>
      <c r="F2486" s="16"/>
      <c r="G2486" s="16"/>
      <c r="H2486" s="16"/>
      <c r="I2486" s="16"/>
      <c r="J2486" s="16"/>
      <c r="K2486" s="16"/>
      <c r="L2486" s="16"/>
      <c r="M2486" s="16"/>
    </row>
    <row r="2487" spans="1:13" x14ac:dyDescent="0.2">
      <c r="A2487" s="16"/>
      <c r="B2487" s="37"/>
      <c r="C2487" s="16"/>
      <c r="D2487" s="16"/>
      <c r="E2487" s="16"/>
      <c r="F2487" s="16"/>
      <c r="G2487" s="16"/>
      <c r="H2487" s="16"/>
      <c r="I2487" s="16"/>
      <c r="J2487" s="16"/>
      <c r="K2487" s="16"/>
      <c r="L2487" s="16"/>
      <c r="M2487" s="16"/>
    </row>
    <row r="2488" spans="1:13" x14ac:dyDescent="0.2">
      <c r="A2488" s="16"/>
      <c r="B2488" s="37"/>
      <c r="C2488" s="16"/>
      <c r="D2488" s="16"/>
      <c r="E2488" s="16"/>
      <c r="F2488" s="16"/>
      <c r="G2488" s="16"/>
      <c r="H2488" s="16"/>
      <c r="I2488" s="16"/>
      <c r="J2488" s="16"/>
      <c r="K2488" s="16"/>
      <c r="L2488" s="16"/>
      <c r="M2488" s="16"/>
    </row>
    <row r="2489" spans="1:13" x14ac:dyDescent="0.2">
      <c r="A2489" s="16"/>
      <c r="B2489" s="37"/>
      <c r="C2489" s="16"/>
      <c r="D2489" s="16"/>
      <c r="E2489" s="16"/>
      <c r="F2489" s="16"/>
      <c r="G2489" s="16"/>
      <c r="H2489" s="16"/>
      <c r="I2489" s="16"/>
      <c r="J2489" s="16"/>
      <c r="K2489" s="16"/>
      <c r="L2489" s="16"/>
      <c r="M2489" s="16"/>
    </row>
    <row r="2490" spans="1:13" x14ac:dyDescent="0.2">
      <c r="A2490" s="16"/>
      <c r="B2490" s="37"/>
      <c r="C2490" s="16"/>
      <c r="D2490" s="16"/>
      <c r="E2490" s="16"/>
      <c r="F2490" s="16"/>
      <c r="G2490" s="16"/>
      <c r="H2490" s="16"/>
      <c r="I2490" s="16"/>
      <c r="J2490" s="16"/>
      <c r="K2490" s="16"/>
      <c r="L2490" s="16"/>
      <c r="M2490" s="16"/>
    </row>
    <row r="2491" spans="1:13" x14ac:dyDescent="0.2">
      <c r="A2491" s="16"/>
      <c r="B2491" s="37"/>
      <c r="C2491" s="16"/>
      <c r="D2491" s="16"/>
      <c r="E2491" s="16"/>
      <c r="F2491" s="16"/>
      <c r="G2491" s="16"/>
      <c r="H2491" s="16"/>
      <c r="I2491" s="16"/>
      <c r="J2491" s="16"/>
      <c r="K2491" s="16"/>
      <c r="L2491" s="16"/>
      <c r="M2491" s="16"/>
    </row>
    <row r="2492" spans="1:13" x14ac:dyDescent="0.2">
      <c r="A2492" s="16"/>
      <c r="B2492" s="37"/>
      <c r="C2492" s="16"/>
      <c r="D2492" s="16"/>
      <c r="E2492" s="16"/>
      <c r="F2492" s="16"/>
      <c r="G2492" s="16"/>
      <c r="H2492" s="16"/>
      <c r="I2492" s="16"/>
      <c r="J2492" s="16"/>
      <c r="K2492" s="16"/>
      <c r="L2492" s="16"/>
      <c r="M2492" s="16"/>
    </row>
    <row r="2493" spans="1:13" x14ac:dyDescent="0.2">
      <c r="A2493" s="16"/>
      <c r="B2493" s="37"/>
      <c r="C2493" s="16"/>
      <c r="D2493" s="16"/>
      <c r="E2493" s="16"/>
      <c r="F2493" s="16"/>
      <c r="G2493" s="16"/>
      <c r="H2493" s="16"/>
      <c r="I2493" s="16"/>
      <c r="J2493" s="16"/>
      <c r="K2493" s="16"/>
      <c r="L2493" s="16"/>
      <c r="M2493" s="16"/>
    </row>
    <row r="2494" spans="1:13" x14ac:dyDescent="0.2">
      <c r="A2494" s="16"/>
      <c r="B2494" s="37"/>
      <c r="C2494" s="16"/>
      <c r="D2494" s="16"/>
      <c r="E2494" s="16"/>
      <c r="F2494" s="16"/>
      <c r="G2494" s="16"/>
      <c r="H2494" s="16"/>
      <c r="I2494" s="16"/>
      <c r="J2494" s="16"/>
      <c r="K2494" s="16"/>
      <c r="L2494" s="16"/>
      <c r="M2494" s="16"/>
    </row>
    <row r="2495" spans="1:13" x14ac:dyDescent="0.2">
      <c r="A2495" s="16"/>
      <c r="B2495" s="37"/>
      <c r="C2495" s="16"/>
      <c r="D2495" s="16"/>
      <c r="E2495" s="16"/>
      <c r="F2495" s="16"/>
      <c r="G2495" s="16"/>
      <c r="H2495" s="16"/>
      <c r="I2495" s="16"/>
      <c r="J2495" s="16"/>
      <c r="K2495" s="16"/>
      <c r="L2495" s="16"/>
      <c r="M2495" s="16"/>
    </row>
    <row r="2496" spans="1:13" x14ac:dyDescent="0.2">
      <c r="A2496" s="16"/>
      <c r="B2496" s="37"/>
      <c r="C2496" s="16"/>
      <c r="D2496" s="16"/>
      <c r="E2496" s="16"/>
      <c r="F2496" s="16"/>
      <c r="G2496" s="16"/>
      <c r="H2496" s="16"/>
      <c r="I2496" s="16"/>
      <c r="J2496" s="16"/>
      <c r="K2496" s="16"/>
      <c r="L2496" s="16"/>
      <c r="M2496" s="16"/>
    </row>
    <row r="2497" spans="1:13" x14ac:dyDescent="0.2">
      <c r="A2497" s="16"/>
      <c r="B2497" s="37"/>
      <c r="C2497" s="16"/>
      <c r="D2497" s="16"/>
      <c r="E2497" s="16"/>
      <c r="F2497" s="16"/>
      <c r="G2497" s="16"/>
      <c r="H2497" s="16"/>
      <c r="I2497" s="16"/>
      <c r="J2497" s="16"/>
      <c r="K2497" s="16"/>
      <c r="L2497" s="16"/>
      <c r="M2497" s="16"/>
    </row>
    <row r="2498" spans="1:13" x14ac:dyDescent="0.2">
      <c r="A2498" s="16"/>
      <c r="B2498" s="37"/>
      <c r="C2498" s="16"/>
      <c r="D2498" s="16"/>
      <c r="E2498" s="16"/>
      <c r="F2498" s="16"/>
      <c r="G2498" s="16"/>
      <c r="H2498" s="16"/>
      <c r="I2498" s="16"/>
      <c r="J2498" s="16"/>
      <c r="K2498" s="16"/>
      <c r="L2498" s="16"/>
      <c r="M2498" s="16"/>
    </row>
    <row r="2499" spans="1:13" x14ac:dyDescent="0.2">
      <c r="A2499" s="16"/>
      <c r="B2499" s="37"/>
      <c r="C2499" s="16"/>
      <c r="D2499" s="16"/>
      <c r="E2499" s="16"/>
      <c r="F2499" s="16"/>
      <c r="G2499" s="16"/>
      <c r="H2499" s="16"/>
      <c r="I2499" s="16"/>
      <c r="J2499" s="16"/>
      <c r="K2499" s="16"/>
      <c r="L2499" s="16"/>
      <c r="M2499" s="16"/>
    </row>
    <row r="2500" spans="1:13" x14ac:dyDescent="0.2">
      <c r="A2500" s="16"/>
      <c r="B2500" s="37"/>
      <c r="C2500" s="16"/>
      <c r="D2500" s="16"/>
      <c r="E2500" s="16"/>
      <c r="F2500" s="16"/>
      <c r="G2500" s="16"/>
      <c r="H2500" s="16"/>
      <c r="I2500" s="16"/>
      <c r="J2500" s="16"/>
      <c r="K2500" s="16"/>
      <c r="L2500" s="16"/>
      <c r="M2500" s="16"/>
    </row>
    <row r="2501" spans="1:13" x14ac:dyDescent="0.2">
      <c r="A2501" s="16"/>
      <c r="B2501" s="37"/>
      <c r="C2501" s="16"/>
      <c r="D2501" s="16"/>
      <c r="E2501" s="16"/>
      <c r="F2501" s="16"/>
      <c r="G2501" s="16"/>
      <c r="H2501" s="16"/>
      <c r="I2501" s="16"/>
      <c r="J2501" s="16"/>
      <c r="K2501" s="16"/>
      <c r="L2501" s="16"/>
      <c r="M2501" s="16"/>
    </row>
    <row r="2502" spans="1:13" x14ac:dyDescent="0.2">
      <c r="A2502" s="16"/>
      <c r="B2502" s="37"/>
      <c r="C2502" s="16"/>
      <c r="D2502" s="16"/>
      <c r="E2502" s="16"/>
      <c r="F2502" s="16"/>
      <c r="G2502" s="16"/>
      <c r="H2502" s="16"/>
      <c r="I2502" s="16"/>
      <c r="J2502" s="16"/>
      <c r="K2502" s="16"/>
      <c r="L2502" s="16"/>
      <c r="M2502" s="16"/>
    </row>
    <row r="2503" spans="1:13" x14ac:dyDescent="0.2">
      <c r="A2503" s="16"/>
      <c r="B2503" s="37"/>
      <c r="C2503" s="16"/>
      <c r="D2503" s="16"/>
      <c r="E2503" s="16"/>
      <c r="F2503" s="16"/>
      <c r="G2503" s="16"/>
      <c r="H2503" s="16"/>
      <c r="I2503" s="16"/>
      <c r="J2503" s="16"/>
      <c r="K2503" s="16"/>
      <c r="L2503" s="16"/>
      <c r="M2503" s="16"/>
    </row>
    <row r="2504" spans="1:13" x14ac:dyDescent="0.2">
      <c r="A2504" s="16"/>
      <c r="B2504" s="37"/>
      <c r="C2504" s="16"/>
      <c r="D2504" s="16"/>
      <c r="E2504" s="16"/>
      <c r="F2504" s="16"/>
      <c r="G2504" s="16"/>
      <c r="H2504" s="16"/>
      <c r="I2504" s="16"/>
      <c r="J2504" s="16"/>
      <c r="K2504" s="16"/>
      <c r="L2504" s="16"/>
      <c r="M2504" s="16"/>
    </row>
    <row r="2505" spans="1:13" x14ac:dyDescent="0.2">
      <c r="A2505" s="16"/>
      <c r="B2505" s="37"/>
      <c r="C2505" s="16"/>
      <c r="D2505" s="16"/>
      <c r="E2505" s="16"/>
      <c r="F2505" s="16"/>
      <c r="G2505" s="16"/>
      <c r="H2505" s="16"/>
      <c r="I2505" s="16"/>
      <c r="J2505" s="16"/>
      <c r="K2505" s="16"/>
      <c r="L2505" s="16"/>
      <c r="M2505" s="16"/>
    </row>
    <row r="2506" spans="1:13" x14ac:dyDescent="0.2">
      <c r="A2506" s="16"/>
      <c r="B2506" s="37"/>
      <c r="C2506" s="16"/>
      <c r="D2506" s="16"/>
      <c r="E2506" s="16"/>
      <c r="F2506" s="16"/>
      <c r="G2506" s="16"/>
      <c r="H2506" s="16"/>
      <c r="I2506" s="16"/>
      <c r="J2506" s="16"/>
      <c r="K2506" s="16"/>
      <c r="L2506" s="16"/>
      <c r="M2506" s="16"/>
    </row>
    <row r="2507" spans="1:13" x14ac:dyDescent="0.2">
      <c r="A2507" s="16"/>
      <c r="B2507" s="37"/>
      <c r="C2507" s="16"/>
      <c r="D2507" s="16"/>
      <c r="E2507" s="16"/>
      <c r="F2507" s="16"/>
      <c r="G2507" s="16"/>
      <c r="H2507" s="16"/>
      <c r="I2507" s="16"/>
      <c r="J2507" s="16"/>
      <c r="K2507" s="16"/>
      <c r="L2507" s="16"/>
      <c r="M2507" s="16"/>
    </row>
    <row r="2508" spans="1:13" x14ac:dyDescent="0.2">
      <c r="A2508" s="16"/>
      <c r="B2508" s="37"/>
      <c r="C2508" s="16"/>
      <c r="D2508" s="16"/>
      <c r="E2508" s="16"/>
      <c r="F2508" s="16"/>
      <c r="G2508" s="16"/>
      <c r="H2508" s="16"/>
      <c r="I2508" s="16"/>
      <c r="J2508" s="16"/>
      <c r="K2508" s="16"/>
      <c r="L2508" s="16"/>
      <c r="M2508" s="16"/>
    </row>
    <row r="2509" spans="1:13" x14ac:dyDescent="0.2">
      <c r="A2509" s="16"/>
      <c r="B2509" s="37"/>
      <c r="C2509" s="16"/>
      <c r="D2509" s="16"/>
      <c r="E2509" s="16"/>
      <c r="F2509" s="16"/>
      <c r="G2509" s="16"/>
      <c r="H2509" s="16"/>
      <c r="I2509" s="16"/>
      <c r="J2509" s="16"/>
      <c r="K2509" s="16"/>
      <c r="L2509" s="16"/>
      <c r="M2509" s="16"/>
    </row>
    <row r="2510" spans="1:13" x14ac:dyDescent="0.2">
      <c r="A2510" s="16"/>
      <c r="B2510" s="37"/>
      <c r="C2510" s="16"/>
      <c r="D2510" s="16"/>
      <c r="E2510" s="16"/>
      <c r="F2510" s="16"/>
      <c r="G2510" s="16"/>
      <c r="H2510" s="16"/>
      <c r="I2510" s="16"/>
      <c r="J2510" s="16"/>
      <c r="K2510" s="16"/>
      <c r="L2510" s="16"/>
      <c r="M2510" s="16"/>
    </row>
    <row r="2511" spans="1:13" x14ac:dyDescent="0.2">
      <c r="A2511" s="16"/>
      <c r="B2511" s="37"/>
      <c r="C2511" s="16"/>
      <c r="D2511" s="16"/>
      <c r="E2511" s="16"/>
      <c r="F2511" s="16"/>
      <c r="G2511" s="16"/>
      <c r="H2511" s="16"/>
      <c r="I2511" s="16"/>
      <c r="J2511" s="16"/>
      <c r="K2511" s="16"/>
      <c r="L2511" s="16"/>
      <c r="M2511" s="16"/>
    </row>
    <row r="2512" spans="1:13" x14ac:dyDescent="0.2">
      <c r="A2512" s="16"/>
      <c r="B2512" s="37"/>
      <c r="C2512" s="16"/>
      <c r="D2512" s="16"/>
      <c r="E2512" s="16"/>
      <c r="F2512" s="16"/>
      <c r="G2512" s="16"/>
      <c r="H2512" s="16"/>
      <c r="I2512" s="16"/>
      <c r="J2512" s="16"/>
      <c r="K2512" s="16"/>
      <c r="L2512" s="16"/>
      <c r="M2512" s="16"/>
    </row>
    <row r="2513" spans="1:13" x14ac:dyDescent="0.2">
      <c r="A2513" s="16"/>
      <c r="B2513" s="37"/>
      <c r="C2513" s="16"/>
      <c r="D2513" s="16"/>
      <c r="E2513" s="16"/>
      <c r="F2513" s="16"/>
      <c r="G2513" s="16"/>
      <c r="H2513" s="16"/>
      <c r="I2513" s="16"/>
      <c r="J2513" s="16"/>
      <c r="K2513" s="16"/>
      <c r="L2513" s="16"/>
      <c r="M2513" s="16"/>
    </row>
    <row r="2514" spans="1:13" x14ac:dyDescent="0.2">
      <c r="A2514" s="16"/>
      <c r="B2514" s="37"/>
      <c r="C2514" s="16"/>
      <c r="D2514" s="16"/>
      <c r="E2514" s="16"/>
      <c r="F2514" s="16"/>
      <c r="G2514" s="16"/>
      <c r="H2514" s="16"/>
      <c r="I2514" s="16"/>
      <c r="J2514" s="16"/>
      <c r="K2514" s="16"/>
      <c r="L2514" s="16"/>
      <c r="M2514" s="16"/>
    </row>
    <row r="2515" spans="1:13" x14ac:dyDescent="0.2">
      <c r="A2515" s="16"/>
      <c r="B2515" s="37"/>
      <c r="C2515" s="16"/>
      <c r="D2515" s="16"/>
      <c r="E2515" s="16"/>
      <c r="F2515" s="16"/>
      <c r="G2515" s="16"/>
      <c r="H2515" s="16"/>
      <c r="I2515" s="16"/>
      <c r="J2515" s="16"/>
      <c r="K2515" s="16"/>
      <c r="L2515" s="16"/>
      <c r="M2515" s="16"/>
    </row>
    <row r="2516" spans="1:13" x14ac:dyDescent="0.2">
      <c r="A2516" s="16"/>
      <c r="B2516" s="37"/>
      <c r="C2516" s="16"/>
      <c r="D2516" s="16"/>
      <c r="E2516" s="16"/>
      <c r="F2516" s="16"/>
      <c r="G2516" s="16"/>
      <c r="H2516" s="16"/>
      <c r="I2516" s="16"/>
      <c r="J2516" s="16"/>
      <c r="K2516" s="16"/>
      <c r="L2516" s="16"/>
      <c r="M2516" s="16"/>
    </row>
    <row r="2517" spans="1:13" x14ac:dyDescent="0.2">
      <c r="A2517" s="16"/>
      <c r="B2517" s="37"/>
      <c r="C2517" s="16"/>
      <c r="D2517" s="16"/>
      <c r="E2517" s="16"/>
      <c r="F2517" s="16"/>
      <c r="G2517" s="16"/>
      <c r="H2517" s="16"/>
      <c r="I2517" s="16"/>
      <c r="J2517" s="16"/>
      <c r="K2517" s="16"/>
      <c r="L2517" s="16"/>
      <c r="M2517" s="16"/>
    </row>
    <row r="2518" spans="1:13" x14ac:dyDescent="0.2">
      <c r="A2518" s="16"/>
      <c r="B2518" s="37"/>
      <c r="C2518" s="16"/>
      <c r="D2518" s="16"/>
      <c r="E2518" s="16"/>
      <c r="F2518" s="16"/>
      <c r="G2518" s="16"/>
      <c r="H2518" s="16"/>
      <c r="I2518" s="16"/>
      <c r="J2518" s="16"/>
      <c r="K2518" s="16"/>
      <c r="L2518" s="16"/>
      <c r="M2518" s="16"/>
    </row>
    <row r="2519" spans="1:13" x14ac:dyDescent="0.2">
      <c r="A2519" s="16"/>
      <c r="B2519" s="37"/>
      <c r="C2519" s="16"/>
      <c r="D2519" s="16"/>
      <c r="E2519" s="16"/>
      <c r="F2519" s="16"/>
      <c r="G2519" s="16"/>
      <c r="H2519" s="16"/>
      <c r="I2519" s="16"/>
      <c r="J2519" s="16"/>
      <c r="K2519" s="16"/>
      <c r="L2519" s="16"/>
      <c r="M2519" s="16"/>
    </row>
    <row r="2520" spans="1:13" x14ac:dyDescent="0.2">
      <c r="A2520" s="16"/>
      <c r="B2520" s="37"/>
      <c r="C2520" s="16"/>
      <c r="D2520" s="16"/>
      <c r="E2520" s="16"/>
      <c r="F2520" s="16"/>
      <c r="G2520" s="16"/>
      <c r="H2520" s="16"/>
      <c r="I2520" s="16"/>
      <c r="J2520" s="16"/>
      <c r="K2520" s="16"/>
      <c r="L2520" s="16"/>
      <c r="M2520" s="16"/>
    </row>
    <row r="2521" spans="1:13" x14ac:dyDescent="0.2">
      <c r="A2521" s="16"/>
      <c r="B2521" s="37"/>
      <c r="C2521" s="16"/>
      <c r="D2521" s="16"/>
      <c r="E2521" s="16"/>
      <c r="F2521" s="16"/>
      <c r="G2521" s="16"/>
      <c r="H2521" s="16"/>
      <c r="I2521" s="16"/>
      <c r="J2521" s="16"/>
      <c r="K2521" s="16"/>
      <c r="L2521" s="16"/>
      <c r="M2521" s="16"/>
    </row>
    <row r="2522" spans="1:13" x14ac:dyDescent="0.2">
      <c r="A2522" s="16"/>
      <c r="B2522" s="37"/>
      <c r="C2522" s="16"/>
      <c r="D2522" s="16"/>
      <c r="E2522" s="16"/>
      <c r="F2522" s="16"/>
      <c r="G2522" s="16"/>
      <c r="H2522" s="16"/>
      <c r="I2522" s="16"/>
      <c r="J2522" s="16"/>
      <c r="K2522" s="16"/>
      <c r="L2522" s="16"/>
      <c r="M2522" s="16"/>
    </row>
    <row r="2523" spans="1:13" x14ac:dyDescent="0.2">
      <c r="A2523" s="16"/>
      <c r="B2523" s="37"/>
      <c r="C2523" s="16"/>
      <c r="D2523" s="16"/>
      <c r="E2523" s="16"/>
      <c r="F2523" s="16"/>
      <c r="G2523" s="16"/>
      <c r="H2523" s="16"/>
      <c r="I2523" s="16"/>
      <c r="J2523" s="16"/>
      <c r="K2523" s="16"/>
      <c r="L2523" s="16"/>
      <c r="M2523" s="16"/>
    </row>
    <row r="2524" spans="1:13" x14ac:dyDescent="0.2">
      <c r="A2524" s="16"/>
      <c r="B2524" s="37"/>
      <c r="C2524" s="16"/>
      <c r="D2524" s="16"/>
      <c r="E2524" s="16"/>
      <c r="F2524" s="16"/>
      <c r="G2524" s="16"/>
      <c r="H2524" s="16"/>
      <c r="I2524" s="16"/>
      <c r="J2524" s="16"/>
      <c r="K2524" s="16"/>
      <c r="L2524" s="16"/>
      <c r="M2524" s="16"/>
    </row>
    <row r="2525" spans="1:13" x14ac:dyDescent="0.2">
      <c r="A2525" s="16"/>
      <c r="B2525" s="37"/>
      <c r="C2525" s="16"/>
      <c r="D2525" s="16"/>
      <c r="E2525" s="16"/>
      <c r="F2525" s="16"/>
      <c r="G2525" s="16"/>
      <c r="H2525" s="16"/>
      <c r="I2525" s="16"/>
      <c r="J2525" s="16"/>
      <c r="K2525" s="16"/>
      <c r="L2525" s="16"/>
      <c r="M2525" s="16"/>
    </row>
    <row r="2526" spans="1:13" x14ac:dyDescent="0.2">
      <c r="A2526" s="16"/>
      <c r="B2526" s="37"/>
      <c r="C2526" s="16"/>
      <c r="D2526" s="16"/>
      <c r="E2526" s="16"/>
      <c r="F2526" s="16"/>
      <c r="G2526" s="16"/>
      <c r="H2526" s="16"/>
      <c r="I2526" s="16"/>
      <c r="J2526" s="16"/>
      <c r="K2526" s="16"/>
      <c r="L2526" s="16"/>
      <c r="M2526" s="16"/>
    </row>
    <row r="2527" spans="1:13" x14ac:dyDescent="0.2">
      <c r="A2527" s="16"/>
      <c r="B2527" s="37"/>
      <c r="C2527" s="16"/>
      <c r="D2527" s="16"/>
      <c r="E2527" s="16"/>
      <c r="F2527" s="16"/>
      <c r="G2527" s="16"/>
      <c r="H2527" s="16"/>
      <c r="I2527" s="16"/>
      <c r="J2527" s="16"/>
      <c r="K2527" s="16"/>
      <c r="L2527" s="16"/>
      <c r="M2527" s="16"/>
    </row>
    <row r="2528" spans="1:13" x14ac:dyDescent="0.2">
      <c r="A2528" s="16"/>
      <c r="B2528" s="37"/>
      <c r="C2528" s="16"/>
      <c r="D2528" s="16"/>
      <c r="E2528" s="16"/>
      <c r="F2528" s="16"/>
      <c r="G2528" s="16"/>
      <c r="H2528" s="16"/>
      <c r="I2528" s="16"/>
      <c r="J2528" s="16"/>
      <c r="K2528" s="16"/>
      <c r="L2528" s="16"/>
      <c r="M2528" s="16"/>
    </row>
    <row r="2529" spans="1:13" x14ac:dyDescent="0.2">
      <c r="A2529" s="16"/>
      <c r="B2529" s="37"/>
      <c r="C2529" s="16"/>
      <c r="D2529" s="16"/>
      <c r="E2529" s="16"/>
      <c r="F2529" s="16"/>
      <c r="G2529" s="16"/>
      <c r="H2529" s="16"/>
      <c r="I2529" s="16"/>
      <c r="J2529" s="16"/>
      <c r="K2529" s="16"/>
      <c r="L2529" s="16"/>
      <c r="M2529" s="16"/>
    </row>
    <row r="2530" spans="1:13" x14ac:dyDescent="0.2">
      <c r="A2530" s="16"/>
      <c r="B2530" s="37"/>
      <c r="C2530" s="16"/>
      <c r="D2530" s="16"/>
      <c r="E2530" s="16"/>
      <c r="F2530" s="16"/>
      <c r="G2530" s="16"/>
      <c r="H2530" s="16"/>
      <c r="I2530" s="16"/>
      <c r="J2530" s="16"/>
      <c r="K2530" s="16"/>
      <c r="L2530" s="16"/>
      <c r="M2530" s="16"/>
    </row>
    <row r="2531" spans="1:13" x14ac:dyDescent="0.2">
      <c r="A2531" s="16"/>
      <c r="B2531" s="37"/>
      <c r="C2531" s="16"/>
      <c r="D2531" s="16"/>
      <c r="E2531" s="16"/>
      <c r="F2531" s="16"/>
      <c r="G2531" s="16"/>
      <c r="H2531" s="16"/>
      <c r="I2531" s="16"/>
      <c r="J2531" s="16"/>
      <c r="K2531" s="16"/>
      <c r="L2531" s="16"/>
      <c r="M2531" s="16"/>
    </row>
    <row r="2532" spans="1:13" x14ac:dyDescent="0.2">
      <c r="A2532" s="16"/>
      <c r="B2532" s="37"/>
      <c r="C2532" s="16"/>
      <c r="D2532" s="16"/>
      <c r="E2532" s="16"/>
      <c r="F2532" s="16"/>
      <c r="G2532" s="16"/>
      <c r="H2532" s="16"/>
      <c r="I2532" s="16"/>
      <c r="J2532" s="16"/>
      <c r="K2532" s="16"/>
      <c r="L2532" s="16"/>
      <c r="M2532" s="16"/>
    </row>
    <row r="2533" spans="1:13" x14ac:dyDescent="0.2">
      <c r="A2533" s="16"/>
      <c r="B2533" s="37"/>
      <c r="C2533" s="16"/>
      <c r="D2533" s="16"/>
      <c r="E2533" s="16"/>
      <c r="F2533" s="16"/>
      <c r="G2533" s="16"/>
      <c r="H2533" s="16"/>
      <c r="I2533" s="16"/>
      <c r="J2533" s="16"/>
      <c r="K2533" s="16"/>
      <c r="L2533" s="16"/>
      <c r="M2533" s="16"/>
    </row>
    <row r="2534" spans="1:13" x14ac:dyDescent="0.2">
      <c r="A2534" s="16"/>
      <c r="B2534" s="37"/>
      <c r="C2534" s="16"/>
      <c r="D2534" s="16"/>
      <c r="E2534" s="16"/>
      <c r="F2534" s="16"/>
      <c r="G2534" s="16"/>
      <c r="H2534" s="16"/>
      <c r="I2534" s="16"/>
      <c r="J2534" s="16"/>
      <c r="K2534" s="16"/>
      <c r="L2534" s="16"/>
      <c r="M2534" s="16"/>
    </row>
    <row r="2535" spans="1:13" x14ac:dyDescent="0.2">
      <c r="A2535" s="16"/>
      <c r="B2535" s="37"/>
      <c r="C2535" s="16"/>
      <c r="D2535" s="16"/>
      <c r="E2535" s="16"/>
      <c r="F2535" s="16"/>
      <c r="G2535" s="16"/>
      <c r="H2535" s="16"/>
      <c r="I2535" s="16"/>
      <c r="J2535" s="16"/>
      <c r="K2535" s="16"/>
      <c r="L2535" s="16"/>
      <c r="M2535" s="16"/>
    </row>
    <row r="2536" spans="1:13" x14ac:dyDescent="0.2">
      <c r="A2536" s="16"/>
      <c r="B2536" s="37"/>
      <c r="C2536" s="16"/>
      <c r="D2536" s="16"/>
      <c r="E2536" s="16"/>
      <c r="F2536" s="16"/>
      <c r="G2536" s="16"/>
      <c r="H2536" s="16"/>
      <c r="I2536" s="16"/>
      <c r="J2536" s="16"/>
      <c r="K2536" s="16"/>
      <c r="L2536" s="16"/>
      <c r="M2536" s="16"/>
    </row>
    <row r="2537" spans="1:13" x14ac:dyDescent="0.2">
      <c r="A2537" s="16"/>
      <c r="B2537" s="37"/>
      <c r="C2537" s="16"/>
      <c r="D2537" s="16"/>
      <c r="E2537" s="16"/>
      <c r="F2537" s="16"/>
      <c r="G2537" s="16"/>
      <c r="H2537" s="16"/>
      <c r="I2537" s="16"/>
      <c r="J2537" s="16"/>
      <c r="K2537" s="16"/>
      <c r="L2537" s="16"/>
      <c r="M2537" s="16"/>
    </row>
    <row r="2538" spans="1:13" x14ac:dyDescent="0.2">
      <c r="A2538" s="16"/>
      <c r="B2538" s="37"/>
      <c r="C2538" s="16"/>
      <c r="D2538" s="16"/>
      <c r="E2538" s="16"/>
      <c r="F2538" s="16"/>
      <c r="G2538" s="16"/>
      <c r="H2538" s="16"/>
      <c r="I2538" s="16"/>
      <c r="J2538" s="16"/>
      <c r="K2538" s="16"/>
      <c r="L2538" s="16"/>
      <c r="M2538" s="16"/>
    </row>
    <row r="2539" spans="1:13" x14ac:dyDescent="0.2">
      <c r="A2539" s="16"/>
      <c r="B2539" s="37"/>
      <c r="C2539" s="16"/>
      <c r="D2539" s="16"/>
      <c r="E2539" s="16"/>
      <c r="F2539" s="16"/>
      <c r="G2539" s="16"/>
      <c r="H2539" s="16"/>
      <c r="I2539" s="16"/>
      <c r="J2539" s="16"/>
      <c r="K2539" s="16"/>
      <c r="L2539" s="16"/>
      <c r="M2539" s="16"/>
    </row>
    <row r="2540" spans="1:13" x14ac:dyDescent="0.2">
      <c r="A2540" s="16"/>
      <c r="B2540" s="37"/>
      <c r="C2540" s="16"/>
      <c r="D2540" s="16"/>
      <c r="E2540" s="16"/>
      <c r="F2540" s="16"/>
      <c r="G2540" s="16"/>
      <c r="H2540" s="16"/>
      <c r="I2540" s="16"/>
      <c r="J2540" s="16"/>
      <c r="K2540" s="16"/>
      <c r="L2540" s="16"/>
      <c r="M2540" s="16"/>
    </row>
    <row r="2541" spans="1:13" x14ac:dyDescent="0.2">
      <c r="A2541" s="16"/>
      <c r="B2541" s="37"/>
      <c r="C2541" s="16"/>
      <c r="D2541" s="16"/>
      <c r="E2541" s="16"/>
      <c r="F2541" s="16"/>
      <c r="G2541" s="16"/>
      <c r="H2541" s="16"/>
      <c r="I2541" s="16"/>
      <c r="J2541" s="16"/>
      <c r="K2541" s="16"/>
      <c r="L2541" s="16"/>
      <c r="M2541" s="16"/>
    </row>
    <row r="2542" spans="1:13" x14ac:dyDescent="0.2">
      <c r="A2542" s="16"/>
      <c r="B2542" s="37"/>
      <c r="C2542" s="16"/>
      <c r="D2542" s="16"/>
      <c r="E2542" s="16"/>
      <c r="F2542" s="16"/>
      <c r="G2542" s="16"/>
      <c r="H2542" s="16"/>
      <c r="I2542" s="16"/>
      <c r="J2542" s="16"/>
      <c r="K2542" s="16"/>
      <c r="L2542" s="16"/>
      <c r="M2542" s="16"/>
    </row>
    <row r="2543" spans="1:13" x14ac:dyDescent="0.2">
      <c r="A2543" s="16"/>
      <c r="B2543" s="37"/>
      <c r="C2543" s="16"/>
      <c r="D2543" s="16"/>
      <c r="E2543" s="16"/>
      <c r="F2543" s="16"/>
      <c r="G2543" s="16"/>
      <c r="H2543" s="16"/>
      <c r="I2543" s="16"/>
      <c r="J2543" s="16"/>
      <c r="K2543" s="16"/>
      <c r="L2543" s="16"/>
      <c r="M2543" s="16"/>
    </row>
    <row r="2544" spans="1:13" x14ac:dyDescent="0.2">
      <c r="A2544" s="16"/>
      <c r="B2544" s="37"/>
      <c r="C2544" s="16"/>
      <c r="D2544" s="16"/>
      <c r="E2544" s="16"/>
      <c r="F2544" s="16"/>
      <c r="G2544" s="16"/>
      <c r="H2544" s="16"/>
      <c r="I2544" s="16"/>
      <c r="J2544" s="16"/>
      <c r="K2544" s="16"/>
      <c r="L2544" s="16"/>
      <c r="M2544" s="16"/>
    </row>
    <row r="2545" spans="1:13" x14ac:dyDescent="0.2">
      <c r="A2545" s="16"/>
      <c r="B2545" s="37"/>
      <c r="C2545" s="16"/>
      <c r="D2545" s="16"/>
      <c r="E2545" s="16"/>
      <c r="F2545" s="16"/>
      <c r="G2545" s="16"/>
      <c r="H2545" s="16"/>
      <c r="I2545" s="16"/>
      <c r="J2545" s="16"/>
      <c r="K2545" s="16"/>
      <c r="L2545" s="16"/>
      <c r="M2545" s="16"/>
    </row>
    <row r="2546" spans="1:13" x14ac:dyDescent="0.2">
      <c r="A2546" s="16"/>
      <c r="B2546" s="37"/>
      <c r="C2546" s="16"/>
      <c r="D2546" s="16"/>
      <c r="E2546" s="16"/>
      <c r="F2546" s="16"/>
      <c r="G2546" s="16"/>
      <c r="H2546" s="16"/>
      <c r="I2546" s="16"/>
      <c r="J2546" s="16"/>
      <c r="K2546" s="16"/>
      <c r="L2546" s="16"/>
      <c r="M2546" s="16"/>
    </row>
    <row r="2547" spans="1:13" x14ac:dyDescent="0.2">
      <c r="A2547" s="16"/>
      <c r="B2547" s="37"/>
      <c r="C2547" s="16"/>
      <c r="D2547" s="16"/>
      <c r="E2547" s="16"/>
      <c r="F2547" s="16"/>
      <c r="G2547" s="16"/>
      <c r="H2547" s="16"/>
      <c r="I2547" s="16"/>
      <c r="J2547" s="16"/>
      <c r="K2547" s="16"/>
      <c r="L2547" s="16"/>
      <c r="M2547" s="16"/>
    </row>
    <row r="2548" spans="1:13" x14ac:dyDescent="0.2">
      <c r="A2548" s="16"/>
      <c r="B2548" s="37"/>
      <c r="C2548" s="16"/>
      <c r="D2548" s="16"/>
      <c r="E2548" s="16"/>
      <c r="F2548" s="16"/>
      <c r="G2548" s="16"/>
      <c r="H2548" s="16"/>
      <c r="I2548" s="16"/>
      <c r="J2548" s="16"/>
      <c r="K2548" s="16"/>
      <c r="L2548" s="16"/>
      <c r="M2548" s="16"/>
    </row>
    <row r="2549" spans="1:13" x14ac:dyDescent="0.2">
      <c r="A2549" s="16"/>
      <c r="B2549" s="37"/>
      <c r="C2549" s="16"/>
      <c r="D2549" s="16"/>
      <c r="E2549" s="16"/>
      <c r="F2549" s="16"/>
      <c r="G2549" s="16"/>
      <c r="H2549" s="16"/>
      <c r="I2549" s="16"/>
      <c r="J2549" s="16"/>
      <c r="K2549" s="16"/>
      <c r="L2549" s="16"/>
      <c r="M2549" s="16"/>
    </row>
    <row r="2550" spans="1:13" x14ac:dyDescent="0.2">
      <c r="A2550" s="16"/>
      <c r="B2550" s="37"/>
      <c r="C2550" s="16"/>
      <c r="D2550" s="16"/>
      <c r="E2550" s="16"/>
      <c r="F2550" s="16"/>
      <c r="G2550" s="16"/>
      <c r="H2550" s="16"/>
      <c r="I2550" s="16"/>
      <c r="J2550" s="16"/>
      <c r="K2550" s="16"/>
      <c r="L2550" s="16"/>
      <c r="M2550" s="16"/>
    </row>
    <row r="2551" spans="1:13" x14ac:dyDescent="0.2">
      <c r="A2551" s="16"/>
      <c r="B2551" s="37"/>
      <c r="C2551" s="16"/>
      <c r="D2551" s="16"/>
      <c r="E2551" s="16"/>
      <c r="F2551" s="16"/>
      <c r="G2551" s="16"/>
      <c r="H2551" s="16"/>
      <c r="I2551" s="16"/>
      <c r="J2551" s="16"/>
      <c r="K2551" s="16"/>
      <c r="L2551" s="16"/>
      <c r="M2551" s="16"/>
    </row>
    <row r="2552" spans="1:13" x14ac:dyDescent="0.2">
      <c r="A2552" s="16"/>
      <c r="B2552" s="37"/>
      <c r="C2552" s="16"/>
      <c r="D2552" s="16"/>
      <c r="E2552" s="16"/>
      <c r="F2552" s="16"/>
      <c r="G2552" s="16"/>
      <c r="H2552" s="16"/>
      <c r="I2552" s="16"/>
      <c r="J2552" s="16"/>
      <c r="K2552" s="16"/>
      <c r="L2552" s="16"/>
      <c r="M2552" s="16"/>
    </row>
    <row r="2553" spans="1:13" x14ac:dyDescent="0.2">
      <c r="A2553" s="16"/>
      <c r="B2553" s="37"/>
      <c r="C2553" s="16"/>
      <c r="D2553" s="16"/>
      <c r="E2553" s="16"/>
      <c r="F2553" s="16"/>
      <c r="G2553" s="16"/>
      <c r="H2553" s="16"/>
      <c r="I2553" s="16"/>
      <c r="J2553" s="16"/>
      <c r="K2553" s="16"/>
      <c r="L2553" s="16"/>
      <c r="M2553" s="16"/>
    </row>
    <row r="2554" spans="1:13" x14ac:dyDescent="0.2">
      <c r="A2554" s="16"/>
      <c r="B2554" s="37"/>
      <c r="C2554" s="16"/>
      <c r="D2554" s="16"/>
      <c r="E2554" s="16"/>
      <c r="F2554" s="16"/>
      <c r="G2554" s="16"/>
      <c r="H2554" s="16"/>
      <c r="I2554" s="16"/>
      <c r="J2554" s="16"/>
      <c r="K2554" s="16"/>
      <c r="L2554" s="16"/>
      <c r="M2554" s="16"/>
    </row>
    <row r="2555" spans="1:13" x14ac:dyDescent="0.2">
      <c r="A2555" s="16"/>
      <c r="B2555" s="37"/>
      <c r="C2555" s="16"/>
      <c r="D2555" s="16"/>
      <c r="E2555" s="16"/>
      <c r="F2555" s="16"/>
      <c r="G2555" s="16"/>
      <c r="H2555" s="16"/>
      <c r="I2555" s="16"/>
      <c r="J2555" s="16"/>
      <c r="K2555" s="16"/>
      <c r="L2555" s="16"/>
      <c r="M2555" s="16"/>
    </row>
    <row r="2556" spans="1:13" x14ac:dyDescent="0.2">
      <c r="A2556" s="16"/>
      <c r="B2556" s="37"/>
      <c r="C2556" s="16"/>
      <c r="D2556" s="16"/>
      <c r="E2556" s="16"/>
      <c r="F2556" s="16"/>
      <c r="G2556" s="16"/>
      <c r="H2556" s="16"/>
      <c r="I2556" s="16"/>
      <c r="J2556" s="16"/>
      <c r="K2556" s="16"/>
      <c r="L2556" s="16"/>
      <c r="M2556" s="16"/>
    </row>
    <row r="2557" spans="1:13" x14ac:dyDescent="0.2">
      <c r="A2557" s="16"/>
      <c r="B2557" s="37"/>
      <c r="C2557" s="16"/>
      <c r="D2557" s="16"/>
      <c r="E2557" s="16"/>
      <c r="F2557" s="16"/>
      <c r="G2557" s="16"/>
      <c r="H2557" s="16"/>
      <c r="I2557" s="16"/>
      <c r="J2557" s="16"/>
      <c r="K2557" s="16"/>
      <c r="L2557" s="16"/>
      <c r="M2557" s="16"/>
    </row>
    <row r="2558" spans="1:13" x14ac:dyDescent="0.2">
      <c r="A2558" s="16"/>
      <c r="B2558" s="37"/>
      <c r="C2558" s="16"/>
      <c r="D2558" s="16"/>
      <c r="E2558" s="16"/>
      <c r="F2558" s="16"/>
      <c r="G2558" s="16"/>
      <c r="H2558" s="16"/>
      <c r="I2558" s="16"/>
      <c r="J2558" s="16"/>
      <c r="K2558" s="16"/>
      <c r="L2558" s="16"/>
      <c r="M2558" s="16"/>
    </row>
    <row r="2559" spans="1:13" x14ac:dyDescent="0.2">
      <c r="A2559" s="16"/>
      <c r="B2559" s="37"/>
      <c r="C2559" s="16"/>
      <c r="D2559" s="16"/>
      <c r="E2559" s="16"/>
      <c r="F2559" s="16"/>
      <c r="G2559" s="16"/>
      <c r="H2559" s="16"/>
      <c r="I2559" s="16"/>
      <c r="J2559" s="16"/>
      <c r="K2559" s="16"/>
      <c r="L2559" s="16"/>
      <c r="M2559" s="16"/>
    </row>
    <row r="2560" spans="1:13" x14ac:dyDescent="0.2">
      <c r="A2560" s="16"/>
      <c r="B2560" s="37"/>
      <c r="C2560" s="16"/>
      <c r="D2560" s="16"/>
      <c r="E2560" s="16"/>
      <c r="F2560" s="16"/>
      <c r="G2560" s="16"/>
      <c r="H2560" s="16"/>
      <c r="I2560" s="16"/>
      <c r="J2560" s="16"/>
      <c r="K2560" s="16"/>
      <c r="L2560" s="16"/>
      <c r="M2560" s="16"/>
    </row>
    <row r="2561" spans="1:13" x14ac:dyDescent="0.2">
      <c r="A2561" s="16"/>
      <c r="B2561" s="37"/>
      <c r="C2561" s="16"/>
      <c r="D2561" s="16"/>
      <c r="E2561" s="16"/>
      <c r="F2561" s="16"/>
      <c r="G2561" s="16"/>
      <c r="H2561" s="16"/>
      <c r="I2561" s="16"/>
      <c r="J2561" s="16"/>
      <c r="K2561" s="16"/>
      <c r="L2561" s="16"/>
      <c r="M2561" s="16"/>
    </row>
    <row r="2562" spans="1:13" x14ac:dyDescent="0.2">
      <c r="A2562" s="16"/>
      <c r="B2562" s="37"/>
      <c r="C2562" s="16"/>
      <c r="D2562" s="16"/>
      <c r="E2562" s="16"/>
      <c r="F2562" s="16"/>
      <c r="G2562" s="16"/>
      <c r="H2562" s="16"/>
      <c r="I2562" s="16"/>
      <c r="J2562" s="16"/>
      <c r="K2562" s="16"/>
      <c r="L2562" s="16"/>
      <c r="M2562" s="16"/>
    </row>
    <row r="2563" spans="1:13" x14ac:dyDescent="0.2">
      <c r="A2563" s="16"/>
      <c r="B2563" s="37"/>
      <c r="C2563" s="16"/>
      <c r="D2563" s="16"/>
      <c r="E2563" s="16"/>
      <c r="F2563" s="16"/>
      <c r="G2563" s="16"/>
      <c r="H2563" s="16"/>
      <c r="I2563" s="16"/>
      <c r="J2563" s="16"/>
      <c r="K2563" s="16"/>
      <c r="L2563" s="16"/>
      <c r="M2563" s="16"/>
    </row>
    <row r="2564" spans="1:13" x14ac:dyDescent="0.2">
      <c r="A2564" s="16"/>
      <c r="B2564" s="37"/>
      <c r="C2564" s="16"/>
      <c r="D2564" s="16"/>
      <c r="E2564" s="16"/>
      <c r="F2564" s="16"/>
      <c r="G2564" s="16"/>
      <c r="H2564" s="16"/>
      <c r="I2564" s="16"/>
      <c r="J2564" s="16"/>
      <c r="K2564" s="16"/>
      <c r="L2564" s="16"/>
      <c r="M2564" s="16"/>
    </row>
    <row r="2565" spans="1:13" x14ac:dyDescent="0.2">
      <c r="A2565" s="16"/>
      <c r="B2565" s="37"/>
      <c r="C2565" s="16"/>
      <c r="D2565" s="16"/>
      <c r="E2565" s="16"/>
      <c r="F2565" s="16"/>
      <c r="G2565" s="16"/>
      <c r="H2565" s="16"/>
      <c r="I2565" s="16"/>
      <c r="J2565" s="16"/>
      <c r="K2565" s="16"/>
      <c r="L2565" s="16"/>
      <c r="M2565" s="16"/>
    </row>
    <row r="2566" spans="1:13" x14ac:dyDescent="0.2">
      <c r="A2566" s="16"/>
      <c r="B2566" s="37"/>
      <c r="C2566" s="16"/>
      <c r="D2566" s="16"/>
      <c r="E2566" s="16"/>
      <c r="F2566" s="16"/>
      <c r="G2566" s="16"/>
      <c r="H2566" s="16"/>
      <c r="I2566" s="16"/>
      <c r="J2566" s="16"/>
      <c r="K2566" s="16"/>
      <c r="L2566" s="16"/>
      <c r="M2566" s="16"/>
    </row>
    <row r="2567" spans="1:13" x14ac:dyDescent="0.2">
      <c r="A2567" s="16"/>
      <c r="B2567" s="37"/>
      <c r="C2567" s="16"/>
      <c r="D2567" s="16"/>
      <c r="E2567" s="16"/>
      <c r="F2567" s="16"/>
      <c r="G2567" s="16"/>
      <c r="H2567" s="16"/>
      <c r="I2567" s="16"/>
      <c r="J2567" s="16"/>
      <c r="K2567" s="16"/>
      <c r="L2567" s="16"/>
      <c r="M2567" s="16"/>
    </row>
    <row r="2568" spans="1:13" x14ac:dyDescent="0.2">
      <c r="A2568" s="16"/>
      <c r="B2568" s="37"/>
      <c r="C2568" s="16"/>
      <c r="D2568" s="16"/>
      <c r="E2568" s="16"/>
      <c r="F2568" s="16"/>
      <c r="G2568" s="16"/>
      <c r="H2568" s="16"/>
      <c r="I2568" s="16"/>
      <c r="J2568" s="16"/>
      <c r="K2568" s="16"/>
      <c r="L2568" s="16"/>
      <c r="M2568" s="16"/>
    </row>
    <row r="2569" spans="1:13" x14ac:dyDescent="0.2">
      <c r="A2569" s="16"/>
      <c r="B2569" s="37"/>
      <c r="C2569" s="16"/>
      <c r="D2569" s="16"/>
      <c r="E2569" s="16"/>
      <c r="F2569" s="16"/>
      <c r="G2569" s="16"/>
      <c r="H2569" s="16"/>
      <c r="I2569" s="16"/>
      <c r="J2569" s="16"/>
      <c r="K2569" s="16"/>
      <c r="L2569" s="16"/>
      <c r="M2569" s="16"/>
    </row>
    <row r="2570" spans="1:13" x14ac:dyDescent="0.2">
      <c r="A2570" s="16"/>
      <c r="B2570" s="37"/>
      <c r="C2570" s="16"/>
      <c r="D2570" s="16"/>
      <c r="E2570" s="16"/>
      <c r="F2570" s="16"/>
      <c r="G2570" s="16"/>
      <c r="H2570" s="16"/>
      <c r="I2570" s="16"/>
      <c r="J2570" s="16"/>
      <c r="K2570" s="16"/>
      <c r="L2570" s="16"/>
      <c r="M2570" s="16"/>
    </row>
    <row r="2571" spans="1:13" x14ac:dyDescent="0.2">
      <c r="A2571" s="16"/>
      <c r="B2571" s="37"/>
      <c r="C2571" s="16"/>
      <c r="D2571" s="16"/>
      <c r="E2571" s="16"/>
      <c r="F2571" s="16"/>
      <c r="G2571" s="16"/>
      <c r="H2571" s="16"/>
      <c r="I2571" s="16"/>
      <c r="J2571" s="16"/>
      <c r="K2571" s="16"/>
      <c r="L2571" s="16"/>
      <c r="M2571" s="16"/>
    </row>
    <row r="2572" spans="1:13" x14ac:dyDescent="0.2">
      <c r="A2572" s="16"/>
      <c r="B2572" s="37"/>
      <c r="C2572" s="16"/>
      <c r="D2572" s="16"/>
      <c r="E2572" s="16"/>
      <c r="F2572" s="16"/>
      <c r="G2572" s="16"/>
      <c r="H2572" s="16"/>
      <c r="I2572" s="16"/>
      <c r="J2572" s="16"/>
      <c r="K2572" s="16"/>
      <c r="L2572" s="16"/>
      <c r="M2572" s="16"/>
    </row>
    <row r="2573" spans="1:13" x14ac:dyDescent="0.2">
      <c r="A2573" s="16"/>
      <c r="B2573" s="37"/>
      <c r="C2573" s="16"/>
      <c r="D2573" s="16"/>
      <c r="E2573" s="16"/>
      <c r="F2573" s="16"/>
      <c r="G2573" s="16"/>
      <c r="H2573" s="16"/>
      <c r="I2573" s="16"/>
      <c r="J2573" s="16"/>
      <c r="K2573" s="16"/>
      <c r="L2573" s="16"/>
      <c r="M2573" s="16"/>
    </row>
    <row r="2574" spans="1:13" x14ac:dyDescent="0.2">
      <c r="A2574" s="16"/>
      <c r="B2574" s="37"/>
      <c r="C2574" s="16"/>
      <c r="D2574" s="16"/>
      <c r="E2574" s="16"/>
      <c r="F2574" s="16"/>
      <c r="G2574" s="16"/>
      <c r="H2574" s="16"/>
      <c r="I2574" s="16"/>
      <c r="J2574" s="16"/>
      <c r="K2574" s="16"/>
      <c r="L2574" s="16"/>
      <c r="M2574" s="16"/>
    </row>
    <row r="2575" spans="1:13" x14ac:dyDescent="0.2">
      <c r="A2575" s="16"/>
      <c r="B2575" s="37"/>
      <c r="C2575" s="16"/>
      <c r="D2575" s="16"/>
      <c r="E2575" s="16"/>
      <c r="F2575" s="16"/>
      <c r="G2575" s="16"/>
      <c r="H2575" s="16"/>
      <c r="I2575" s="16"/>
      <c r="J2575" s="16"/>
      <c r="K2575" s="16"/>
      <c r="L2575" s="16"/>
      <c r="M2575" s="16"/>
    </row>
    <row r="2576" spans="1:13" x14ac:dyDescent="0.2">
      <c r="A2576" s="16"/>
      <c r="B2576" s="37"/>
      <c r="C2576" s="16"/>
      <c r="D2576" s="16"/>
      <c r="E2576" s="16"/>
      <c r="F2576" s="16"/>
      <c r="G2576" s="16"/>
      <c r="H2576" s="16"/>
      <c r="I2576" s="16"/>
      <c r="J2576" s="16"/>
      <c r="K2576" s="16"/>
      <c r="L2576" s="16"/>
      <c r="M2576" s="16"/>
    </row>
    <row r="2577" spans="1:13" x14ac:dyDescent="0.2">
      <c r="A2577" s="16"/>
      <c r="B2577" s="37"/>
      <c r="C2577" s="16"/>
      <c r="D2577" s="16"/>
      <c r="E2577" s="16"/>
      <c r="F2577" s="16"/>
      <c r="G2577" s="16"/>
      <c r="H2577" s="16"/>
      <c r="I2577" s="16"/>
      <c r="J2577" s="16"/>
      <c r="K2577" s="16"/>
      <c r="L2577" s="16"/>
      <c r="M2577" s="16"/>
    </row>
    <row r="2578" spans="1:13" x14ac:dyDescent="0.2">
      <c r="A2578" s="16"/>
      <c r="B2578" s="37"/>
      <c r="C2578" s="16"/>
      <c r="D2578" s="16"/>
      <c r="E2578" s="16"/>
      <c r="F2578" s="16"/>
      <c r="G2578" s="16"/>
      <c r="H2578" s="16"/>
      <c r="I2578" s="16"/>
      <c r="J2578" s="16"/>
      <c r="K2578" s="16"/>
      <c r="L2578" s="16"/>
      <c r="M2578" s="16"/>
    </row>
    <row r="2579" spans="1:13" x14ac:dyDescent="0.2">
      <c r="A2579" s="16"/>
      <c r="B2579" s="37"/>
      <c r="C2579" s="16"/>
      <c r="D2579" s="16"/>
      <c r="E2579" s="16"/>
      <c r="F2579" s="16"/>
      <c r="G2579" s="16"/>
      <c r="H2579" s="16"/>
      <c r="I2579" s="16"/>
      <c r="J2579" s="16"/>
      <c r="K2579" s="16"/>
      <c r="L2579" s="16"/>
      <c r="M2579" s="16"/>
    </row>
    <row r="2580" spans="1:13" x14ac:dyDescent="0.2">
      <c r="A2580" s="16"/>
      <c r="B2580" s="37"/>
      <c r="C2580" s="16"/>
      <c r="D2580" s="16"/>
      <c r="E2580" s="16"/>
      <c r="F2580" s="16"/>
      <c r="G2580" s="16"/>
      <c r="H2580" s="16"/>
      <c r="I2580" s="16"/>
      <c r="J2580" s="16"/>
      <c r="K2580" s="16"/>
      <c r="L2580" s="16"/>
      <c r="M2580" s="16"/>
    </row>
    <row r="2581" spans="1:13" x14ac:dyDescent="0.2">
      <c r="A2581" s="16"/>
      <c r="B2581" s="37"/>
      <c r="C2581" s="16"/>
      <c r="D2581" s="16"/>
      <c r="E2581" s="16"/>
      <c r="F2581" s="16"/>
      <c r="G2581" s="16"/>
      <c r="H2581" s="16"/>
      <c r="I2581" s="16"/>
      <c r="J2581" s="16"/>
      <c r="K2581" s="16"/>
      <c r="L2581" s="16"/>
      <c r="M2581" s="16"/>
    </row>
    <row r="2582" spans="1:13" x14ac:dyDescent="0.2">
      <c r="A2582" s="16"/>
      <c r="B2582" s="37"/>
      <c r="C2582" s="16"/>
      <c r="D2582" s="16"/>
      <c r="E2582" s="16"/>
      <c r="F2582" s="16"/>
      <c r="G2582" s="16"/>
      <c r="H2582" s="16"/>
      <c r="I2582" s="16"/>
      <c r="J2582" s="16"/>
      <c r="K2582" s="16"/>
      <c r="L2582" s="16"/>
      <c r="M2582" s="16"/>
    </row>
    <row r="2583" spans="1:13" x14ac:dyDescent="0.2">
      <c r="A2583" s="16"/>
      <c r="B2583" s="37"/>
      <c r="C2583" s="16"/>
      <c r="D2583" s="16"/>
      <c r="E2583" s="16"/>
      <c r="F2583" s="16"/>
      <c r="G2583" s="16"/>
      <c r="H2583" s="16"/>
      <c r="I2583" s="16"/>
      <c r="J2583" s="16"/>
      <c r="K2583" s="16"/>
      <c r="L2583" s="16"/>
      <c r="M2583" s="16"/>
    </row>
    <row r="2584" spans="1:13" x14ac:dyDescent="0.2">
      <c r="A2584" s="16"/>
      <c r="B2584" s="37"/>
      <c r="C2584" s="16"/>
      <c r="D2584" s="16"/>
      <c r="E2584" s="16"/>
      <c r="F2584" s="16"/>
      <c r="G2584" s="16"/>
      <c r="H2584" s="16"/>
      <c r="I2584" s="16"/>
      <c r="J2584" s="16"/>
      <c r="K2584" s="16"/>
      <c r="L2584" s="16"/>
      <c r="M2584" s="16"/>
    </row>
    <row r="2585" spans="1:13" x14ac:dyDescent="0.2">
      <c r="A2585" s="16"/>
      <c r="B2585" s="37"/>
      <c r="C2585" s="16"/>
      <c r="D2585" s="16"/>
      <c r="E2585" s="16"/>
      <c r="F2585" s="16"/>
      <c r="G2585" s="16"/>
      <c r="H2585" s="16"/>
      <c r="I2585" s="16"/>
      <c r="J2585" s="16"/>
      <c r="K2585" s="16"/>
      <c r="L2585" s="16"/>
      <c r="M2585" s="16"/>
    </row>
    <row r="2586" spans="1:13" x14ac:dyDescent="0.2">
      <c r="A2586" s="16"/>
      <c r="B2586" s="37"/>
      <c r="C2586" s="16"/>
      <c r="D2586" s="16"/>
      <c r="E2586" s="16"/>
      <c r="F2586" s="16"/>
      <c r="G2586" s="16"/>
      <c r="H2586" s="16"/>
      <c r="I2586" s="16"/>
      <c r="J2586" s="16"/>
      <c r="K2586" s="16"/>
      <c r="L2586" s="16"/>
      <c r="M2586" s="16"/>
    </row>
    <row r="2587" spans="1:13" x14ac:dyDescent="0.2">
      <c r="A2587" s="16"/>
      <c r="B2587" s="37"/>
      <c r="C2587" s="16"/>
      <c r="D2587" s="16"/>
      <c r="E2587" s="16"/>
      <c r="F2587" s="16"/>
      <c r="G2587" s="16"/>
      <c r="H2587" s="16"/>
      <c r="I2587" s="16"/>
      <c r="J2587" s="16"/>
      <c r="K2587" s="16"/>
      <c r="L2587" s="16"/>
      <c r="M2587" s="16"/>
    </row>
    <row r="2588" spans="1:13" x14ac:dyDescent="0.2">
      <c r="A2588" s="16"/>
      <c r="B2588" s="37"/>
      <c r="C2588" s="16"/>
      <c r="D2588" s="16"/>
      <c r="E2588" s="16"/>
      <c r="F2588" s="16"/>
      <c r="G2588" s="16"/>
      <c r="H2588" s="16"/>
      <c r="I2588" s="16"/>
      <c r="J2588" s="16"/>
      <c r="K2588" s="16"/>
      <c r="L2588" s="16"/>
      <c r="M2588" s="16"/>
    </row>
    <row r="2589" spans="1:13" x14ac:dyDescent="0.2">
      <c r="A2589" s="16"/>
      <c r="B2589" s="37"/>
      <c r="C2589" s="16"/>
      <c r="D2589" s="16"/>
      <c r="E2589" s="16"/>
      <c r="F2589" s="16"/>
      <c r="G2589" s="16"/>
      <c r="H2589" s="16"/>
      <c r="I2589" s="16"/>
      <c r="J2589" s="16"/>
      <c r="K2589" s="16"/>
      <c r="L2589" s="16"/>
      <c r="M2589" s="16"/>
    </row>
    <row r="2590" spans="1:13" x14ac:dyDescent="0.2">
      <c r="A2590" s="16"/>
      <c r="B2590" s="37"/>
      <c r="C2590" s="16"/>
      <c r="D2590" s="16"/>
      <c r="E2590" s="16"/>
      <c r="F2590" s="16"/>
      <c r="G2590" s="16"/>
      <c r="H2590" s="16"/>
      <c r="I2590" s="16"/>
      <c r="J2590" s="16"/>
      <c r="K2590" s="16"/>
      <c r="L2590" s="16"/>
      <c r="M2590" s="16"/>
    </row>
    <row r="2591" spans="1:13" x14ac:dyDescent="0.2">
      <c r="A2591" s="16"/>
      <c r="B2591" s="37"/>
      <c r="C2591" s="16"/>
      <c r="D2591" s="16"/>
      <c r="E2591" s="16"/>
      <c r="F2591" s="16"/>
      <c r="G2591" s="16"/>
      <c r="H2591" s="16"/>
      <c r="I2591" s="16"/>
      <c r="J2591" s="16"/>
      <c r="K2591" s="16"/>
      <c r="L2591" s="16"/>
      <c r="M2591" s="16"/>
    </row>
    <row r="2592" spans="1:13" x14ac:dyDescent="0.2">
      <c r="A2592" s="16"/>
      <c r="B2592" s="37"/>
      <c r="C2592" s="16"/>
      <c r="D2592" s="16"/>
      <c r="E2592" s="16"/>
      <c r="F2592" s="16"/>
      <c r="G2592" s="16"/>
      <c r="H2592" s="16"/>
      <c r="I2592" s="16"/>
      <c r="J2592" s="16"/>
      <c r="K2592" s="16"/>
      <c r="L2592" s="16"/>
      <c r="M2592" s="16"/>
    </row>
    <row r="2593" spans="1:13" x14ac:dyDescent="0.2">
      <c r="A2593" s="16"/>
      <c r="B2593" s="37"/>
      <c r="C2593" s="16"/>
      <c r="D2593" s="16"/>
      <c r="E2593" s="16"/>
      <c r="F2593" s="16"/>
      <c r="G2593" s="16"/>
      <c r="H2593" s="16"/>
      <c r="I2593" s="16"/>
      <c r="J2593" s="16"/>
      <c r="K2593" s="16"/>
      <c r="L2593" s="16"/>
      <c r="M2593" s="16"/>
    </row>
    <row r="2594" spans="1:13" x14ac:dyDescent="0.2">
      <c r="A2594" s="16"/>
      <c r="B2594" s="37"/>
      <c r="C2594" s="16"/>
      <c r="D2594" s="16"/>
      <c r="E2594" s="16"/>
      <c r="F2594" s="16"/>
      <c r="G2594" s="16"/>
      <c r="H2594" s="16"/>
      <c r="I2594" s="16"/>
      <c r="J2594" s="16"/>
      <c r="K2594" s="16"/>
      <c r="L2594" s="16"/>
      <c r="M2594" s="16"/>
    </row>
    <row r="2595" spans="1:13" x14ac:dyDescent="0.2">
      <c r="A2595" s="16"/>
      <c r="B2595" s="37"/>
      <c r="C2595" s="16"/>
      <c r="D2595" s="16"/>
      <c r="E2595" s="16"/>
      <c r="F2595" s="16"/>
      <c r="G2595" s="16"/>
      <c r="H2595" s="16"/>
      <c r="I2595" s="16"/>
      <c r="J2595" s="16"/>
      <c r="K2595" s="16"/>
      <c r="L2595" s="16"/>
      <c r="M2595" s="16"/>
    </row>
    <row r="2596" spans="1:13" x14ac:dyDescent="0.2">
      <c r="A2596" s="16"/>
      <c r="B2596" s="37"/>
      <c r="C2596" s="16"/>
      <c r="D2596" s="16"/>
      <c r="E2596" s="16"/>
      <c r="F2596" s="16"/>
      <c r="G2596" s="16"/>
      <c r="H2596" s="16"/>
      <c r="I2596" s="16"/>
      <c r="J2596" s="16"/>
      <c r="K2596" s="16"/>
      <c r="L2596" s="16"/>
      <c r="M2596" s="16"/>
    </row>
    <row r="2597" spans="1:13" x14ac:dyDescent="0.2">
      <c r="A2597" s="16"/>
      <c r="B2597" s="37"/>
      <c r="C2597" s="16"/>
      <c r="D2597" s="16"/>
      <c r="E2597" s="16"/>
      <c r="F2597" s="16"/>
      <c r="G2597" s="16"/>
      <c r="H2597" s="16"/>
      <c r="I2597" s="16"/>
      <c r="J2597" s="16"/>
      <c r="K2597" s="16"/>
      <c r="L2597" s="16"/>
      <c r="M2597" s="16"/>
    </row>
    <row r="2598" spans="1:13" x14ac:dyDescent="0.2">
      <c r="A2598" s="16"/>
      <c r="B2598" s="37"/>
      <c r="C2598" s="16"/>
      <c r="D2598" s="16"/>
      <c r="E2598" s="16"/>
      <c r="F2598" s="16"/>
      <c r="G2598" s="16"/>
      <c r="H2598" s="16"/>
      <c r="I2598" s="16"/>
      <c r="J2598" s="16"/>
      <c r="K2598" s="16"/>
      <c r="L2598" s="16"/>
      <c r="M2598" s="16"/>
    </row>
    <row r="2599" spans="1:13" x14ac:dyDescent="0.2">
      <c r="A2599" s="16"/>
      <c r="B2599" s="37"/>
      <c r="C2599" s="16"/>
      <c r="D2599" s="16"/>
      <c r="E2599" s="16"/>
      <c r="F2599" s="16"/>
      <c r="G2599" s="16"/>
      <c r="H2599" s="16"/>
      <c r="I2599" s="16"/>
      <c r="J2599" s="16"/>
      <c r="K2599" s="16"/>
      <c r="L2599" s="16"/>
      <c r="M2599" s="16"/>
    </row>
    <row r="2600" spans="1:13" x14ac:dyDescent="0.2">
      <c r="A2600" s="16"/>
      <c r="B2600" s="37"/>
      <c r="C2600" s="16"/>
      <c r="D2600" s="16"/>
      <c r="E2600" s="16"/>
      <c r="F2600" s="16"/>
      <c r="G2600" s="16"/>
      <c r="H2600" s="16"/>
      <c r="I2600" s="16"/>
      <c r="J2600" s="16"/>
      <c r="K2600" s="16"/>
      <c r="L2600" s="16"/>
      <c r="M2600" s="16"/>
    </row>
    <row r="2601" spans="1:13" x14ac:dyDescent="0.2">
      <c r="A2601" s="16"/>
      <c r="B2601" s="37"/>
      <c r="C2601" s="16"/>
      <c r="D2601" s="16"/>
      <c r="E2601" s="16"/>
      <c r="F2601" s="16"/>
      <c r="G2601" s="16"/>
      <c r="H2601" s="16"/>
      <c r="I2601" s="16"/>
      <c r="J2601" s="16"/>
      <c r="K2601" s="16"/>
      <c r="L2601" s="16"/>
      <c r="M2601" s="16"/>
    </row>
    <row r="2602" spans="1:13" x14ac:dyDescent="0.2">
      <c r="A2602" s="16"/>
      <c r="B2602" s="37"/>
      <c r="C2602" s="16"/>
      <c r="D2602" s="16"/>
      <c r="E2602" s="16"/>
      <c r="F2602" s="16"/>
      <c r="G2602" s="16"/>
      <c r="H2602" s="16"/>
      <c r="I2602" s="16"/>
      <c r="J2602" s="16"/>
      <c r="K2602" s="16"/>
      <c r="L2602" s="16"/>
      <c r="M2602" s="16"/>
    </row>
    <row r="2603" spans="1:13" x14ac:dyDescent="0.2">
      <c r="A2603" s="16"/>
      <c r="B2603" s="37"/>
      <c r="C2603" s="16"/>
      <c r="D2603" s="16"/>
      <c r="E2603" s="16"/>
      <c r="F2603" s="16"/>
      <c r="G2603" s="16"/>
      <c r="H2603" s="16"/>
      <c r="I2603" s="16"/>
      <c r="J2603" s="16"/>
      <c r="K2603" s="16"/>
      <c r="L2603" s="16"/>
      <c r="M2603" s="16"/>
    </row>
    <row r="2604" spans="1:13" x14ac:dyDescent="0.2">
      <c r="A2604" s="16"/>
      <c r="B2604" s="37"/>
      <c r="C2604" s="16"/>
      <c r="D2604" s="16"/>
      <c r="E2604" s="16"/>
      <c r="F2604" s="16"/>
      <c r="G2604" s="16"/>
      <c r="H2604" s="16"/>
      <c r="I2604" s="16"/>
      <c r="J2604" s="16"/>
      <c r="K2604" s="16"/>
      <c r="L2604" s="16"/>
      <c r="M2604" s="16"/>
    </row>
    <row r="2605" spans="1:13" x14ac:dyDescent="0.2">
      <c r="A2605" s="16"/>
      <c r="B2605" s="37"/>
      <c r="C2605" s="16"/>
      <c r="D2605" s="16"/>
      <c r="E2605" s="16"/>
      <c r="F2605" s="16"/>
      <c r="G2605" s="16"/>
      <c r="H2605" s="16"/>
      <c r="I2605" s="16"/>
      <c r="J2605" s="16"/>
      <c r="K2605" s="16"/>
      <c r="L2605" s="16"/>
      <c r="M2605" s="16"/>
    </row>
    <row r="2606" spans="1:13" x14ac:dyDescent="0.2">
      <c r="A2606" s="16"/>
      <c r="B2606" s="37"/>
      <c r="C2606" s="16"/>
      <c r="D2606" s="16"/>
      <c r="E2606" s="16"/>
      <c r="F2606" s="16"/>
      <c r="G2606" s="16"/>
      <c r="H2606" s="16"/>
      <c r="I2606" s="16"/>
      <c r="J2606" s="16"/>
      <c r="K2606" s="16"/>
      <c r="L2606" s="16"/>
      <c r="M2606" s="16"/>
    </row>
    <row r="2607" spans="1:13" x14ac:dyDescent="0.2">
      <c r="A2607" s="16"/>
      <c r="B2607" s="37"/>
      <c r="C2607" s="16"/>
      <c r="D2607" s="16"/>
      <c r="E2607" s="16"/>
      <c r="F2607" s="16"/>
      <c r="G2607" s="16"/>
      <c r="H2607" s="16"/>
      <c r="I2607" s="16"/>
      <c r="J2607" s="16"/>
      <c r="K2607" s="16"/>
      <c r="L2607" s="16"/>
      <c r="M2607" s="16"/>
    </row>
    <row r="2608" spans="1:13" x14ac:dyDescent="0.2">
      <c r="A2608" s="16"/>
      <c r="B2608" s="37"/>
      <c r="C2608" s="16"/>
      <c r="D2608" s="16"/>
      <c r="E2608" s="16"/>
      <c r="F2608" s="16"/>
      <c r="G2608" s="16"/>
      <c r="H2608" s="16"/>
      <c r="I2608" s="16"/>
      <c r="J2608" s="16"/>
      <c r="K2608" s="16"/>
      <c r="L2608" s="16"/>
      <c r="M2608" s="16"/>
    </row>
    <row r="2609" spans="1:13" x14ac:dyDescent="0.2">
      <c r="A2609" s="16"/>
      <c r="B2609" s="37"/>
      <c r="C2609" s="16"/>
      <c r="D2609" s="16"/>
      <c r="E2609" s="16"/>
      <c r="F2609" s="16"/>
      <c r="G2609" s="16"/>
      <c r="H2609" s="16"/>
      <c r="I2609" s="16"/>
      <c r="J2609" s="16"/>
      <c r="K2609" s="16"/>
      <c r="L2609" s="16"/>
      <c r="M2609" s="16"/>
    </row>
    <row r="2610" spans="1:13" x14ac:dyDescent="0.2">
      <c r="A2610" s="16"/>
      <c r="B2610" s="37"/>
      <c r="C2610" s="16"/>
      <c r="D2610" s="16"/>
      <c r="E2610" s="16"/>
      <c r="F2610" s="16"/>
      <c r="G2610" s="16"/>
      <c r="H2610" s="16"/>
      <c r="I2610" s="16"/>
      <c r="J2610" s="16"/>
      <c r="K2610" s="16"/>
      <c r="L2610" s="16"/>
      <c r="M2610" s="16"/>
    </row>
    <row r="2611" spans="1:13" x14ac:dyDescent="0.2">
      <c r="A2611" s="16"/>
      <c r="B2611" s="37"/>
      <c r="C2611" s="16"/>
      <c r="D2611" s="16"/>
      <c r="E2611" s="16"/>
      <c r="F2611" s="16"/>
      <c r="G2611" s="16"/>
      <c r="H2611" s="16"/>
      <c r="I2611" s="16"/>
      <c r="J2611" s="16"/>
      <c r="K2611" s="16"/>
      <c r="L2611" s="16"/>
      <c r="M2611" s="16"/>
    </row>
    <row r="2612" spans="1:13" x14ac:dyDescent="0.2">
      <c r="A2612" s="16"/>
      <c r="B2612" s="37"/>
      <c r="C2612" s="16"/>
      <c r="D2612" s="16"/>
      <c r="E2612" s="16"/>
      <c r="F2612" s="16"/>
      <c r="G2612" s="16"/>
      <c r="H2612" s="16"/>
      <c r="I2612" s="16"/>
      <c r="J2612" s="16"/>
      <c r="K2612" s="16"/>
      <c r="L2612" s="16"/>
      <c r="M2612" s="16"/>
    </row>
    <row r="2613" spans="1:13" x14ac:dyDescent="0.2">
      <c r="A2613" s="16"/>
      <c r="B2613" s="37"/>
      <c r="C2613" s="16"/>
      <c r="D2613" s="16"/>
      <c r="E2613" s="16"/>
      <c r="F2613" s="16"/>
      <c r="G2613" s="16"/>
      <c r="H2613" s="16"/>
      <c r="I2613" s="16"/>
      <c r="J2613" s="16"/>
      <c r="K2613" s="16"/>
      <c r="L2613" s="16"/>
      <c r="M2613" s="16"/>
    </row>
    <row r="2614" spans="1:13" x14ac:dyDescent="0.2">
      <c r="A2614" s="16"/>
      <c r="B2614" s="37"/>
      <c r="C2614" s="16"/>
      <c r="D2614" s="16"/>
      <c r="E2614" s="16"/>
      <c r="F2614" s="16"/>
      <c r="G2614" s="16"/>
      <c r="H2614" s="16"/>
      <c r="I2614" s="16"/>
      <c r="J2614" s="16"/>
      <c r="K2614" s="16"/>
      <c r="L2614" s="16"/>
      <c r="M2614" s="16"/>
    </row>
    <row r="2615" spans="1:13" x14ac:dyDescent="0.2">
      <c r="A2615" s="16"/>
      <c r="B2615" s="37"/>
      <c r="C2615" s="16"/>
      <c r="D2615" s="16"/>
      <c r="E2615" s="16"/>
      <c r="F2615" s="16"/>
      <c r="G2615" s="16"/>
      <c r="H2615" s="16"/>
      <c r="I2615" s="16"/>
      <c r="J2615" s="16"/>
      <c r="K2615" s="16"/>
      <c r="L2615" s="16"/>
      <c r="M2615" s="16"/>
    </row>
    <row r="2616" spans="1:13" x14ac:dyDescent="0.2">
      <c r="A2616" s="16"/>
      <c r="B2616" s="37"/>
      <c r="C2616" s="16"/>
      <c r="D2616" s="16"/>
      <c r="E2616" s="16"/>
      <c r="F2616" s="16"/>
      <c r="G2616" s="16"/>
      <c r="H2616" s="16"/>
      <c r="I2616" s="16"/>
      <c r="J2616" s="16"/>
      <c r="K2616" s="16"/>
      <c r="L2616" s="16"/>
      <c r="M2616" s="16"/>
    </row>
    <row r="2617" spans="1:13" x14ac:dyDescent="0.2">
      <c r="A2617" s="16"/>
      <c r="B2617" s="37"/>
      <c r="C2617" s="16"/>
      <c r="D2617" s="16"/>
      <c r="E2617" s="16"/>
      <c r="F2617" s="16"/>
      <c r="G2617" s="16"/>
      <c r="H2617" s="16"/>
      <c r="I2617" s="16"/>
      <c r="J2617" s="16"/>
      <c r="K2617" s="16"/>
      <c r="L2617" s="16"/>
      <c r="M2617" s="16"/>
    </row>
    <row r="2618" spans="1:13" x14ac:dyDescent="0.2">
      <c r="A2618" s="16"/>
      <c r="B2618" s="37"/>
      <c r="C2618" s="16"/>
      <c r="D2618" s="16"/>
      <c r="E2618" s="16"/>
      <c r="F2618" s="16"/>
      <c r="G2618" s="16"/>
      <c r="H2618" s="16"/>
      <c r="I2618" s="16"/>
      <c r="J2618" s="16"/>
      <c r="K2618" s="16"/>
      <c r="L2618" s="16"/>
      <c r="M2618" s="16"/>
    </row>
    <row r="2619" spans="1:13" x14ac:dyDescent="0.2">
      <c r="A2619" s="16"/>
      <c r="B2619" s="37"/>
      <c r="C2619" s="16"/>
      <c r="D2619" s="16"/>
      <c r="E2619" s="16"/>
      <c r="F2619" s="16"/>
      <c r="G2619" s="16"/>
      <c r="H2619" s="16"/>
      <c r="I2619" s="16"/>
      <c r="J2619" s="16"/>
      <c r="K2619" s="16"/>
      <c r="L2619" s="16"/>
      <c r="M2619" s="16"/>
    </row>
    <row r="2620" spans="1:13" x14ac:dyDescent="0.2">
      <c r="A2620" s="16"/>
      <c r="B2620" s="37"/>
      <c r="C2620" s="16"/>
      <c r="D2620" s="16"/>
      <c r="E2620" s="16"/>
      <c r="F2620" s="16"/>
      <c r="G2620" s="16"/>
      <c r="H2620" s="16"/>
      <c r="I2620" s="16"/>
      <c r="J2620" s="16"/>
      <c r="K2620" s="16"/>
      <c r="L2620" s="16"/>
      <c r="M2620" s="16"/>
    </row>
    <row r="2621" spans="1:13" x14ac:dyDescent="0.2">
      <c r="A2621" s="16"/>
      <c r="B2621" s="37"/>
      <c r="C2621" s="16"/>
      <c r="D2621" s="16"/>
      <c r="E2621" s="16"/>
      <c r="F2621" s="16"/>
      <c r="G2621" s="16"/>
      <c r="H2621" s="16"/>
      <c r="I2621" s="16"/>
      <c r="J2621" s="16"/>
      <c r="K2621" s="16"/>
      <c r="L2621" s="16"/>
      <c r="M2621" s="16"/>
    </row>
    <row r="2622" spans="1:13" x14ac:dyDescent="0.2">
      <c r="A2622" s="16"/>
      <c r="B2622" s="37"/>
      <c r="C2622" s="16"/>
      <c r="D2622" s="16"/>
      <c r="E2622" s="16"/>
      <c r="F2622" s="16"/>
      <c r="G2622" s="16"/>
      <c r="H2622" s="16"/>
      <c r="I2622" s="16"/>
      <c r="J2622" s="16"/>
      <c r="K2622" s="16"/>
      <c r="L2622" s="16"/>
      <c r="M2622" s="16"/>
    </row>
    <row r="2623" spans="1:13" x14ac:dyDescent="0.2">
      <c r="A2623" s="16"/>
      <c r="B2623" s="37"/>
      <c r="C2623" s="16"/>
      <c r="D2623" s="16"/>
      <c r="E2623" s="16"/>
      <c r="F2623" s="16"/>
      <c r="G2623" s="16"/>
      <c r="H2623" s="16"/>
      <c r="I2623" s="16"/>
      <c r="J2623" s="16"/>
      <c r="K2623" s="16"/>
      <c r="L2623" s="16"/>
      <c r="M2623" s="16"/>
    </row>
    <row r="2624" spans="1:13" x14ac:dyDescent="0.2">
      <c r="A2624" s="16"/>
      <c r="B2624" s="37"/>
      <c r="C2624" s="16"/>
      <c r="D2624" s="16"/>
      <c r="E2624" s="16"/>
      <c r="F2624" s="16"/>
      <c r="G2624" s="16"/>
      <c r="H2624" s="16"/>
      <c r="I2624" s="16"/>
      <c r="J2624" s="16"/>
      <c r="K2624" s="16"/>
      <c r="L2624" s="16"/>
      <c r="M2624" s="16"/>
    </row>
    <row r="2625" spans="1:13" x14ac:dyDescent="0.2">
      <c r="A2625" s="16"/>
      <c r="B2625" s="37"/>
      <c r="C2625" s="16"/>
      <c r="D2625" s="16"/>
      <c r="E2625" s="16"/>
      <c r="F2625" s="16"/>
      <c r="G2625" s="16"/>
      <c r="H2625" s="16"/>
      <c r="I2625" s="16"/>
      <c r="J2625" s="16"/>
      <c r="K2625" s="16"/>
      <c r="L2625" s="16"/>
      <c r="M2625" s="16"/>
    </row>
    <row r="2626" spans="1:13" x14ac:dyDescent="0.2">
      <c r="A2626" s="16"/>
      <c r="B2626" s="37"/>
      <c r="C2626" s="16"/>
      <c r="D2626" s="16"/>
      <c r="E2626" s="16"/>
      <c r="F2626" s="16"/>
      <c r="G2626" s="16"/>
      <c r="H2626" s="16"/>
      <c r="I2626" s="16"/>
      <c r="J2626" s="16"/>
      <c r="K2626" s="16"/>
      <c r="L2626" s="16"/>
      <c r="M2626" s="16"/>
    </row>
    <row r="2627" spans="1:13" x14ac:dyDescent="0.2">
      <c r="A2627" s="16"/>
      <c r="B2627" s="37"/>
      <c r="C2627" s="16"/>
      <c r="D2627" s="16"/>
      <c r="E2627" s="16"/>
      <c r="F2627" s="16"/>
      <c r="G2627" s="16"/>
      <c r="H2627" s="16"/>
      <c r="I2627" s="16"/>
      <c r="J2627" s="16"/>
      <c r="K2627" s="16"/>
      <c r="L2627" s="16"/>
      <c r="M2627" s="16"/>
    </row>
    <row r="2628" spans="1:13" x14ac:dyDescent="0.2">
      <c r="A2628" s="16"/>
      <c r="B2628" s="37"/>
      <c r="C2628" s="16"/>
      <c r="D2628" s="16"/>
      <c r="E2628" s="16"/>
      <c r="F2628" s="16"/>
      <c r="G2628" s="16"/>
      <c r="H2628" s="16"/>
      <c r="I2628" s="16"/>
      <c r="J2628" s="16"/>
      <c r="K2628" s="16"/>
      <c r="L2628" s="16"/>
      <c r="M2628" s="16"/>
    </row>
    <row r="2629" spans="1:13" x14ac:dyDescent="0.2">
      <c r="A2629" s="16"/>
      <c r="B2629" s="37"/>
      <c r="C2629" s="16"/>
      <c r="D2629" s="16"/>
      <c r="E2629" s="16"/>
      <c r="F2629" s="16"/>
      <c r="G2629" s="16"/>
      <c r="H2629" s="16"/>
      <c r="I2629" s="16"/>
      <c r="J2629" s="16"/>
      <c r="K2629" s="16"/>
      <c r="L2629" s="16"/>
      <c r="M2629" s="16"/>
    </row>
    <row r="2630" spans="1:13" x14ac:dyDescent="0.2">
      <c r="A2630" s="16"/>
      <c r="B2630" s="37"/>
      <c r="C2630" s="16"/>
      <c r="D2630" s="16"/>
      <c r="E2630" s="16"/>
      <c r="F2630" s="16"/>
      <c r="G2630" s="16"/>
      <c r="H2630" s="16"/>
      <c r="I2630" s="16"/>
      <c r="J2630" s="16"/>
      <c r="K2630" s="16"/>
      <c r="L2630" s="16"/>
      <c r="M2630" s="16"/>
    </row>
    <row r="2631" spans="1:13" x14ac:dyDescent="0.2">
      <c r="A2631" s="16"/>
      <c r="B2631" s="37"/>
      <c r="C2631" s="16"/>
      <c r="D2631" s="16"/>
      <c r="E2631" s="16"/>
      <c r="F2631" s="16"/>
      <c r="G2631" s="16"/>
      <c r="H2631" s="16"/>
      <c r="I2631" s="16"/>
      <c r="J2631" s="16"/>
      <c r="K2631" s="16"/>
      <c r="L2631" s="16"/>
      <c r="M2631" s="16"/>
    </row>
    <row r="2632" spans="1:13" x14ac:dyDescent="0.2">
      <c r="A2632" s="16"/>
      <c r="B2632" s="37"/>
      <c r="C2632" s="16"/>
      <c r="D2632" s="16"/>
      <c r="E2632" s="16"/>
      <c r="F2632" s="16"/>
      <c r="G2632" s="16"/>
      <c r="H2632" s="16"/>
      <c r="I2632" s="16"/>
      <c r="J2632" s="16"/>
      <c r="K2632" s="16"/>
      <c r="L2632" s="16"/>
      <c r="M2632" s="16"/>
    </row>
    <row r="2633" spans="1:13" x14ac:dyDescent="0.2">
      <c r="A2633" s="16"/>
      <c r="B2633" s="37"/>
      <c r="C2633" s="16"/>
      <c r="D2633" s="16"/>
      <c r="E2633" s="16"/>
      <c r="F2633" s="16"/>
      <c r="G2633" s="16"/>
      <c r="H2633" s="16"/>
      <c r="I2633" s="16"/>
      <c r="J2633" s="16"/>
      <c r="K2633" s="16"/>
      <c r="L2633" s="16"/>
      <c r="M2633" s="16"/>
    </row>
    <row r="2634" spans="1:13" x14ac:dyDescent="0.2">
      <c r="A2634" s="16"/>
      <c r="B2634" s="37"/>
      <c r="C2634" s="16"/>
      <c r="D2634" s="16"/>
      <c r="E2634" s="16"/>
      <c r="F2634" s="16"/>
      <c r="G2634" s="16"/>
      <c r="H2634" s="16"/>
      <c r="I2634" s="16"/>
      <c r="J2634" s="16"/>
      <c r="K2634" s="16"/>
      <c r="L2634" s="16"/>
      <c r="M2634" s="16"/>
    </row>
    <row r="2635" spans="1:13" x14ac:dyDescent="0.2">
      <c r="A2635" s="16"/>
      <c r="B2635" s="37"/>
      <c r="C2635" s="16"/>
      <c r="D2635" s="16"/>
      <c r="E2635" s="16"/>
      <c r="F2635" s="16"/>
      <c r="G2635" s="16"/>
      <c r="H2635" s="16"/>
      <c r="I2635" s="16"/>
      <c r="J2635" s="16"/>
      <c r="K2635" s="16"/>
      <c r="L2635" s="16"/>
      <c r="M2635" s="16"/>
    </row>
    <row r="2636" spans="1:13" x14ac:dyDescent="0.2">
      <c r="A2636" s="16"/>
      <c r="B2636" s="37"/>
      <c r="C2636" s="16"/>
      <c r="D2636" s="16"/>
      <c r="E2636" s="16"/>
      <c r="F2636" s="16"/>
      <c r="G2636" s="16"/>
      <c r="H2636" s="16"/>
      <c r="I2636" s="16"/>
      <c r="J2636" s="16"/>
      <c r="K2636" s="16"/>
      <c r="L2636" s="16"/>
      <c r="M2636" s="16"/>
    </row>
    <row r="2637" spans="1:13" x14ac:dyDescent="0.2">
      <c r="A2637" s="16"/>
      <c r="B2637" s="37"/>
      <c r="C2637" s="16"/>
      <c r="D2637" s="16"/>
      <c r="E2637" s="16"/>
      <c r="F2637" s="16"/>
      <c r="G2637" s="16"/>
      <c r="H2637" s="16"/>
      <c r="I2637" s="16"/>
      <c r="J2637" s="16"/>
      <c r="K2637" s="16"/>
      <c r="L2637" s="16"/>
      <c r="M2637" s="16"/>
    </row>
    <row r="2638" spans="1:13" x14ac:dyDescent="0.2">
      <c r="A2638" s="16"/>
      <c r="B2638" s="37"/>
      <c r="C2638" s="16"/>
      <c r="D2638" s="16"/>
      <c r="E2638" s="16"/>
      <c r="F2638" s="16"/>
      <c r="G2638" s="16"/>
      <c r="H2638" s="16"/>
      <c r="I2638" s="16"/>
      <c r="J2638" s="16"/>
      <c r="K2638" s="16"/>
      <c r="L2638" s="16"/>
      <c r="M2638" s="16"/>
    </row>
    <row r="2639" spans="1:13" x14ac:dyDescent="0.2">
      <c r="A2639" s="16"/>
      <c r="B2639" s="37"/>
      <c r="C2639" s="16"/>
      <c r="D2639" s="16"/>
      <c r="E2639" s="16"/>
      <c r="F2639" s="16"/>
      <c r="G2639" s="16"/>
      <c r="H2639" s="16"/>
      <c r="I2639" s="16"/>
      <c r="J2639" s="16"/>
      <c r="K2639" s="16"/>
      <c r="L2639" s="16"/>
      <c r="M2639" s="16"/>
    </row>
    <row r="2640" spans="1:13" x14ac:dyDescent="0.2">
      <c r="A2640" s="16"/>
      <c r="B2640" s="37"/>
      <c r="C2640" s="16"/>
      <c r="D2640" s="16"/>
      <c r="E2640" s="16"/>
      <c r="F2640" s="16"/>
      <c r="G2640" s="16"/>
      <c r="H2640" s="16"/>
      <c r="I2640" s="16"/>
      <c r="J2640" s="16"/>
      <c r="K2640" s="16"/>
      <c r="L2640" s="16"/>
      <c r="M2640" s="16"/>
    </row>
    <row r="2641" spans="1:13" x14ac:dyDescent="0.2">
      <c r="A2641" s="16"/>
      <c r="B2641" s="37"/>
      <c r="C2641" s="16"/>
      <c r="D2641" s="16"/>
      <c r="E2641" s="16"/>
      <c r="F2641" s="16"/>
      <c r="G2641" s="16"/>
      <c r="H2641" s="16"/>
      <c r="I2641" s="16"/>
      <c r="J2641" s="16"/>
      <c r="K2641" s="16"/>
      <c r="L2641" s="16"/>
      <c r="M2641" s="16"/>
    </row>
    <row r="2642" spans="1:13" x14ac:dyDescent="0.2">
      <c r="A2642" s="16"/>
      <c r="B2642" s="37"/>
      <c r="C2642" s="16"/>
      <c r="D2642" s="16"/>
      <c r="E2642" s="16"/>
      <c r="F2642" s="16"/>
      <c r="G2642" s="16"/>
      <c r="H2642" s="16"/>
      <c r="I2642" s="16"/>
      <c r="J2642" s="16"/>
      <c r="K2642" s="16"/>
      <c r="L2642" s="16"/>
      <c r="M2642" s="16"/>
    </row>
    <row r="2643" spans="1:13" x14ac:dyDescent="0.2">
      <c r="A2643" s="16"/>
      <c r="B2643" s="37"/>
      <c r="C2643" s="16"/>
      <c r="D2643" s="16"/>
      <c r="E2643" s="16"/>
      <c r="F2643" s="16"/>
      <c r="G2643" s="16"/>
      <c r="H2643" s="16"/>
      <c r="I2643" s="16"/>
      <c r="J2643" s="16"/>
      <c r="K2643" s="16"/>
      <c r="L2643" s="16"/>
      <c r="M2643" s="16"/>
    </row>
    <row r="2644" spans="1:13" x14ac:dyDescent="0.2">
      <c r="A2644" s="16"/>
      <c r="B2644" s="37"/>
      <c r="C2644" s="16"/>
      <c r="D2644" s="16"/>
      <c r="E2644" s="16"/>
      <c r="F2644" s="16"/>
      <c r="G2644" s="16"/>
      <c r="H2644" s="16"/>
      <c r="I2644" s="16"/>
      <c r="J2644" s="16"/>
      <c r="K2644" s="16"/>
      <c r="L2644" s="16"/>
      <c r="M2644" s="16"/>
    </row>
    <row r="2645" spans="1:13" x14ac:dyDescent="0.2">
      <c r="A2645" s="16"/>
      <c r="B2645" s="37"/>
      <c r="C2645" s="16"/>
      <c r="D2645" s="16"/>
      <c r="E2645" s="16"/>
      <c r="F2645" s="16"/>
      <c r="G2645" s="16"/>
      <c r="H2645" s="16"/>
      <c r="I2645" s="16"/>
      <c r="J2645" s="16"/>
      <c r="K2645" s="16"/>
      <c r="L2645" s="16"/>
      <c r="M2645" s="16"/>
    </row>
    <row r="2646" spans="1:13" x14ac:dyDescent="0.2">
      <c r="A2646" s="16"/>
      <c r="B2646" s="37"/>
      <c r="C2646" s="16"/>
      <c r="D2646" s="16"/>
      <c r="E2646" s="16"/>
      <c r="F2646" s="16"/>
      <c r="G2646" s="16"/>
      <c r="H2646" s="16"/>
      <c r="I2646" s="16"/>
      <c r="J2646" s="16"/>
      <c r="K2646" s="16"/>
      <c r="L2646" s="16"/>
      <c r="M2646" s="16"/>
    </row>
    <row r="2647" spans="1:13" x14ac:dyDescent="0.2">
      <c r="A2647" s="16"/>
      <c r="B2647" s="37"/>
      <c r="C2647" s="16"/>
      <c r="D2647" s="16"/>
      <c r="E2647" s="16"/>
      <c r="F2647" s="16"/>
      <c r="G2647" s="16"/>
      <c r="H2647" s="16"/>
      <c r="I2647" s="16"/>
      <c r="J2647" s="16"/>
      <c r="K2647" s="16"/>
      <c r="L2647" s="16"/>
      <c r="M2647" s="16"/>
    </row>
    <row r="2648" spans="1:13" x14ac:dyDescent="0.2">
      <c r="A2648" s="16"/>
      <c r="B2648" s="37"/>
      <c r="C2648" s="16"/>
      <c r="D2648" s="16"/>
      <c r="E2648" s="16"/>
      <c r="F2648" s="16"/>
      <c r="G2648" s="16"/>
      <c r="H2648" s="16"/>
      <c r="I2648" s="16"/>
      <c r="J2648" s="16"/>
      <c r="K2648" s="16"/>
      <c r="L2648" s="16"/>
      <c r="M2648" s="16"/>
    </row>
    <row r="2649" spans="1:13" x14ac:dyDescent="0.2">
      <c r="A2649" s="16"/>
      <c r="B2649" s="37"/>
      <c r="C2649" s="16"/>
      <c r="D2649" s="16"/>
      <c r="E2649" s="16"/>
      <c r="F2649" s="16"/>
      <c r="G2649" s="16"/>
      <c r="H2649" s="16"/>
      <c r="I2649" s="16"/>
      <c r="J2649" s="16"/>
      <c r="K2649" s="16"/>
      <c r="L2649" s="16"/>
      <c r="M2649" s="16"/>
    </row>
    <row r="2650" spans="1:13" x14ac:dyDescent="0.2">
      <c r="A2650" s="16"/>
      <c r="B2650" s="37"/>
      <c r="C2650" s="16"/>
      <c r="D2650" s="16"/>
      <c r="E2650" s="16"/>
      <c r="F2650" s="16"/>
      <c r="G2650" s="16"/>
      <c r="H2650" s="16"/>
      <c r="I2650" s="16"/>
      <c r="J2650" s="16"/>
      <c r="K2650" s="16"/>
      <c r="L2650" s="16"/>
      <c r="M2650" s="16"/>
    </row>
    <row r="2651" spans="1:13" x14ac:dyDescent="0.2">
      <c r="A2651" s="16"/>
      <c r="B2651" s="37"/>
      <c r="C2651" s="16"/>
      <c r="D2651" s="16"/>
      <c r="E2651" s="16"/>
      <c r="F2651" s="16"/>
      <c r="G2651" s="16"/>
      <c r="H2651" s="16"/>
      <c r="I2651" s="16"/>
      <c r="J2651" s="16"/>
      <c r="K2651" s="16"/>
      <c r="L2651" s="16"/>
      <c r="M2651" s="16"/>
    </row>
    <row r="2652" spans="1:13" x14ac:dyDescent="0.2">
      <c r="A2652" s="16"/>
      <c r="B2652" s="37"/>
      <c r="C2652" s="16"/>
      <c r="D2652" s="16"/>
      <c r="E2652" s="16"/>
      <c r="F2652" s="16"/>
      <c r="G2652" s="16"/>
      <c r="H2652" s="16"/>
      <c r="I2652" s="16"/>
      <c r="J2652" s="16"/>
      <c r="K2652" s="16"/>
      <c r="L2652" s="16"/>
      <c r="M2652" s="16"/>
    </row>
    <row r="2653" spans="1:13" x14ac:dyDescent="0.2">
      <c r="A2653" s="16"/>
      <c r="B2653" s="37"/>
      <c r="C2653" s="16"/>
      <c r="D2653" s="16"/>
      <c r="E2653" s="16"/>
      <c r="F2653" s="16"/>
      <c r="G2653" s="16"/>
      <c r="H2653" s="16"/>
      <c r="I2653" s="16"/>
      <c r="J2653" s="16"/>
      <c r="K2653" s="16"/>
      <c r="L2653" s="16"/>
      <c r="M2653" s="16"/>
    </row>
    <row r="2654" spans="1:13" x14ac:dyDescent="0.2">
      <c r="A2654" s="16"/>
      <c r="B2654" s="37"/>
      <c r="C2654" s="16"/>
      <c r="D2654" s="16"/>
      <c r="E2654" s="16"/>
      <c r="F2654" s="16"/>
      <c r="G2654" s="16"/>
      <c r="H2654" s="16"/>
      <c r="I2654" s="16"/>
      <c r="J2654" s="16"/>
      <c r="K2654" s="16"/>
      <c r="L2654" s="16"/>
      <c r="M2654" s="16"/>
    </row>
    <row r="2655" spans="1:13" x14ac:dyDescent="0.2">
      <c r="A2655" s="16"/>
      <c r="B2655" s="37"/>
      <c r="C2655" s="16"/>
      <c r="D2655" s="16"/>
      <c r="E2655" s="16"/>
      <c r="F2655" s="16"/>
      <c r="G2655" s="16"/>
      <c r="H2655" s="16"/>
      <c r="I2655" s="16"/>
      <c r="J2655" s="16"/>
      <c r="K2655" s="16"/>
      <c r="L2655" s="16"/>
      <c r="M2655" s="16"/>
    </row>
    <row r="2656" spans="1:13" x14ac:dyDescent="0.2">
      <c r="A2656" s="16"/>
      <c r="B2656" s="37"/>
      <c r="C2656" s="16"/>
      <c r="D2656" s="16"/>
      <c r="E2656" s="16"/>
      <c r="F2656" s="16"/>
      <c r="G2656" s="16"/>
      <c r="H2656" s="16"/>
      <c r="I2656" s="16"/>
      <c r="J2656" s="16"/>
      <c r="K2656" s="16"/>
      <c r="L2656" s="16"/>
      <c r="M2656" s="16"/>
    </row>
    <row r="2657" spans="1:13" x14ac:dyDescent="0.2">
      <c r="A2657" s="16"/>
      <c r="B2657" s="37"/>
      <c r="C2657" s="16"/>
      <c r="D2657" s="16"/>
      <c r="E2657" s="16"/>
      <c r="F2657" s="16"/>
      <c r="G2657" s="16"/>
      <c r="H2657" s="16"/>
      <c r="I2657" s="16"/>
      <c r="J2657" s="16"/>
      <c r="K2657" s="16"/>
      <c r="L2657" s="16"/>
      <c r="M2657" s="16"/>
    </row>
    <row r="2658" spans="1:13" x14ac:dyDescent="0.2">
      <c r="A2658" s="16"/>
      <c r="B2658" s="37"/>
      <c r="C2658" s="16"/>
      <c r="D2658" s="16"/>
      <c r="E2658" s="16"/>
      <c r="F2658" s="16"/>
      <c r="G2658" s="16"/>
      <c r="H2658" s="16"/>
      <c r="I2658" s="16"/>
      <c r="J2658" s="16"/>
      <c r="K2658" s="16"/>
      <c r="L2658" s="16"/>
      <c r="M2658" s="16"/>
    </row>
    <row r="2659" spans="1:13" x14ac:dyDescent="0.2">
      <c r="A2659" s="16"/>
      <c r="B2659" s="37"/>
      <c r="C2659" s="16"/>
      <c r="D2659" s="16"/>
      <c r="E2659" s="16"/>
      <c r="F2659" s="16"/>
      <c r="G2659" s="16"/>
      <c r="H2659" s="16"/>
      <c r="I2659" s="16"/>
      <c r="J2659" s="16"/>
      <c r="K2659" s="16"/>
      <c r="L2659" s="16"/>
      <c r="M2659" s="16"/>
    </row>
    <row r="2660" spans="1:13" x14ac:dyDescent="0.2">
      <c r="A2660" s="16"/>
      <c r="B2660" s="37"/>
      <c r="C2660" s="16"/>
      <c r="D2660" s="16"/>
      <c r="E2660" s="16"/>
      <c r="F2660" s="16"/>
      <c r="G2660" s="16"/>
      <c r="H2660" s="16"/>
      <c r="I2660" s="16"/>
      <c r="J2660" s="16"/>
      <c r="K2660" s="16"/>
      <c r="L2660" s="16"/>
      <c r="M2660" s="16"/>
    </row>
    <row r="2661" spans="1:13" x14ac:dyDescent="0.2">
      <c r="A2661" s="16"/>
      <c r="B2661" s="37"/>
      <c r="C2661" s="16"/>
      <c r="D2661" s="16"/>
      <c r="E2661" s="16"/>
      <c r="F2661" s="16"/>
      <c r="G2661" s="16"/>
      <c r="H2661" s="16"/>
      <c r="I2661" s="16"/>
      <c r="J2661" s="16"/>
      <c r="K2661" s="16"/>
      <c r="L2661" s="16"/>
      <c r="M2661" s="16"/>
    </row>
    <row r="2662" spans="1:13" x14ac:dyDescent="0.2">
      <c r="A2662" s="16"/>
      <c r="B2662" s="37"/>
      <c r="C2662" s="16"/>
      <c r="D2662" s="16"/>
      <c r="E2662" s="16"/>
      <c r="F2662" s="16"/>
      <c r="G2662" s="16"/>
      <c r="H2662" s="16"/>
      <c r="I2662" s="16"/>
      <c r="J2662" s="16"/>
      <c r="K2662" s="16"/>
      <c r="L2662" s="16"/>
      <c r="M2662" s="16"/>
    </row>
    <row r="2663" spans="1:13" x14ac:dyDescent="0.2">
      <c r="A2663" s="16"/>
      <c r="B2663" s="37"/>
      <c r="C2663" s="16"/>
      <c r="D2663" s="16"/>
      <c r="E2663" s="16"/>
      <c r="F2663" s="16"/>
      <c r="G2663" s="16"/>
      <c r="H2663" s="16"/>
      <c r="I2663" s="16"/>
      <c r="J2663" s="16"/>
      <c r="K2663" s="16"/>
      <c r="L2663" s="16"/>
      <c r="M2663" s="16"/>
    </row>
    <row r="2664" spans="1:13" x14ac:dyDescent="0.2">
      <c r="A2664" s="16"/>
      <c r="B2664" s="37"/>
      <c r="C2664" s="16"/>
      <c r="D2664" s="16"/>
      <c r="E2664" s="16"/>
      <c r="F2664" s="16"/>
      <c r="G2664" s="16"/>
      <c r="H2664" s="16"/>
      <c r="I2664" s="16"/>
      <c r="J2664" s="16"/>
      <c r="K2664" s="16"/>
      <c r="L2664" s="16"/>
      <c r="M2664" s="16"/>
    </row>
    <row r="2665" spans="1:13" x14ac:dyDescent="0.2">
      <c r="A2665" s="16"/>
      <c r="B2665" s="37"/>
      <c r="C2665" s="16"/>
      <c r="D2665" s="16"/>
      <c r="E2665" s="16"/>
      <c r="F2665" s="16"/>
      <c r="G2665" s="16"/>
      <c r="H2665" s="16"/>
      <c r="I2665" s="16"/>
      <c r="J2665" s="16"/>
      <c r="K2665" s="16"/>
      <c r="L2665" s="16"/>
      <c r="M2665" s="16"/>
    </row>
    <row r="2666" spans="1:13" x14ac:dyDescent="0.2">
      <c r="A2666" s="16"/>
      <c r="B2666" s="37"/>
      <c r="C2666" s="16"/>
      <c r="D2666" s="16"/>
      <c r="E2666" s="16"/>
      <c r="F2666" s="16"/>
      <c r="G2666" s="16"/>
      <c r="H2666" s="16"/>
      <c r="I2666" s="16"/>
      <c r="J2666" s="16"/>
      <c r="K2666" s="16"/>
      <c r="L2666" s="16"/>
      <c r="M2666" s="16"/>
    </row>
    <row r="2667" spans="1:13" x14ac:dyDescent="0.2">
      <c r="A2667" s="16"/>
      <c r="B2667" s="37"/>
      <c r="C2667" s="16"/>
      <c r="D2667" s="16"/>
      <c r="E2667" s="16"/>
      <c r="F2667" s="16"/>
      <c r="G2667" s="16"/>
      <c r="H2667" s="16"/>
      <c r="I2667" s="16"/>
      <c r="J2667" s="16"/>
      <c r="K2667" s="16"/>
      <c r="L2667" s="16"/>
      <c r="M2667" s="16"/>
    </row>
    <row r="2668" spans="1:13" x14ac:dyDescent="0.2">
      <c r="A2668" s="16"/>
      <c r="B2668" s="37"/>
      <c r="C2668" s="16"/>
      <c r="D2668" s="16"/>
      <c r="E2668" s="16"/>
      <c r="F2668" s="16"/>
      <c r="G2668" s="16"/>
      <c r="H2668" s="16"/>
      <c r="I2668" s="16"/>
      <c r="J2668" s="16"/>
      <c r="K2668" s="16"/>
      <c r="L2668" s="16"/>
      <c r="M2668" s="16"/>
    </row>
    <row r="2669" spans="1:13" x14ac:dyDescent="0.2">
      <c r="A2669" s="16"/>
      <c r="B2669" s="37"/>
      <c r="C2669" s="16"/>
      <c r="D2669" s="16"/>
      <c r="E2669" s="16"/>
      <c r="F2669" s="16"/>
      <c r="G2669" s="16"/>
      <c r="H2669" s="16"/>
      <c r="I2669" s="16"/>
      <c r="J2669" s="16"/>
      <c r="K2669" s="16"/>
      <c r="L2669" s="16"/>
      <c r="M2669" s="16"/>
    </row>
    <row r="2670" spans="1:13" x14ac:dyDescent="0.2">
      <c r="A2670" s="16"/>
      <c r="B2670" s="37"/>
      <c r="C2670" s="16"/>
      <c r="D2670" s="16"/>
      <c r="E2670" s="16"/>
      <c r="F2670" s="16"/>
      <c r="G2670" s="16"/>
      <c r="H2670" s="16"/>
      <c r="I2670" s="16"/>
      <c r="J2670" s="16"/>
      <c r="K2670" s="16"/>
      <c r="L2670" s="16"/>
      <c r="M2670" s="16"/>
    </row>
    <row r="2671" spans="1:13" x14ac:dyDescent="0.2">
      <c r="A2671" s="16"/>
      <c r="B2671" s="37"/>
      <c r="C2671" s="16"/>
      <c r="D2671" s="16"/>
      <c r="E2671" s="16"/>
      <c r="F2671" s="16"/>
      <c r="G2671" s="16"/>
      <c r="H2671" s="16"/>
      <c r="I2671" s="16"/>
      <c r="J2671" s="16"/>
      <c r="K2671" s="16"/>
      <c r="L2671" s="16"/>
      <c r="M2671" s="16"/>
    </row>
    <row r="2672" spans="1:13" x14ac:dyDescent="0.2">
      <c r="A2672" s="16"/>
      <c r="B2672" s="37"/>
      <c r="C2672" s="16"/>
      <c r="D2672" s="16"/>
      <c r="E2672" s="16"/>
      <c r="F2672" s="16"/>
      <c r="G2672" s="16"/>
      <c r="H2672" s="16"/>
      <c r="I2672" s="16"/>
      <c r="J2672" s="16"/>
      <c r="K2672" s="16"/>
      <c r="L2672" s="16"/>
      <c r="M2672" s="16"/>
    </row>
    <row r="2673" spans="1:13" x14ac:dyDescent="0.2">
      <c r="A2673" s="16"/>
      <c r="B2673" s="37"/>
      <c r="C2673" s="16"/>
      <c r="D2673" s="16"/>
      <c r="E2673" s="16"/>
      <c r="F2673" s="16"/>
      <c r="G2673" s="16"/>
      <c r="H2673" s="16"/>
      <c r="I2673" s="16"/>
      <c r="J2673" s="16"/>
      <c r="K2673" s="16"/>
      <c r="L2673" s="16"/>
      <c r="M2673" s="16"/>
    </row>
    <row r="2674" spans="1:13" x14ac:dyDescent="0.2">
      <c r="A2674" s="16"/>
      <c r="B2674" s="37"/>
      <c r="C2674" s="16"/>
      <c r="D2674" s="16"/>
      <c r="E2674" s="16"/>
      <c r="F2674" s="16"/>
      <c r="G2674" s="16"/>
      <c r="H2674" s="16"/>
      <c r="I2674" s="16"/>
      <c r="J2674" s="16"/>
      <c r="K2674" s="16"/>
      <c r="L2674" s="16"/>
      <c r="M2674" s="16"/>
    </row>
    <row r="2675" spans="1:13" x14ac:dyDescent="0.2">
      <c r="A2675" s="16"/>
      <c r="B2675" s="37"/>
      <c r="C2675" s="16"/>
      <c r="D2675" s="16"/>
      <c r="E2675" s="16"/>
      <c r="F2675" s="16"/>
      <c r="G2675" s="16"/>
      <c r="H2675" s="16"/>
      <c r="I2675" s="16"/>
      <c r="J2675" s="16"/>
      <c r="K2675" s="16"/>
      <c r="L2675" s="16"/>
      <c r="M2675" s="16"/>
    </row>
    <row r="2676" spans="1:13" x14ac:dyDescent="0.2">
      <c r="A2676" s="16"/>
      <c r="B2676" s="37"/>
      <c r="C2676" s="16"/>
      <c r="D2676" s="16"/>
      <c r="E2676" s="16"/>
      <c r="F2676" s="16"/>
      <c r="G2676" s="16"/>
      <c r="H2676" s="16"/>
      <c r="I2676" s="16"/>
      <c r="J2676" s="16"/>
      <c r="K2676" s="16"/>
      <c r="L2676" s="16"/>
      <c r="M2676" s="16"/>
    </row>
    <row r="2677" spans="1:13" x14ac:dyDescent="0.2">
      <c r="A2677" s="16"/>
      <c r="B2677" s="37"/>
      <c r="C2677" s="16"/>
      <c r="D2677" s="16"/>
      <c r="E2677" s="16"/>
      <c r="F2677" s="16"/>
      <c r="G2677" s="16"/>
      <c r="H2677" s="16"/>
      <c r="I2677" s="16"/>
      <c r="J2677" s="16"/>
      <c r="K2677" s="16"/>
      <c r="L2677" s="16"/>
      <c r="M2677" s="16"/>
    </row>
    <row r="2678" spans="1:13" x14ac:dyDescent="0.2">
      <c r="A2678" s="16"/>
      <c r="B2678" s="37"/>
      <c r="C2678" s="16"/>
      <c r="D2678" s="16"/>
      <c r="E2678" s="16"/>
      <c r="F2678" s="16"/>
      <c r="G2678" s="16"/>
      <c r="H2678" s="16"/>
      <c r="I2678" s="16"/>
      <c r="J2678" s="16"/>
      <c r="K2678" s="16"/>
      <c r="L2678" s="16"/>
      <c r="M2678" s="16"/>
    </row>
    <row r="2679" spans="1:13" x14ac:dyDescent="0.2">
      <c r="A2679" s="16"/>
      <c r="B2679" s="37"/>
      <c r="C2679" s="16"/>
      <c r="D2679" s="16"/>
      <c r="E2679" s="16"/>
      <c r="F2679" s="16"/>
      <c r="G2679" s="16"/>
      <c r="H2679" s="16"/>
      <c r="I2679" s="16"/>
      <c r="J2679" s="16"/>
      <c r="K2679" s="16"/>
      <c r="L2679" s="16"/>
      <c r="M2679" s="16"/>
    </row>
    <row r="2680" spans="1:13" x14ac:dyDescent="0.2">
      <c r="A2680" s="16"/>
      <c r="B2680" s="37"/>
      <c r="C2680" s="16"/>
      <c r="D2680" s="16"/>
      <c r="E2680" s="16"/>
      <c r="F2680" s="16"/>
      <c r="G2680" s="16"/>
      <c r="H2680" s="16"/>
      <c r="I2680" s="16"/>
      <c r="J2680" s="16"/>
      <c r="K2680" s="16"/>
      <c r="L2680" s="16"/>
      <c r="M2680" s="16"/>
    </row>
    <row r="2681" spans="1:13" x14ac:dyDescent="0.2">
      <c r="A2681" s="16"/>
      <c r="B2681" s="37"/>
      <c r="C2681" s="16"/>
      <c r="D2681" s="16"/>
      <c r="E2681" s="16"/>
      <c r="F2681" s="16"/>
      <c r="G2681" s="16"/>
      <c r="H2681" s="16"/>
      <c r="I2681" s="16"/>
      <c r="J2681" s="16"/>
      <c r="K2681" s="16"/>
      <c r="L2681" s="16"/>
      <c r="M2681" s="16"/>
    </row>
    <row r="2682" spans="1:13" x14ac:dyDescent="0.2">
      <c r="A2682" s="16"/>
      <c r="B2682" s="37"/>
      <c r="C2682" s="16"/>
      <c r="D2682" s="16"/>
      <c r="E2682" s="16"/>
      <c r="F2682" s="16"/>
      <c r="G2682" s="16"/>
      <c r="H2682" s="16"/>
      <c r="I2682" s="16"/>
      <c r="J2682" s="16"/>
      <c r="K2682" s="16"/>
      <c r="L2682" s="16"/>
      <c r="M2682" s="16"/>
    </row>
    <row r="2683" spans="1:13" x14ac:dyDescent="0.2">
      <c r="A2683" s="16"/>
      <c r="B2683" s="37"/>
      <c r="C2683" s="16"/>
      <c r="D2683" s="16"/>
      <c r="E2683" s="16"/>
      <c r="F2683" s="16"/>
      <c r="G2683" s="16"/>
      <c r="H2683" s="16"/>
      <c r="I2683" s="16"/>
      <c r="J2683" s="16"/>
      <c r="K2683" s="16"/>
      <c r="L2683" s="16"/>
      <c r="M2683" s="16"/>
    </row>
    <row r="2684" spans="1:13" x14ac:dyDescent="0.2">
      <c r="A2684" s="16"/>
      <c r="B2684" s="37"/>
      <c r="C2684" s="16"/>
      <c r="D2684" s="16"/>
      <c r="E2684" s="16"/>
      <c r="F2684" s="16"/>
      <c r="G2684" s="16"/>
      <c r="H2684" s="16"/>
      <c r="I2684" s="16"/>
      <c r="J2684" s="16"/>
      <c r="K2684" s="16"/>
      <c r="L2684" s="16"/>
      <c r="M2684" s="16"/>
    </row>
    <row r="2685" spans="1:13" x14ac:dyDescent="0.2">
      <c r="A2685" s="16"/>
      <c r="B2685" s="37"/>
      <c r="C2685" s="16"/>
      <c r="D2685" s="16"/>
      <c r="E2685" s="16"/>
      <c r="F2685" s="16"/>
      <c r="G2685" s="16"/>
      <c r="H2685" s="16"/>
      <c r="I2685" s="16"/>
      <c r="J2685" s="16"/>
      <c r="K2685" s="16"/>
      <c r="L2685" s="16"/>
      <c r="M2685" s="16"/>
    </row>
    <row r="2686" spans="1:13" x14ac:dyDescent="0.2">
      <c r="A2686" s="16"/>
      <c r="B2686" s="37"/>
      <c r="C2686" s="16"/>
      <c r="D2686" s="16"/>
      <c r="E2686" s="16"/>
      <c r="F2686" s="16"/>
      <c r="G2686" s="16"/>
      <c r="H2686" s="16"/>
      <c r="I2686" s="16"/>
      <c r="J2686" s="16"/>
      <c r="K2686" s="16"/>
      <c r="L2686" s="16"/>
      <c r="M2686" s="16"/>
    </row>
    <row r="2687" spans="1:13" x14ac:dyDescent="0.2">
      <c r="A2687" s="16"/>
      <c r="B2687" s="37"/>
      <c r="C2687" s="16"/>
      <c r="D2687" s="16"/>
      <c r="E2687" s="16"/>
      <c r="F2687" s="16"/>
      <c r="G2687" s="16"/>
      <c r="H2687" s="16"/>
      <c r="I2687" s="16"/>
      <c r="J2687" s="16"/>
      <c r="K2687" s="16"/>
      <c r="L2687" s="16"/>
      <c r="M2687" s="16"/>
    </row>
    <row r="2688" spans="1:13" x14ac:dyDescent="0.2">
      <c r="A2688" s="16"/>
      <c r="B2688" s="37"/>
      <c r="C2688" s="16"/>
      <c r="D2688" s="16"/>
      <c r="E2688" s="16"/>
      <c r="F2688" s="16"/>
      <c r="G2688" s="16"/>
      <c r="H2688" s="16"/>
      <c r="I2688" s="16"/>
      <c r="J2688" s="16"/>
      <c r="K2688" s="16"/>
      <c r="L2688" s="16"/>
      <c r="M2688" s="16"/>
    </row>
    <row r="2689" spans="1:13" x14ac:dyDescent="0.2">
      <c r="A2689" s="16"/>
      <c r="B2689" s="37"/>
      <c r="C2689" s="16"/>
      <c r="D2689" s="16"/>
      <c r="E2689" s="16"/>
      <c r="F2689" s="16"/>
      <c r="G2689" s="16"/>
      <c r="H2689" s="16"/>
      <c r="I2689" s="16"/>
      <c r="J2689" s="16"/>
      <c r="K2689" s="16"/>
      <c r="L2689" s="16"/>
      <c r="M2689" s="16"/>
    </row>
    <row r="2690" spans="1:13" x14ac:dyDescent="0.2">
      <c r="A2690" s="16"/>
      <c r="B2690" s="37"/>
      <c r="C2690" s="16"/>
      <c r="D2690" s="16"/>
      <c r="E2690" s="16"/>
      <c r="F2690" s="16"/>
      <c r="G2690" s="16"/>
      <c r="H2690" s="16"/>
      <c r="I2690" s="16"/>
      <c r="J2690" s="16"/>
      <c r="K2690" s="16"/>
      <c r="L2690" s="16"/>
      <c r="M2690" s="16"/>
    </row>
    <row r="2691" spans="1:13" x14ac:dyDescent="0.2">
      <c r="A2691" s="16"/>
      <c r="B2691" s="37"/>
      <c r="C2691" s="16"/>
      <c r="D2691" s="16"/>
      <c r="E2691" s="16"/>
      <c r="F2691" s="16"/>
      <c r="G2691" s="16"/>
      <c r="H2691" s="16"/>
      <c r="I2691" s="16"/>
      <c r="J2691" s="16"/>
      <c r="K2691" s="16"/>
      <c r="L2691" s="16"/>
      <c r="M2691" s="16"/>
    </row>
    <row r="2692" spans="1:13" x14ac:dyDescent="0.2">
      <c r="A2692" s="16"/>
      <c r="B2692" s="37"/>
      <c r="C2692" s="16"/>
      <c r="D2692" s="16"/>
      <c r="E2692" s="16"/>
      <c r="F2692" s="16"/>
      <c r="G2692" s="16"/>
      <c r="H2692" s="16"/>
      <c r="I2692" s="16"/>
      <c r="J2692" s="16"/>
      <c r="K2692" s="16"/>
      <c r="L2692" s="16"/>
      <c r="M2692" s="16"/>
    </row>
    <row r="2693" spans="1:13" x14ac:dyDescent="0.2">
      <c r="A2693" s="16"/>
      <c r="B2693" s="37"/>
      <c r="C2693" s="16"/>
      <c r="D2693" s="16"/>
      <c r="E2693" s="16"/>
      <c r="F2693" s="16"/>
      <c r="G2693" s="16"/>
      <c r="H2693" s="16"/>
      <c r="I2693" s="16"/>
      <c r="J2693" s="16"/>
      <c r="K2693" s="16"/>
      <c r="L2693" s="16"/>
      <c r="M2693" s="16"/>
    </row>
    <row r="2694" spans="1:13" x14ac:dyDescent="0.2">
      <c r="A2694" s="16"/>
      <c r="B2694" s="37"/>
      <c r="C2694" s="16"/>
      <c r="D2694" s="16"/>
      <c r="E2694" s="16"/>
      <c r="F2694" s="16"/>
      <c r="G2694" s="16"/>
      <c r="H2694" s="16"/>
      <c r="I2694" s="16"/>
      <c r="J2694" s="16"/>
      <c r="K2694" s="16"/>
      <c r="L2694" s="16"/>
      <c r="M2694" s="16"/>
    </row>
    <row r="2695" spans="1:13" x14ac:dyDescent="0.2">
      <c r="A2695" s="16"/>
      <c r="B2695" s="37"/>
      <c r="C2695" s="16"/>
      <c r="D2695" s="16"/>
      <c r="E2695" s="16"/>
      <c r="F2695" s="16"/>
      <c r="G2695" s="16"/>
      <c r="H2695" s="16"/>
      <c r="I2695" s="16"/>
      <c r="J2695" s="16"/>
      <c r="K2695" s="16"/>
      <c r="L2695" s="16"/>
      <c r="M2695" s="16"/>
    </row>
    <row r="2696" spans="1:13" x14ac:dyDescent="0.2">
      <c r="A2696" s="16"/>
      <c r="B2696" s="37"/>
      <c r="C2696" s="16"/>
      <c r="D2696" s="16"/>
      <c r="E2696" s="16"/>
      <c r="F2696" s="16"/>
      <c r="G2696" s="16"/>
      <c r="H2696" s="16"/>
      <c r="I2696" s="16"/>
      <c r="J2696" s="16"/>
      <c r="K2696" s="16"/>
      <c r="L2696" s="16"/>
      <c r="M2696" s="16"/>
    </row>
    <row r="2697" spans="1:13" x14ac:dyDescent="0.2">
      <c r="A2697" s="16"/>
      <c r="B2697" s="37"/>
      <c r="C2697" s="16"/>
      <c r="D2697" s="16"/>
      <c r="E2697" s="16"/>
      <c r="F2697" s="16"/>
      <c r="G2697" s="16"/>
      <c r="H2697" s="16"/>
      <c r="I2697" s="16"/>
      <c r="J2697" s="16"/>
      <c r="K2697" s="16"/>
      <c r="L2697" s="16"/>
      <c r="M2697" s="16"/>
    </row>
    <row r="2698" spans="1:13" x14ac:dyDescent="0.2">
      <c r="A2698" s="16"/>
      <c r="B2698" s="37"/>
      <c r="C2698" s="16"/>
      <c r="D2698" s="16"/>
      <c r="E2698" s="16"/>
      <c r="F2698" s="16"/>
      <c r="G2698" s="16"/>
      <c r="H2698" s="16"/>
      <c r="I2698" s="16"/>
      <c r="J2698" s="16"/>
      <c r="K2698" s="16"/>
      <c r="L2698" s="16"/>
      <c r="M2698" s="16"/>
    </row>
    <row r="2699" spans="1:13" x14ac:dyDescent="0.2">
      <c r="A2699" s="16"/>
      <c r="B2699" s="37"/>
      <c r="C2699" s="16"/>
      <c r="D2699" s="16"/>
      <c r="E2699" s="16"/>
      <c r="F2699" s="16"/>
      <c r="G2699" s="16"/>
      <c r="H2699" s="16"/>
      <c r="I2699" s="16"/>
      <c r="J2699" s="16"/>
      <c r="K2699" s="16"/>
      <c r="L2699" s="16"/>
      <c r="M2699" s="16"/>
    </row>
    <row r="2700" spans="1:13" x14ac:dyDescent="0.2">
      <c r="A2700" s="16"/>
      <c r="B2700" s="37"/>
      <c r="C2700" s="16"/>
      <c r="D2700" s="16"/>
      <c r="E2700" s="16"/>
      <c r="F2700" s="16"/>
      <c r="G2700" s="16"/>
      <c r="H2700" s="16"/>
      <c r="I2700" s="16"/>
      <c r="J2700" s="16"/>
      <c r="K2700" s="16"/>
      <c r="L2700" s="16"/>
      <c r="M2700" s="16"/>
    </row>
    <row r="2701" spans="1:13" x14ac:dyDescent="0.2">
      <c r="A2701" s="16"/>
      <c r="B2701" s="37"/>
      <c r="C2701" s="16"/>
      <c r="D2701" s="16"/>
      <c r="E2701" s="16"/>
      <c r="F2701" s="16"/>
      <c r="G2701" s="16"/>
      <c r="H2701" s="16"/>
      <c r="I2701" s="16"/>
      <c r="J2701" s="16"/>
      <c r="K2701" s="16"/>
      <c r="L2701" s="16"/>
      <c r="M2701" s="16"/>
    </row>
    <row r="2702" spans="1:13" x14ac:dyDescent="0.2">
      <c r="A2702" s="16"/>
      <c r="B2702" s="37"/>
      <c r="C2702" s="16"/>
      <c r="D2702" s="16"/>
      <c r="E2702" s="16"/>
      <c r="F2702" s="16"/>
      <c r="G2702" s="16"/>
      <c r="H2702" s="16"/>
      <c r="I2702" s="16"/>
      <c r="J2702" s="16"/>
      <c r="K2702" s="16"/>
      <c r="L2702" s="16"/>
      <c r="M2702" s="16"/>
    </row>
    <row r="2703" spans="1:13" x14ac:dyDescent="0.2">
      <c r="A2703" s="16"/>
      <c r="B2703" s="37"/>
      <c r="C2703" s="16"/>
      <c r="D2703" s="16"/>
      <c r="E2703" s="16"/>
      <c r="F2703" s="16"/>
      <c r="G2703" s="16"/>
      <c r="H2703" s="16"/>
      <c r="I2703" s="16"/>
      <c r="J2703" s="16"/>
      <c r="K2703" s="16"/>
      <c r="L2703" s="16"/>
      <c r="M2703" s="16"/>
    </row>
    <row r="2704" spans="1:13" x14ac:dyDescent="0.2">
      <c r="A2704" s="16"/>
      <c r="B2704" s="37"/>
      <c r="C2704" s="16"/>
      <c r="D2704" s="16"/>
      <c r="E2704" s="16"/>
      <c r="F2704" s="16"/>
      <c r="G2704" s="16"/>
      <c r="H2704" s="16"/>
      <c r="I2704" s="16"/>
      <c r="J2704" s="16"/>
      <c r="K2704" s="16"/>
      <c r="L2704" s="16"/>
      <c r="M2704" s="16"/>
    </row>
    <row r="2705" spans="1:13" x14ac:dyDescent="0.2">
      <c r="A2705" s="16"/>
      <c r="B2705" s="37"/>
      <c r="C2705" s="16"/>
      <c r="D2705" s="16"/>
      <c r="E2705" s="16"/>
      <c r="F2705" s="16"/>
      <c r="G2705" s="16"/>
      <c r="H2705" s="16"/>
      <c r="I2705" s="16"/>
      <c r="J2705" s="16"/>
      <c r="K2705" s="16"/>
      <c r="L2705" s="16"/>
      <c r="M2705" s="16"/>
    </row>
    <row r="2706" spans="1:13" x14ac:dyDescent="0.2">
      <c r="A2706" s="16"/>
      <c r="B2706" s="37"/>
      <c r="C2706" s="16"/>
      <c r="D2706" s="16"/>
      <c r="E2706" s="16"/>
      <c r="F2706" s="16"/>
      <c r="G2706" s="16"/>
      <c r="H2706" s="16"/>
      <c r="I2706" s="16"/>
      <c r="J2706" s="16"/>
      <c r="K2706" s="16"/>
      <c r="L2706" s="16"/>
      <c r="M2706" s="16"/>
    </row>
    <row r="2707" spans="1:13" x14ac:dyDescent="0.2">
      <c r="A2707" s="16"/>
      <c r="B2707" s="37"/>
      <c r="C2707" s="16"/>
      <c r="D2707" s="16"/>
      <c r="E2707" s="16"/>
      <c r="F2707" s="16"/>
      <c r="G2707" s="16"/>
      <c r="H2707" s="16"/>
      <c r="I2707" s="16"/>
      <c r="J2707" s="16"/>
      <c r="K2707" s="16"/>
      <c r="L2707" s="16"/>
      <c r="M2707" s="16"/>
    </row>
    <row r="2708" spans="1:13" x14ac:dyDescent="0.2">
      <c r="A2708" s="16"/>
      <c r="B2708" s="37"/>
      <c r="C2708" s="16"/>
      <c r="D2708" s="16"/>
      <c r="E2708" s="16"/>
      <c r="F2708" s="16"/>
      <c r="G2708" s="16"/>
      <c r="H2708" s="16"/>
      <c r="I2708" s="16"/>
      <c r="J2708" s="16"/>
      <c r="K2708" s="16"/>
      <c r="L2708" s="16"/>
      <c r="M2708" s="16"/>
    </row>
    <row r="2709" spans="1:13" x14ac:dyDescent="0.2">
      <c r="A2709" s="16"/>
      <c r="B2709" s="37"/>
      <c r="C2709" s="16"/>
      <c r="D2709" s="16"/>
      <c r="E2709" s="16"/>
      <c r="F2709" s="16"/>
      <c r="G2709" s="16"/>
      <c r="H2709" s="16"/>
      <c r="I2709" s="16"/>
      <c r="J2709" s="16"/>
      <c r="K2709" s="16"/>
      <c r="L2709" s="16"/>
      <c r="M2709" s="16"/>
    </row>
    <row r="2710" spans="1:13" x14ac:dyDescent="0.2">
      <c r="A2710" s="16"/>
      <c r="B2710" s="37"/>
      <c r="C2710" s="16"/>
      <c r="D2710" s="16"/>
      <c r="E2710" s="16"/>
      <c r="F2710" s="16"/>
      <c r="G2710" s="16"/>
      <c r="H2710" s="16"/>
      <c r="I2710" s="16"/>
      <c r="J2710" s="16"/>
      <c r="K2710" s="16"/>
      <c r="L2710" s="16"/>
      <c r="M2710" s="16"/>
    </row>
    <row r="2711" spans="1:13" x14ac:dyDescent="0.2">
      <c r="A2711" s="16"/>
      <c r="B2711" s="37"/>
      <c r="C2711" s="16"/>
      <c r="D2711" s="16"/>
      <c r="E2711" s="16"/>
      <c r="F2711" s="16"/>
      <c r="G2711" s="16"/>
      <c r="H2711" s="16"/>
      <c r="I2711" s="16"/>
      <c r="J2711" s="16"/>
      <c r="K2711" s="16"/>
      <c r="L2711" s="16"/>
      <c r="M2711" s="16"/>
    </row>
    <row r="2712" spans="1:13" x14ac:dyDescent="0.2">
      <c r="A2712" s="16"/>
      <c r="B2712" s="37"/>
      <c r="C2712" s="16"/>
      <c r="D2712" s="16"/>
      <c r="E2712" s="16"/>
      <c r="F2712" s="16"/>
      <c r="G2712" s="16"/>
      <c r="H2712" s="16"/>
      <c r="I2712" s="16"/>
      <c r="J2712" s="16"/>
      <c r="K2712" s="16"/>
      <c r="L2712" s="16"/>
      <c r="M2712" s="16"/>
    </row>
    <row r="2713" spans="1:13" x14ac:dyDescent="0.2">
      <c r="A2713" s="16"/>
      <c r="B2713" s="37"/>
      <c r="C2713" s="16"/>
      <c r="D2713" s="16"/>
      <c r="E2713" s="16"/>
      <c r="F2713" s="16"/>
      <c r="G2713" s="16"/>
      <c r="H2713" s="16"/>
      <c r="I2713" s="16"/>
      <c r="J2713" s="16"/>
      <c r="K2713" s="16"/>
      <c r="L2713" s="16"/>
      <c r="M2713" s="16"/>
    </row>
    <row r="2714" spans="1:13" x14ac:dyDescent="0.2">
      <c r="A2714" s="16"/>
      <c r="B2714" s="37"/>
      <c r="C2714" s="16"/>
      <c r="D2714" s="16"/>
      <c r="E2714" s="16"/>
      <c r="F2714" s="16"/>
      <c r="G2714" s="16"/>
      <c r="H2714" s="16"/>
      <c r="I2714" s="16"/>
      <c r="J2714" s="16"/>
      <c r="K2714" s="16"/>
      <c r="L2714" s="16"/>
      <c r="M2714" s="16"/>
    </row>
    <row r="2715" spans="1:13" x14ac:dyDescent="0.2">
      <c r="A2715" s="16"/>
      <c r="B2715" s="37"/>
      <c r="C2715" s="16"/>
      <c r="D2715" s="16"/>
      <c r="E2715" s="16"/>
      <c r="F2715" s="16"/>
      <c r="G2715" s="16"/>
      <c r="H2715" s="16"/>
      <c r="I2715" s="16"/>
      <c r="J2715" s="16"/>
      <c r="K2715" s="16"/>
      <c r="L2715" s="16"/>
      <c r="M2715" s="16"/>
    </row>
    <row r="2716" spans="1:13" x14ac:dyDescent="0.2">
      <c r="A2716" s="16"/>
      <c r="B2716" s="37"/>
      <c r="C2716" s="16"/>
      <c r="D2716" s="16"/>
      <c r="E2716" s="16"/>
      <c r="F2716" s="16"/>
      <c r="G2716" s="16"/>
      <c r="H2716" s="16"/>
      <c r="I2716" s="16"/>
      <c r="J2716" s="16"/>
      <c r="K2716" s="16"/>
      <c r="L2716" s="16"/>
      <c r="M2716" s="16"/>
    </row>
    <row r="2717" spans="1:13" x14ac:dyDescent="0.2">
      <c r="A2717" s="16"/>
      <c r="B2717" s="37"/>
      <c r="C2717" s="16"/>
      <c r="D2717" s="16"/>
      <c r="E2717" s="16"/>
      <c r="F2717" s="16"/>
      <c r="G2717" s="16"/>
      <c r="H2717" s="16"/>
      <c r="I2717" s="16"/>
      <c r="J2717" s="16"/>
      <c r="K2717" s="16"/>
      <c r="L2717" s="16"/>
      <c r="M2717" s="16"/>
    </row>
    <row r="2718" spans="1:13" x14ac:dyDescent="0.2">
      <c r="A2718" s="16"/>
      <c r="B2718" s="37"/>
      <c r="C2718" s="16"/>
      <c r="D2718" s="16"/>
      <c r="E2718" s="16"/>
      <c r="F2718" s="16"/>
      <c r="G2718" s="16"/>
      <c r="H2718" s="16"/>
      <c r="I2718" s="16"/>
      <c r="J2718" s="16"/>
      <c r="K2718" s="16"/>
      <c r="L2718" s="16"/>
      <c r="M2718" s="16"/>
    </row>
    <row r="2719" spans="1:13" x14ac:dyDescent="0.2">
      <c r="A2719" s="16"/>
      <c r="B2719" s="37"/>
      <c r="C2719" s="16"/>
      <c r="D2719" s="16"/>
      <c r="E2719" s="16"/>
      <c r="F2719" s="16"/>
      <c r="G2719" s="16"/>
      <c r="H2719" s="16"/>
      <c r="I2719" s="16"/>
      <c r="J2719" s="16"/>
      <c r="K2719" s="16"/>
      <c r="L2719" s="16"/>
      <c r="M2719" s="16"/>
    </row>
    <row r="2720" spans="1:13" x14ac:dyDescent="0.2">
      <c r="A2720" s="16"/>
      <c r="B2720" s="37"/>
      <c r="C2720" s="16"/>
      <c r="D2720" s="16"/>
      <c r="E2720" s="16"/>
      <c r="F2720" s="16"/>
      <c r="G2720" s="16"/>
      <c r="H2720" s="16"/>
      <c r="I2720" s="16"/>
      <c r="J2720" s="16"/>
      <c r="K2720" s="16"/>
      <c r="L2720" s="16"/>
      <c r="M2720" s="16"/>
    </row>
    <row r="2721" spans="1:13" x14ac:dyDescent="0.2">
      <c r="A2721" s="16"/>
      <c r="B2721" s="37"/>
      <c r="C2721" s="16"/>
      <c r="D2721" s="16"/>
      <c r="E2721" s="16"/>
      <c r="F2721" s="16"/>
      <c r="G2721" s="16"/>
      <c r="H2721" s="16"/>
      <c r="I2721" s="16"/>
      <c r="J2721" s="16"/>
      <c r="K2721" s="16"/>
      <c r="L2721" s="16"/>
      <c r="M2721" s="16"/>
    </row>
    <row r="2722" spans="1:13" x14ac:dyDescent="0.2">
      <c r="A2722" s="16"/>
      <c r="B2722" s="37"/>
      <c r="C2722" s="16"/>
      <c r="D2722" s="16"/>
      <c r="E2722" s="16"/>
      <c r="F2722" s="16"/>
      <c r="G2722" s="16"/>
      <c r="H2722" s="16"/>
      <c r="I2722" s="16"/>
      <c r="J2722" s="16"/>
      <c r="K2722" s="16"/>
      <c r="L2722" s="16"/>
      <c r="M2722" s="16"/>
    </row>
    <row r="2723" spans="1:13" x14ac:dyDescent="0.2">
      <c r="A2723" s="16"/>
      <c r="B2723" s="37"/>
      <c r="C2723" s="16"/>
      <c r="D2723" s="16"/>
      <c r="E2723" s="16"/>
      <c r="F2723" s="16"/>
      <c r="G2723" s="16"/>
      <c r="H2723" s="16"/>
      <c r="I2723" s="16"/>
      <c r="J2723" s="16"/>
      <c r="K2723" s="16"/>
      <c r="L2723" s="16"/>
      <c r="M2723" s="16"/>
    </row>
    <row r="2724" spans="1:13" x14ac:dyDescent="0.2">
      <c r="A2724" s="16"/>
      <c r="B2724" s="37"/>
      <c r="C2724" s="16"/>
      <c r="D2724" s="16"/>
      <c r="E2724" s="16"/>
      <c r="F2724" s="16"/>
      <c r="G2724" s="16"/>
      <c r="H2724" s="16"/>
      <c r="I2724" s="16"/>
      <c r="J2724" s="16"/>
      <c r="K2724" s="16"/>
      <c r="L2724" s="16"/>
      <c r="M2724" s="16"/>
    </row>
    <row r="2725" spans="1:13" x14ac:dyDescent="0.2">
      <c r="A2725" s="16"/>
      <c r="B2725" s="37"/>
      <c r="C2725" s="16"/>
      <c r="D2725" s="16"/>
      <c r="E2725" s="16"/>
      <c r="F2725" s="16"/>
      <c r="G2725" s="16"/>
      <c r="H2725" s="16"/>
      <c r="I2725" s="16"/>
      <c r="J2725" s="16"/>
      <c r="K2725" s="16"/>
      <c r="L2725" s="16"/>
      <c r="M2725" s="16"/>
    </row>
    <row r="2726" spans="1:13" x14ac:dyDescent="0.2">
      <c r="A2726" s="16"/>
      <c r="B2726" s="37"/>
      <c r="C2726" s="16"/>
      <c r="D2726" s="16"/>
      <c r="E2726" s="16"/>
      <c r="F2726" s="16"/>
      <c r="G2726" s="16"/>
      <c r="H2726" s="16"/>
      <c r="I2726" s="16"/>
      <c r="J2726" s="16"/>
      <c r="K2726" s="16"/>
      <c r="L2726" s="16"/>
      <c r="M2726" s="16"/>
    </row>
    <row r="2727" spans="1:13" x14ac:dyDescent="0.2">
      <c r="A2727" s="16"/>
      <c r="B2727" s="37"/>
      <c r="C2727" s="16"/>
      <c r="D2727" s="16"/>
      <c r="E2727" s="16"/>
      <c r="F2727" s="16"/>
      <c r="G2727" s="16"/>
      <c r="H2727" s="16"/>
      <c r="I2727" s="16"/>
      <c r="J2727" s="16"/>
      <c r="K2727" s="16"/>
      <c r="L2727" s="16"/>
      <c r="M2727" s="16"/>
    </row>
    <row r="2728" spans="1:13" x14ac:dyDescent="0.2">
      <c r="A2728" s="16"/>
      <c r="B2728" s="37"/>
      <c r="C2728" s="16"/>
      <c r="D2728" s="16"/>
      <c r="E2728" s="16"/>
      <c r="F2728" s="16"/>
      <c r="G2728" s="16"/>
      <c r="H2728" s="16"/>
      <c r="I2728" s="16"/>
      <c r="J2728" s="16"/>
      <c r="K2728" s="16"/>
      <c r="L2728" s="16"/>
      <c r="M2728" s="16"/>
    </row>
    <row r="2729" spans="1:13" x14ac:dyDescent="0.2">
      <c r="A2729" s="16"/>
      <c r="B2729" s="37"/>
      <c r="C2729" s="16"/>
      <c r="D2729" s="16"/>
      <c r="E2729" s="16"/>
      <c r="F2729" s="16"/>
      <c r="G2729" s="16"/>
      <c r="H2729" s="16"/>
      <c r="I2729" s="16"/>
      <c r="J2729" s="16"/>
      <c r="K2729" s="16"/>
      <c r="L2729" s="16"/>
      <c r="M2729" s="16"/>
    </row>
    <row r="2730" spans="1:13" x14ac:dyDescent="0.2">
      <c r="A2730" s="16"/>
      <c r="B2730" s="37"/>
      <c r="C2730" s="16"/>
      <c r="D2730" s="16"/>
      <c r="E2730" s="16"/>
      <c r="F2730" s="16"/>
      <c r="G2730" s="16"/>
      <c r="H2730" s="16"/>
      <c r="I2730" s="16"/>
      <c r="J2730" s="16"/>
      <c r="K2730" s="16"/>
      <c r="L2730" s="16"/>
      <c r="M2730" s="16"/>
    </row>
    <row r="2731" spans="1:13" x14ac:dyDescent="0.2">
      <c r="A2731" s="16"/>
      <c r="B2731" s="37"/>
      <c r="C2731" s="16"/>
      <c r="D2731" s="16"/>
      <c r="E2731" s="16"/>
      <c r="F2731" s="16"/>
      <c r="G2731" s="16"/>
      <c r="H2731" s="16"/>
      <c r="I2731" s="16"/>
      <c r="J2731" s="16"/>
      <c r="K2731" s="16"/>
      <c r="L2731" s="16"/>
      <c r="M2731" s="16"/>
    </row>
    <row r="2732" spans="1:13" x14ac:dyDescent="0.2">
      <c r="A2732" s="16"/>
      <c r="B2732" s="37"/>
      <c r="C2732" s="16"/>
      <c r="D2732" s="16"/>
      <c r="E2732" s="16"/>
      <c r="F2732" s="16"/>
      <c r="G2732" s="16"/>
      <c r="H2732" s="16"/>
      <c r="I2732" s="16"/>
      <c r="J2732" s="16"/>
      <c r="K2732" s="16"/>
      <c r="L2732" s="16"/>
      <c r="M2732" s="16"/>
    </row>
    <row r="2733" spans="1:13" x14ac:dyDescent="0.2">
      <c r="A2733" s="16"/>
      <c r="B2733" s="37"/>
      <c r="C2733" s="16"/>
      <c r="D2733" s="16"/>
      <c r="E2733" s="16"/>
      <c r="F2733" s="16"/>
      <c r="G2733" s="16"/>
      <c r="H2733" s="16"/>
      <c r="I2733" s="16"/>
      <c r="J2733" s="16"/>
      <c r="K2733" s="16"/>
      <c r="L2733" s="16"/>
      <c r="M2733" s="16"/>
    </row>
    <row r="2734" spans="1:13" x14ac:dyDescent="0.2">
      <c r="A2734" s="16"/>
      <c r="B2734" s="37"/>
      <c r="C2734" s="16"/>
      <c r="D2734" s="16"/>
      <c r="E2734" s="16"/>
      <c r="F2734" s="16"/>
      <c r="G2734" s="16"/>
      <c r="H2734" s="16"/>
      <c r="I2734" s="16"/>
      <c r="J2734" s="16"/>
      <c r="K2734" s="16"/>
      <c r="L2734" s="16"/>
      <c r="M2734" s="16"/>
    </row>
    <row r="2735" spans="1:13" x14ac:dyDescent="0.2">
      <c r="A2735" s="16"/>
      <c r="B2735" s="37"/>
      <c r="C2735" s="16"/>
      <c r="D2735" s="16"/>
      <c r="E2735" s="16"/>
      <c r="F2735" s="16"/>
      <c r="G2735" s="16"/>
      <c r="H2735" s="16"/>
      <c r="I2735" s="16"/>
      <c r="J2735" s="16"/>
      <c r="K2735" s="16"/>
      <c r="L2735" s="16"/>
      <c r="M2735" s="16"/>
    </row>
    <row r="2736" spans="1:13" x14ac:dyDescent="0.2">
      <c r="A2736" s="16"/>
      <c r="B2736" s="37"/>
      <c r="C2736" s="16"/>
      <c r="D2736" s="16"/>
      <c r="E2736" s="16"/>
      <c r="F2736" s="16"/>
      <c r="G2736" s="16"/>
      <c r="H2736" s="16"/>
      <c r="I2736" s="16"/>
      <c r="J2736" s="16"/>
      <c r="K2736" s="16"/>
      <c r="L2736" s="16"/>
      <c r="M2736" s="16"/>
    </row>
    <row r="2737" spans="1:13" x14ac:dyDescent="0.2">
      <c r="A2737" s="16"/>
      <c r="B2737" s="37"/>
      <c r="C2737" s="16"/>
      <c r="D2737" s="16"/>
      <c r="E2737" s="16"/>
      <c r="F2737" s="16"/>
      <c r="G2737" s="16"/>
      <c r="H2737" s="16"/>
      <c r="I2737" s="16"/>
      <c r="J2737" s="16"/>
      <c r="K2737" s="16"/>
      <c r="L2737" s="16"/>
      <c r="M2737" s="16"/>
    </row>
    <row r="2738" spans="1:13" x14ac:dyDescent="0.2">
      <c r="A2738" s="16"/>
      <c r="B2738" s="37"/>
      <c r="C2738" s="16"/>
      <c r="D2738" s="16"/>
      <c r="E2738" s="16"/>
      <c r="F2738" s="16"/>
      <c r="G2738" s="16"/>
      <c r="H2738" s="16"/>
      <c r="I2738" s="16"/>
      <c r="J2738" s="16"/>
      <c r="K2738" s="16"/>
      <c r="L2738" s="16"/>
      <c r="M2738" s="16"/>
    </row>
    <row r="2739" spans="1:13" x14ac:dyDescent="0.2">
      <c r="A2739" s="16"/>
      <c r="B2739" s="37"/>
      <c r="C2739" s="16"/>
      <c r="D2739" s="16"/>
      <c r="E2739" s="16"/>
      <c r="F2739" s="16"/>
      <c r="G2739" s="16"/>
      <c r="H2739" s="16"/>
      <c r="I2739" s="16"/>
      <c r="J2739" s="16"/>
      <c r="K2739" s="16"/>
      <c r="L2739" s="16"/>
      <c r="M2739" s="16"/>
    </row>
    <row r="2740" spans="1:13" x14ac:dyDescent="0.2">
      <c r="A2740" s="16"/>
      <c r="B2740" s="37"/>
      <c r="C2740" s="16"/>
      <c r="D2740" s="16"/>
      <c r="E2740" s="16"/>
      <c r="F2740" s="16"/>
      <c r="G2740" s="16"/>
      <c r="H2740" s="16"/>
      <c r="I2740" s="16"/>
      <c r="J2740" s="16"/>
      <c r="K2740" s="16"/>
      <c r="L2740" s="16"/>
      <c r="M2740" s="16"/>
    </row>
    <row r="2741" spans="1:13" x14ac:dyDescent="0.2">
      <c r="A2741" s="16"/>
      <c r="B2741" s="37"/>
      <c r="C2741" s="16"/>
      <c r="D2741" s="16"/>
      <c r="E2741" s="16"/>
      <c r="F2741" s="16"/>
      <c r="G2741" s="16"/>
      <c r="H2741" s="16"/>
      <c r="I2741" s="16"/>
      <c r="J2741" s="16"/>
      <c r="K2741" s="16"/>
      <c r="L2741" s="16"/>
      <c r="M2741" s="16"/>
    </row>
    <row r="2742" spans="1:13" x14ac:dyDescent="0.2">
      <c r="A2742" s="16"/>
      <c r="B2742" s="37"/>
      <c r="C2742" s="16"/>
      <c r="D2742" s="16"/>
      <c r="E2742" s="16"/>
      <c r="F2742" s="16"/>
      <c r="G2742" s="16"/>
      <c r="H2742" s="16"/>
      <c r="I2742" s="16"/>
      <c r="J2742" s="16"/>
      <c r="K2742" s="16"/>
      <c r="L2742" s="16"/>
      <c r="M2742" s="16"/>
    </row>
    <row r="2743" spans="1:13" x14ac:dyDescent="0.2">
      <c r="A2743" s="16"/>
      <c r="B2743" s="37"/>
      <c r="C2743" s="16"/>
      <c r="D2743" s="16"/>
      <c r="E2743" s="16"/>
      <c r="F2743" s="16"/>
      <c r="G2743" s="16"/>
      <c r="H2743" s="16"/>
      <c r="I2743" s="16"/>
      <c r="J2743" s="16"/>
      <c r="K2743" s="16"/>
      <c r="L2743" s="16"/>
      <c r="M2743" s="16"/>
    </row>
    <row r="2744" spans="1:13" x14ac:dyDescent="0.2">
      <c r="A2744" s="16"/>
      <c r="B2744" s="37"/>
      <c r="C2744" s="16"/>
      <c r="D2744" s="16"/>
      <c r="E2744" s="16"/>
      <c r="F2744" s="16"/>
      <c r="G2744" s="16"/>
      <c r="H2744" s="16"/>
      <c r="I2744" s="16"/>
      <c r="J2744" s="16"/>
      <c r="K2744" s="16"/>
      <c r="L2744" s="16"/>
      <c r="M2744" s="16"/>
    </row>
    <row r="2745" spans="1:13" x14ac:dyDescent="0.2">
      <c r="A2745" s="16"/>
      <c r="B2745" s="37"/>
      <c r="C2745" s="16"/>
      <c r="D2745" s="16"/>
      <c r="E2745" s="16"/>
      <c r="F2745" s="16"/>
      <c r="G2745" s="16"/>
      <c r="H2745" s="16"/>
      <c r="I2745" s="16"/>
      <c r="J2745" s="16"/>
      <c r="K2745" s="16"/>
      <c r="L2745" s="16"/>
      <c r="M2745" s="16"/>
    </row>
    <row r="2746" spans="1:13" x14ac:dyDescent="0.2">
      <c r="A2746" s="16"/>
      <c r="B2746" s="37"/>
      <c r="C2746" s="16"/>
      <c r="D2746" s="16"/>
      <c r="E2746" s="16"/>
      <c r="F2746" s="16"/>
      <c r="G2746" s="16"/>
      <c r="H2746" s="16"/>
      <c r="I2746" s="16"/>
      <c r="J2746" s="16"/>
      <c r="K2746" s="16"/>
      <c r="L2746" s="16"/>
      <c r="M2746" s="16"/>
    </row>
    <row r="2747" spans="1:13" x14ac:dyDescent="0.2">
      <c r="A2747" s="16"/>
      <c r="B2747" s="37"/>
      <c r="C2747" s="16"/>
      <c r="D2747" s="16"/>
      <c r="E2747" s="16"/>
      <c r="F2747" s="16"/>
      <c r="G2747" s="16"/>
      <c r="H2747" s="16"/>
      <c r="I2747" s="16"/>
      <c r="J2747" s="16"/>
      <c r="K2747" s="16"/>
      <c r="L2747" s="16"/>
      <c r="M2747" s="16"/>
    </row>
    <row r="2748" spans="1:13" x14ac:dyDescent="0.2">
      <c r="A2748" s="16"/>
      <c r="B2748" s="37"/>
      <c r="C2748" s="16"/>
      <c r="D2748" s="16"/>
      <c r="E2748" s="16"/>
      <c r="F2748" s="16"/>
      <c r="G2748" s="16"/>
      <c r="H2748" s="16"/>
      <c r="I2748" s="16"/>
      <c r="J2748" s="16"/>
      <c r="K2748" s="16"/>
      <c r="L2748" s="16"/>
      <c r="M2748" s="16"/>
    </row>
    <row r="2749" spans="1:13" x14ac:dyDescent="0.2">
      <c r="A2749" s="16"/>
      <c r="B2749" s="37"/>
      <c r="C2749" s="16"/>
      <c r="D2749" s="16"/>
      <c r="E2749" s="16"/>
      <c r="F2749" s="16"/>
      <c r="G2749" s="16"/>
      <c r="H2749" s="16"/>
      <c r="I2749" s="16"/>
      <c r="J2749" s="16"/>
      <c r="K2749" s="16"/>
      <c r="L2749" s="16"/>
      <c r="M2749" s="16"/>
    </row>
    <row r="2750" spans="1:13" x14ac:dyDescent="0.2">
      <c r="A2750" s="16"/>
      <c r="B2750" s="37"/>
      <c r="C2750" s="16"/>
      <c r="D2750" s="16"/>
      <c r="E2750" s="16"/>
      <c r="F2750" s="16"/>
      <c r="G2750" s="16"/>
      <c r="H2750" s="16"/>
      <c r="I2750" s="16"/>
      <c r="J2750" s="16"/>
      <c r="K2750" s="16"/>
      <c r="L2750" s="16"/>
      <c r="M2750" s="16"/>
    </row>
    <row r="2751" spans="1:13" x14ac:dyDescent="0.2">
      <c r="A2751" s="16"/>
      <c r="B2751" s="37"/>
      <c r="C2751" s="16"/>
      <c r="D2751" s="16"/>
      <c r="E2751" s="16"/>
      <c r="F2751" s="16"/>
      <c r="G2751" s="16"/>
      <c r="H2751" s="16"/>
      <c r="I2751" s="16"/>
      <c r="J2751" s="16"/>
      <c r="K2751" s="16"/>
      <c r="L2751" s="16"/>
      <c r="M2751" s="16"/>
    </row>
    <row r="2752" spans="1:13" x14ac:dyDescent="0.2">
      <c r="A2752" s="16"/>
      <c r="B2752" s="37"/>
      <c r="C2752" s="16"/>
      <c r="D2752" s="16"/>
      <c r="E2752" s="16"/>
      <c r="F2752" s="16"/>
      <c r="G2752" s="16"/>
      <c r="H2752" s="16"/>
      <c r="I2752" s="16"/>
      <c r="J2752" s="16"/>
      <c r="K2752" s="16"/>
      <c r="L2752" s="16"/>
      <c r="M2752" s="16"/>
    </row>
    <row r="2753" spans="1:13" x14ac:dyDescent="0.2">
      <c r="A2753" s="16"/>
      <c r="B2753" s="37"/>
      <c r="C2753" s="16"/>
      <c r="D2753" s="16"/>
      <c r="E2753" s="16"/>
      <c r="F2753" s="16"/>
      <c r="G2753" s="16"/>
      <c r="H2753" s="16"/>
      <c r="I2753" s="16"/>
      <c r="J2753" s="16"/>
      <c r="K2753" s="16"/>
      <c r="L2753" s="16"/>
      <c r="M2753" s="16"/>
    </row>
    <row r="2754" spans="1:13" x14ac:dyDescent="0.2">
      <c r="A2754" s="16"/>
      <c r="B2754" s="37"/>
      <c r="C2754" s="16"/>
      <c r="D2754" s="16"/>
      <c r="E2754" s="16"/>
      <c r="F2754" s="16"/>
      <c r="G2754" s="16"/>
      <c r="H2754" s="16"/>
      <c r="I2754" s="16"/>
      <c r="J2754" s="16"/>
      <c r="K2754" s="16"/>
      <c r="L2754" s="16"/>
      <c r="M2754" s="16"/>
    </row>
    <row r="2755" spans="1:13" x14ac:dyDescent="0.2">
      <c r="A2755" s="16"/>
      <c r="B2755" s="37"/>
      <c r="C2755" s="16"/>
      <c r="D2755" s="16"/>
      <c r="E2755" s="16"/>
      <c r="F2755" s="16"/>
      <c r="G2755" s="16"/>
      <c r="H2755" s="16"/>
      <c r="I2755" s="16"/>
      <c r="J2755" s="16"/>
      <c r="K2755" s="16"/>
      <c r="L2755" s="16"/>
      <c r="M2755" s="16"/>
    </row>
    <row r="2756" spans="1:13" x14ac:dyDescent="0.2">
      <c r="A2756" s="16"/>
      <c r="B2756" s="37"/>
      <c r="C2756" s="16"/>
      <c r="D2756" s="16"/>
      <c r="E2756" s="16"/>
      <c r="F2756" s="16"/>
      <c r="G2756" s="16"/>
      <c r="H2756" s="16"/>
      <c r="I2756" s="16"/>
      <c r="J2756" s="16"/>
      <c r="K2756" s="16"/>
      <c r="L2756" s="16"/>
      <c r="M2756" s="16"/>
    </row>
    <row r="2757" spans="1:13" x14ac:dyDescent="0.2">
      <c r="A2757" s="16"/>
      <c r="B2757" s="37"/>
      <c r="C2757" s="16"/>
      <c r="D2757" s="16"/>
      <c r="E2757" s="16"/>
      <c r="F2757" s="16"/>
      <c r="G2757" s="16"/>
      <c r="H2757" s="16"/>
      <c r="I2757" s="16"/>
      <c r="J2757" s="16"/>
      <c r="K2757" s="16"/>
      <c r="L2757" s="16"/>
      <c r="M2757" s="16"/>
    </row>
    <row r="2758" spans="1:13" x14ac:dyDescent="0.2">
      <c r="A2758" s="16"/>
      <c r="B2758" s="37"/>
      <c r="C2758" s="16"/>
      <c r="D2758" s="16"/>
      <c r="E2758" s="16"/>
      <c r="F2758" s="16"/>
      <c r="G2758" s="16"/>
      <c r="H2758" s="16"/>
      <c r="I2758" s="16"/>
      <c r="J2758" s="16"/>
      <c r="K2758" s="16"/>
      <c r="L2758" s="16"/>
      <c r="M2758" s="16"/>
    </row>
    <row r="2759" spans="1:13" x14ac:dyDescent="0.2">
      <c r="A2759" s="16"/>
      <c r="B2759" s="37"/>
      <c r="C2759" s="16"/>
      <c r="D2759" s="16"/>
      <c r="E2759" s="16"/>
      <c r="F2759" s="16"/>
      <c r="G2759" s="16"/>
      <c r="H2759" s="16"/>
      <c r="I2759" s="16"/>
      <c r="J2759" s="16"/>
      <c r="K2759" s="16"/>
      <c r="L2759" s="16"/>
      <c r="M2759" s="16"/>
    </row>
    <row r="2760" spans="1:13" x14ac:dyDescent="0.2">
      <c r="A2760" s="16"/>
      <c r="B2760" s="37"/>
      <c r="C2760" s="16"/>
      <c r="D2760" s="16"/>
      <c r="E2760" s="16"/>
      <c r="F2760" s="16"/>
      <c r="G2760" s="16"/>
      <c r="H2760" s="16"/>
      <c r="I2760" s="16"/>
      <c r="J2760" s="16"/>
      <c r="K2760" s="16"/>
      <c r="L2760" s="16"/>
      <c r="M2760" s="16"/>
    </row>
    <row r="2761" spans="1:13" x14ac:dyDescent="0.2">
      <c r="A2761" s="16"/>
      <c r="B2761" s="37"/>
      <c r="C2761" s="16"/>
      <c r="D2761" s="16"/>
      <c r="E2761" s="16"/>
      <c r="F2761" s="16"/>
      <c r="G2761" s="16"/>
      <c r="H2761" s="16"/>
      <c r="I2761" s="16"/>
      <c r="J2761" s="16"/>
      <c r="K2761" s="16"/>
      <c r="L2761" s="16"/>
      <c r="M2761" s="16"/>
    </row>
    <row r="2762" spans="1:13" x14ac:dyDescent="0.2">
      <c r="A2762" s="16"/>
      <c r="B2762" s="37"/>
      <c r="C2762" s="16"/>
      <c r="D2762" s="16"/>
      <c r="E2762" s="16"/>
      <c r="F2762" s="16"/>
      <c r="G2762" s="16"/>
      <c r="H2762" s="16"/>
      <c r="I2762" s="16"/>
      <c r="J2762" s="16"/>
      <c r="K2762" s="16"/>
      <c r="L2762" s="16"/>
      <c r="M2762" s="16"/>
    </row>
    <row r="2763" spans="1:13" x14ac:dyDescent="0.2">
      <c r="A2763" s="16"/>
      <c r="B2763" s="37"/>
      <c r="C2763" s="16"/>
      <c r="D2763" s="16"/>
      <c r="E2763" s="16"/>
      <c r="F2763" s="16"/>
      <c r="G2763" s="16"/>
      <c r="H2763" s="16"/>
      <c r="I2763" s="16"/>
      <c r="J2763" s="16"/>
      <c r="K2763" s="16"/>
      <c r="L2763" s="16"/>
      <c r="M2763" s="16"/>
    </row>
    <row r="2764" spans="1:13" x14ac:dyDescent="0.2">
      <c r="A2764" s="16"/>
      <c r="B2764" s="37"/>
      <c r="C2764" s="16"/>
      <c r="D2764" s="16"/>
      <c r="E2764" s="16"/>
      <c r="F2764" s="16"/>
      <c r="G2764" s="16"/>
      <c r="H2764" s="16"/>
      <c r="I2764" s="16"/>
      <c r="J2764" s="16"/>
      <c r="K2764" s="16"/>
      <c r="L2764" s="16"/>
      <c r="M2764" s="16"/>
    </row>
    <row r="2765" spans="1:13" x14ac:dyDescent="0.2">
      <c r="A2765" s="16"/>
      <c r="B2765" s="37"/>
      <c r="C2765" s="16"/>
      <c r="D2765" s="16"/>
      <c r="E2765" s="16"/>
      <c r="F2765" s="16"/>
      <c r="G2765" s="16"/>
      <c r="H2765" s="16"/>
      <c r="I2765" s="16"/>
      <c r="J2765" s="16"/>
      <c r="K2765" s="16"/>
      <c r="L2765" s="16"/>
      <c r="M2765" s="16"/>
    </row>
    <row r="2766" spans="1:13" x14ac:dyDescent="0.2">
      <c r="A2766" s="16"/>
      <c r="B2766" s="37"/>
      <c r="C2766" s="16"/>
      <c r="D2766" s="16"/>
      <c r="E2766" s="16"/>
      <c r="F2766" s="16"/>
      <c r="G2766" s="16"/>
      <c r="H2766" s="16"/>
      <c r="I2766" s="16"/>
      <c r="J2766" s="16"/>
      <c r="K2766" s="16"/>
      <c r="L2766" s="16"/>
      <c r="M2766" s="16"/>
    </row>
    <row r="2767" spans="1:13" x14ac:dyDescent="0.2">
      <c r="A2767" s="16"/>
      <c r="B2767" s="37"/>
      <c r="C2767" s="16"/>
      <c r="D2767" s="16"/>
      <c r="E2767" s="16"/>
      <c r="F2767" s="16"/>
      <c r="G2767" s="16"/>
      <c r="H2767" s="16"/>
      <c r="I2767" s="16"/>
      <c r="J2767" s="16"/>
      <c r="K2767" s="16"/>
      <c r="L2767" s="16"/>
      <c r="M2767" s="16"/>
    </row>
    <row r="2768" spans="1:13" x14ac:dyDescent="0.2">
      <c r="A2768" s="16"/>
      <c r="B2768" s="37"/>
      <c r="C2768" s="16"/>
      <c r="D2768" s="16"/>
      <c r="E2768" s="16"/>
      <c r="F2768" s="16"/>
      <c r="G2768" s="16"/>
      <c r="H2768" s="16"/>
      <c r="I2768" s="16"/>
      <c r="J2768" s="16"/>
      <c r="K2768" s="16"/>
      <c r="L2768" s="16"/>
      <c r="M2768" s="16"/>
    </row>
    <row r="2769" spans="1:13" x14ac:dyDescent="0.2">
      <c r="A2769" s="16"/>
      <c r="B2769" s="37"/>
      <c r="C2769" s="16"/>
      <c r="D2769" s="16"/>
      <c r="E2769" s="16"/>
      <c r="F2769" s="16"/>
      <c r="G2769" s="16"/>
      <c r="H2769" s="16"/>
      <c r="I2769" s="16"/>
      <c r="J2769" s="16"/>
      <c r="K2769" s="16"/>
      <c r="L2769" s="16"/>
      <c r="M2769" s="16"/>
    </row>
    <row r="2770" spans="1:13" x14ac:dyDescent="0.2">
      <c r="A2770" s="16"/>
      <c r="B2770" s="37"/>
      <c r="C2770" s="16"/>
      <c r="D2770" s="16"/>
      <c r="E2770" s="16"/>
      <c r="F2770" s="16"/>
      <c r="G2770" s="16"/>
      <c r="H2770" s="16"/>
      <c r="I2770" s="16"/>
      <c r="J2770" s="16"/>
      <c r="K2770" s="16"/>
      <c r="L2770" s="16"/>
      <c r="M2770" s="16"/>
    </row>
    <row r="2771" spans="1:13" x14ac:dyDescent="0.2">
      <c r="A2771" s="16"/>
      <c r="B2771" s="37"/>
      <c r="C2771" s="16"/>
      <c r="D2771" s="16"/>
      <c r="E2771" s="16"/>
      <c r="F2771" s="16"/>
      <c r="G2771" s="16"/>
      <c r="H2771" s="16"/>
      <c r="I2771" s="16"/>
      <c r="J2771" s="16"/>
      <c r="K2771" s="16"/>
      <c r="L2771" s="16"/>
      <c r="M2771" s="16"/>
    </row>
    <row r="2772" spans="1:13" x14ac:dyDescent="0.2">
      <c r="A2772" s="16"/>
      <c r="B2772" s="37"/>
      <c r="C2772" s="16"/>
      <c r="D2772" s="16"/>
      <c r="E2772" s="16"/>
      <c r="F2772" s="16"/>
      <c r="G2772" s="16"/>
      <c r="H2772" s="16"/>
      <c r="I2772" s="16"/>
      <c r="J2772" s="16"/>
      <c r="K2772" s="16"/>
      <c r="L2772" s="16"/>
      <c r="M2772" s="16"/>
    </row>
    <row r="2773" spans="1:13" x14ac:dyDescent="0.2">
      <c r="A2773" s="16"/>
      <c r="B2773" s="37"/>
      <c r="C2773" s="16"/>
      <c r="D2773" s="16"/>
      <c r="E2773" s="16"/>
      <c r="F2773" s="16"/>
      <c r="G2773" s="16"/>
      <c r="H2773" s="16"/>
      <c r="I2773" s="16"/>
      <c r="J2773" s="16"/>
      <c r="K2773" s="16"/>
      <c r="L2773" s="16"/>
      <c r="M2773" s="16"/>
    </row>
    <row r="2774" spans="1:13" x14ac:dyDescent="0.2">
      <c r="A2774" s="16"/>
      <c r="B2774" s="37"/>
      <c r="C2774" s="16"/>
      <c r="D2774" s="16"/>
      <c r="E2774" s="16"/>
      <c r="F2774" s="16"/>
      <c r="G2774" s="16"/>
      <c r="H2774" s="16"/>
      <c r="I2774" s="16"/>
      <c r="J2774" s="16"/>
      <c r="K2774" s="16"/>
      <c r="L2774" s="16"/>
      <c r="M2774" s="16"/>
    </row>
    <row r="2775" spans="1:13" x14ac:dyDescent="0.2">
      <c r="A2775" s="16"/>
      <c r="B2775" s="37"/>
      <c r="C2775" s="16"/>
      <c r="D2775" s="16"/>
      <c r="E2775" s="16"/>
      <c r="F2775" s="16"/>
      <c r="G2775" s="16"/>
      <c r="H2775" s="16"/>
      <c r="I2775" s="16"/>
      <c r="J2775" s="16"/>
      <c r="K2775" s="16"/>
      <c r="L2775" s="16"/>
      <c r="M2775" s="16"/>
    </row>
    <row r="2776" spans="1:13" x14ac:dyDescent="0.2">
      <c r="A2776" s="16"/>
      <c r="B2776" s="37"/>
      <c r="C2776" s="16"/>
      <c r="D2776" s="16"/>
      <c r="E2776" s="16"/>
      <c r="F2776" s="16"/>
      <c r="G2776" s="16"/>
      <c r="H2776" s="16"/>
      <c r="I2776" s="16"/>
      <c r="J2776" s="16"/>
      <c r="K2776" s="16"/>
      <c r="L2776" s="16"/>
      <c r="M2776" s="16"/>
    </row>
    <row r="2777" spans="1:13" x14ac:dyDescent="0.2">
      <c r="A2777" s="16"/>
      <c r="B2777" s="37"/>
      <c r="C2777" s="16"/>
      <c r="D2777" s="16"/>
      <c r="E2777" s="16"/>
      <c r="F2777" s="16"/>
      <c r="G2777" s="16"/>
      <c r="H2777" s="16"/>
      <c r="I2777" s="16"/>
      <c r="J2777" s="16"/>
      <c r="K2777" s="16"/>
      <c r="L2777" s="16"/>
      <c r="M2777" s="16"/>
    </row>
    <row r="2778" spans="1:13" x14ac:dyDescent="0.2">
      <c r="A2778" s="16"/>
      <c r="B2778" s="37"/>
      <c r="C2778" s="16"/>
      <c r="D2778" s="16"/>
      <c r="E2778" s="16"/>
      <c r="F2778" s="16"/>
      <c r="G2778" s="16"/>
      <c r="H2778" s="16"/>
      <c r="I2778" s="16"/>
      <c r="J2778" s="16"/>
      <c r="K2778" s="16"/>
      <c r="L2778" s="16"/>
      <c r="M2778" s="16"/>
    </row>
    <row r="2779" spans="1:13" x14ac:dyDescent="0.2">
      <c r="A2779" s="16"/>
      <c r="B2779" s="37"/>
      <c r="C2779" s="16"/>
      <c r="D2779" s="16"/>
      <c r="E2779" s="16"/>
      <c r="F2779" s="16"/>
      <c r="G2779" s="16"/>
      <c r="H2779" s="16"/>
      <c r="I2779" s="16"/>
      <c r="J2779" s="16"/>
      <c r="K2779" s="16"/>
      <c r="L2779" s="16"/>
      <c r="M2779" s="16"/>
    </row>
    <row r="2780" spans="1:13" x14ac:dyDescent="0.2">
      <c r="A2780" s="16"/>
      <c r="B2780" s="37"/>
      <c r="C2780" s="16"/>
      <c r="D2780" s="16"/>
      <c r="E2780" s="16"/>
      <c r="F2780" s="16"/>
      <c r="G2780" s="16"/>
      <c r="H2780" s="16"/>
      <c r="I2780" s="16"/>
      <c r="J2780" s="16"/>
      <c r="K2780" s="16"/>
      <c r="L2780" s="16"/>
      <c r="M2780" s="16"/>
    </row>
    <row r="2781" spans="1:13" x14ac:dyDescent="0.2">
      <c r="A2781" s="16"/>
      <c r="B2781" s="37"/>
      <c r="C2781" s="16"/>
      <c r="D2781" s="16"/>
      <c r="E2781" s="16"/>
      <c r="F2781" s="16"/>
      <c r="G2781" s="16"/>
      <c r="H2781" s="16"/>
      <c r="I2781" s="16"/>
      <c r="J2781" s="16"/>
      <c r="K2781" s="16"/>
      <c r="L2781" s="16"/>
      <c r="M2781" s="16"/>
    </row>
    <row r="2782" spans="1:13" x14ac:dyDescent="0.2">
      <c r="A2782" s="16"/>
      <c r="B2782" s="37"/>
      <c r="C2782" s="16"/>
      <c r="D2782" s="16"/>
      <c r="E2782" s="16"/>
      <c r="F2782" s="16"/>
      <c r="G2782" s="16"/>
      <c r="H2782" s="16"/>
      <c r="I2782" s="16"/>
      <c r="J2782" s="16"/>
      <c r="K2782" s="16"/>
      <c r="L2782" s="16"/>
      <c r="M2782" s="16"/>
    </row>
    <row r="2783" spans="1:13" x14ac:dyDescent="0.2">
      <c r="A2783" s="16"/>
      <c r="B2783" s="37"/>
      <c r="C2783" s="16"/>
      <c r="D2783" s="16"/>
      <c r="E2783" s="16"/>
      <c r="F2783" s="16"/>
      <c r="G2783" s="16"/>
      <c r="H2783" s="16"/>
      <c r="I2783" s="16"/>
      <c r="J2783" s="16"/>
      <c r="K2783" s="16"/>
      <c r="L2783" s="16"/>
      <c r="M2783" s="16"/>
    </row>
    <row r="2784" spans="1:13" x14ac:dyDescent="0.2">
      <c r="A2784" s="16"/>
      <c r="B2784" s="37"/>
      <c r="C2784" s="16"/>
      <c r="D2784" s="16"/>
      <c r="E2784" s="16"/>
      <c r="F2784" s="16"/>
      <c r="G2784" s="16"/>
      <c r="H2784" s="16"/>
      <c r="I2784" s="16"/>
      <c r="J2784" s="16"/>
      <c r="K2784" s="16"/>
      <c r="L2784" s="16"/>
      <c r="M2784" s="16"/>
    </row>
    <row r="2785" spans="1:13" x14ac:dyDescent="0.2">
      <c r="A2785" s="16"/>
      <c r="B2785" s="37"/>
      <c r="C2785" s="16"/>
      <c r="D2785" s="16"/>
      <c r="E2785" s="16"/>
      <c r="F2785" s="16"/>
      <c r="G2785" s="16"/>
      <c r="H2785" s="16"/>
      <c r="I2785" s="16"/>
      <c r="J2785" s="16"/>
      <c r="K2785" s="16"/>
      <c r="L2785" s="16"/>
      <c r="M2785" s="16"/>
    </row>
    <row r="2786" spans="1:13" x14ac:dyDescent="0.2">
      <c r="A2786" s="16"/>
      <c r="B2786" s="37"/>
      <c r="C2786" s="16"/>
      <c r="D2786" s="16"/>
      <c r="E2786" s="16"/>
      <c r="F2786" s="16"/>
      <c r="G2786" s="16"/>
      <c r="H2786" s="16"/>
      <c r="I2786" s="16"/>
      <c r="J2786" s="16"/>
      <c r="K2786" s="16"/>
      <c r="L2786" s="16"/>
      <c r="M2786" s="16"/>
    </row>
    <row r="2787" spans="1:13" x14ac:dyDescent="0.2">
      <c r="A2787" s="16"/>
      <c r="B2787" s="37"/>
      <c r="C2787" s="16"/>
      <c r="D2787" s="16"/>
      <c r="E2787" s="16"/>
      <c r="F2787" s="16"/>
      <c r="G2787" s="16"/>
      <c r="H2787" s="16"/>
      <c r="I2787" s="16"/>
      <c r="J2787" s="16"/>
      <c r="K2787" s="16"/>
      <c r="L2787" s="16"/>
      <c r="M2787" s="16"/>
    </row>
    <row r="2788" spans="1:13" x14ac:dyDescent="0.2">
      <c r="A2788" s="16"/>
      <c r="B2788" s="37"/>
      <c r="C2788" s="16"/>
      <c r="D2788" s="16"/>
      <c r="E2788" s="16"/>
      <c r="F2788" s="16"/>
      <c r="G2788" s="16"/>
      <c r="H2788" s="16"/>
      <c r="I2788" s="16"/>
      <c r="J2788" s="16"/>
      <c r="K2788" s="16"/>
      <c r="L2788" s="16"/>
      <c r="M2788" s="16"/>
    </row>
    <row r="2789" spans="1:13" x14ac:dyDescent="0.2">
      <c r="A2789" s="16"/>
      <c r="B2789" s="37"/>
      <c r="C2789" s="16"/>
      <c r="D2789" s="16"/>
      <c r="E2789" s="16"/>
      <c r="F2789" s="16"/>
      <c r="G2789" s="16"/>
      <c r="H2789" s="16"/>
      <c r="I2789" s="16"/>
      <c r="J2789" s="16"/>
      <c r="K2789" s="16"/>
      <c r="L2789" s="16"/>
      <c r="M2789" s="16"/>
    </row>
    <row r="2790" spans="1:13" x14ac:dyDescent="0.2">
      <c r="A2790" s="16"/>
      <c r="B2790" s="37"/>
      <c r="C2790" s="16"/>
      <c r="D2790" s="16"/>
      <c r="E2790" s="16"/>
      <c r="F2790" s="16"/>
      <c r="G2790" s="16"/>
      <c r="H2790" s="16"/>
      <c r="I2790" s="16"/>
      <c r="J2790" s="16"/>
      <c r="K2790" s="16"/>
      <c r="L2790" s="16"/>
      <c r="M2790" s="16"/>
    </row>
    <row r="2791" spans="1:13" x14ac:dyDescent="0.2">
      <c r="A2791" s="16"/>
      <c r="B2791" s="37"/>
      <c r="C2791" s="16"/>
      <c r="D2791" s="16"/>
      <c r="E2791" s="16"/>
      <c r="F2791" s="16"/>
      <c r="G2791" s="16"/>
      <c r="H2791" s="16"/>
      <c r="I2791" s="16"/>
      <c r="J2791" s="16"/>
      <c r="K2791" s="16"/>
      <c r="L2791" s="16"/>
      <c r="M2791" s="16"/>
    </row>
    <row r="2792" spans="1:13" x14ac:dyDescent="0.2">
      <c r="A2792" s="16"/>
      <c r="B2792" s="37"/>
      <c r="C2792" s="16"/>
      <c r="D2792" s="16"/>
      <c r="E2792" s="16"/>
      <c r="F2792" s="16"/>
      <c r="G2792" s="16"/>
      <c r="H2792" s="16"/>
      <c r="I2792" s="16"/>
      <c r="J2792" s="16"/>
      <c r="K2792" s="16"/>
      <c r="L2792" s="16"/>
      <c r="M2792" s="16"/>
    </row>
    <row r="2793" spans="1:13" x14ac:dyDescent="0.2">
      <c r="A2793" s="16"/>
      <c r="B2793" s="37"/>
      <c r="C2793" s="16"/>
      <c r="D2793" s="16"/>
      <c r="E2793" s="16"/>
      <c r="F2793" s="16"/>
      <c r="G2793" s="16"/>
      <c r="H2793" s="16"/>
      <c r="I2793" s="16"/>
      <c r="J2793" s="16"/>
      <c r="K2793" s="16"/>
      <c r="L2793" s="16"/>
      <c r="M2793" s="16"/>
    </row>
    <row r="2794" spans="1:13" x14ac:dyDescent="0.2">
      <c r="A2794" s="16"/>
      <c r="B2794" s="37"/>
      <c r="C2794" s="16"/>
      <c r="D2794" s="16"/>
      <c r="E2794" s="16"/>
      <c r="F2794" s="16"/>
      <c r="G2794" s="16"/>
      <c r="H2794" s="16"/>
      <c r="I2794" s="16"/>
      <c r="J2794" s="16"/>
      <c r="K2794" s="16"/>
      <c r="L2794" s="16"/>
      <c r="M2794" s="16"/>
    </row>
    <row r="2795" spans="1:13" x14ac:dyDescent="0.2">
      <c r="A2795" s="16"/>
      <c r="B2795" s="37"/>
      <c r="C2795" s="16"/>
      <c r="D2795" s="16"/>
      <c r="E2795" s="16"/>
      <c r="F2795" s="16"/>
      <c r="G2795" s="16"/>
      <c r="H2795" s="16"/>
      <c r="I2795" s="16"/>
      <c r="J2795" s="16"/>
      <c r="K2795" s="16"/>
      <c r="L2795" s="16"/>
      <c r="M2795" s="16"/>
    </row>
    <row r="2796" spans="1:13" x14ac:dyDescent="0.2">
      <c r="A2796" s="16"/>
      <c r="B2796" s="37"/>
      <c r="C2796" s="16"/>
      <c r="D2796" s="16"/>
      <c r="E2796" s="16"/>
      <c r="F2796" s="16"/>
      <c r="G2796" s="16"/>
      <c r="H2796" s="16"/>
      <c r="I2796" s="16"/>
      <c r="J2796" s="16"/>
      <c r="K2796" s="16"/>
      <c r="L2796" s="16"/>
      <c r="M2796" s="16"/>
    </row>
    <row r="2797" spans="1:13" x14ac:dyDescent="0.2">
      <c r="A2797" s="16"/>
      <c r="B2797" s="37"/>
      <c r="C2797" s="16"/>
      <c r="D2797" s="16"/>
      <c r="E2797" s="16"/>
      <c r="F2797" s="16"/>
      <c r="G2797" s="16"/>
      <c r="H2797" s="16"/>
      <c r="I2797" s="16"/>
      <c r="J2797" s="16"/>
      <c r="K2797" s="16"/>
      <c r="L2797" s="16"/>
      <c r="M2797" s="16"/>
    </row>
    <row r="2798" spans="1:13" x14ac:dyDescent="0.2">
      <c r="A2798" s="16"/>
      <c r="B2798" s="37"/>
      <c r="C2798" s="16"/>
      <c r="D2798" s="16"/>
      <c r="E2798" s="16"/>
      <c r="F2798" s="16"/>
      <c r="G2798" s="16"/>
      <c r="H2798" s="16"/>
      <c r="I2798" s="16"/>
      <c r="J2798" s="16"/>
      <c r="K2798" s="16"/>
      <c r="L2798" s="16"/>
      <c r="M2798" s="16"/>
    </row>
    <row r="2799" spans="1:13" x14ac:dyDescent="0.2">
      <c r="A2799" s="16"/>
      <c r="B2799" s="37"/>
      <c r="C2799" s="16"/>
      <c r="D2799" s="16"/>
      <c r="E2799" s="16"/>
      <c r="F2799" s="16"/>
      <c r="G2799" s="16"/>
      <c r="H2799" s="16"/>
      <c r="I2799" s="16"/>
      <c r="J2799" s="16"/>
      <c r="K2799" s="16"/>
      <c r="L2799" s="16"/>
      <c r="M2799" s="16"/>
    </row>
    <row r="2800" spans="1:13" x14ac:dyDescent="0.2">
      <c r="A2800" s="16"/>
      <c r="B2800" s="37"/>
      <c r="C2800" s="16"/>
      <c r="D2800" s="16"/>
      <c r="E2800" s="16"/>
      <c r="F2800" s="16"/>
      <c r="G2800" s="16"/>
      <c r="H2800" s="16"/>
      <c r="I2800" s="16"/>
      <c r="J2800" s="16"/>
      <c r="K2800" s="16"/>
      <c r="L2800" s="16"/>
      <c r="M2800" s="16"/>
    </row>
    <row r="2801" spans="1:13" x14ac:dyDescent="0.2">
      <c r="A2801" s="16"/>
      <c r="B2801" s="37"/>
      <c r="C2801" s="16"/>
      <c r="D2801" s="16"/>
      <c r="E2801" s="16"/>
      <c r="F2801" s="16"/>
      <c r="G2801" s="16"/>
      <c r="H2801" s="16"/>
      <c r="I2801" s="16"/>
      <c r="J2801" s="16"/>
      <c r="K2801" s="16"/>
      <c r="L2801" s="16"/>
      <c r="M2801" s="16"/>
    </row>
    <row r="2802" spans="1:13" x14ac:dyDescent="0.2">
      <c r="A2802" s="16"/>
      <c r="B2802" s="37"/>
      <c r="C2802" s="16"/>
      <c r="D2802" s="16"/>
      <c r="E2802" s="16"/>
      <c r="F2802" s="16"/>
      <c r="G2802" s="16"/>
      <c r="H2802" s="16"/>
      <c r="I2802" s="16"/>
      <c r="J2802" s="16"/>
      <c r="K2802" s="16"/>
      <c r="L2802" s="16"/>
      <c r="M2802" s="16"/>
    </row>
    <row r="2803" spans="1:13" x14ac:dyDescent="0.2">
      <c r="A2803" s="16"/>
      <c r="B2803" s="37"/>
      <c r="C2803" s="16"/>
      <c r="D2803" s="16"/>
      <c r="E2803" s="16"/>
      <c r="F2803" s="16"/>
      <c r="G2803" s="16"/>
      <c r="H2803" s="16"/>
      <c r="I2803" s="16"/>
      <c r="J2803" s="16"/>
      <c r="K2803" s="16"/>
      <c r="L2803" s="16"/>
      <c r="M2803" s="16"/>
    </row>
    <row r="2804" spans="1:13" x14ac:dyDescent="0.2">
      <c r="A2804" s="16"/>
      <c r="B2804" s="37"/>
      <c r="C2804" s="16"/>
      <c r="D2804" s="16"/>
      <c r="E2804" s="16"/>
      <c r="F2804" s="16"/>
      <c r="G2804" s="16"/>
      <c r="H2804" s="16"/>
      <c r="I2804" s="16"/>
      <c r="J2804" s="16"/>
      <c r="K2804" s="16"/>
      <c r="L2804" s="16"/>
      <c r="M2804" s="16"/>
    </row>
    <row r="2805" spans="1:13" x14ac:dyDescent="0.2">
      <c r="A2805" s="16"/>
      <c r="B2805" s="37"/>
      <c r="C2805" s="16"/>
      <c r="D2805" s="16"/>
      <c r="E2805" s="16"/>
      <c r="F2805" s="16"/>
      <c r="G2805" s="16"/>
      <c r="H2805" s="16"/>
      <c r="I2805" s="16"/>
      <c r="J2805" s="16"/>
      <c r="K2805" s="16"/>
      <c r="L2805" s="16"/>
      <c r="M2805" s="16"/>
    </row>
    <row r="2806" spans="1:13" x14ac:dyDescent="0.2">
      <c r="A2806" s="16"/>
      <c r="B2806" s="37"/>
      <c r="C2806" s="16"/>
      <c r="D2806" s="16"/>
      <c r="E2806" s="16"/>
      <c r="F2806" s="16"/>
      <c r="G2806" s="16"/>
      <c r="H2806" s="16"/>
      <c r="I2806" s="16"/>
      <c r="J2806" s="16"/>
      <c r="K2806" s="16"/>
      <c r="L2806" s="16"/>
      <c r="M2806" s="16"/>
    </row>
    <row r="2807" spans="1:13" x14ac:dyDescent="0.2">
      <c r="A2807" s="16"/>
      <c r="B2807" s="37"/>
      <c r="C2807" s="16"/>
      <c r="D2807" s="16"/>
      <c r="E2807" s="16"/>
      <c r="F2807" s="16"/>
      <c r="G2807" s="16"/>
      <c r="H2807" s="16"/>
      <c r="I2807" s="16"/>
      <c r="J2807" s="16"/>
      <c r="K2807" s="16"/>
      <c r="L2807" s="16"/>
      <c r="M2807" s="16"/>
    </row>
    <row r="2808" spans="1:13" x14ac:dyDescent="0.2">
      <c r="A2808" s="16"/>
      <c r="B2808" s="37"/>
      <c r="C2808" s="16"/>
      <c r="D2808" s="16"/>
      <c r="E2808" s="16"/>
      <c r="F2808" s="16"/>
      <c r="G2808" s="16"/>
      <c r="H2808" s="16"/>
      <c r="I2808" s="16"/>
      <c r="J2808" s="16"/>
      <c r="K2808" s="16"/>
      <c r="L2808" s="16"/>
      <c r="M2808" s="16"/>
    </row>
    <row r="2809" spans="1:13" x14ac:dyDescent="0.2">
      <c r="A2809" s="16"/>
      <c r="B2809" s="37"/>
      <c r="C2809" s="16"/>
      <c r="D2809" s="16"/>
      <c r="E2809" s="16"/>
      <c r="F2809" s="16"/>
      <c r="G2809" s="16"/>
      <c r="H2809" s="16"/>
      <c r="I2809" s="16"/>
      <c r="J2809" s="16"/>
      <c r="K2809" s="16"/>
      <c r="L2809" s="16"/>
      <c r="M2809" s="16"/>
    </row>
    <row r="2810" spans="1:13" x14ac:dyDescent="0.2">
      <c r="A2810" s="16"/>
      <c r="B2810" s="37"/>
      <c r="C2810" s="16"/>
      <c r="D2810" s="16"/>
      <c r="E2810" s="16"/>
      <c r="F2810" s="16"/>
      <c r="G2810" s="16"/>
      <c r="H2810" s="16"/>
      <c r="I2810" s="16"/>
      <c r="J2810" s="16"/>
      <c r="K2810" s="16"/>
      <c r="L2810" s="16"/>
      <c r="M2810" s="16"/>
    </row>
    <row r="2811" spans="1:13" x14ac:dyDescent="0.2">
      <c r="A2811" s="16"/>
      <c r="B2811" s="37"/>
      <c r="C2811" s="16"/>
      <c r="D2811" s="16"/>
      <c r="E2811" s="16"/>
      <c r="F2811" s="16"/>
      <c r="G2811" s="16"/>
      <c r="H2811" s="16"/>
      <c r="I2811" s="16"/>
      <c r="J2811" s="16"/>
      <c r="K2811" s="16"/>
      <c r="L2811" s="16"/>
      <c r="M2811" s="16"/>
    </row>
    <row r="2812" spans="1:13" x14ac:dyDescent="0.2">
      <c r="A2812" s="16"/>
      <c r="B2812" s="37"/>
      <c r="C2812" s="16"/>
      <c r="D2812" s="16"/>
      <c r="E2812" s="16"/>
      <c r="F2812" s="16"/>
      <c r="G2812" s="16"/>
      <c r="H2812" s="16"/>
      <c r="I2812" s="16"/>
      <c r="J2812" s="16"/>
      <c r="K2812" s="16"/>
      <c r="L2812" s="16"/>
      <c r="M2812" s="16"/>
    </row>
    <row r="2813" spans="1:13" x14ac:dyDescent="0.2">
      <c r="A2813" s="16"/>
      <c r="B2813" s="37"/>
      <c r="C2813" s="16"/>
      <c r="D2813" s="16"/>
      <c r="E2813" s="16"/>
      <c r="F2813" s="16"/>
      <c r="G2813" s="16"/>
      <c r="H2813" s="16"/>
      <c r="I2813" s="16"/>
      <c r="J2813" s="16"/>
      <c r="K2813" s="16"/>
      <c r="L2813" s="16"/>
      <c r="M2813" s="16"/>
    </row>
    <row r="2814" spans="1:13" x14ac:dyDescent="0.2">
      <c r="A2814" s="16"/>
      <c r="B2814" s="37"/>
      <c r="C2814" s="16"/>
      <c r="D2814" s="16"/>
      <c r="E2814" s="16"/>
      <c r="F2814" s="16"/>
      <c r="G2814" s="16"/>
      <c r="H2814" s="16"/>
      <c r="I2814" s="16"/>
      <c r="J2814" s="16"/>
      <c r="K2814" s="16"/>
      <c r="L2814" s="16"/>
      <c r="M2814" s="16"/>
    </row>
    <row r="2815" spans="1:13" x14ac:dyDescent="0.2">
      <c r="A2815" s="16"/>
      <c r="B2815" s="37"/>
      <c r="C2815" s="16"/>
      <c r="D2815" s="16"/>
      <c r="E2815" s="16"/>
      <c r="F2815" s="16"/>
      <c r="G2815" s="16"/>
      <c r="H2815" s="16"/>
      <c r="I2815" s="16"/>
      <c r="J2815" s="16"/>
      <c r="K2815" s="16"/>
      <c r="L2815" s="16"/>
      <c r="M2815" s="16"/>
    </row>
    <row r="2816" spans="1:13" x14ac:dyDescent="0.2">
      <c r="A2816" s="16"/>
      <c r="B2816" s="37"/>
      <c r="C2816" s="16"/>
      <c r="D2816" s="16"/>
      <c r="E2816" s="16"/>
      <c r="F2816" s="16"/>
      <c r="G2816" s="16"/>
      <c r="H2816" s="16"/>
      <c r="I2816" s="16"/>
      <c r="J2816" s="16"/>
      <c r="K2816" s="16"/>
      <c r="L2816" s="16"/>
      <c r="M2816" s="16"/>
    </row>
    <row r="2817" spans="1:13" x14ac:dyDescent="0.2">
      <c r="A2817" s="16"/>
      <c r="B2817" s="37"/>
      <c r="C2817" s="16"/>
      <c r="D2817" s="16"/>
      <c r="E2817" s="16"/>
      <c r="F2817" s="16"/>
      <c r="G2817" s="16"/>
      <c r="H2817" s="16"/>
      <c r="I2817" s="16"/>
      <c r="J2817" s="16"/>
      <c r="K2817" s="16"/>
      <c r="L2817" s="16"/>
      <c r="M2817" s="16"/>
    </row>
    <row r="2818" spans="1:13" x14ac:dyDescent="0.2">
      <c r="A2818" s="16"/>
      <c r="B2818" s="37"/>
      <c r="C2818" s="16"/>
      <c r="D2818" s="16"/>
      <c r="E2818" s="16"/>
      <c r="F2818" s="16"/>
      <c r="G2818" s="16"/>
      <c r="H2818" s="16"/>
      <c r="I2818" s="16"/>
      <c r="J2818" s="16"/>
      <c r="K2818" s="16"/>
      <c r="L2818" s="16"/>
      <c r="M2818" s="16"/>
    </row>
    <row r="2819" spans="1:13" x14ac:dyDescent="0.2">
      <c r="A2819" s="16"/>
      <c r="B2819" s="37"/>
      <c r="C2819" s="16"/>
      <c r="D2819" s="16"/>
      <c r="E2819" s="16"/>
      <c r="F2819" s="16"/>
      <c r="G2819" s="16"/>
      <c r="H2819" s="16"/>
      <c r="I2819" s="16"/>
      <c r="J2819" s="16"/>
      <c r="K2819" s="16"/>
      <c r="L2819" s="16"/>
      <c r="M2819" s="16"/>
    </row>
    <row r="2820" spans="1:13" x14ac:dyDescent="0.2">
      <c r="A2820" s="16"/>
      <c r="B2820" s="37"/>
      <c r="C2820" s="16"/>
      <c r="D2820" s="16"/>
      <c r="E2820" s="16"/>
      <c r="F2820" s="16"/>
      <c r="G2820" s="16"/>
      <c r="H2820" s="16"/>
      <c r="I2820" s="16"/>
      <c r="J2820" s="16"/>
      <c r="K2820" s="16"/>
      <c r="L2820" s="16"/>
      <c r="M2820" s="16"/>
    </row>
    <row r="2821" spans="1:13" x14ac:dyDescent="0.2">
      <c r="A2821" s="16"/>
      <c r="B2821" s="37"/>
      <c r="C2821" s="16"/>
      <c r="D2821" s="16"/>
      <c r="E2821" s="16"/>
      <c r="F2821" s="16"/>
      <c r="G2821" s="16"/>
      <c r="H2821" s="16"/>
      <c r="I2821" s="16"/>
      <c r="J2821" s="16"/>
      <c r="K2821" s="16"/>
      <c r="L2821" s="16"/>
      <c r="M2821" s="16"/>
    </row>
    <row r="2822" spans="1:13" x14ac:dyDescent="0.2">
      <c r="A2822" s="16"/>
      <c r="B2822" s="37"/>
      <c r="C2822" s="16"/>
      <c r="D2822" s="16"/>
      <c r="E2822" s="16"/>
      <c r="F2822" s="16"/>
      <c r="G2822" s="16"/>
      <c r="H2822" s="16"/>
      <c r="I2822" s="16"/>
      <c r="J2822" s="16"/>
      <c r="K2822" s="16"/>
      <c r="L2822" s="16"/>
      <c r="M2822" s="16"/>
    </row>
    <row r="2823" spans="1:13" x14ac:dyDescent="0.2">
      <c r="A2823" s="16"/>
      <c r="B2823" s="37"/>
      <c r="C2823" s="16"/>
      <c r="D2823" s="16"/>
      <c r="E2823" s="16"/>
      <c r="F2823" s="16"/>
      <c r="G2823" s="16"/>
      <c r="H2823" s="16"/>
      <c r="I2823" s="16"/>
      <c r="J2823" s="16"/>
      <c r="K2823" s="16"/>
      <c r="L2823" s="16"/>
      <c r="M2823" s="16"/>
    </row>
    <row r="2824" spans="1:13" x14ac:dyDescent="0.2">
      <c r="A2824" s="16"/>
      <c r="B2824" s="37"/>
      <c r="C2824" s="16"/>
      <c r="D2824" s="16"/>
      <c r="E2824" s="16"/>
      <c r="F2824" s="16"/>
      <c r="G2824" s="16"/>
      <c r="H2824" s="16"/>
      <c r="I2824" s="16"/>
      <c r="J2824" s="16"/>
      <c r="K2824" s="16"/>
      <c r="L2824" s="16"/>
      <c r="M2824" s="16"/>
    </row>
    <row r="2825" spans="1:13" x14ac:dyDescent="0.2">
      <c r="A2825" s="16"/>
      <c r="B2825" s="37"/>
      <c r="C2825" s="16"/>
      <c r="D2825" s="16"/>
      <c r="E2825" s="16"/>
      <c r="F2825" s="16"/>
      <c r="G2825" s="16"/>
      <c r="H2825" s="16"/>
      <c r="I2825" s="16"/>
      <c r="J2825" s="16"/>
      <c r="K2825" s="16"/>
      <c r="L2825" s="16"/>
      <c r="M2825" s="16"/>
    </row>
    <row r="2826" spans="1:13" x14ac:dyDescent="0.2">
      <c r="A2826" s="16"/>
      <c r="B2826" s="37"/>
      <c r="C2826" s="16"/>
      <c r="D2826" s="16"/>
      <c r="E2826" s="16"/>
      <c r="F2826" s="16"/>
      <c r="G2826" s="16"/>
      <c r="H2826" s="16"/>
      <c r="I2826" s="16"/>
      <c r="J2826" s="16"/>
      <c r="K2826" s="16"/>
      <c r="L2826" s="16"/>
      <c r="M2826" s="16"/>
    </row>
    <row r="2827" spans="1:13" x14ac:dyDescent="0.2">
      <c r="A2827" s="16"/>
      <c r="B2827" s="37"/>
      <c r="C2827" s="16"/>
      <c r="D2827" s="16"/>
      <c r="E2827" s="16"/>
      <c r="F2827" s="16"/>
      <c r="G2827" s="16"/>
      <c r="H2827" s="16"/>
      <c r="I2827" s="16"/>
      <c r="J2827" s="16"/>
      <c r="K2827" s="16"/>
      <c r="L2827" s="16"/>
      <c r="M2827" s="16"/>
    </row>
    <row r="2828" spans="1:13" x14ac:dyDescent="0.2">
      <c r="A2828" s="16"/>
      <c r="B2828" s="37"/>
      <c r="C2828" s="16"/>
      <c r="D2828" s="16"/>
      <c r="E2828" s="16"/>
      <c r="F2828" s="16"/>
      <c r="G2828" s="16"/>
      <c r="H2828" s="16"/>
      <c r="I2828" s="16"/>
      <c r="J2828" s="16"/>
      <c r="K2828" s="16"/>
      <c r="L2828" s="16"/>
      <c r="M2828" s="16"/>
    </row>
    <row r="2829" spans="1:13" x14ac:dyDescent="0.2">
      <c r="A2829" s="16"/>
      <c r="B2829" s="37"/>
      <c r="C2829" s="16"/>
      <c r="D2829" s="16"/>
      <c r="E2829" s="16"/>
      <c r="F2829" s="16"/>
      <c r="G2829" s="16"/>
      <c r="H2829" s="16"/>
      <c r="I2829" s="16"/>
      <c r="J2829" s="16"/>
      <c r="K2829" s="16"/>
      <c r="L2829" s="16"/>
      <c r="M2829" s="16"/>
    </row>
    <row r="2830" spans="1:13" x14ac:dyDescent="0.2">
      <c r="A2830" s="16"/>
      <c r="B2830" s="37"/>
      <c r="C2830" s="16"/>
      <c r="D2830" s="16"/>
      <c r="E2830" s="16"/>
      <c r="F2830" s="16"/>
      <c r="G2830" s="16"/>
      <c r="H2830" s="16"/>
      <c r="I2830" s="16"/>
      <c r="J2830" s="16"/>
      <c r="K2830" s="16"/>
      <c r="L2830" s="16"/>
      <c r="M2830" s="16"/>
    </row>
    <row r="2831" spans="1:13" x14ac:dyDescent="0.2">
      <c r="A2831" s="16"/>
      <c r="B2831" s="37"/>
      <c r="C2831" s="16"/>
      <c r="D2831" s="16"/>
      <c r="E2831" s="16"/>
      <c r="F2831" s="16"/>
      <c r="G2831" s="16"/>
      <c r="H2831" s="16"/>
      <c r="I2831" s="16"/>
      <c r="J2831" s="16"/>
      <c r="K2831" s="16"/>
      <c r="L2831" s="16"/>
      <c r="M2831" s="16"/>
    </row>
    <row r="2832" spans="1:13" x14ac:dyDescent="0.2">
      <c r="A2832" s="16"/>
      <c r="B2832" s="37"/>
      <c r="C2832" s="16"/>
      <c r="D2832" s="16"/>
      <c r="E2832" s="16"/>
      <c r="F2832" s="16"/>
      <c r="G2832" s="16"/>
      <c r="H2832" s="16"/>
      <c r="I2832" s="16"/>
      <c r="J2832" s="16"/>
      <c r="K2832" s="16"/>
      <c r="L2832" s="16"/>
      <c r="M2832" s="16"/>
    </row>
    <row r="2833" spans="1:13" x14ac:dyDescent="0.2">
      <c r="A2833" s="16"/>
      <c r="B2833" s="37"/>
      <c r="C2833" s="16"/>
      <c r="D2833" s="16"/>
      <c r="E2833" s="16"/>
      <c r="F2833" s="16"/>
      <c r="G2833" s="16"/>
      <c r="H2833" s="16"/>
      <c r="I2833" s="16"/>
      <c r="J2833" s="16"/>
      <c r="K2833" s="16"/>
      <c r="L2833" s="16"/>
      <c r="M2833" s="16"/>
    </row>
    <row r="2834" spans="1:13" x14ac:dyDescent="0.2">
      <c r="A2834" s="16"/>
      <c r="B2834" s="37"/>
      <c r="C2834" s="16"/>
      <c r="D2834" s="16"/>
      <c r="E2834" s="16"/>
      <c r="F2834" s="16"/>
      <c r="G2834" s="16"/>
      <c r="H2834" s="16"/>
      <c r="I2834" s="16"/>
      <c r="J2834" s="16"/>
      <c r="K2834" s="16"/>
      <c r="L2834" s="16"/>
      <c r="M2834" s="16"/>
    </row>
    <row r="2835" spans="1:13" x14ac:dyDescent="0.2">
      <c r="A2835" s="16"/>
      <c r="B2835" s="37"/>
      <c r="C2835" s="16"/>
      <c r="D2835" s="16"/>
      <c r="E2835" s="16"/>
      <c r="F2835" s="16"/>
      <c r="G2835" s="16"/>
      <c r="H2835" s="16"/>
      <c r="I2835" s="16"/>
      <c r="J2835" s="16"/>
      <c r="K2835" s="16"/>
      <c r="L2835" s="16"/>
      <c r="M2835" s="16"/>
    </row>
    <row r="2836" spans="1:13" x14ac:dyDescent="0.2">
      <c r="A2836" s="16"/>
      <c r="B2836" s="37"/>
      <c r="C2836" s="16"/>
      <c r="D2836" s="16"/>
      <c r="E2836" s="16"/>
      <c r="F2836" s="16"/>
      <c r="G2836" s="16"/>
      <c r="H2836" s="16"/>
      <c r="I2836" s="16"/>
      <c r="J2836" s="16"/>
      <c r="K2836" s="16"/>
      <c r="L2836" s="16"/>
      <c r="M2836" s="16"/>
    </row>
    <row r="2837" spans="1:13" x14ac:dyDescent="0.2">
      <c r="A2837" s="16"/>
      <c r="B2837" s="37"/>
      <c r="C2837" s="16"/>
      <c r="D2837" s="16"/>
      <c r="E2837" s="16"/>
      <c r="F2837" s="16"/>
      <c r="G2837" s="16"/>
      <c r="H2837" s="16"/>
      <c r="I2837" s="16"/>
      <c r="J2837" s="16"/>
      <c r="K2837" s="16"/>
      <c r="L2837" s="16"/>
      <c r="M2837" s="16"/>
    </row>
    <row r="2838" spans="1:13" x14ac:dyDescent="0.2">
      <c r="A2838" s="16"/>
      <c r="B2838" s="37"/>
      <c r="C2838" s="16"/>
      <c r="D2838" s="16"/>
      <c r="E2838" s="16"/>
      <c r="F2838" s="16"/>
      <c r="G2838" s="16"/>
      <c r="H2838" s="16"/>
      <c r="I2838" s="16"/>
      <c r="J2838" s="16"/>
      <c r="K2838" s="16"/>
      <c r="L2838" s="16"/>
      <c r="M2838" s="16"/>
    </row>
    <row r="2839" spans="1:13" x14ac:dyDescent="0.2">
      <c r="A2839" s="16"/>
      <c r="B2839" s="37"/>
      <c r="C2839" s="16"/>
      <c r="D2839" s="16"/>
      <c r="E2839" s="16"/>
      <c r="F2839" s="16"/>
      <c r="G2839" s="16"/>
      <c r="H2839" s="16"/>
      <c r="I2839" s="16"/>
      <c r="J2839" s="16"/>
      <c r="K2839" s="16"/>
      <c r="L2839" s="16"/>
      <c r="M2839" s="16"/>
    </row>
    <row r="2840" spans="1:13" x14ac:dyDescent="0.2">
      <c r="A2840" s="16"/>
      <c r="B2840" s="37"/>
      <c r="C2840" s="16"/>
      <c r="D2840" s="16"/>
      <c r="E2840" s="16"/>
      <c r="F2840" s="16"/>
      <c r="G2840" s="16"/>
      <c r="H2840" s="16"/>
      <c r="I2840" s="16"/>
      <c r="J2840" s="16"/>
      <c r="K2840" s="16"/>
      <c r="L2840" s="16"/>
      <c r="M2840" s="16"/>
    </row>
    <row r="2841" spans="1:13" x14ac:dyDescent="0.2">
      <c r="A2841" s="16"/>
      <c r="B2841" s="37"/>
      <c r="C2841" s="16"/>
      <c r="D2841" s="16"/>
      <c r="E2841" s="16"/>
      <c r="F2841" s="16"/>
      <c r="G2841" s="16"/>
      <c r="H2841" s="16"/>
      <c r="I2841" s="16"/>
      <c r="J2841" s="16"/>
      <c r="K2841" s="16"/>
      <c r="L2841" s="16"/>
      <c r="M2841" s="16"/>
    </row>
    <row r="2842" spans="1:13" x14ac:dyDescent="0.2">
      <c r="A2842" s="16"/>
      <c r="B2842" s="37"/>
      <c r="C2842" s="16"/>
      <c r="D2842" s="16"/>
      <c r="E2842" s="16"/>
      <c r="F2842" s="16"/>
      <c r="G2842" s="16"/>
      <c r="H2842" s="16"/>
      <c r="I2842" s="16"/>
      <c r="J2842" s="16"/>
      <c r="K2842" s="16"/>
      <c r="L2842" s="16"/>
      <c r="M2842" s="16"/>
    </row>
    <row r="2843" spans="1:13" x14ac:dyDescent="0.2">
      <c r="A2843" s="16"/>
      <c r="B2843" s="37"/>
      <c r="C2843" s="16"/>
      <c r="D2843" s="16"/>
      <c r="E2843" s="16"/>
      <c r="F2843" s="16"/>
      <c r="G2843" s="16"/>
      <c r="H2843" s="16"/>
      <c r="I2843" s="16"/>
      <c r="J2843" s="16"/>
      <c r="K2843" s="16"/>
      <c r="L2843" s="16"/>
      <c r="M2843" s="16"/>
    </row>
    <row r="2844" spans="1:13" x14ac:dyDescent="0.2">
      <c r="A2844" s="16"/>
      <c r="B2844" s="37"/>
      <c r="C2844" s="16"/>
      <c r="D2844" s="16"/>
      <c r="E2844" s="16"/>
      <c r="F2844" s="16"/>
      <c r="G2844" s="16"/>
      <c r="H2844" s="16"/>
      <c r="I2844" s="16"/>
      <c r="J2844" s="16"/>
      <c r="K2844" s="16"/>
      <c r="L2844" s="16"/>
      <c r="M2844" s="16"/>
    </row>
    <row r="2845" spans="1:13" x14ac:dyDescent="0.2">
      <c r="A2845" s="16"/>
      <c r="B2845" s="37"/>
      <c r="C2845" s="16"/>
      <c r="D2845" s="16"/>
      <c r="E2845" s="16"/>
      <c r="F2845" s="16"/>
      <c r="G2845" s="16"/>
      <c r="H2845" s="16"/>
      <c r="I2845" s="16"/>
      <c r="J2845" s="16"/>
      <c r="K2845" s="16"/>
      <c r="L2845" s="16"/>
      <c r="M2845" s="16"/>
    </row>
    <row r="2846" spans="1:13" x14ac:dyDescent="0.2">
      <c r="A2846" s="16"/>
      <c r="B2846" s="37"/>
      <c r="C2846" s="16"/>
      <c r="D2846" s="16"/>
      <c r="E2846" s="16"/>
      <c r="F2846" s="16"/>
      <c r="G2846" s="16"/>
      <c r="H2846" s="16"/>
      <c r="I2846" s="16"/>
      <c r="J2846" s="16"/>
      <c r="K2846" s="16"/>
      <c r="L2846" s="16"/>
      <c r="M2846" s="16"/>
    </row>
    <row r="2847" spans="1:13" x14ac:dyDescent="0.2">
      <c r="A2847" s="16"/>
      <c r="B2847" s="37"/>
      <c r="C2847" s="16"/>
      <c r="D2847" s="16"/>
      <c r="E2847" s="16"/>
      <c r="F2847" s="16"/>
      <c r="G2847" s="16"/>
      <c r="H2847" s="16"/>
      <c r="I2847" s="16"/>
      <c r="J2847" s="16"/>
      <c r="K2847" s="16"/>
      <c r="L2847" s="16"/>
      <c r="M2847" s="16"/>
    </row>
    <row r="2848" spans="1:13" x14ac:dyDescent="0.2">
      <c r="A2848" s="16"/>
      <c r="B2848" s="37"/>
      <c r="C2848" s="16"/>
      <c r="D2848" s="16"/>
      <c r="E2848" s="16"/>
      <c r="F2848" s="16"/>
      <c r="G2848" s="16"/>
      <c r="H2848" s="16"/>
      <c r="I2848" s="16"/>
      <c r="J2848" s="16"/>
      <c r="K2848" s="16"/>
      <c r="L2848" s="16"/>
      <c r="M2848" s="16"/>
    </row>
    <row r="2849" spans="1:13" x14ac:dyDescent="0.2">
      <c r="A2849" s="16"/>
      <c r="B2849" s="37"/>
      <c r="C2849" s="16"/>
      <c r="D2849" s="16"/>
      <c r="E2849" s="16"/>
      <c r="F2849" s="16"/>
      <c r="G2849" s="16"/>
      <c r="H2849" s="16"/>
      <c r="I2849" s="16"/>
      <c r="J2849" s="16"/>
      <c r="K2849" s="16"/>
      <c r="L2849" s="16"/>
      <c r="M2849" s="16"/>
    </row>
    <row r="2850" spans="1:13" x14ac:dyDescent="0.2">
      <c r="A2850" s="16"/>
      <c r="B2850" s="37"/>
      <c r="C2850" s="16"/>
      <c r="D2850" s="16"/>
      <c r="E2850" s="16"/>
      <c r="F2850" s="16"/>
      <c r="G2850" s="16"/>
      <c r="H2850" s="16"/>
      <c r="I2850" s="16"/>
      <c r="J2850" s="16"/>
      <c r="K2850" s="16"/>
      <c r="L2850" s="16"/>
      <c r="M2850" s="16"/>
    </row>
    <row r="2851" spans="1:13" x14ac:dyDescent="0.2">
      <c r="A2851" s="16"/>
      <c r="B2851" s="37"/>
      <c r="C2851" s="16"/>
      <c r="D2851" s="16"/>
      <c r="E2851" s="16"/>
      <c r="F2851" s="16"/>
      <c r="G2851" s="16"/>
      <c r="H2851" s="16"/>
      <c r="I2851" s="16"/>
      <c r="J2851" s="16"/>
      <c r="K2851" s="16"/>
      <c r="L2851" s="16"/>
      <c r="M2851" s="16"/>
    </row>
    <row r="2852" spans="1:13" x14ac:dyDescent="0.2">
      <c r="A2852" s="16"/>
      <c r="B2852" s="37"/>
      <c r="C2852" s="16"/>
      <c r="D2852" s="16"/>
      <c r="E2852" s="16"/>
      <c r="F2852" s="16"/>
      <c r="G2852" s="16"/>
      <c r="H2852" s="16"/>
      <c r="I2852" s="16"/>
      <c r="J2852" s="16"/>
      <c r="K2852" s="16"/>
      <c r="L2852" s="16"/>
      <c r="M2852" s="16"/>
    </row>
    <row r="2853" spans="1:13" x14ac:dyDescent="0.2">
      <c r="A2853" s="16"/>
      <c r="B2853" s="37"/>
      <c r="C2853" s="16"/>
      <c r="D2853" s="16"/>
      <c r="E2853" s="16"/>
      <c r="F2853" s="16"/>
      <c r="G2853" s="16"/>
      <c r="H2853" s="16"/>
      <c r="I2853" s="16"/>
      <c r="J2853" s="16"/>
      <c r="K2853" s="16"/>
      <c r="L2853" s="16"/>
      <c r="M2853" s="16"/>
    </row>
    <row r="2854" spans="1:13" x14ac:dyDescent="0.2">
      <c r="A2854" s="16"/>
      <c r="B2854" s="37"/>
      <c r="C2854" s="16"/>
      <c r="D2854" s="16"/>
      <c r="E2854" s="16"/>
      <c r="F2854" s="16"/>
      <c r="G2854" s="16"/>
      <c r="H2854" s="16"/>
      <c r="I2854" s="16"/>
      <c r="J2854" s="16"/>
      <c r="K2854" s="16"/>
      <c r="L2854" s="16"/>
      <c r="M2854" s="16"/>
    </row>
    <row r="2855" spans="1:13" x14ac:dyDescent="0.2">
      <c r="A2855" s="16"/>
      <c r="B2855" s="37"/>
      <c r="C2855" s="16"/>
      <c r="D2855" s="16"/>
      <c r="E2855" s="16"/>
      <c r="F2855" s="16"/>
      <c r="G2855" s="16"/>
      <c r="H2855" s="16"/>
      <c r="I2855" s="16"/>
      <c r="J2855" s="16"/>
      <c r="K2855" s="16"/>
      <c r="L2855" s="16"/>
      <c r="M2855" s="16"/>
    </row>
    <row r="2856" spans="1:13" x14ac:dyDescent="0.2">
      <c r="A2856" s="16"/>
      <c r="B2856" s="37"/>
      <c r="C2856" s="16"/>
      <c r="D2856" s="16"/>
      <c r="E2856" s="16"/>
      <c r="F2856" s="16"/>
      <c r="G2856" s="16"/>
      <c r="H2856" s="16"/>
      <c r="I2856" s="16"/>
      <c r="J2856" s="16"/>
      <c r="K2856" s="16"/>
      <c r="L2856" s="16"/>
      <c r="M2856" s="16"/>
    </row>
    <row r="2857" spans="1:13" x14ac:dyDescent="0.2">
      <c r="A2857" s="16"/>
      <c r="B2857" s="37"/>
      <c r="C2857" s="16"/>
      <c r="D2857" s="16"/>
      <c r="E2857" s="16"/>
      <c r="F2857" s="16"/>
      <c r="G2857" s="16"/>
      <c r="H2857" s="16"/>
      <c r="I2857" s="16"/>
      <c r="J2857" s="16"/>
      <c r="K2857" s="16"/>
      <c r="L2857" s="16"/>
      <c r="M2857" s="16"/>
    </row>
    <row r="2858" spans="1:13" x14ac:dyDescent="0.2">
      <c r="A2858" s="16"/>
      <c r="B2858" s="37"/>
      <c r="C2858" s="16"/>
      <c r="D2858" s="16"/>
      <c r="E2858" s="16"/>
      <c r="F2858" s="16"/>
      <c r="G2858" s="16"/>
      <c r="H2858" s="16"/>
      <c r="I2858" s="16"/>
      <c r="J2858" s="16"/>
      <c r="K2858" s="16"/>
      <c r="L2858" s="16"/>
      <c r="M2858" s="16"/>
    </row>
    <row r="2859" spans="1:13" x14ac:dyDescent="0.2">
      <c r="A2859" s="16"/>
      <c r="B2859" s="37"/>
      <c r="C2859" s="16"/>
      <c r="D2859" s="16"/>
      <c r="E2859" s="16"/>
      <c r="F2859" s="16"/>
      <c r="G2859" s="16"/>
      <c r="H2859" s="16"/>
      <c r="I2859" s="16"/>
      <c r="J2859" s="16"/>
      <c r="K2859" s="16"/>
      <c r="L2859" s="16"/>
      <c r="M2859" s="16"/>
    </row>
    <row r="2860" spans="1:13" x14ac:dyDescent="0.2">
      <c r="A2860" s="16"/>
      <c r="B2860" s="37"/>
      <c r="C2860" s="16"/>
      <c r="D2860" s="16"/>
      <c r="E2860" s="16"/>
      <c r="F2860" s="16"/>
      <c r="G2860" s="16"/>
      <c r="H2860" s="16"/>
      <c r="I2860" s="16"/>
      <c r="J2860" s="16"/>
      <c r="K2860" s="16"/>
      <c r="L2860" s="16"/>
      <c r="M2860" s="16"/>
    </row>
    <row r="2861" spans="1:13" x14ac:dyDescent="0.2">
      <c r="A2861" s="16"/>
      <c r="B2861" s="37"/>
      <c r="C2861" s="16"/>
      <c r="D2861" s="16"/>
      <c r="E2861" s="16"/>
      <c r="F2861" s="16"/>
      <c r="G2861" s="16"/>
      <c r="H2861" s="16"/>
      <c r="I2861" s="16"/>
      <c r="J2861" s="16"/>
      <c r="K2861" s="16"/>
      <c r="L2861" s="16"/>
      <c r="M2861" s="16"/>
    </row>
    <row r="2862" spans="1:13" x14ac:dyDescent="0.2">
      <c r="A2862" s="16"/>
      <c r="B2862" s="37"/>
      <c r="C2862" s="16"/>
      <c r="D2862" s="16"/>
      <c r="E2862" s="16"/>
      <c r="F2862" s="16"/>
      <c r="G2862" s="16"/>
      <c r="H2862" s="16"/>
      <c r="I2862" s="16"/>
      <c r="J2862" s="16"/>
      <c r="K2862" s="16"/>
      <c r="L2862" s="16"/>
      <c r="M2862" s="16"/>
    </row>
    <row r="2863" spans="1:13" x14ac:dyDescent="0.2">
      <c r="A2863" s="16"/>
      <c r="B2863" s="37"/>
      <c r="C2863" s="16"/>
      <c r="D2863" s="16"/>
      <c r="E2863" s="16"/>
      <c r="F2863" s="16"/>
      <c r="G2863" s="16"/>
      <c r="H2863" s="16"/>
      <c r="I2863" s="16"/>
      <c r="J2863" s="16"/>
      <c r="K2863" s="16"/>
      <c r="L2863" s="16"/>
      <c r="M2863" s="16"/>
    </row>
    <row r="2864" spans="1:13" x14ac:dyDescent="0.2">
      <c r="A2864" s="16"/>
      <c r="B2864" s="37"/>
      <c r="C2864" s="16"/>
      <c r="D2864" s="16"/>
      <c r="E2864" s="16"/>
      <c r="F2864" s="16"/>
      <c r="G2864" s="16"/>
      <c r="H2864" s="16"/>
      <c r="I2864" s="16"/>
      <c r="J2864" s="16"/>
      <c r="K2864" s="16"/>
      <c r="L2864" s="16"/>
      <c r="M2864" s="16"/>
    </row>
    <row r="2865" spans="1:13" x14ac:dyDescent="0.2">
      <c r="A2865" s="16"/>
      <c r="B2865" s="37"/>
      <c r="C2865" s="16"/>
      <c r="D2865" s="16"/>
      <c r="E2865" s="16"/>
      <c r="F2865" s="16"/>
      <c r="G2865" s="16"/>
      <c r="H2865" s="16"/>
      <c r="I2865" s="16"/>
      <c r="J2865" s="16"/>
      <c r="K2865" s="16"/>
      <c r="L2865" s="16"/>
      <c r="M2865" s="16"/>
    </row>
    <row r="2866" spans="1:13" x14ac:dyDescent="0.2">
      <c r="A2866" s="16"/>
      <c r="B2866" s="37"/>
      <c r="C2866" s="16"/>
      <c r="D2866" s="16"/>
      <c r="E2866" s="16"/>
      <c r="F2866" s="16"/>
      <c r="G2866" s="16"/>
      <c r="H2866" s="16"/>
      <c r="I2866" s="16"/>
      <c r="J2866" s="16"/>
      <c r="K2866" s="16"/>
      <c r="L2866" s="16"/>
      <c r="M2866" s="16"/>
    </row>
    <row r="2867" spans="1:13" x14ac:dyDescent="0.2">
      <c r="A2867" s="16"/>
      <c r="B2867" s="37"/>
      <c r="C2867" s="16"/>
      <c r="D2867" s="16"/>
      <c r="E2867" s="16"/>
      <c r="F2867" s="16"/>
      <c r="G2867" s="16"/>
      <c r="H2867" s="16"/>
      <c r="I2867" s="16"/>
      <c r="J2867" s="16"/>
      <c r="K2867" s="16"/>
      <c r="L2867" s="16"/>
      <c r="M2867" s="16"/>
    </row>
    <row r="2868" spans="1:13" x14ac:dyDescent="0.2">
      <c r="A2868" s="16"/>
      <c r="B2868" s="37"/>
      <c r="C2868" s="16"/>
      <c r="D2868" s="16"/>
      <c r="E2868" s="16"/>
      <c r="F2868" s="16"/>
      <c r="G2868" s="16"/>
      <c r="H2868" s="16"/>
      <c r="I2868" s="16"/>
      <c r="J2868" s="16"/>
      <c r="K2868" s="16"/>
      <c r="L2868" s="16"/>
      <c r="M2868" s="16"/>
    </row>
    <row r="2869" spans="1:13" x14ac:dyDescent="0.2">
      <c r="A2869" s="16"/>
      <c r="B2869" s="37"/>
      <c r="C2869" s="16"/>
      <c r="D2869" s="16"/>
      <c r="E2869" s="16"/>
      <c r="F2869" s="16"/>
      <c r="G2869" s="16"/>
      <c r="H2869" s="16"/>
      <c r="I2869" s="16"/>
      <c r="J2869" s="16"/>
      <c r="K2869" s="16"/>
      <c r="L2869" s="16"/>
      <c r="M2869" s="16"/>
    </row>
    <row r="2870" spans="1:13" x14ac:dyDescent="0.2">
      <c r="A2870" s="16"/>
      <c r="B2870" s="37"/>
      <c r="C2870" s="16"/>
      <c r="D2870" s="16"/>
      <c r="E2870" s="16"/>
      <c r="F2870" s="16"/>
      <c r="G2870" s="16"/>
      <c r="H2870" s="16"/>
      <c r="I2870" s="16"/>
      <c r="J2870" s="16"/>
      <c r="K2870" s="16"/>
      <c r="L2870" s="16"/>
      <c r="M2870" s="16"/>
    </row>
    <row r="2871" spans="1:13" x14ac:dyDescent="0.2">
      <c r="A2871" s="16"/>
      <c r="B2871" s="37"/>
      <c r="C2871" s="16"/>
      <c r="D2871" s="16"/>
      <c r="E2871" s="16"/>
      <c r="F2871" s="16"/>
      <c r="G2871" s="16"/>
      <c r="H2871" s="16"/>
      <c r="I2871" s="16"/>
      <c r="J2871" s="16"/>
      <c r="K2871" s="16"/>
      <c r="L2871" s="16"/>
      <c r="M2871" s="16"/>
    </row>
    <row r="2872" spans="1:13" x14ac:dyDescent="0.2">
      <c r="A2872" s="16"/>
      <c r="B2872" s="37"/>
      <c r="C2872" s="16"/>
      <c r="D2872" s="16"/>
      <c r="E2872" s="16"/>
      <c r="F2872" s="16"/>
      <c r="G2872" s="16"/>
      <c r="H2872" s="16"/>
      <c r="I2872" s="16"/>
      <c r="J2872" s="16"/>
      <c r="K2872" s="16"/>
      <c r="L2872" s="16"/>
      <c r="M2872" s="16"/>
    </row>
    <row r="2873" spans="1:13" x14ac:dyDescent="0.2">
      <c r="A2873" s="16"/>
      <c r="B2873" s="37"/>
      <c r="C2873" s="16"/>
      <c r="D2873" s="16"/>
      <c r="E2873" s="16"/>
      <c r="F2873" s="16"/>
      <c r="G2873" s="16"/>
      <c r="H2873" s="16"/>
      <c r="I2873" s="16"/>
      <c r="J2873" s="16"/>
      <c r="K2873" s="16"/>
      <c r="L2873" s="16"/>
      <c r="M2873" s="16"/>
    </row>
    <row r="2874" spans="1:13" x14ac:dyDescent="0.2">
      <c r="A2874" s="16"/>
      <c r="B2874" s="37"/>
      <c r="C2874" s="16"/>
      <c r="D2874" s="16"/>
      <c r="E2874" s="16"/>
      <c r="F2874" s="16"/>
      <c r="G2874" s="16"/>
      <c r="H2874" s="16"/>
      <c r="I2874" s="16"/>
      <c r="J2874" s="16"/>
      <c r="K2874" s="16"/>
      <c r="L2874" s="16"/>
      <c r="M2874" s="16"/>
    </row>
    <row r="2875" spans="1:13" x14ac:dyDescent="0.2">
      <c r="A2875" s="16"/>
      <c r="B2875" s="37"/>
      <c r="C2875" s="16"/>
      <c r="D2875" s="16"/>
      <c r="E2875" s="16"/>
      <c r="F2875" s="16"/>
      <c r="G2875" s="16"/>
      <c r="H2875" s="16"/>
      <c r="I2875" s="16"/>
      <c r="J2875" s="16"/>
      <c r="K2875" s="16"/>
      <c r="L2875" s="16"/>
      <c r="M2875" s="16"/>
    </row>
    <row r="2876" spans="1:13" x14ac:dyDescent="0.2">
      <c r="A2876" s="16"/>
      <c r="B2876" s="37"/>
      <c r="C2876" s="16"/>
      <c r="D2876" s="16"/>
      <c r="E2876" s="16"/>
      <c r="F2876" s="16"/>
      <c r="G2876" s="16"/>
      <c r="H2876" s="16"/>
      <c r="I2876" s="16"/>
      <c r="J2876" s="16"/>
      <c r="K2876" s="16"/>
      <c r="L2876" s="16"/>
      <c r="M2876" s="16"/>
    </row>
    <row r="2877" spans="1:13" x14ac:dyDescent="0.2">
      <c r="A2877" s="16"/>
      <c r="B2877" s="37"/>
      <c r="C2877" s="16"/>
      <c r="D2877" s="16"/>
      <c r="E2877" s="16"/>
      <c r="F2877" s="16"/>
      <c r="G2877" s="16"/>
      <c r="H2877" s="16"/>
      <c r="I2877" s="16"/>
      <c r="J2877" s="16"/>
      <c r="K2877" s="16"/>
      <c r="L2877" s="16"/>
      <c r="M2877" s="16"/>
    </row>
    <row r="2878" spans="1:13" x14ac:dyDescent="0.2">
      <c r="A2878" s="16"/>
      <c r="B2878" s="37"/>
      <c r="C2878" s="16"/>
      <c r="D2878" s="16"/>
      <c r="E2878" s="16"/>
      <c r="F2878" s="16"/>
      <c r="G2878" s="16"/>
      <c r="H2878" s="16"/>
      <c r="I2878" s="16"/>
      <c r="J2878" s="16"/>
      <c r="K2878" s="16"/>
      <c r="L2878" s="16"/>
      <c r="M2878" s="16"/>
    </row>
    <row r="2879" spans="1:13" x14ac:dyDescent="0.2">
      <c r="A2879" s="16"/>
      <c r="B2879" s="37"/>
      <c r="C2879" s="16"/>
      <c r="D2879" s="16"/>
      <c r="E2879" s="16"/>
      <c r="F2879" s="16"/>
      <c r="G2879" s="16"/>
      <c r="H2879" s="16"/>
      <c r="I2879" s="16"/>
      <c r="J2879" s="16"/>
      <c r="K2879" s="16"/>
      <c r="L2879" s="16"/>
      <c r="M2879" s="16"/>
    </row>
    <row r="2880" spans="1:13" x14ac:dyDescent="0.2">
      <c r="A2880" s="16"/>
      <c r="B2880" s="37"/>
      <c r="C2880" s="16"/>
      <c r="D2880" s="16"/>
      <c r="E2880" s="16"/>
      <c r="F2880" s="16"/>
      <c r="G2880" s="16"/>
      <c r="H2880" s="16"/>
      <c r="I2880" s="16"/>
      <c r="J2880" s="16"/>
      <c r="K2880" s="16"/>
      <c r="L2880" s="16"/>
      <c r="M2880" s="16"/>
    </row>
    <row r="2881" spans="1:13" x14ac:dyDescent="0.2">
      <c r="A2881" s="16"/>
      <c r="B2881" s="37"/>
      <c r="C2881" s="16"/>
      <c r="D2881" s="16"/>
      <c r="E2881" s="16"/>
      <c r="F2881" s="16"/>
      <c r="G2881" s="16"/>
      <c r="H2881" s="16"/>
      <c r="I2881" s="16"/>
      <c r="J2881" s="16"/>
      <c r="K2881" s="16"/>
      <c r="L2881" s="16"/>
      <c r="M2881" s="16"/>
    </row>
    <row r="2882" spans="1:13" x14ac:dyDescent="0.2">
      <c r="A2882" s="16"/>
      <c r="B2882" s="37"/>
      <c r="C2882" s="16"/>
      <c r="D2882" s="16"/>
      <c r="E2882" s="16"/>
      <c r="F2882" s="16"/>
      <c r="G2882" s="16"/>
      <c r="H2882" s="16"/>
      <c r="I2882" s="16"/>
      <c r="J2882" s="16"/>
      <c r="K2882" s="16"/>
      <c r="L2882" s="16"/>
      <c r="M2882" s="16"/>
    </row>
    <row r="2883" spans="1:13" x14ac:dyDescent="0.2">
      <c r="A2883" s="16"/>
      <c r="B2883" s="37"/>
      <c r="C2883" s="16"/>
      <c r="D2883" s="16"/>
      <c r="E2883" s="16"/>
      <c r="F2883" s="16"/>
      <c r="G2883" s="16"/>
      <c r="H2883" s="16"/>
      <c r="I2883" s="16"/>
      <c r="J2883" s="16"/>
      <c r="K2883" s="16"/>
      <c r="L2883" s="16"/>
      <c r="M2883" s="16"/>
    </row>
    <row r="2884" spans="1:13" x14ac:dyDescent="0.2">
      <c r="A2884" s="16"/>
      <c r="B2884" s="37"/>
      <c r="C2884" s="16"/>
      <c r="D2884" s="16"/>
      <c r="E2884" s="16"/>
      <c r="F2884" s="16"/>
      <c r="G2884" s="16"/>
      <c r="H2884" s="16"/>
      <c r="I2884" s="16"/>
      <c r="J2884" s="16"/>
      <c r="K2884" s="16"/>
      <c r="L2884" s="16"/>
      <c r="M2884" s="16"/>
    </row>
    <row r="2885" spans="1:13" x14ac:dyDescent="0.2">
      <c r="A2885" s="16"/>
      <c r="B2885" s="37"/>
      <c r="C2885" s="16"/>
      <c r="D2885" s="16"/>
      <c r="E2885" s="16"/>
      <c r="F2885" s="16"/>
      <c r="G2885" s="16"/>
      <c r="H2885" s="16"/>
      <c r="I2885" s="16"/>
      <c r="J2885" s="16"/>
      <c r="K2885" s="16"/>
      <c r="L2885" s="16"/>
      <c r="M2885" s="16"/>
    </row>
    <row r="2886" spans="1:13" x14ac:dyDescent="0.2">
      <c r="A2886" s="16"/>
      <c r="B2886" s="37"/>
      <c r="C2886" s="16"/>
      <c r="D2886" s="16"/>
      <c r="E2886" s="16"/>
      <c r="F2886" s="16"/>
      <c r="G2886" s="16"/>
      <c r="H2886" s="16"/>
      <c r="I2886" s="16"/>
      <c r="J2886" s="16"/>
      <c r="K2886" s="16"/>
      <c r="L2886" s="16"/>
      <c r="M2886" s="16"/>
    </row>
    <row r="2887" spans="1:13" x14ac:dyDescent="0.2">
      <c r="A2887" s="16"/>
      <c r="B2887" s="37"/>
      <c r="C2887" s="16"/>
      <c r="D2887" s="16"/>
      <c r="E2887" s="16"/>
      <c r="F2887" s="16"/>
      <c r="G2887" s="16"/>
      <c r="H2887" s="16"/>
      <c r="I2887" s="16"/>
      <c r="J2887" s="16"/>
      <c r="K2887" s="16"/>
      <c r="L2887" s="16"/>
      <c r="M2887" s="16"/>
    </row>
    <row r="2888" spans="1:13" x14ac:dyDescent="0.2">
      <c r="A2888" s="16"/>
      <c r="B2888" s="37"/>
      <c r="C2888" s="16"/>
      <c r="D2888" s="16"/>
      <c r="E2888" s="16"/>
      <c r="F2888" s="16"/>
      <c r="G2888" s="16"/>
      <c r="H2888" s="16"/>
      <c r="I2888" s="16"/>
      <c r="J2888" s="16"/>
      <c r="K2888" s="16"/>
      <c r="L2888" s="16"/>
      <c r="M2888" s="16"/>
    </row>
    <row r="2889" spans="1:13" x14ac:dyDescent="0.2">
      <c r="A2889" s="16"/>
      <c r="B2889" s="37"/>
      <c r="C2889" s="16"/>
      <c r="D2889" s="16"/>
      <c r="E2889" s="16"/>
      <c r="F2889" s="16"/>
      <c r="G2889" s="16"/>
      <c r="H2889" s="16"/>
      <c r="I2889" s="16"/>
      <c r="J2889" s="16"/>
      <c r="K2889" s="16"/>
      <c r="L2889" s="16"/>
      <c r="M2889" s="16"/>
    </row>
    <row r="2890" spans="1:13" x14ac:dyDescent="0.2">
      <c r="A2890" s="16"/>
      <c r="B2890" s="37"/>
      <c r="C2890" s="16"/>
      <c r="D2890" s="16"/>
      <c r="E2890" s="16"/>
      <c r="F2890" s="16"/>
      <c r="G2890" s="16"/>
      <c r="H2890" s="16"/>
      <c r="I2890" s="16"/>
      <c r="J2890" s="16"/>
      <c r="K2890" s="16"/>
      <c r="L2890" s="16"/>
      <c r="M2890" s="16"/>
    </row>
    <row r="2891" spans="1:13" x14ac:dyDescent="0.2">
      <c r="A2891" s="16"/>
      <c r="B2891" s="37"/>
      <c r="C2891" s="16"/>
      <c r="D2891" s="16"/>
      <c r="E2891" s="16"/>
      <c r="F2891" s="16"/>
      <c r="G2891" s="16"/>
      <c r="H2891" s="16"/>
      <c r="I2891" s="16"/>
      <c r="J2891" s="16"/>
      <c r="K2891" s="16"/>
      <c r="L2891" s="16"/>
      <c r="M2891" s="16"/>
    </row>
    <row r="2892" spans="1:13" x14ac:dyDescent="0.2">
      <c r="A2892" s="16"/>
      <c r="B2892" s="37"/>
      <c r="C2892" s="16"/>
      <c r="D2892" s="16"/>
      <c r="E2892" s="16"/>
      <c r="F2892" s="16"/>
      <c r="G2892" s="16"/>
      <c r="H2892" s="16"/>
      <c r="I2892" s="16"/>
      <c r="J2892" s="16"/>
      <c r="K2892" s="16"/>
      <c r="L2892" s="16"/>
      <c r="M2892" s="16"/>
    </row>
    <row r="2893" spans="1:13" x14ac:dyDescent="0.2">
      <c r="A2893" s="16"/>
      <c r="B2893" s="37"/>
      <c r="C2893" s="16"/>
      <c r="D2893" s="16"/>
      <c r="E2893" s="16"/>
      <c r="F2893" s="16"/>
      <c r="G2893" s="16"/>
      <c r="H2893" s="16"/>
      <c r="I2893" s="16"/>
      <c r="J2893" s="16"/>
      <c r="K2893" s="16"/>
      <c r="L2893" s="16"/>
      <c r="M2893" s="16"/>
    </row>
    <row r="2894" spans="1:13" x14ac:dyDescent="0.2">
      <c r="A2894" s="16"/>
      <c r="B2894" s="37"/>
      <c r="C2894" s="16"/>
      <c r="D2894" s="16"/>
      <c r="E2894" s="16"/>
      <c r="F2894" s="16"/>
      <c r="G2894" s="16"/>
      <c r="H2894" s="16"/>
      <c r="I2894" s="16"/>
      <c r="J2894" s="16"/>
      <c r="K2894" s="16"/>
      <c r="L2894" s="16"/>
      <c r="M2894" s="16"/>
    </row>
    <row r="2895" spans="1:13" x14ac:dyDescent="0.2">
      <c r="A2895" s="16"/>
      <c r="B2895" s="37"/>
      <c r="C2895" s="16"/>
      <c r="D2895" s="16"/>
      <c r="E2895" s="16"/>
      <c r="F2895" s="16"/>
      <c r="G2895" s="16"/>
      <c r="H2895" s="16"/>
      <c r="I2895" s="16"/>
      <c r="J2895" s="16"/>
      <c r="K2895" s="16"/>
      <c r="L2895" s="16"/>
      <c r="M2895" s="16"/>
    </row>
    <row r="2896" spans="1:13" x14ac:dyDescent="0.2">
      <c r="A2896" s="16"/>
      <c r="B2896" s="37"/>
      <c r="C2896" s="16"/>
      <c r="D2896" s="16"/>
      <c r="E2896" s="16"/>
      <c r="F2896" s="16"/>
      <c r="G2896" s="16"/>
      <c r="H2896" s="16"/>
      <c r="I2896" s="16"/>
      <c r="J2896" s="16"/>
      <c r="K2896" s="16"/>
      <c r="L2896" s="16"/>
      <c r="M2896" s="16"/>
    </row>
    <row r="2897" spans="1:13" x14ac:dyDescent="0.2">
      <c r="A2897" s="16"/>
      <c r="B2897" s="37"/>
      <c r="C2897" s="16"/>
      <c r="D2897" s="16"/>
      <c r="E2897" s="16"/>
      <c r="F2897" s="16"/>
      <c r="G2897" s="16"/>
      <c r="H2897" s="16"/>
      <c r="I2897" s="16"/>
      <c r="J2897" s="16"/>
      <c r="K2897" s="16"/>
      <c r="L2897" s="16"/>
      <c r="M2897" s="16"/>
    </row>
    <row r="2898" spans="1:13" x14ac:dyDescent="0.2">
      <c r="A2898" s="16"/>
      <c r="B2898" s="37"/>
      <c r="C2898" s="16"/>
      <c r="D2898" s="16"/>
      <c r="E2898" s="16"/>
      <c r="F2898" s="16"/>
      <c r="G2898" s="16"/>
      <c r="H2898" s="16"/>
      <c r="I2898" s="16"/>
      <c r="J2898" s="16"/>
      <c r="K2898" s="16"/>
      <c r="L2898" s="16"/>
      <c r="M2898" s="16"/>
    </row>
    <row r="2899" spans="1:13" x14ac:dyDescent="0.2">
      <c r="A2899" s="16"/>
      <c r="B2899" s="37"/>
      <c r="C2899" s="16"/>
      <c r="D2899" s="16"/>
      <c r="E2899" s="16"/>
      <c r="F2899" s="16"/>
      <c r="G2899" s="16"/>
      <c r="H2899" s="16"/>
      <c r="I2899" s="16"/>
      <c r="J2899" s="16"/>
      <c r="K2899" s="16"/>
      <c r="L2899" s="16"/>
      <c r="M2899" s="16"/>
    </row>
    <row r="2900" spans="1:13" x14ac:dyDescent="0.2">
      <c r="A2900" s="16"/>
      <c r="B2900" s="37"/>
      <c r="C2900" s="16"/>
      <c r="D2900" s="16"/>
      <c r="E2900" s="16"/>
      <c r="F2900" s="16"/>
      <c r="G2900" s="16"/>
      <c r="H2900" s="16"/>
      <c r="I2900" s="16"/>
      <c r="J2900" s="16"/>
      <c r="K2900" s="16"/>
      <c r="L2900" s="16"/>
      <c r="M2900" s="16"/>
    </row>
    <row r="2901" spans="1:13" x14ac:dyDescent="0.2">
      <c r="A2901" s="16"/>
      <c r="B2901" s="37"/>
      <c r="C2901" s="16"/>
      <c r="D2901" s="16"/>
      <c r="E2901" s="16"/>
      <c r="F2901" s="16"/>
      <c r="G2901" s="16"/>
      <c r="H2901" s="16"/>
      <c r="I2901" s="16"/>
      <c r="J2901" s="16"/>
      <c r="K2901" s="16"/>
      <c r="L2901" s="16"/>
      <c r="M2901" s="16"/>
    </row>
    <row r="2902" spans="1:13" x14ac:dyDescent="0.2">
      <c r="A2902" s="16"/>
      <c r="B2902" s="37"/>
      <c r="C2902" s="16"/>
      <c r="D2902" s="16"/>
      <c r="E2902" s="16"/>
      <c r="F2902" s="16"/>
      <c r="G2902" s="16"/>
      <c r="H2902" s="16"/>
      <c r="I2902" s="16"/>
      <c r="J2902" s="16"/>
      <c r="K2902" s="16"/>
      <c r="L2902" s="16"/>
      <c r="M2902" s="16"/>
    </row>
    <row r="2903" spans="1:13" x14ac:dyDescent="0.2">
      <c r="A2903" s="16"/>
      <c r="B2903" s="37"/>
      <c r="C2903" s="16"/>
      <c r="D2903" s="16"/>
      <c r="E2903" s="16"/>
      <c r="F2903" s="16"/>
      <c r="G2903" s="16"/>
      <c r="H2903" s="16"/>
      <c r="I2903" s="16"/>
      <c r="J2903" s="16"/>
      <c r="K2903" s="16"/>
      <c r="L2903" s="16"/>
      <c r="M2903" s="16"/>
    </row>
    <row r="2904" spans="1:13" x14ac:dyDescent="0.2">
      <c r="A2904" s="16"/>
      <c r="B2904" s="37"/>
      <c r="C2904" s="16"/>
      <c r="D2904" s="16"/>
      <c r="E2904" s="16"/>
      <c r="F2904" s="16"/>
      <c r="G2904" s="16"/>
      <c r="H2904" s="16"/>
      <c r="I2904" s="16"/>
      <c r="J2904" s="16"/>
      <c r="K2904" s="16"/>
      <c r="L2904" s="16"/>
      <c r="M2904" s="16"/>
    </row>
    <row r="2905" spans="1:13" x14ac:dyDescent="0.2">
      <c r="A2905" s="16"/>
      <c r="B2905" s="37"/>
      <c r="C2905" s="16"/>
      <c r="D2905" s="16"/>
      <c r="E2905" s="16"/>
      <c r="F2905" s="16"/>
      <c r="G2905" s="16"/>
      <c r="H2905" s="16"/>
      <c r="I2905" s="16"/>
      <c r="J2905" s="16"/>
      <c r="K2905" s="16"/>
      <c r="L2905" s="16"/>
      <c r="M2905" s="16"/>
    </row>
    <row r="2906" spans="1:13" x14ac:dyDescent="0.2">
      <c r="A2906" s="16"/>
      <c r="B2906" s="37"/>
      <c r="C2906" s="16"/>
      <c r="D2906" s="16"/>
      <c r="E2906" s="16"/>
      <c r="F2906" s="16"/>
      <c r="G2906" s="16"/>
      <c r="H2906" s="16"/>
      <c r="I2906" s="16"/>
      <c r="J2906" s="16"/>
      <c r="K2906" s="16"/>
      <c r="L2906" s="16"/>
      <c r="M2906" s="16"/>
    </row>
    <row r="2907" spans="1:13" x14ac:dyDescent="0.2">
      <c r="A2907" s="16"/>
      <c r="B2907" s="37"/>
      <c r="C2907" s="16"/>
      <c r="D2907" s="16"/>
      <c r="E2907" s="16"/>
      <c r="F2907" s="16"/>
      <c r="G2907" s="16"/>
      <c r="H2907" s="16"/>
      <c r="I2907" s="16"/>
      <c r="J2907" s="16"/>
      <c r="K2907" s="16"/>
      <c r="L2907" s="16"/>
      <c r="M2907" s="16"/>
    </row>
    <row r="2908" spans="1:13" x14ac:dyDescent="0.2">
      <c r="A2908" s="16"/>
      <c r="B2908" s="37"/>
      <c r="C2908" s="16"/>
      <c r="D2908" s="16"/>
      <c r="E2908" s="16"/>
      <c r="F2908" s="16"/>
      <c r="G2908" s="16"/>
      <c r="H2908" s="16"/>
      <c r="I2908" s="16"/>
      <c r="J2908" s="16"/>
      <c r="K2908" s="16"/>
      <c r="L2908" s="16"/>
      <c r="M2908" s="16"/>
    </row>
    <row r="2909" spans="1:13" x14ac:dyDescent="0.2">
      <c r="A2909" s="16"/>
      <c r="B2909" s="37"/>
      <c r="C2909" s="16"/>
      <c r="D2909" s="16"/>
      <c r="E2909" s="16"/>
      <c r="F2909" s="16"/>
      <c r="G2909" s="16"/>
      <c r="H2909" s="16"/>
      <c r="I2909" s="16"/>
      <c r="J2909" s="16"/>
      <c r="K2909" s="16"/>
      <c r="L2909" s="16"/>
      <c r="M2909" s="16"/>
    </row>
    <row r="2910" spans="1:13" x14ac:dyDescent="0.2">
      <c r="A2910" s="16"/>
      <c r="B2910" s="37"/>
      <c r="C2910" s="16"/>
      <c r="D2910" s="16"/>
      <c r="E2910" s="16"/>
      <c r="F2910" s="16"/>
      <c r="G2910" s="16"/>
      <c r="H2910" s="16"/>
      <c r="I2910" s="16"/>
      <c r="J2910" s="16"/>
      <c r="K2910" s="16"/>
      <c r="L2910" s="16"/>
      <c r="M2910" s="16"/>
    </row>
    <row r="2911" spans="1:13" x14ac:dyDescent="0.2">
      <c r="A2911" s="16"/>
      <c r="B2911" s="37"/>
      <c r="C2911" s="16"/>
      <c r="D2911" s="16"/>
      <c r="E2911" s="16"/>
      <c r="F2911" s="16"/>
      <c r="G2911" s="16"/>
      <c r="H2911" s="16"/>
      <c r="I2911" s="16"/>
      <c r="J2911" s="16"/>
      <c r="K2911" s="16"/>
      <c r="L2911" s="16"/>
      <c r="M2911" s="16"/>
    </row>
    <row r="2912" spans="1:13" x14ac:dyDescent="0.2">
      <c r="A2912" s="16"/>
      <c r="B2912" s="37"/>
      <c r="C2912" s="16"/>
      <c r="D2912" s="16"/>
      <c r="E2912" s="16"/>
      <c r="F2912" s="16"/>
      <c r="G2912" s="16"/>
      <c r="H2912" s="16"/>
      <c r="I2912" s="16"/>
      <c r="J2912" s="16"/>
      <c r="K2912" s="16"/>
      <c r="L2912" s="16"/>
      <c r="M2912" s="16"/>
    </row>
    <row r="2913" spans="1:13" x14ac:dyDescent="0.2">
      <c r="A2913" s="16"/>
      <c r="B2913" s="37"/>
      <c r="C2913" s="16"/>
      <c r="D2913" s="16"/>
      <c r="E2913" s="16"/>
      <c r="F2913" s="16"/>
      <c r="G2913" s="16"/>
      <c r="H2913" s="16"/>
      <c r="I2913" s="16"/>
      <c r="J2913" s="16"/>
      <c r="K2913" s="16"/>
      <c r="L2913" s="16"/>
      <c r="M2913" s="16"/>
    </row>
    <row r="2914" spans="1:13" x14ac:dyDescent="0.2">
      <c r="A2914" s="16"/>
      <c r="B2914" s="37"/>
      <c r="C2914" s="16"/>
      <c r="D2914" s="16"/>
      <c r="E2914" s="16"/>
      <c r="F2914" s="16"/>
      <c r="G2914" s="16"/>
      <c r="H2914" s="16"/>
      <c r="I2914" s="16"/>
      <c r="J2914" s="16"/>
      <c r="K2914" s="16"/>
      <c r="L2914" s="16"/>
      <c r="M2914" s="16"/>
    </row>
    <row r="2915" spans="1:13" x14ac:dyDescent="0.2">
      <c r="A2915" s="16"/>
      <c r="B2915" s="37"/>
      <c r="C2915" s="16"/>
      <c r="D2915" s="16"/>
      <c r="E2915" s="16"/>
      <c r="F2915" s="16"/>
      <c r="G2915" s="16"/>
      <c r="H2915" s="16"/>
      <c r="I2915" s="16"/>
      <c r="J2915" s="16"/>
      <c r="K2915" s="16"/>
      <c r="L2915" s="16"/>
      <c r="M2915" s="16"/>
    </row>
    <row r="2916" spans="1:13" x14ac:dyDescent="0.2">
      <c r="A2916" s="16"/>
      <c r="B2916" s="37"/>
      <c r="C2916" s="16"/>
      <c r="D2916" s="16"/>
      <c r="E2916" s="16"/>
      <c r="F2916" s="16"/>
      <c r="G2916" s="16"/>
      <c r="H2916" s="16"/>
      <c r="I2916" s="16"/>
      <c r="J2916" s="16"/>
      <c r="K2916" s="16"/>
      <c r="L2916" s="16"/>
      <c r="M2916" s="16"/>
    </row>
    <row r="2917" spans="1:13" x14ac:dyDescent="0.2">
      <c r="A2917" s="16"/>
      <c r="B2917" s="37"/>
      <c r="C2917" s="16"/>
      <c r="D2917" s="16"/>
      <c r="E2917" s="16"/>
      <c r="F2917" s="16"/>
      <c r="G2917" s="16"/>
      <c r="H2917" s="16"/>
      <c r="I2917" s="16"/>
      <c r="J2917" s="16"/>
      <c r="K2917" s="16"/>
      <c r="L2917" s="16"/>
      <c r="M2917" s="16"/>
    </row>
    <row r="2918" spans="1:13" x14ac:dyDescent="0.2">
      <c r="A2918" s="16"/>
      <c r="B2918" s="37"/>
      <c r="C2918" s="16"/>
      <c r="D2918" s="16"/>
      <c r="E2918" s="16"/>
      <c r="F2918" s="16"/>
      <c r="G2918" s="16"/>
      <c r="H2918" s="16"/>
      <c r="I2918" s="16"/>
      <c r="J2918" s="16"/>
      <c r="K2918" s="16"/>
      <c r="L2918" s="16"/>
      <c r="M2918" s="16"/>
    </row>
    <row r="2919" spans="1:13" x14ac:dyDescent="0.2">
      <c r="A2919" s="16"/>
      <c r="B2919" s="37"/>
      <c r="C2919" s="16"/>
      <c r="D2919" s="16"/>
      <c r="E2919" s="16"/>
      <c r="F2919" s="16"/>
      <c r="G2919" s="16"/>
      <c r="H2919" s="16"/>
      <c r="I2919" s="16"/>
      <c r="J2919" s="16"/>
      <c r="K2919" s="16"/>
      <c r="L2919" s="16"/>
      <c r="M2919" s="16"/>
    </row>
    <row r="2920" spans="1:13" x14ac:dyDescent="0.2">
      <c r="A2920" s="16"/>
      <c r="B2920" s="37"/>
      <c r="C2920" s="16"/>
      <c r="D2920" s="16"/>
      <c r="E2920" s="16"/>
      <c r="F2920" s="16"/>
      <c r="G2920" s="16"/>
      <c r="H2920" s="16"/>
      <c r="I2920" s="16"/>
      <c r="J2920" s="16"/>
      <c r="K2920" s="16"/>
      <c r="L2920" s="16"/>
      <c r="M2920" s="16"/>
    </row>
    <row r="2921" spans="1:13" x14ac:dyDescent="0.2">
      <c r="A2921" s="16"/>
      <c r="B2921" s="37"/>
      <c r="C2921" s="16"/>
      <c r="D2921" s="16"/>
      <c r="E2921" s="16"/>
      <c r="F2921" s="16"/>
      <c r="G2921" s="16"/>
      <c r="H2921" s="16"/>
      <c r="I2921" s="16"/>
      <c r="J2921" s="16"/>
      <c r="K2921" s="16"/>
      <c r="L2921" s="16"/>
      <c r="M2921" s="16"/>
    </row>
    <row r="2922" spans="1:13" x14ac:dyDescent="0.2">
      <c r="A2922" s="16"/>
      <c r="B2922" s="37"/>
      <c r="C2922" s="16"/>
      <c r="D2922" s="16"/>
      <c r="E2922" s="16"/>
      <c r="F2922" s="16"/>
      <c r="G2922" s="16"/>
      <c r="H2922" s="16"/>
      <c r="I2922" s="16"/>
      <c r="J2922" s="16"/>
      <c r="K2922" s="16"/>
      <c r="L2922" s="16"/>
      <c r="M2922" s="16"/>
    </row>
    <row r="2923" spans="1:13" x14ac:dyDescent="0.2">
      <c r="A2923" s="16"/>
      <c r="B2923" s="37"/>
      <c r="C2923" s="16"/>
      <c r="D2923" s="16"/>
      <c r="E2923" s="16"/>
      <c r="F2923" s="16"/>
      <c r="G2923" s="16"/>
      <c r="H2923" s="16"/>
      <c r="I2923" s="16"/>
      <c r="J2923" s="16"/>
      <c r="K2923" s="16"/>
      <c r="L2923" s="16"/>
      <c r="M2923" s="16"/>
    </row>
    <row r="2924" spans="1:13" x14ac:dyDescent="0.2">
      <c r="A2924" s="16"/>
      <c r="B2924" s="37"/>
      <c r="C2924" s="16"/>
      <c r="D2924" s="16"/>
      <c r="E2924" s="16"/>
      <c r="F2924" s="16"/>
      <c r="G2924" s="16"/>
      <c r="H2924" s="16"/>
      <c r="I2924" s="16"/>
      <c r="J2924" s="16"/>
      <c r="K2924" s="16"/>
      <c r="L2924" s="16"/>
      <c r="M2924" s="16"/>
    </row>
    <row r="2925" spans="1:13" x14ac:dyDescent="0.2">
      <c r="A2925" s="16"/>
      <c r="B2925" s="37"/>
      <c r="C2925" s="16"/>
      <c r="D2925" s="16"/>
      <c r="E2925" s="16"/>
      <c r="F2925" s="16"/>
      <c r="G2925" s="16"/>
      <c r="H2925" s="16"/>
      <c r="I2925" s="16"/>
      <c r="J2925" s="16"/>
      <c r="K2925" s="16"/>
      <c r="L2925" s="16"/>
      <c r="M2925" s="16"/>
    </row>
    <row r="2926" spans="1:13" x14ac:dyDescent="0.2">
      <c r="A2926" s="16"/>
      <c r="B2926" s="37"/>
      <c r="C2926" s="16"/>
      <c r="D2926" s="16"/>
      <c r="E2926" s="16"/>
      <c r="F2926" s="16"/>
      <c r="G2926" s="16"/>
      <c r="H2926" s="16"/>
      <c r="I2926" s="16"/>
      <c r="J2926" s="16"/>
      <c r="K2926" s="16"/>
      <c r="L2926" s="16"/>
      <c r="M2926" s="16"/>
    </row>
    <row r="2927" spans="1:13" x14ac:dyDescent="0.2">
      <c r="A2927" s="16"/>
      <c r="B2927" s="37"/>
      <c r="C2927" s="16"/>
      <c r="D2927" s="16"/>
      <c r="E2927" s="16"/>
      <c r="F2927" s="16"/>
      <c r="G2927" s="16"/>
      <c r="H2927" s="16"/>
      <c r="I2927" s="16"/>
      <c r="J2927" s="16"/>
      <c r="K2927" s="16"/>
      <c r="L2927" s="16"/>
      <c r="M2927" s="16"/>
    </row>
    <row r="2928" spans="1:13" x14ac:dyDescent="0.2">
      <c r="A2928" s="16"/>
      <c r="B2928" s="37"/>
      <c r="C2928" s="16"/>
      <c r="D2928" s="16"/>
      <c r="E2928" s="16"/>
      <c r="F2928" s="16"/>
      <c r="G2928" s="16"/>
      <c r="H2928" s="16"/>
      <c r="I2928" s="16"/>
      <c r="J2928" s="16"/>
      <c r="K2928" s="16"/>
      <c r="L2928" s="16"/>
      <c r="M2928" s="16"/>
    </row>
    <row r="2929" spans="1:13" x14ac:dyDescent="0.2">
      <c r="A2929" s="16"/>
      <c r="B2929" s="37"/>
      <c r="C2929" s="16"/>
      <c r="D2929" s="16"/>
      <c r="E2929" s="16"/>
      <c r="F2929" s="16"/>
      <c r="G2929" s="16"/>
      <c r="H2929" s="16"/>
      <c r="I2929" s="16"/>
      <c r="J2929" s="16"/>
      <c r="K2929" s="16"/>
      <c r="L2929" s="16"/>
      <c r="M2929" s="16"/>
    </row>
    <row r="2930" spans="1:13" x14ac:dyDescent="0.2">
      <c r="A2930" s="16"/>
      <c r="B2930" s="37"/>
      <c r="C2930" s="16"/>
      <c r="D2930" s="16"/>
      <c r="E2930" s="16"/>
      <c r="F2930" s="16"/>
      <c r="G2930" s="16"/>
      <c r="H2930" s="16"/>
      <c r="I2930" s="16"/>
      <c r="J2930" s="16"/>
      <c r="K2930" s="16"/>
      <c r="L2930" s="16"/>
      <c r="M2930" s="16"/>
    </row>
    <row r="2931" spans="1:13" x14ac:dyDescent="0.2">
      <c r="A2931" s="16"/>
      <c r="B2931" s="37"/>
      <c r="C2931" s="16"/>
      <c r="D2931" s="16"/>
      <c r="E2931" s="16"/>
      <c r="F2931" s="16"/>
      <c r="G2931" s="16"/>
      <c r="H2931" s="16"/>
      <c r="I2931" s="16"/>
      <c r="J2931" s="16"/>
      <c r="K2931" s="16"/>
      <c r="L2931" s="16"/>
      <c r="M2931" s="16"/>
    </row>
    <row r="2932" spans="1:13" x14ac:dyDescent="0.2">
      <c r="A2932" s="16"/>
      <c r="B2932" s="37"/>
      <c r="C2932" s="16"/>
      <c r="D2932" s="16"/>
      <c r="E2932" s="16"/>
      <c r="F2932" s="16"/>
      <c r="G2932" s="16"/>
      <c r="H2932" s="16"/>
      <c r="I2932" s="16"/>
      <c r="J2932" s="16"/>
      <c r="K2932" s="16"/>
      <c r="L2932" s="16"/>
      <c r="M2932" s="16"/>
    </row>
    <row r="2933" spans="1:13" x14ac:dyDescent="0.2">
      <c r="A2933" s="16"/>
      <c r="B2933" s="37"/>
      <c r="C2933" s="16"/>
      <c r="D2933" s="16"/>
      <c r="E2933" s="16"/>
      <c r="F2933" s="16"/>
      <c r="G2933" s="16"/>
      <c r="H2933" s="16"/>
      <c r="I2933" s="16"/>
      <c r="J2933" s="16"/>
      <c r="K2933" s="16"/>
      <c r="L2933" s="16"/>
      <c r="M2933" s="16"/>
    </row>
    <row r="2934" spans="1:13" x14ac:dyDescent="0.2">
      <c r="A2934" s="16"/>
      <c r="B2934" s="37"/>
      <c r="C2934" s="16"/>
      <c r="D2934" s="16"/>
      <c r="E2934" s="16"/>
      <c r="F2934" s="16"/>
      <c r="G2934" s="16"/>
      <c r="H2934" s="16"/>
      <c r="I2934" s="16"/>
      <c r="J2934" s="16"/>
      <c r="K2934" s="16"/>
      <c r="L2934" s="16"/>
      <c r="M2934" s="16"/>
    </row>
    <row r="2935" spans="1:13" x14ac:dyDescent="0.2">
      <c r="A2935" s="16"/>
      <c r="B2935" s="37"/>
      <c r="C2935" s="16"/>
      <c r="D2935" s="16"/>
      <c r="E2935" s="16"/>
      <c r="F2935" s="16"/>
      <c r="G2935" s="16"/>
      <c r="H2935" s="16"/>
      <c r="I2935" s="16"/>
      <c r="J2935" s="16"/>
      <c r="K2935" s="16"/>
      <c r="L2935" s="16"/>
      <c r="M2935" s="16"/>
    </row>
    <row r="2936" spans="1:13" x14ac:dyDescent="0.2">
      <c r="A2936" s="16"/>
      <c r="B2936" s="37"/>
      <c r="C2936" s="16"/>
      <c r="D2936" s="16"/>
      <c r="E2936" s="16"/>
      <c r="F2936" s="16"/>
      <c r="G2936" s="16"/>
      <c r="H2936" s="16"/>
      <c r="I2936" s="16"/>
      <c r="J2936" s="16"/>
      <c r="K2936" s="16"/>
      <c r="L2936" s="16"/>
      <c r="M2936" s="16"/>
    </row>
    <row r="2937" spans="1:13" x14ac:dyDescent="0.2">
      <c r="A2937" s="16"/>
      <c r="B2937" s="37"/>
      <c r="C2937" s="16"/>
      <c r="D2937" s="16"/>
      <c r="E2937" s="16"/>
      <c r="F2937" s="16"/>
      <c r="G2937" s="16"/>
      <c r="H2937" s="16"/>
      <c r="I2937" s="16"/>
      <c r="J2937" s="16"/>
      <c r="K2937" s="16"/>
      <c r="L2937" s="16"/>
      <c r="M2937" s="16"/>
    </row>
    <row r="2938" spans="1:13" x14ac:dyDescent="0.2">
      <c r="A2938" s="16"/>
      <c r="B2938" s="37"/>
      <c r="C2938" s="16"/>
      <c r="D2938" s="16"/>
      <c r="E2938" s="16"/>
      <c r="F2938" s="16"/>
      <c r="G2938" s="16"/>
      <c r="H2938" s="16"/>
      <c r="I2938" s="16"/>
      <c r="J2938" s="16"/>
      <c r="K2938" s="16"/>
      <c r="L2938" s="16"/>
      <c r="M2938" s="16"/>
    </row>
    <row r="2939" spans="1:13" x14ac:dyDescent="0.2">
      <c r="A2939" s="16"/>
      <c r="B2939" s="37"/>
      <c r="C2939" s="16"/>
      <c r="D2939" s="16"/>
      <c r="E2939" s="16"/>
      <c r="F2939" s="16"/>
      <c r="G2939" s="16"/>
      <c r="H2939" s="16"/>
      <c r="I2939" s="16"/>
      <c r="J2939" s="16"/>
      <c r="K2939" s="16"/>
      <c r="L2939" s="16"/>
      <c r="M2939" s="16"/>
    </row>
    <row r="2940" spans="1:13" x14ac:dyDescent="0.2">
      <c r="A2940" s="16"/>
      <c r="B2940" s="37"/>
      <c r="C2940" s="16"/>
      <c r="D2940" s="16"/>
      <c r="E2940" s="16"/>
      <c r="F2940" s="16"/>
      <c r="G2940" s="16"/>
      <c r="H2940" s="16"/>
      <c r="I2940" s="16"/>
      <c r="J2940" s="16"/>
      <c r="K2940" s="16"/>
      <c r="L2940" s="16"/>
      <c r="M2940" s="16"/>
    </row>
    <row r="2941" spans="1:13" x14ac:dyDescent="0.2">
      <c r="A2941" s="16"/>
      <c r="B2941" s="37"/>
      <c r="C2941" s="16"/>
      <c r="D2941" s="16"/>
      <c r="E2941" s="16"/>
      <c r="F2941" s="16"/>
      <c r="G2941" s="16"/>
      <c r="H2941" s="16"/>
      <c r="I2941" s="16"/>
      <c r="J2941" s="16"/>
      <c r="K2941" s="16"/>
      <c r="L2941" s="16"/>
      <c r="M2941" s="16"/>
    </row>
    <row r="2942" spans="1:13" x14ac:dyDescent="0.2">
      <c r="A2942" s="16"/>
      <c r="B2942" s="37"/>
      <c r="C2942" s="16"/>
      <c r="D2942" s="16"/>
      <c r="E2942" s="16"/>
      <c r="F2942" s="16"/>
      <c r="G2942" s="16"/>
      <c r="H2942" s="16"/>
      <c r="I2942" s="16"/>
      <c r="J2942" s="16"/>
      <c r="K2942" s="16"/>
      <c r="L2942" s="16"/>
      <c r="M2942" s="16"/>
    </row>
    <row r="2943" spans="1:13" x14ac:dyDescent="0.2">
      <c r="A2943" s="16"/>
      <c r="B2943" s="37"/>
      <c r="C2943" s="16"/>
      <c r="D2943" s="16"/>
      <c r="E2943" s="16"/>
      <c r="F2943" s="16"/>
      <c r="G2943" s="16"/>
      <c r="H2943" s="16"/>
      <c r="I2943" s="16"/>
      <c r="J2943" s="16"/>
      <c r="K2943" s="16"/>
      <c r="L2943" s="16"/>
      <c r="M2943" s="16"/>
    </row>
    <row r="2944" spans="1:13" x14ac:dyDescent="0.2">
      <c r="A2944" s="16"/>
      <c r="B2944" s="37"/>
      <c r="C2944" s="16"/>
      <c r="D2944" s="16"/>
      <c r="E2944" s="16"/>
      <c r="F2944" s="16"/>
      <c r="G2944" s="16"/>
      <c r="H2944" s="16"/>
      <c r="I2944" s="16"/>
      <c r="J2944" s="16"/>
      <c r="K2944" s="16"/>
      <c r="L2944" s="16"/>
      <c r="M2944" s="16"/>
    </row>
    <row r="2945" spans="1:13" x14ac:dyDescent="0.2">
      <c r="A2945" s="16"/>
      <c r="B2945" s="37"/>
      <c r="C2945" s="16"/>
      <c r="D2945" s="16"/>
      <c r="E2945" s="16"/>
      <c r="F2945" s="16"/>
      <c r="G2945" s="16"/>
      <c r="H2945" s="16"/>
      <c r="I2945" s="16"/>
      <c r="J2945" s="16"/>
      <c r="K2945" s="16"/>
      <c r="L2945" s="16"/>
      <c r="M2945" s="16"/>
    </row>
    <row r="2946" spans="1:13" x14ac:dyDescent="0.2">
      <c r="A2946" s="16"/>
      <c r="B2946" s="37"/>
      <c r="C2946" s="16"/>
      <c r="D2946" s="16"/>
      <c r="E2946" s="16"/>
      <c r="F2946" s="16"/>
      <c r="G2946" s="16"/>
      <c r="H2946" s="16"/>
      <c r="I2946" s="16"/>
      <c r="J2946" s="16"/>
      <c r="K2946" s="16"/>
      <c r="L2946" s="16"/>
      <c r="M2946" s="16"/>
    </row>
    <row r="2947" spans="1:13" x14ac:dyDescent="0.2">
      <c r="A2947" s="16"/>
      <c r="B2947" s="37"/>
      <c r="C2947" s="16"/>
      <c r="D2947" s="16"/>
      <c r="E2947" s="16"/>
      <c r="F2947" s="16"/>
      <c r="G2947" s="16"/>
      <c r="H2947" s="16"/>
      <c r="I2947" s="16"/>
      <c r="J2947" s="16"/>
      <c r="K2947" s="16"/>
      <c r="L2947" s="16"/>
      <c r="M2947" s="16"/>
    </row>
    <row r="2948" spans="1:13" x14ac:dyDescent="0.2">
      <c r="A2948" s="16"/>
      <c r="B2948" s="37"/>
      <c r="C2948" s="16"/>
      <c r="D2948" s="16"/>
      <c r="E2948" s="16"/>
      <c r="F2948" s="16"/>
      <c r="G2948" s="16"/>
      <c r="H2948" s="16"/>
      <c r="I2948" s="16"/>
      <c r="J2948" s="16"/>
      <c r="K2948" s="16"/>
      <c r="L2948" s="16"/>
      <c r="M2948" s="16"/>
    </row>
    <row r="2949" spans="1:13" x14ac:dyDescent="0.2">
      <c r="A2949" s="16"/>
      <c r="B2949" s="37"/>
      <c r="C2949" s="16"/>
      <c r="D2949" s="16"/>
      <c r="E2949" s="16"/>
      <c r="F2949" s="16"/>
      <c r="G2949" s="16"/>
      <c r="H2949" s="16"/>
      <c r="I2949" s="16"/>
      <c r="J2949" s="16"/>
      <c r="K2949" s="16"/>
      <c r="L2949" s="16"/>
      <c r="M2949" s="16"/>
    </row>
    <row r="2950" spans="1:13" x14ac:dyDescent="0.2">
      <c r="A2950" s="16"/>
      <c r="B2950" s="37"/>
      <c r="C2950" s="16"/>
      <c r="D2950" s="16"/>
      <c r="E2950" s="16"/>
      <c r="F2950" s="16"/>
      <c r="G2950" s="16"/>
      <c r="H2950" s="16"/>
      <c r="I2950" s="16"/>
      <c r="J2950" s="16"/>
      <c r="K2950" s="16"/>
      <c r="L2950" s="16"/>
      <c r="M2950" s="16"/>
    </row>
    <row r="2951" spans="1:13" x14ac:dyDescent="0.2">
      <c r="A2951" s="16"/>
      <c r="B2951" s="37"/>
      <c r="C2951" s="16"/>
      <c r="D2951" s="16"/>
      <c r="E2951" s="16"/>
      <c r="F2951" s="16"/>
      <c r="G2951" s="16"/>
      <c r="H2951" s="16"/>
      <c r="I2951" s="16"/>
      <c r="J2951" s="16"/>
      <c r="K2951" s="16"/>
      <c r="L2951" s="16"/>
      <c r="M2951" s="16"/>
    </row>
    <row r="2952" spans="1:13" x14ac:dyDescent="0.2">
      <c r="A2952" s="16"/>
      <c r="B2952" s="37"/>
      <c r="C2952" s="16"/>
      <c r="D2952" s="16"/>
      <c r="E2952" s="16"/>
      <c r="F2952" s="16"/>
      <c r="G2952" s="16"/>
      <c r="H2952" s="16"/>
      <c r="I2952" s="16"/>
      <c r="J2952" s="16"/>
      <c r="K2952" s="16"/>
      <c r="L2952" s="16"/>
      <c r="M2952" s="16"/>
    </row>
    <row r="2953" spans="1:13" x14ac:dyDescent="0.2">
      <c r="A2953" s="16"/>
      <c r="B2953" s="37"/>
      <c r="C2953" s="16"/>
      <c r="D2953" s="16"/>
      <c r="E2953" s="16"/>
      <c r="F2953" s="16"/>
      <c r="G2953" s="16"/>
      <c r="H2953" s="16"/>
      <c r="I2953" s="16"/>
      <c r="J2953" s="16"/>
      <c r="K2953" s="16"/>
      <c r="L2953" s="16"/>
      <c r="M2953" s="16"/>
    </row>
    <row r="2954" spans="1:13" x14ac:dyDescent="0.2">
      <c r="A2954" s="16"/>
      <c r="B2954" s="37"/>
      <c r="C2954" s="16"/>
      <c r="D2954" s="16"/>
      <c r="E2954" s="16"/>
      <c r="F2954" s="16"/>
      <c r="G2954" s="16"/>
      <c r="H2954" s="16"/>
      <c r="I2954" s="16"/>
      <c r="J2954" s="16"/>
      <c r="K2954" s="16"/>
      <c r="L2954" s="16"/>
      <c r="M2954" s="16"/>
    </row>
    <row r="2955" spans="1:13" x14ac:dyDescent="0.2">
      <c r="A2955" s="16"/>
      <c r="B2955" s="37"/>
      <c r="C2955" s="16"/>
      <c r="D2955" s="16"/>
      <c r="E2955" s="16"/>
      <c r="F2955" s="16"/>
      <c r="G2955" s="16"/>
      <c r="H2955" s="16"/>
      <c r="I2955" s="16"/>
      <c r="J2955" s="16"/>
      <c r="K2955" s="16"/>
      <c r="L2955" s="16"/>
      <c r="M2955" s="16"/>
    </row>
    <row r="2956" spans="1:13" x14ac:dyDescent="0.2">
      <c r="A2956" s="16"/>
      <c r="B2956" s="37"/>
      <c r="C2956" s="16"/>
      <c r="D2956" s="16"/>
      <c r="E2956" s="16"/>
      <c r="F2956" s="16"/>
      <c r="G2956" s="16"/>
      <c r="H2956" s="16"/>
      <c r="I2956" s="16"/>
      <c r="J2956" s="16"/>
      <c r="K2956" s="16"/>
      <c r="L2956" s="16"/>
      <c r="M2956" s="16"/>
    </row>
    <row r="2957" spans="1:13" x14ac:dyDescent="0.2">
      <c r="A2957" s="16"/>
      <c r="B2957" s="37"/>
      <c r="C2957" s="16"/>
      <c r="D2957" s="16"/>
      <c r="E2957" s="16"/>
      <c r="F2957" s="16"/>
      <c r="G2957" s="16"/>
      <c r="H2957" s="16"/>
      <c r="I2957" s="16"/>
      <c r="J2957" s="16"/>
      <c r="K2957" s="16"/>
      <c r="L2957" s="16"/>
      <c r="M2957" s="16"/>
    </row>
    <row r="2958" spans="1:13" x14ac:dyDescent="0.2">
      <c r="A2958" s="16"/>
      <c r="B2958" s="37"/>
      <c r="C2958" s="16"/>
      <c r="D2958" s="16"/>
      <c r="E2958" s="16"/>
      <c r="F2958" s="16"/>
      <c r="G2958" s="16"/>
      <c r="H2958" s="16"/>
      <c r="I2958" s="16"/>
      <c r="J2958" s="16"/>
      <c r="K2958" s="16"/>
      <c r="L2958" s="16"/>
      <c r="M2958" s="16"/>
    </row>
    <row r="2959" spans="1:13" x14ac:dyDescent="0.2">
      <c r="A2959" s="16"/>
      <c r="B2959" s="37"/>
      <c r="C2959" s="16"/>
      <c r="D2959" s="16"/>
      <c r="E2959" s="16"/>
      <c r="F2959" s="16"/>
      <c r="G2959" s="16"/>
      <c r="H2959" s="16"/>
      <c r="I2959" s="16"/>
      <c r="J2959" s="16"/>
      <c r="K2959" s="16"/>
      <c r="L2959" s="16"/>
      <c r="M2959" s="16"/>
    </row>
    <row r="2960" spans="1:13" x14ac:dyDescent="0.2">
      <c r="A2960" s="16"/>
      <c r="B2960" s="37"/>
      <c r="C2960" s="16"/>
      <c r="D2960" s="16"/>
      <c r="E2960" s="16"/>
      <c r="F2960" s="16"/>
      <c r="G2960" s="16"/>
      <c r="H2960" s="16"/>
      <c r="I2960" s="16"/>
      <c r="J2960" s="16"/>
      <c r="K2960" s="16"/>
      <c r="L2960" s="16"/>
      <c r="M2960" s="16"/>
    </row>
    <row r="2961" spans="1:13" x14ac:dyDescent="0.2">
      <c r="A2961" s="16"/>
      <c r="B2961" s="37"/>
      <c r="C2961" s="16"/>
      <c r="D2961" s="16"/>
      <c r="E2961" s="16"/>
      <c r="F2961" s="16"/>
      <c r="G2961" s="16"/>
      <c r="H2961" s="16"/>
      <c r="I2961" s="16"/>
      <c r="J2961" s="16"/>
      <c r="K2961" s="16"/>
      <c r="L2961" s="16"/>
      <c r="M2961" s="16"/>
    </row>
    <row r="2962" spans="1:13" x14ac:dyDescent="0.2">
      <c r="A2962" s="16"/>
      <c r="B2962" s="37"/>
      <c r="C2962" s="16"/>
      <c r="D2962" s="16"/>
      <c r="E2962" s="16"/>
      <c r="F2962" s="16"/>
      <c r="G2962" s="16"/>
      <c r="H2962" s="16"/>
      <c r="I2962" s="16"/>
      <c r="J2962" s="16"/>
      <c r="K2962" s="16"/>
      <c r="L2962" s="16"/>
      <c r="M2962" s="16"/>
    </row>
    <row r="2963" spans="1:13" x14ac:dyDescent="0.2">
      <c r="A2963" s="16"/>
      <c r="B2963" s="37"/>
      <c r="C2963" s="16"/>
      <c r="D2963" s="16"/>
      <c r="E2963" s="16"/>
      <c r="F2963" s="16"/>
      <c r="G2963" s="16"/>
      <c r="H2963" s="16"/>
      <c r="I2963" s="16"/>
      <c r="J2963" s="16"/>
      <c r="K2963" s="16"/>
      <c r="L2963" s="16"/>
      <c r="M2963" s="16"/>
    </row>
    <row r="2964" spans="1:13" x14ac:dyDescent="0.2">
      <c r="A2964" s="16"/>
      <c r="B2964" s="37"/>
      <c r="C2964" s="16"/>
      <c r="D2964" s="16"/>
      <c r="E2964" s="16"/>
      <c r="F2964" s="16"/>
      <c r="G2964" s="16"/>
      <c r="H2964" s="16"/>
      <c r="I2964" s="16"/>
      <c r="J2964" s="16"/>
      <c r="K2964" s="16"/>
      <c r="L2964" s="16"/>
      <c r="M2964" s="16"/>
    </row>
    <row r="2965" spans="1:13" x14ac:dyDescent="0.2">
      <c r="A2965" s="16"/>
      <c r="B2965" s="37"/>
      <c r="C2965" s="16"/>
      <c r="D2965" s="16"/>
      <c r="E2965" s="16"/>
      <c r="F2965" s="16"/>
      <c r="G2965" s="16"/>
      <c r="H2965" s="16"/>
      <c r="I2965" s="16"/>
      <c r="J2965" s="16"/>
      <c r="K2965" s="16"/>
      <c r="L2965" s="16"/>
      <c r="M2965" s="16"/>
    </row>
    <row r="2966" spans="1:13" x14ac:dyDescent="0.2">
      <c r="A2966" s="16"/>
      <c r="B2966" s="37"/>
      <c r="C2966" s="16"/>
      <c r="D2966" s="16"/>
      <c r="E2966" s="16"/>
      <c r="F2966" s="16"/>
      <c r="G2966" s="16"/>
      <c r="H2966" s="16"/>
      <c r="I2966" s="16"/>
      <c r="J2966" s="16"/>
      <c r="K2966" s="16"/>
      <c r="L2966" s="16"/>
      <c r="M2966" s="16"/>
    </row>
    <row r="2967" spans="1:13" x14ac:dyDescent="0.2">
      <c r="A2967" s="16"/>
      <c r="B2967" s="37"/>
      <c r="C2967" s="16"/>
      <c r="D2967" s="16"/>
      <c r="E2967" s="16"/>
      <c r="F2967" s="16"/>
      <c r="G2967" s="16"/>
      <c r="H2967" s="16"/>
      <c r="I2967" s="16"/>
      <c r="J2967" s="16"/>
      <c r="K2967" s="16"/>
      <c r="L2967" s="16"/>
      <c r="M2967" s="16"/>
    </row>
    <row r="2968" spans="1:13" x14ac:dyDescent="0.2">
      <c r="A2968" s="16"/>
      <c r="B2968" s="37"/>
      <c r="C2968" s="16"/>
      <c r="D2968" s="16"/>
      <c r="E2968" s="16"/>
      <c r="F2968" s="16"/>
      <c r="G2968" s="16"/>
      <c r="H2968" s="16"/>
      <c r="I2968" s="16"/>
      <c r="J2968" s="16"/>
      <c r="K2968" s="16"/>
      <c r="L2968" s="16"/>
      <c r="M2968" s="16"/>
    </row>
    <row r="2969" spans="1:13" x14ac:dyDescent="0.2">
      <c r="A2969" s="16"/>
      <c r="B2969" s="37"/>
      <c r="C2969" s="16"/>
      <c r="D2969" s="16"/>
      <c r="E2969" s="16"/>
      <c r="F2969" s="16"/>
      <c r="G2969" s="16"/>
      <c r="H2969" s="16"/>
      <c r="I2969" s="16"/>
      <c r="J2969" s="16"/>
      <c r="K2969" s="16"/>
      <c r="L2969" s="16"/>
      <c r="M2969" s="16"/>
    </row>
    <row r="2970" spans="1:13" x14ac:dyDescent="0.2">
      <c r="A2970" s="16"/>
      <c r="B2970" s="37"/>
      <c r="C2970" s="16"/>
      <c r="D2970" s="16"/>
      <c r="E2970" s="16"/>
      <c r="F2970" s="16"/>
      <c r="G2970" s="16"/>
      <c r="H2970" s="16"/>
      <c r="I2970" s="16"/>
      <c r="J2970" s="16"/>
      <c r="K2970" s="16"/>
      <c r="L2970" s="16"/>
      <c r="M2970" s="16"/>
    </row>
    <row r="2971" spans="1:13" x14ac:dyDescent="0.2">
      <c r="A2971" s="16"/>
      <c r="B2971" s="37"/>
      <c r="C2971" s="16"/>
      <c r="D2971" s="16"/>
      <c r="E2971" s="16"/>
      <c r="F2971" s="16"/>
      <c r="G2971" s="16"/>
      <c r="H2971" s="16"/>
      <c r="I2971" s="16"/>
      <c r="J2971" s="16"/>
      <c r="K2971" s="16"/>
      <c r="L2971" s="16"/>
      <c r="M2971" s="16"/>
    </row>
    <row r="2972" spans="1:13" x14ac:dyDescent="0.2">
      <c r="A2972" s="16"/>
      <c r="B2972" s="37"/>
      <c r="C2972" s="16"/>
      <c r="D2972" s="16"/>
      <c r="E2972" s="16"/>
      <c r="F2972" s="16"/>
      <c r="G2972" s="16"/>
      <c r="H2972" s="16"/>
      <c r="I2972" s="16"/>
      <c r="J2972" s="16"/>
      <c r="K2972" s="16"/>
      <c r="L2972" s="16"/>
      <c r="M2972" s="16"/>
    </row>
    <row r="2973" spans="1:13" x14ac:dyDescent="0.2">
      <c r="A2973" s="16"/>
      <c r="B2973" s="37"/>
      <c r="C2973" s="16"/>
      <c r="D2973" s="16"/>
      <c r="E2973" s="16"/>
      <c r="F2973" s="16"/>
      <c r="G2973" s="16"/>
      <c r="H2973" s="16"/>
      <c r="I2973" s="16"/>
      <c r="J2973" s="16"/>
      <c r="K2973" s="16"/>
      <c r="L2973" s="16"/>
      <c r="M2973" s="16"/>
    </row>
    <row r="2974" spans="1:13" x14ac:dyDescent="0.2">
      <c r="A2974" s="16"/>
      <c r="B2974" s="37"/>
      <c r="C2974" s="16"/>
      <c r="D2974" s="16"/>
      <c r="E2974" s="16"/>
      <c r="F2974" s="16"/>
      <c r="G2974" s="16"/>
      <c r="H2974" s="16"/>
      <c r="I2974" s="16"/>
      <c r="J2974" s="16"/>
      <c r="K2974" s="16"/>
      <c r="L2974" s="16"/>
      <c r="M2974" s="16"/>
    </row>
    <row r="2975" spans="1:13" x14ac:dyDescent="0.2">
      <c r="A2975" s="16"/>
      <c r="B2975" s="37"/>
      <c r="C2975" s="16"/>
      <c r="D2975" s="16"/>
      <c r="E2975" s="16"/>
      <c r="F2975" s="16"/>
      <c r="G2975" s="16"/>
      <c r="H2975" s="16"/>
      <c r="I2975" s="16"/>
      <c r="J2975" s="16"/>
      <c r="K2975" s="16"/>
      <c r="L2975" s="16"/>
      <c r="M2975" s="16"/>
    </row>
    <row r="2976" spans="1:13" x14ac:dyDescent="0.2">
      <c r="A2976" s="16"/>
      <c r="B2976" s="37"/>
      <c r="C2976" s="16"/>
      <c r="D2976" s="16"/>
      <c r="E2976" s="16"/>
      <c r="F2976" s="16"/>
      <c r="G2976" s="16"/>
      <c r="H2976" s="16"/>
      <c r="I2976" s="16"/>
      <c r="J2976" s="16"/>
      <c r="K2976" s="16"/>
      <c r="L2976" s="16"/>
      <c r="M2976" s="16"/>
    </row>
    <row r="2977" spans="1:13" x14ac:dyDescent="0.2">
      <c r="A2977" s="16"/>
      <c r="B2977" s="37"/>
      <c r="C2977" s="16"/>
      <c r="D2977" s="16"/>
      <c r="E2977" s="16"/>
      <c r="F2977" s="16"/>
      <c r="G2977" s="16"/>
      <c r="H2977" s="16"/>
      <c r="I2977" s="16"/>
      <c r="J2977" s="16"/>
      <c r="K2977" s="16"/>
      <c r="L2977" s="16"/>
      <c r="M2977" s="16"/>
    </row>
    <row r="2978" spans="1:13" x14ac:dyDescent="0.2">
      <c r="A2978" s="16"/>
      <c r="B2978" s="37"/>
      <c r="C2978" s="16"/>
      <c r="D2978" s="16"/>
      <c r="E2978" s="16"/>
      <c r="F2978" s="16"/>
      <c r="G2978" s="16"/>
      <c r="H2978" s="16"/>
      <c r="I2978" s="16"/>
      <c r="J2978" s="16"/>
      <c r="K2978" s="16"/>
      <c r="L2978" s="16"/>
      <c r="M2978" s="16"/>
    </row>
    <row r="2979" spans="1:13" x14ac:dyDescent="0.2">
      <c r="A2979" s="16"/>
      <c r="B2979" s="37"/>
      <c r="C2979" s="16"/>
      <c r="D2979" s="16"/>
      <c r="E2979" s="16"/>
      <c r="F2979" s="16"/>
      <c r="G2979" s="16"/>
      <c r="H2979" s="16"/>
      <c r="I2979" s="16"/>
      <c r="J2979" s="16"/>
      <c r="K2979" s="16"/>
      <c r="L2979" s="16"/>
      <c r="M2979" s="16"/>
    </row>
    <row r="2980" spans="1:13" x14ac:dyDescent="0.2">
      <c r="A2980" s="16"/>
      <c r="B2980" s="37"/>
      <c r="C2980" s="16"/>
      <c r="D2980" s="16"/>
      <c r="E2980" s="16"/>
      <c r="F2980" s="16"/>
      <c r="G2980" s="16"/>
      <c r="H2980" s="16"/>
      <c r="I2980" s="16"/>
      <c r="J2980" s="16"/>
      <c r="K2980" s="16"/>
      <c r="L2980" s="16"/>
      <c r="M2980" s="16"/>
    </row>
    <row r="2981" spans="1:13" x14ac:dyDescent="0.2">
      <c r="A2981" s="16"/>
      <c r="B2981" s="37"/>
      <c r="C2981" s="16"/>
      <c r="D2981" s="16"/>
      <c r="E2981" s="16"/>
      <c r="F2981" s="16"/>
      <c r="G2981" s="16"/>
      <c r="H2981" s="16"/>
      <c r="I2981" s="16"/>
      <c r="J2981" s="16"/>
      <c r="K2981" s="16"/>
      <c r="L2981" s="16"/>
      <c r="M2981" s="16"/>
    </row>
    <row r="2982" spans="1:13" x14ac:dyDescent="0.2">
      <c r="A2982" s="16"/>
      <c r="B2982" s="37"/>
      <c r="C2982" s="16"/>
      <c r="D2982" s="16"/>
      <c r="E2982" s="16"/>
      <c r="F2982" s="16"/>
      <c r="G2982" s="16"/>
      <c r="H2982" s="16"/>
      <c r="I2982" s="16"/>
      <c r="J2982" s="16"/>
      <c r="K2982" s="16"/>
      <c r="L2982" s="16"/>
      <c r="M2982" s="16"/>
    </row>
    <row r="2983" spans="1:13" x14ac:dyDescent="0.2">
      <c r="A2983" s="16"/>
      <c r="B2983" s="37"/>
      <c r="C2983" s="16"/>
      <c r="D2983" s="16"/>
      <c r="E2983" s="16"/>
      <c r="F2983" s="16"/>
      <c r="G2983" s="16"/>
      <c r="H2983" s="16"/>
      <c r="I2983" s="16"/>
      <c r="J2983" s="16"/>
      <c r="K2983" s="16"/>
      <c r="L2983" s="16"/>
      <c r="M2983" s="16"/>
    </row>
    <row r="2984" spans="1:13" x14ac:dyDescent="0.2">
      <c r="A2984" s="16"/>
      <c r="B2984" s="37"/>
      <c r="C2984" s="16"/>
      <c r="D2984" s="16"/>
      <c r="E2984" s="16"/>
      <c r="F2984" s="16"/>
      <c r="G2984" s="16"/>
      <c r="H2984" s="16"/>
      <c r="I2984" s="16"/>
      <c r="J2984" s="16"/>
      <c r="K2984" s="16"/>
      <c r="L2984" s="16"/>
      <c r="M2984" s="16"/>
    </row>
    <row r="2985" spans="1:13" x14ac:dyDescent="0.2">
      <c r="A2985" s="16"/>
      <c r="B2985" s="37"/>
      <c r="C2985" s="16"/>
      <c r="D2985" s="16"/>
      <c r="E2985" s="16"/>
      <c r="F2985" s="16"/>
      <c r="G2985" s="16"/>
      <c r="H2985" s="16"/>
      <c r="I2985" s="16"/>
      <c r="J2985" s="16"/>
      <c r="K2985" s="16"/>
      <c r="L2985" s="16"/>
      <c r="M2985" s="16"/>
    </row>
    <row r="2986" spans="1:13" x14ac:dyDescent="0.2">
      <c r="A2986" s="16"/>
      <c r="B2986" s="37"/>
      <c r="C2986" s="16"/>
      <c r="D2986" s="16"/>
      <c r="E2986" s="16"/>
      <c r="F2986" s="16"/>
      <c r="G2986" s="16"/>
      <c r="H2986" s="16"/>
      <c r="I2986" s="16"/>
      <c r="J2986" s="16"/>
      <c r="K2986" s="16"/>
      <c r="L2986" s="16"/>
      <c r="M2986" s="16"/>
    </row>
    <row r="2987" spans="1:13" x14ac:dyDescent="0.2">
      <c r="A2987" s="16"/>
      <c r="B2987" s="37"/>
      <c r="C2987" s="16"/>
      <c r="D2987" s="16"/>
      <c r="E2987" s="16"/>
      <c r="F2987" s="16"/>
      <c r="G2987" s="16"/>
      <c r="H2987" s="16"/>
      <c r="I2987" s="16"/>
      <c r="J2987" s="16"/>
      <c r="K2987" s="16"/>
      <c r="L2987" s="16"/>
      <c r="M2987" s="16"/>
    </row>
    <row r="2988" spans="1:13" x14ac:dyDescent="0.2">
      <c r="A2988" s="16"/>
      <c r="B2988" s="37"/>
      <c r="C2988" s="16"/>
      <c r="D2988" s="16"/>
      <c r="E2988" s="16"/>
      <c r="F2988" s="16"/>
      <c r="G2988" s="16"/>
      <c r="H2988" s="16"/>
      <c r="I2988" s="16"/>
      <c r="J2988" s="16"/>
      <c r="K2988" s="16"/>
      <c r="L2988" s="16"/>
      <c r="M2988" s="16"/>
    </row>
    <row r="2989" spans="1:13" x14ac:dyDescent="0.2">
      <c r="A2989" s="16"/>
      <c r="B2989" s="37"/>
      <c r="C2989" s="16"/>
      <c r="D2989" s="16"/>
      <c r="E2989" s="16"/>
      <c r="F2989" s="16"/>
      <c r="G2989" s="16"/>
      <c r="H2989" s="16"/>
      <c r="I2989" s="16"/>
      <c r="J2989" s="16"/>
      <c r="K2989" s="16"/>
      <c r="L2989" s="16"/>
      <c r="M2989" s="16"/>
    </row>
    <row r="2990" spans="1:13" x14ac:dyDescent="0.2">
      <c r="A2990" s="16"/>
      <c r="B2990" s="37"/>
      <c r="C2990" s="16"/>
      <c r="D2990" s="16"/>
      <c r="E2990" s="16"/>
      <c r="F2990" s="16"/>
      <c r="G2990" s="16"/>
      <c r="H2990" s="16"/>
      <c r="I2990" s="16"/>
      <c r="J2990" s="16"/>
      <c r="K2990" s="16"/>
      <c r="L2990" s="16"/>
      <c r="M2990" s="16"/>
    </row>
    <row r="2991" spans="1:13" x14ac:dyDescent="0.2">
      <c r="A2991" s="16"/>
      <c r="B2991" s="37"/>
      <c r="C2991" s="16"/>
      <c r="D2991" s="16"/>
      <c r="E2991" s="16"/>
      <c r="F2991" s="16"/>
      <c r="G2991" s="16"/>
      <c r="H2991" s="16"/>
      <c r="I2991" s="16"/>
      <c r="J2991" s="16"/>
      <c r="K2991" s="16"/>
      <c r="L2991" s="16"/>
      <c r="M2991" s="16"/>
    </row>
    <row r="2992" spans="1:13" x14ac:dyDescent="0.2">
      <c r="A2992" s="16"/>
      <c r="B2992" s="37"/>
      <c r="C2992" s="16"/>
      <c r="D2992" s="16"/>
      <c r="E2992" s="16"/>
      <c r="F2992" s="16"/>
      <c r="G2992" s="16"/>
      <c r="H2992" s="16"/>
      <c r="I2992" s="16"/>
      <c r="J2992" s="16"/>
      <c r="K2992" s="16"/>
      <c r="L2992" s="16"/>
      <c r="M2992" s="16"/>
    </row>
    <row r="2993" spans="1:13" x14ac:dyDescent="0.2">
      <c r="A2993" s="16"/>
      <c r="B2993" s="37"/>
      <c r="C2993" s="16"/>
      <c r="D2993" s="16"/>
      <c r="E2993" s="16"/>
      <c r="F2993" s="16"/>
      <c r="G2993" s="16"/>
      <c r="H2993" s="16"/>
      <c r="I2993" s="16"/>
      <c r="J2993" s="16"/>
      <c r="K2993" s="16"/>
      <c r="L2993" s="16"/>
      <c r="M2993" s="16"/>
    </row>
    <row r="2994" spans="1:13" x14ac:dyDescent="0.2">
      <c r="A2994" s="16"/>
      <c r="B2994" s="37"/>
      <c r="C2994" s="16"/>
      <c r="D2994" s="16"/>
      <c r="E2994" s="16"/>
      <c r="F2994" s="16"/>
      <c r="G2994" s="16"/>
      <c r="H2994" s="16"/>
      <c r="I2994" s="16"/>
      <c r="J2994" s="16"/>
      <c r="K2994" s="16"/>
      <c r="L2994" s="16"/>
      <c r="M2994" s="16"/>
    </row>
    <row r="2995" spans="1:13" x14ac:dyDescent="0.2">
      <c r="A2995" s="16"/>
      <c r="B2995" s="37"/>
      <c r="C2995" s="16"/>
      <c r="D2995" s="16"/>
      <c r="E2995" s="16"/>
      <c r="F2995" s="16"/>
      <c r="G2995" s="16"/>
      <c r="H2995" s="16"/>
      <c r="I2995" s="16"/>
      <c r="J2995" s="16"/>
      <c r="K2995" s="16"/>
      <c r="L2995" s="16"/>
      <c r="M2995" s="16"/>
    </row>
    <row r="2996" spans="1:13" x14ac:dyDescent="0.2">
      <c r="A2996" s="16"/>
      <c r="B2996" s="37"/>
      <c r="C2996" s="16"/>
      <c r="D2996" s="16"/>
      <c r="E2996" s="16"/>
      <c r="F2996" s="16"/>
      <c r="G2996" s="16"/>
      <c r="H2996" s="16"/>
      <c r="I2996" s="16"/>
      <c r="J2996" s="16"/>
      <c r="K2996" s="16"/>
      <c r="L2996" s="16"/>
      <c r="M2996" s="16"/>
    </row>
    <row r="2997" spans="1:13" x14ac:dyDescent="0.2">
      <c r="A2997" s="16"/>
      <c r="B2997" s="37"/>
      <c r="C2997" s="16"/>
      <c r="D2997" s="16"/>
      <c r="E2997" s="16"/>
      <c r="F2997" s="16"/>
      <c r="G2997" s="16"/>
      <c r="H2997" s="16"/>
      <c r="I2997" s="16"/>
      <c r="J2997" s="16"/>
      <c r="K2997" s="16"/>
      <c r="L2997" s="16"/>
      <c r="M2997" s="16"/>
    </row>
    <row r="2998" spans="1:13" x14ac:dyDescent="0.2">
      <c r="A2998" s="16"/>
      <c r="B2998" s="37"/>
      <c r="C2998" s="16"/>
      <c r="D2998" s="16"/>
      <c r="E2998" s="16"/>
      <c r="F2998" s="16"/>
      <c r="G2998" s="16"/>
      <c r="H2998" s="16"/>
      <c r="I2998" s="16"/>
      <c r="J2998" s="16"/>
      <c r="K2998" s="16"/>
      <c r="L2998" s="16"/>
      <c r="M2998" s="16"/>
    </row>
    <row r="2999" spans="1:13" x14ac:dyDescent="0.2">
      <c r="A2999" s="16"/>
      <c r="B2999" s="37"/>
      <c r="C2999" s="16"/>
      <c r="D2999" s="16"/>
      <c r="E2999" s="16"/>
      <c r="F2999" s="16"/>
      <c r="G2999" s="16"/>
      <c r="H2999" s="16"/>
      <c r="I2999" s="16"/>
      <c r="J2999" s="16"/>
      <c r="K2999" s="16"/>
      <c r="L2999" s="16"/>
      <c r="M2999" s="16"/>
    </row>
    <row r="3000" spans="1:13" x14ac:dyDescent="0.2">
      <c r="A3000" s="16"/>
      <c r="B3000" s="37"/>
      <c r="C3000" s="16"/>
      <c r="D3000" s="16"/>
      <c r="E3000" s="16"/>
      <c r="F3000" s="16"/>
      <c r="G3000" s="16"/>
      <c r="H3000" s="16"/>
      <c r="I3000" s="16"/>
      <c r="J3000" s="16"/>
      <c r="K3000" s="16"/>
      <c r="L3000" s="16"/>
      <c r="M3000" s="16"/>
    </row>
    <row r="3001" spans="1:13" x14ac:dyDescent="0.2">
      <c r="A3001" s="16"/>
      <c r="B3001" s="37"/>
      <c r="C3001" s="16"/>
      <c r="D3001" s="16"/>
      <c r="E3001" s="16"/>
      <c r="F3001" s="16"/>
      <c r="G3001" s="16"/>
      <c r="H3001" s="16"/>
      <c r="I3001" s="16"/>
      <c r="J3001" s="16"/>
      <c r="K3001" s="16"/>
      <c r="L3001" s="16"/>
      <c r="M3001" s="16"/>
    </row>
    <row r="3002" spans="1:13" x14ac:dyDescent="0.2">
      <c r="A3002" s="16"/>
      <c r="B3002" s="37"/>
      <c r="C3002" s="16"/>
      <c r="D3002" s="16"/>
      <c r="E3002" s="16"/>
      <c r="F3002" s="16"/>
      <c r="G3002" s="16"/>
      <c r="H3002" s="16"/>
      <c r="I3002" s="16"/>
      <c r="J3002" s="16"/>
      <c r="K3002" s="16"/>
      <c r="L3002" s="16"/>
      <c r="M3002" s="16"/>
    </row>
    <row r="3003" spans="1:13" x14ac:dyDescent="0.2">
      <c r="A3003" s="16"/>
      <c r="B3003" s="37"/>
      <c r="C3003" s="16"/>
      <c r="D3003" s="16"/>
      <c r="E3003" s="16"/>
      <c r="F3003" s="16"/>
      <c r="G3003" s="16"/>
      <c r="H3003" s="16"/>
      <c r="I3003" s="16"/>
      <c r="J3003" s="16"/>
      <c r="K3003" s="16"/>
      <c r="L3003" s="16"/>
      <c r="M3003" s="16"/>
    </row>
    <row r="3004" spans="1:13" x14ac:dyDescent="0.2">
      <c r="A3004" s="16"/>
      <c r="B3004" s="37"/>
      <c r="C3004" s="16"/>
      <c r="D3004" s="16"/>
      <c r="E3004" s="16"/>
      <c r="F3004" s="16"/>
      <c r="G3004" s="16"/>
      <c r="H3004" s="16"/>
      <c r="I3004" s="16"/>
      <c r="J3004" s="16"/>
      <c r="K3004" s="16"/>
      <c r="L3004" s="16"/>
      <c r="M3004" s="16"/>
    </row>
    <row r="3005" spans="1:13" x14ac:dyDescent="0.2">
      <c r="A3005" s="16"/>
      <c r="B3005" s="37"/>
      <c r="C3005" s="16"/>
      <c r="D3005" s="16"/>
      <c r="E3005" s="16"/>
      <c r="F3005" s="16"/>
      <c r="G3005" s="16"/>
      <c r="H3005" s="16"/>
      <c r="I3005" s="16"/>
      <c r="J3005" s="16"/>
      <c r="K3005" s="16"/>
      <c r="L3005" s="16"/>
      <c r="M3005" s="16"/>
    </row>
    <row r="3006" spans="1:13" x14ac:dyDescent="0.2">
      <c r="A3006" s="16"/>
      <c r="B3006" s="37"/>
      <c r="C3006" s="16"/>
      <c r="D3006" s="16"/>
      <c r="E3006" s="16"/>
      <c r="F3006" s="16"/>
      <c r="G3006" s="16"/>
      <c r="H3006" s="16"/>
      <c r="I3006" s="16"/>
      <c r="J3006" s="16"/>
      <c r="K3006" s="16"/>
      <c r="L3006" s="16"/>
      <c r="M3006" s="16"/>
    </row>
    <row r="3007" spans="1:13" x14ac:dyDescent="0.2">
      <c r="A3007" s="16"/>
      <c r="B3007" s="37"/>
      <c r="C3007" s="16"/>
      <c r="D3007" s="16"/>
      <c r="E3007" s="16"/>
      <c r="F3007" s="16"/>
      <c r="G3007" s="16"/>
      <c r="H3007" s="16"/>
      <c r="I3007" s="16"/>
      <c r="J3007" s="16"/>
      <c r="K3007" s="16"/>
      <c r="L3007" s="16"/>
      <c r="M3007" s="16"/>
    </row>
    <row r="3008" spans="1:13" x14ac:dyDescent="0.2">
      <c r="A3008" s="16"/>
      <c r="B3008" s="37"/>
      <c r="C3008" s="16"/>
      <c r="D3008" s="16"/>
      <c r="E3008" s="16"/>
      <c r="F3008" s="16"/>
      <c r="G3008" s="16"/>
      <c r="H3008" s="16"/>
      <c r="I3008" s="16"/>
      <c r="J3008" s="16"/>
      <c r="K3008" s="16"/>
      <c r="L3008" s="16"/>
      <c r="M3008" s="16"/>
    </row>
    <row r="3009" spans="1:13" x14ac:dyDescent="0.2">
      <c r="A3009" s="16"/>
      <c r="B3009" s="37"/>
      <c r="C3009" s="16"/>
      <c r="D3009" s="16"/>
      <c r="E3009" s="16"/>
      <c r="F3009" s="16"/>
      <c r="G3009" s="16"/>
      <c r="H3009" s="16"/>
      <c r="I3009" s="16"/>
      <c r="J3009" s="16"/>
      <c r="K3009" s="16"/>
      <c r="L3009" s="16"/>
      <c r="M3009" s="16"/>
    </row>
    <row r="3010" spans="1:13" x14ac:dyDescent="0.2">
      <c r="A3010" s="16"/>
      <c r="B3010" s="37"/>
      <c r="C3010" s="16"/>
      <c r="D3010" s="16"/>
      <c r="E3010" s="16"/>
      <c r="F3010" s="16"/>
      <c r="G3010" s="16"/>
      <c r="H3010" s="16"/>
      <c r="I3010" s="16"/>
      <c r="J3010" s="16"/>
      <c r="K3010" s="16"/>
      <c r="L3010" s="16"/>
      <c r="M3010" s="16"/>
    </row>
    <row r="3011" spans="1:13" x14ac:dyDescent="0.2">
      <c r="A3011" s="16"/>
      <c r="B3011" s="37"/>
      <c r="C3011" s="16"/>
      <c r="D3011" s="16"/>
      <c r="E3011" s="16"/>
      <c r="F3011" s="16"/>
      <c r="G3011" s="16"/>
      <c r="H3011" s="16"/>
      <c r="I3011" s="16"/>
      <c r="J3011" s="16"/>
      <c r="K3011" s="16"/>
      <c r="L3011" s="16"/>
      <c r="M3011" s="16"/>
    </row>
    <row r="3012" spans="1:13" x14ac:dyDescent="0.2">
      <c r="A3012" s="16"/>
      <c r="B3012" s="37"/>
      <c r="C3012" s="16"/>
      <c r="D3012" s="16"/>
      <c r="E3012" s="16"/>
      <c r="F3012" s="16"/>
      <c r="G3012" s="16"/>
      <c r="H3012" s="16"/>
      <c r="I3012" s="16"/>
      <c r="J3012" s="16"/>
      <c r="K3012" s="16"/>
      <c r="L3012" s="16"/>
      <c r="M3012" s="16"/>
    </row>
    <row r="3013" spans="1:13" x14ac:dyDescent="0.2">
      <c r="A3013" s="16"/>
      <c r="B3013" s="37"/>
      <c r="C3013" s="16"/>
      <c r="D3013" s="16"/>
      <c r="E3013" s="16"/>
      <c r="F3013" s="16"/>
      <c r="G3013" s="16"/>
      <c r="H3013" s="16"/>
      <c r="I3013" s="16"/>
      <c r="J3013" s="16"/>
      <c r="K3013" s="16"/>
      <c r="L3013" s="16"/>
      <c r="M3013" s="16"/>
    </row>
    <row r="3014" spans="1:13" x14ac:dyDescent="0.2">
      <c r="A3014" s="16"/>
      <c r="B3014" s="37"/>
      <c r="C3014" s="16"/>
      <c r="D3014" s="16"/>
      <c r="E3014" s="16"/>
      <c r="F3014" s="16"/>
      <c r="G3014" s="16"/>
      <c r="H3014" s="16"/>
      <c r="I3014" s="16"/>
      <c r="J3014" s="16"/>
      <c r="K3014" s="16"/>
      <c r="L3014" s="16"/>
      <c r="M3014" s="16"/>
    </row>
    <row r="3015" spans="1:13" x14ac:dyDescent="0.2">
      <c r="A3015" s="16"/>
      <c r="B3015" s="37"/>
      <c r="C3015" s="16"/>
      <c r="D3015" s="16"/>
      <c r="E3015" s="16"/>
      <c r="F3015" s="16"/>
      <c r="G3015" s="16"/>
      <c r="H3015" s="16"/>
      <c r="I3015" s="16"/>
      <c r="J3015" s="16"/>
      <c r="K3015" s="16"/>
      <c r="L3015" s="16"/>
      <c r="M3015" s="16"/>
    </row>
    <row r="3016" spans="1:13" x14ac:dyDescent="0.2">
      <c r="A3016" s="16"/>
      <c r="B3016" s="37"/>
      <c r="C3016" s="16"/>
      <c r="D3016" s="16"/>
      <c r="E3016" s="16"/>
      <c r="F3016" s="16"/>
      <c r="G3016" s="16"/>
      <c r="H3016" s="16"/>
      <c r="I3016" s="16"/>
      <c r="J3016" s="16"/>
      <c r="K3016" s="16"/>
      <c r="L3016" s="16"/>
      <c r="M3016" s="16"/>
    </row>
    <row r="3017" spans="1:13" x14ac:dyDescent="0.2">
      <c r="A3017" s="16"/>
      <c r="B3017" s="37"/>
      <c r="C3017" s="16"/>
      <c r="D3017" s="16"/>
      <c r="E3017" s="16"/>
      <c r="F3017" s="16"/>
      <c r="G3017" s="16"/>
      <c r="H3017" s="16"/>
      <c r="I3017" s="16"/>
      <c r="J3017" s="16"/>
      <c r="K3017" s="16"/>
      <c r="L3017" s="16"/>
      <c r="M3017" s="16"/>
    </row>
    <row r="3018" spans="1:13" x14ac:dyDescent="0.2">
      <c r="A3018" s="16"/>
      <c r="B3018" s="37"/>
      <c r="C3018" s="16"/>
      <c r="D3018" s="16"/>
      <c r="E3018" s="16"/>
      <c r="F3018" s="16"/>
      <c r="G3018" s="16"/>
      <c r="H3018" s="16"/>
      <c r="I3018" s="16"/>
      <c r="J3018" s="16"/>
      <c r="K3018" s="16"/>
      <c r="L3018" s="16"/>
      <c r="M3018" s="16"/>
    </row>
    <row r="3019" spans="1:13" x14ac:dyDescent="0.2">
      <c r="A3019" s="16"/>
      <c r="B3019" s="37"/>
      <c r="C3019" s="16"/>
      <c r="D3019" s="16"/>
      <c r="E3019" s="16"/>
      <c r="F3019" s="16"/>
      <c r="G3019" s="16"/>
      <c r="H3019" s="16"/>
      <c r="I3019" s="16"/>
      <c r="J3019" s="16"/>
      <c r="K3019" s="16"/>
      <c r="L3019" s="16"/>
      <c r="M3019" s="16"/>
    </row>
    <row r="3020" spans="1:13" x14ac:dyDescent="0.2">
      <c r="A3020" s="16"/>
      <c r="B3020" s="37"/>
      <c r="C3020" s="16"/>
      <c r="D3020" s="16"/>
      <c r="E3020" s="16"/>
      <c r="F3020" s="16"/>
      <c r="G3020" s="16"/>
      <c r="H3020" s="16"/>
      <c r="I3020" s="16"/>
      <c r="J3020" s="16"/>
      <c r="K3020" s="16"/>
      <c r="L3020" s="16"/>
      <c r="M3020" s="16"/>
    </row>
    <row r="3021" spans="1:13" x14ac:dyDescent="0.2">
      <c r="A3021" s="16"/>
      <c r="B3021" s="37"/>
      <c r="C3021" s="16"/>
      <c r="D3021" s="16"/>
      <c r="E3021" s="16"/>
      <c r="F3021" s="16"/>
      <c r="G3021" s="16"/>
      <c r="H3021" s="16"/>
      <c r="I3021" s="16"/>
      <c r="J3021" s="16"/>
      <c r="K3021" s="16"/>
      <c r="L3021" s="16"/>
      <c r="M3021" s="16"/>
    </row>
    <row r="3022" spans="1:13" x14ac:dyDescent="0.2">
      <c r="A3022" s="16"/>
      <c r="B3022" s="37"/>
      <c r="C3022" s="16"/>
      <c r="D3022" s="16"/>
      <c r="E3022" s="16"/>
      <c r="F3022" s="16"/>
      <c r="G3022" s="16"/>
      <c r="H3022" s="16"/>
      <c r="I3022" s="16"/>
      <c r="J3022" s="16"/>
      <c r="K3022" s="16"/>
      <c r="L3022" s="16"/>
      <c r="M3022" s="16"/>
    </row>
    <row r="3023" spans="1:13" x14ac:dyDescent="0.2">
      <c r="A3023" s="16"/>
      <c r="B3023" s="37"/>
      <c r="C3023" s="16"/>
      <c r="D3023" s="16"/>
      <c r="E3023" s="16"/>
      <c r="F3023" s="16"/>
      <c r="G3023" s="16"/>
      <c r="H3023" s="16"/>
      <c r="I3023" s="16"/>
      <c r="J3023" s="16"/>
      <c r="K3023" s="16"/>
      <c r="L3023" s="16"/>
      <c r="M3023" s="16"/>
    </row>
    <row r="3024" spans="1:13" x14ac:dyDescent="0.2">
      <c r="A3024" s="16"/>
      <c r="B3024" s="37"/>
      <c r="C3024" s="16"/>
      <c r="D3024" s="16"/>
      <c r="E3024" s="16"/>
      <c r="F3024" s="16"/>
      <c r="G3024" s="16"/>
      <c r="H3024" s="16"/>
      <c r="I3024" s="16"/>
      <c r="J3024" s="16"/>
      <c r="K3024" s="16"/>
      <c r="L3024" s="16"/>
      <c r="M3024" s="16"/>
    </row>
    <row r="3025" spans="1:13" x14ac:dyDescent="0.2">
      <c r="A3025" s="16"/>
      <c r="B3025" s="37"/>
      <c r="C3025" s="16"/>
      <c r="D3025" s="16"/>
      <c r="E3025" s="16"/>
      <c r="F3025" s="16"/>
      <c r="G3025" s="16"/>
      <c r="H3025" s="16"/>
      <c r="I3025" s="16"/>
      <c r="J3025" s="16"/>
      <c r="K3025" s="16"/>
      <c r="L3025" s="16"/>
      <c r="M3025" s="16"/>
    </row>
    <row r="3026" spans="1:13" x14ac:dyDescent="0.2">
      <c r="A3026" s="16"/>
      <c r="B3026" s="37"/>
      <c r="C3026" s="16"/>
      <c r="D3026" s="16"/>
      <c r="E3026" s="16"/>
      <c r="F3026" s="16"/>
      <c r="G3026" s="16"/>
      <c r="H3026" s="16"/>
      <c r="I3026" s="16"/>
      <c r="J3026" s="16"/>
      <c r="K3026" s="16"/>
      <c r="L3026" s="16"/>
      <c r="M3026" s="16"/>
    </row>
    <row r="3027" spans="1:13" x14ac:dyDescent="0.2">
      <c r="A3027" s="16"/>
      <c r="B3027" s="37"/>
      <c r="C3027" s="16"/>
      <c r="D3027" s="16"/>
      <c r="E3027" s="16"/>
      <c r="F3027" s="16"/>
      <c r="G3027" s="16"/>
      <c r="H3027" s="16"/>
      <c r="I3027" s="16"/>
      <c r="J3027" s="16"/>
      <c r="K3027" s="16"/>
      <c r="L3027" s="16"/>
      <c r="M3027" s="16"/>
    </row>
    <row r="3028" spans="1:13" x14ac:dyDescent="0.2">
      <c r="A3028" s="16"/>
      <c r="B3028" s="37"/>
      <c r="C3028" s="16"/>
      <c r="D3028" s="16"/>
      <c r="E3028" s="16"/>
      <c r="F3028" s="16"/>
      <c r="G3028" s="16"/>
      <c r="H3028" s="16"/>
      <c r="I3028" s="16"/>
      <c r="J3028" s="16"/>
      <c r="K3028" s="16"/>
      <c r="L3028" s="16"/>
      <c r="M3028" s="16"/>
    </row>
    <row r="3029" spans="1:13" x14ac:dyDescent="0.2">
      <c r="A3029" s="16"/>
      <c r="B3029" s="37"/>
      <c r="C3029" s="16"/>
      <c r="D3029" s="16"/>
      <c r="E3029" s="16"/>
      <c r="F3029" s="16"/>
      <c r="G3029" s="16"/>
      <c r="H3029" s="16"/>
      <c r="I3029" s="16"/>
      <c r="J3029" s="16"/>
      <c r="K3029" s="16"/>
      <c r="L3029" s="16"/>
      <c r="M3029" s="16"/>
    </row>
    <row r="3030" spans="1:13" x14ac:dyDescent="0.2">
      <c r="A3030" s="16"/>
      <c r="B3030" s="37"/>
      <c r="C3030" s="16"/>
      <c r="D3030" s="16"/>
      <c r="E3030" s="16"/>
      <c r="F3030" s="16"/>
      <c r="G3030" s="16"/>
      <c r="H3030" s="16"/>
      <c r="I3030" s="16"/>
      <c r="J3030" s="16"/>
      <c r="K3030" s="16"/>
      <c r="L3030" s="16"/>
      <c r="M3030" s="16"/>
    </row>
    <row r="3031" spans="1:13" x14ac:dyDescent="0.2">
      <c r="A3031" s="16"/>
      <c r="B3031" s="37"/>
      <c r="C3031" s="16"/>
      <c r="D3031" s="16"/>
      <c r="E3031" s="16"/>
      <c r="F3031" s="16"/>
      <c r="G3031" s="16"/>
      <c r="H3031" s="16"/>
      <c r="I3031" s="16"/>
      <c r="J3031" s="16"/>
      <c r="K3031" s="16"/>
      <c r="L3031" s="16"/>
      <c r="M3031" s="16"/>
    </row>
    <row r="3032" spans="1:13" x14ac:dyDescent="0.2">
      <c r="A3032" s="16"/>
      <c r="B3032" s="37"/>
      <c r="C3032" s="16"/>
      <c r="D3032" s="16"/>
      <c r="E3032" s="16"/>
      <c r="F3032" s="16"/>
      <c r="G3032" s="16"/>
      <c r="H3032" s="16"/>
      <c r="I3032" s="16"/>
      <c r="J3032" s="16"/>
      <c r="K3032" s="16"/>
      <c r="L3032" s="16"/>
      <c r="M3032" s="16"/>
    </row>
    <row r="3033" spans="1:13" x14ac:dyDescent="0.2">
      <c r="A3033" s="16"/>
      <c r="B3033" s="37"/>
      <c r="C3033" s="16"/>
      <c r="D3033" s="16"/>
      <c r="E3033" s="16"/>
      <c r="F3033" s="16"/>
      <c r="G3033" s="16"/>
      <c r="H3033" s="16"/>
      <c r="I3033" s="16"/>
      <c r="J3033" s="16"/>
      <c r="K3033" s="16"/>
      <c r="L3033" s="16"/>
      <c r="M3033" s="16"/>
    </row>
    <row r="3034" spans="1:13" x14ac:dyDescent="0.2">
      <c r="A3034" s="16"/>
      <c r="B3034" s="37"/>
      <c r="C3034" s="16"/>
      <c r="D3034" s="16"/>
      <c r="E3034" s="16"/>
      <c r="F3034" s="16"/>
      <c r="G3034" s="16"/>
      <c r="H3034" s="16"/>
      <c r="I3034" s="16"/>
      <c r="J3034" s="16"/>
      <c r="K3034" s="16"/>
      <c r="L3034" s="16"/>
      <c r="M3034" s="16"/>
    </row>
    <row r="3035" spans="1:13" x14ac:dyDescent="0.2">
      <c r="A3035" s="16"/>
      <c r="B3035" s="37"/>
      <c r="C3035" s="16"/>
      <c r="D3035" s="16"/>
      <c r="E3035" s="16"/>
      <c r="F3035" s="16"/>
      <c r="G3035" s="16"/>
      <c r="H3035" s="16"/>
      <c r="I3035" s="16"/>
      <c r="J3035" s="16"/>
      <c r="K3035" s="16"/>
      <c r="L3035" s="16"/>
      <c r="M3035" s="16"/>
    </row>
    <row r="3036" spans="1:13" x14ac:dyDescent="0.2">
      <c r="A3036" s="16"/>
      <c r="B3036" s="37"/>
      <c r="C3036" s="16"/>
      <c r="D3036" s="16"/>
      <c r="E3036" s="16"/>
      <c r="F3036" s="16"/>
      <c r="G3036" s="16"/>
      <c r="H3036" s="16"/>
      <c r="I3036" s="16"/>
      <c r="J3036" s="16"/>
      <c r="K3036" s="16"/>
      <c r="L3036" s="16"/>
      <c r="M3036" s="16"/>
    </row>
    <row r="3037" spans="1:13" x14ac:dyDescent="0.2">
      <c r="A3037" s="16"/>
      <c r="B3037" s="37"/>
      <c r="C3037" s="16"/>
      <c r="D3037" s="16"/>
      <c r="E3037" s="16"/>
      <c r="F3037" s="16"/>
      <c r="G3037" s="16"/>
      <c r="H3037" s="16"/>
      <c r="I3037" s="16"/>
      <c r="J3037" s="16"/>
      <c r="K3037" s="16"/>
      <c r="L3037" s="16"/>
      <c r="M3037" s="16"/>
    </row>
    <row r="3038" spans="1:13" x14ac:dyDescent="0.2">
      <c r="A3038" s="16"/>
      <c r="B3038" s="37"/>
      <c r="C3038" s="16"/>
      <c r="D3038" s="16"/>
      <c r="E3038" s="16"/>
      <c r="F3038" s="16"/>
      <c r="G3038" s="16"/>
      <c r="H3038" s="16"/>
      <c r="I3038" s="16"/>
      <c r="J3038" s="16"/>
      <c r="K3038" s="16"/>
      <c r="L3038" s="16"/>
      <c r="M3038" s="16"/>
    </row>
    <row r="3039" spans="1:13" x14ac:dyDescent="0.2">
      <c r="A3039" s="16"/>
      <c r="B3039" s="37"/>
      <c r="C3039" s="16"/>
      <c r="D3039" s="16"/>
      <c r="E3039" s="16"/>
      <c r="F3039" s="16"/>
      <c r="G3039" s="16"/>
      <c r="H3039" s="16"/>
      <c r="I3039" s="16"/>
      <c r="J3039" s="16"/>
      <c r="K3039" s="16"/>
      <c r="L3039" s="16"/>
      <c r="M3039" s="16"/>
    </row>
    <row r="3040" spans="1:13" x14ac:dyDescent="0.2">
      <c r="A3040" s="16"/>
      <c r="B3040" s="37"/>
      <c r="C3040" s="16"/>
      <c r="D3040" s="16"/>
      <c r="E3040" s="16"/>
      <c r="F3040" s="16"/>
      <c r="G3040" s="16"/>
      <c r="H3040" s="16"/>
      <c r="I3040" s="16"/>
      <c r="J3040" s="16"/>
      <c r="K3040" s="16"/>
      <c r="L3040" s="16"/>
      <c r="M3040" s="16"/>
    </row>
    <row r="3041" spans="1:13" x14ac:dyDescent="0.2">
      <c r="A3041" s="16"/>
      <c r="B3041" s="37"/>
      <c r="C3041" s="16"/>
      <c r="D3041" s="16"/>
      <c r="E3041" s="16"/>
      <c r="F3041" s="16"/>
      <c r="G3041" s="16"/>
      <c r="H3041" s="16"/>
      <c r="I3041" s="16"/>
      <c r="J3041" s="16"/>
      <c r="K3041" s="16"/>
      <c r="L3041" s="16"/>
      <c r="M3041" s="16"/>
    </row>
    <row r="3042" spans="1:13" x14ac:dyDescent="0.2">
      <c r="A3042" s="16"/>
      <c r="B3042" s="37"/>
      <c r="C3042" s="16"/>
      <c r="D3042" s="16"/>
      <c r="E3042" s="16"/>
      <c r="F3042" s="16"/>
      <c r="G3042" s="16"/>
      <c r="H3042" s="16"/>
      <c r="I3042" s="16"/>
      <c r="J3042" s="16"/>
      <c r="K3042" s="16"/>
      <c r="L3042" s="16"/>
      <c r="M3042" s="16"/>
    </row>
    <row r="3043" spans="1:13" x14ac:dyDescent="0.2">
      <c r="A3043" s="16"/>
      <c r="B3043" s="37"/>
      <c r="C3043" s="16"/>
      <c r="D3043" s="16"/>
      <c r="E3043" s="16"/>
      <c r="F3043" s="16"/>
      <c r="G3043" s="16"/>
      <c r="H3043" s="16"/>
      <c r="I3043" s="16"/>
      <c r="J3043" s="16"/>
      <c r="K3043" s="16"/>
      <c r="L3043" s="16"/>
      <c r="M3043" s="16"/>
    </row>
    <row r="3044" spans="1:13" x14ac:dyDescent="0.2">
      <c r="A3044" s="16"/>
      <c r="B3044" s="37"/>
      <c r="C3044" s="16"/>
      <c r="D3044" s="16"/>
      <c r="E3044" s="16"/>
      <c r="F3044" s="16"/>
      <c r="G3044" s="16"/>
      <c r="H3044" s="16"/>
      <c r="I3044" s="16"/>
      <c r="J3044" s="16"/>
      <c r="K3044" s="16"/>
      <c r="L3044" s="16"/>
      <c r="M3044" s="16"/>
    </row>
    <row r="3045" spans="1:13" x14ac:dyDescent="0.2">
      <c r="A3045" s="16"/>
      <c r="B3045" s="37"/>
      <c r="C3045" s="16"/>
      <c r="D3045" s="16"/>
      <c r="E3045" s="16"/>
      <c r="F3045" s="16"/>
      <c r="G3045" s="16"/>
      <c r="H3045" s="16"/>
      <c r="I3045" s="16"/>
      <c r="J3045" s="16"/>
      <c r="K3045" s="16"/>
      <c r="L3045" s="16"/>
      <c r="M3045" s="16"/>
    </row>
    <row r="3046" spans="1:13" x14ac:dyDescent="0.2">
      <c r="A3046" s="16"/>
      <c r="B3046" s="37"/>
      <c r="C3046" s="16"/>
      <c r="D3046" s="16"/>
      <c r="E3046" s="16"/>
      <c r="F3046" s="16"/>
      <c r="G3046" s="16"/>
      <c r="H3046" s="16"/>
      <c r="I3046" s="16"/>
      <c r="J3046" s="16"/>
      <c r="K3046" s="16"/>
      <c r="L3046" s="16"/>
      <c r="M3046" s="16"/>
    </row>
    <row r="3047" spans="1:13" x14ac:dyDescent="0.2">
      <c r="A3047" s="16"/>
      <c r="B3047" s="37"/>
      <c r="C3047" s="16"/>
      <c r="D3047" s="16"/>
      <c r="E3047" s="16"/>
      <c r="F3047" s="16"/>
      <c r="G3047" s="16"/>
      <c r="H3047" s="16"/>
      <c r="I3047" s="16"/>
      <c r="J3047" s="16"/>
      <c r="K3047" s="16"/>
      <c r="L3047" s="16"/>
      <c r="M3047" s="16"/>
    </row>
    <row r="3048" spans="1:13" x14ac:dyDescent="0.2">
      <c r="A3048" s="16"/>
      <c r="B3048" s="37"/>
      <c r="C3048" s="16"/>
      <c r="D3048" s="16"/>
      <c r="E3048" s="16"/>
      <c r="F3048" s="16"/>
      <c r="G3048" s="16"/>
      <c r="H3048" s="16"/>
      <c r="I3048" s="16"/>
      <c r="J3048" s="16"/>
      <c r="K3048" s="16"/>
      <c r="L3048" s="16"/>
      <c r="M3048" s="16"/>
    </row>
    <row r="3049" spans="1:13" x14ac:dyDescent="0.2">
      <c r="A3049" s="16"/>
      <c r="B3049" s="37"/>
      <c r="C3049" s="16"/>
      <c r="D3049" s="16"/>
      <c r="E3049" s="16"/>
      <c r="F3049" s="16"/>
      <c r="G3049" s="16"/>
      <c r="H3049" s="16"/>
      <c r="I3049" s="16"/>
      <c r="J3049" s="16"/>
      <c r="K3049" s="16"/>
      <c r="L3049" s="16"/>
      <c r="M3049" s="16"/>
    </row>
    <row r="3050" spans="1:13" x14ac:dyDescent="0.2">
      <c r="A3050" s="16"/>
      <c r="B3050" s="37"/>
      <c r="C3050" s="16"/>
      <c r="D3050" s="16"/>
      <c r="E3050" s="16"/>
      <c r="F3050" s="16"/>
      <c r="G3050" s="16"/>
      <c r="H3050" s="16"/>
      <c r="I3050" s="16"/>
      <c r="J3050" s="16"/>
      <c r="K3050" s="16"/>
      <c r="L3050" s="16"/>
      <c r="M3050" s="16"/>
    </row>
    <row r="3051" spans="1:13" x14ac:dyDescent="0.2">
      <c r="A3051" s="16"/>
      <c r="B3051" s="37"/>
      <c r="C3051" s="16"/>
      <c r="D3051" s="16"/>
      <c r="E3051" s="16"/>
      <c r="F3051" s="16"/>
      <c r="G3051" s="16"/>
      <c r="H3051" s="16"/>
      <c r="I3051" s="16"/>
      <c r="J3051" s="16"/>
      <c r="K3051" s="16"/>
      <c r="L3051" s="16"/>
      <c r="M3051" s="16"/>
    </row>
    <row r="3052" spans="1:13" x14ac:dyDescent="0.2">
      <c r="A3052" s="16"/>
      <c r="B3052" s="37"/>
      <c r="C3052" s="16"/>
      <c r="D3052" s="16"/>
      <c r="E3052" s="16"/>
      <c r="F3052" s="16"/>
      <c r="G3052" s="16"/>
      <c r="H3052" s="16"/>
      <c r="I3052" s="16"/>
      <c r="J3052" s="16"/>
      <c r="K3052" s="16"/>
      <c r="L3052" s="16"/>
      <c r="M3052" s="16"/>
    </row>
    <row r="3053" spans="1:13" x14ac:dyDescent="0.2">
      <c r="A3053" s="16"/>
      <c r="B3053" s="37"/>
      <c r="C3053" s="16"/>
      <c r="D3053" s="16"/>
      <c r="E3053" s="16"/>
      <c r="F3053" s="16"/>
      <c r="G3053" s="16"/>
      <c r="H3053" s="16"/>
      <c r="I3053" s="16"/>
      <c r="J3053" s="16"/>
      <c r="K3053" s="16"/>
      <c r="L3053" s="16"/>
      <c r="M3053" s="16"/>
    </row>
    <row r="3054" spans="1:13" x14ac:dyDescent="0.2">
      <c r="A3054" s="16"/>
      <c r="B3054" s="37"/>
      <c r="C3054" s="16"/>
      <c r="D3054" s="16"/>
      <c r="E3054" s="16"/>
      <c r="F3054" s="16"/>
      <c r="G3054" s="16"/>
      <c r="H3054" s="16"/>
      <c r="I3054" s="16"/>
      <c r="J3054" s="16"/>
      <c r="K3054" s="16"/>
      <c r="L3054" s="16"/>
      <c r="M3054" s="16"/>
    </row>
    <row r="3055" spans="1:13" x14ac:dyDescent="0.2">
      <c r="A3055" s="16"/>
      <c r="B3055" s="37"/>
      <c r="C3055" s="16"/>
      <c r="D3055" s="16"/>
      <c r="E3055" s="16"/>
      <c r="F3055" s="16"/>
      <c r="G3055" s="16"/>
      <c r="H3055" s="16"/>
      <c r="I3055" s="16"/>
      <c r="J3055" s="16"/>
      <c r="K3055" s="16"/>
      <c r="L3055" s="16"/>
      <c r="M3055" s="16"/>
    </row>
    <row r="3056" spans="1:13" x14ac:dyDescent="0.2">
      <c r="A3056" s="16"/>
      <c r="B3056" s="37"/>
      <c r="C3056" s="16"/>
      <c r="D3056" s="16"/>
      <c r="E3056" s="16"/>
      <c r="F3056" s="16"/>
      <c r="G3056" s="16"/>
      <c r="H3056" s="16"/>
      <c r="I3056" s="16"/>
      <c r="J3056" s="16"/>
      <c r="K3056" s="16"/>
      <c r="L3056" s="16"/>
      <c r="M3056" s="16"/>
    </row>
    <row r="3057" spans="1:13" x14ac:dyDescent="0.2">
      <c r="A3057" s="16"/>
      <c r="B3057" s="37"/>
      <c r="C3057" s="16"/>
      <c r="D3057" s="16"/>
      <c r="E3057" s="16"/>
      <c r="F3057" s="16"/>
      <c r="G3057" s="16"/>
      <c r="H3057" s="16"/>
      <c r="I3057" s="16"/>
      <c r="J3057" s="16"/>
      <c r="K3057" s="16"/>
      <c r="L3057" s="16"/>
      <c r="M3057" s="16"/>
    </row>
    <row r="3058" spans="1:13" x14ac:dyDescent="0.2">
      <c r="A3058" s="16"/>
      <c r="B3058" s="37"/>
      <c r="C3058" s="16"/>
      <c r="D3058" s="16"/>
      <c r="E3058" s="16"/>
      <c r="F3058" s="16"/>
      <c r="G3058" s="16"/>
      <c r="H3058" s="16"/>
      <c r="I3058" s="16"/>
      <c r="J3058" s="16"/>
      <c r="K3058" s="16"/>
      <c r="L3058" s="16"/>
      <c r="M3058" s="16"/>
    </row>
    <row r="3059" spans="1:13" x14ac:dyDescent="0.2">
      <c r="A3059" s="16"/>
      <c r="B3059" s="37"/>
      <c r="C3059" s="16"/>
      <c r="D3059" s="16"/>
      <c r="E3059" s="16"/>
      <c r="F3059" s="16"/>
      <c r="G3059" s="16"/>
      <c r="H3059" s="16"/>
      <c r="I3059" s="16"/>
      <c r="J3059" s="16"/>
      <c r="K3059" s="16"/>
      <c r="L3059" s="16"/>
      <c r="M3059" s="16"/>
    </row>
    <row r="3060" spans="1:13" x14ac:dyDescent="0.2">
      <c r="A3060" s="16"/>
      <c r="B3060" s="37"/>
      <c r="C3060" s="16"/>
      <c r="D3060" s="16"/>
      <c r="E3060" s="16"/>
      <c r="F3060" s="16"/>
      <c r="G3060" s="16"/>
      <c r="H3060" s="16"/>
      <c r="I3060" s="16"/>
      <c r="J3060" s="16"/>
      <c r="K3060" s="16"/>
      <c r="L3060" s="16"/>
      <c r="M3060" s="16"/>
    </row>
    <row r="3061" spans="1:13" x14ac:dyDescent="0.2">
      <c r="A3061" s="16"/>
      <c r="B3061" s="37"/>
      <c r="C3061" s="16"/>
      <c r="D3061" s="16"/>
      <c r="E3061" s="16"/>
      <c r="F3061" s="16"/>
      <c r="G3061" s="16"/>
      <c r="H3061" s="16"/>
      <c r="I3061" s="16"/>
      <c r="J3061" s="16"/>
      <c r="K3061" s="16"/>
      <c r="L3061" s="16"/>
      <c r="M3061" s="16"/>
    </row>
    <row r="3062" spans="1:13" x14ac:dyDescent="0.2">
      <c r="A3062" s="16"/>
      <c r="B3062" s="37"/>
      <c r="C3062" s="16"/>
      <c r="D3062" s="16"/>
      <c r="E3062" s="16"/>
      <c r="F3062" s="16"/>
      <c r="G3062" s="16"/>
      <c r="H3062" s="16"/>
      <c r="I3062" s="16"/>
      <c r="J3062" s="16"/>
      <c r="K3062" s="16"/>
      <c r="L3062" s="16"/>
      <c r="M3062" s="16"/>
    </row>
    <row r="3063" spans="1:13" x14ac:dyDescent="0.2">
      <c r="A3063" s="16"/>
      <c r="B3063" s="37"/>
      <c r="C3063" s="16"/>
      <c r="D3063" s="16"/>
      <c r="E3063" s="16"/>
      <c r="F3063" s="16"/>
      <c r="G3063" s="16"/>
      <c r="H3063" s="16"/>
      <c r="I3063" s="16"/>
      <c r="J3063" s="16"/>
      <c r="K3063" s="16"/>
      <c r="L3063" s="16"/>
      <c r="M3063" s="16"/>
    </row>
    <row r="3064" spans="1:13" x14ac:dyDescent="0.2">
      <c r="A3064" s="16"/>
      <c r="B3064" s="37"/>
      <c r="C3064" s="16"/>
      <c r="D3064" s="16"/>
      <c r="E3064" s="16"/>
      <c r="F3064" s="16"/>
      <c r="G3064" s="16"/>
      <c r="H3064" s="16"/>
      <c r="I3064" s="16"/>
      <c r="J3064" s="16"/>
      <c r="K3064" s="16"/>
      <c r="L3064" s="16"/>
      <c r="M3064" s="16"/>
    </row>
    <row r="3065" spans="1:13" x14ac:dyDescent="0.2">
      <c r="A3065" s="16"/>
      <c r="B3065" s="37"/>
      <c r="C3065" s="16"/>
      <c r="D3065" s="16"/>
      <c r="E3065" s="16"/>
      <c r="F3065" s="16"/>
      <c r="G3065" s="16"/>
      <c r="H3065" s="16"/>
      <c r="I3065" s="16"/>
      <c r="J3065" s="16"/>
      <c r="K3065" s="16"/>
      <c r="L3065" s="16"/>
      <c r="M3065" s="16"/>
    </row>
    <row r="3066" spans="1:13" x14ac:dyDescent="0.2">
      <c r="A3066" s="16"/>
      <c r="B3066" s="37"/>
      <c r="C3066" s="16"/>
      <c r="D3066" s="16"/>
      <c r="E3066" s="16"/>
      <c r="F3066" s="16"/>
      <c r="G3066" s="16"/>
      <c r="H3066" s="16"/>
      <c r="I3066" s="16"/>
      <c r="J3066" s="16"/>
      <c r="K3066" s="16"/>
      <c r="L3066" s="16"/>
      <c r="M3066" s="16"/>
    </row>
    <row r="3067" spans="1:13" x14ac:dyDescent="0.2">
      <c r="A3067" s="16"/>
      <c r="B3067" s="37"/>
      <c r="C3067" s="16"/>
      <c r="D3067" s="16"/>
      <c r="E3067" s="16"/>
      <c r="F3067" s="16"/>
      <c r="G3067" s="16"/>
      <c r="H3067" s="16"/>
      <c r="I3067" s="16"/>
      <c r="J3067" s="16"/>
      <c r="K3067" s="16"/>
      <c r="L3067" s="16"/>
      <c r="M3067" s="16"/>
    </row>
    <row r="3068" spans="1:13" x14ac:dyDescent="0.2">
      <c r="A3068" s="16"/>
      <c r="B3068" s="37"/>
      <c r="C3068" s="16"/>
      <c r="D3068" s="16"/>
      <c r="E3068" s="16"/>
      <c r="F3068" s="16"/>
      <c r="G3068" s="16"/>
      <c r="H3068" s="16"/>
      <c r="I3068" s="16"/>
      <c r="J3068" s="16"/>
      <c r="K3068" s="16"/>
      <c r="L3068" s="16"/>
      <c r="M3068" s="16"/>
    </row>
    <row r="3069" spans="1:13" x14ac:dyDescent="0.2">
      <c r="A3069" s="16"/>
      <c r="B3069" s="37"/>
      <c r="C3069" s="16"/>
      <c r="D3069" s="16"/>
      <c r="E3069" s="16"/>
      <c r="F3069" s="16"/>
      <c r="G3069" s="16"/>
      <c r="H3069" s="16"/>
      <c r="I3069" s="16"/>
      <c r="J3069" s="16"/>
      <c r="K3069" s="16"/>
      <c r="L3069" s="16"/>
      <c r="M3069" s="16"/>
    </row>
    <row r="3070" spans="1:13" x14ac:dyDescent="0.2">
      <c r="A3070" s="16"/>
      <c r="B3070" s="37"/>
      <c r="C3070" s="16"/>
      <c r="D3070" s="16"/>
      <c r="E3070" s="16"/>
      <c r="F3070" s="16"/>
      <c r="G3070" s="16"/>
      <c r="H3070" s="16"/>
      <c r="I3070" s="16"/>
      <c r="J3070" s="16"/>
      <c r="K3070" s="16"/>
      <c r="L3070" s="16"/>
      <c r="M3070" s="16"/>
    </row>
    <row r="3071" spans="1:13" x14ac:dyDescent="0.2">
      <c r="A3071" s="16"/>
      <c r="B3071" s="37"/>
      <c r="C3071" s="16"/>
      <c r="D3071" s="16"/>
      <c r="E3071" s="16"/>
      <c r="F3071" s="16"/>
      <c r="G3071" s="16"/>
      <c r="H3071" s="16"/>
      <c r="I3071" s="16"/>
      <c r="J3071" s="16"/>
      <c r="K3071" s="16"/>
      <c r="L3071" s="16"/>
      <c r="M3071" s="16"/>
    </row>
    <row r="3072" spans="1:13" x14ac:dyDescent="0.2">
      <c r="A3072" s="16"/>
      <c r="B3072" s="37"/>
      <c r="C3072" s="16"/>
      <c r="D3072" s="16"/>
      <c r="E3072" s="16"/>
      <c r="F3072" s="16"/>
      <c r="G3072" s="16"/>
      <c r="H3072" s="16"/>
      <c r="I3072" s="16"/>
      <c r="J3072" s="16"/>
      <c r="K3072" s="16"/>
      <c r="L3072" s="16"/>
      <c r="M3072" s="16"/>
    </row>
    <row r="3073" spans="1:13" x14ac:dyDescent="0.2">
      <c r="A3073" s="16"/>
      <c r="B3073" s="37"/>
      <c r="C3073" s="16"/>
      <c r="D3073" s="16"/>
      <c r="E3073" s="16"/>
      <c r="F3073" s="16"/>
      <c r="G3073" s="16"/>
      <c r="H3073" s="16"/>
      <c r="I3073" s="16"/>
      <c r="J3073" s="16"/>
      <c r="K3073" s="16"/>
      <c r="L3073" s="16"/>
      <c r="M3073" s="16"/>
    </row>
    <row r="3074" spans="1:13" x14ac:dyDescent="0.2">
      <c r="A3074" s="16"/>
      <c r="B3074" s="37"/>
      <c r="C3074" s="16"/>
      <c r="D3074" s="16"/>
      <c r="E3074" s="16"/>
      <c r="F3074" s="16"/>
      <c r="G3074" s="16"/>
      <c r="H3074" s="16"/>
      <c r="I3074" s="16"/>
      <c r="J3074" s="16"/>
      <c r="K3074" s="16"/>
      <c r="L3074" s="16"/>
      <c r="M3074" s="16"/>
    </row>
    <row r="3075" spans="1:13" x14ac:dyDescent="0.2">
      <c r="A3075" s="16"/>
      <c r="B3075" s="37"/>
      <c r="C3075" s="16"/>
      <c r="D3075" s="16"/>
      <c r="E3075" s="16"/>
      <c r="F3075" s="16"/>
      <c r="G3075" s="16"/>
      <c r="H3075" s="16"/>
      <c r="I3075" s="16"/>
      <c r="J3075" s="16"/>
      <c r="K3075" s="16"/>
      <c r="L3075" s="16"/>
      <c r="M3075" s="16"/>
    </row>
    <row r="3076" spans="1:13" x14ac:dyDescent="0.2">
      <c r="A3076" s="16"/>
      <c r="B3076" s="37"/>
      <c r="C3076" s="16"/>
      <c r="D3076" s="16"/>
      <c r="E3076" s="16"/>
      <c r="F3076" s="16"/>
      <c r="G3076" s="16"/>
      <c r="H3076" s="16"/>
      <c r="I3076" s="16"/>
      <c r="J3076" s="16"/>
      <c r="K3076" s="16"/>
      <c r="L3076" s="16"/>
      <c r="M3076" s="16"/>
    </row>
    <row r="3077" spans="1:13" x14ac:dyDescent="0.2">
      <c r="A3077" s="16"/>
      <c r="B3077" s="37"/>
      <c r="C3077" s="16"/>
      <c r="D3077" s="16"/>
      <c r="E3077" s="16"/>
      <c r="F3077" s="16"/>
      <c r="G3077" s="16"/>
      <c r="H3077" s="16"/>
      <c r="I3077" s="16"/>
      <c r="J3077" s="16"/>
      <c r="K3077" s="16"/>
      <c r="L3077" s="16"/>
      <c r="M3077" s="16"/>
    </row>
    <row r="3078" spans="1:13" x14ac:dyDescent="0.2">
      <c r="A3078" s="16"/>
      <c r="B3078" s="37"/>
      <c r="C3078" s="16"/>
      <c r="D3078" s="16"/>
      <c r="E3078" s="16"/>
      <c r="F3078" s="16"/>
      <c r="G3078" s="16"/>
      <c r="H3078" s="16"/>
      <c r="I3078" s="16"/>
      <c r="J3078" s="16"/>
      <c r="K3078" s="16"/>
      <c r="L3078" s="16"/>
      <c r="M3078" s="16"/>
    </row>
    <row r="3079" spans="1:13" x14ac:dyDescent="0.2">
      <c r="A3079" s="16"/>
      <c r="B3079" s="37"/>
      <c r="C3079" s="16"/>
      <c r="D3079" s="16"/>
      <c r="E3079" s="16"/>
      <c r="F3079" s="16"/>
      <c r="G3079" s="16"/>
      <c r="H3079" s="16"/>
      <c r="I3079" s="16"/>
      <c r="J3079" s="16"/>
      <c r="K3079" s="16"/>
      <c r="L3079" s="16"/>
      <c r="M3079" s="16"/>
    </row>
    <row r="3080" spans="1:13" x14ac:dyDescent="0.2">
      <c r="A3080" s="16"/>
      <c r="B3080" s="37"/>
      <c r="C3080" s="16"/>
      <c r="D3080" s="16"/>
      <c r="E3080" s="16"/>
      <c r="F3080" s="16"/>
      <c r="G3080" s="16"/>
      <c r="H3080" s="16"/>
      <c r="I3080" s="16"/>
      <c r="J3080" s="16"/>
      <c r="K3080" s="16"/>
      <c r="L3080" s="16"/>
      <c r="M3080" s="16"/>
    </row>
    <row r="3081" spans="1:13" x14ac:dyDescent="0.2">
      <c r="A3081" s="16"/>
      <c r="B3081" s="37"/>
      <c r="C3081" s="16"/>
      <c r="D3081" s="16"/>
      <c r="E3081" s="16"/>
      <c r="F3081" s="16"/>
      <c r="G3081" s="16"/>
      <c r="H3081" s="16"/>
      <c r="I3081" s="16"/>
      <c r="J3081" s="16"/>
      <c r="K3081" s="16"/>
      <c r="L3081" s="16"/>
      <c r="M3081" s="16"/>
    </row>
    <row r="3082" spans="1:13" x14ac:dyDescent="0.2">
      <c r="A3082" s="16"/>
      <c r="B3082" s="37"/>
      <c r="C3082" s="16"/>
      <c r="D3082" s="16"/>
      <c r="E3082" s="16"/>
      <c r="F3082" s="16"/>
      <c r="G3082" s="16"/>
      <c r="H3082" s="16"/>
      <c r="I3082" s="16"/>
      <c r="J3082" s="16"/>
      <c r="K3082" s="16"/>
      <c r="L3082" s="16"/>
      <c r="M3082" s="16"/>
    </row>
    <row r="3083" spans="1:13" x14ac:dyDescent="0.2">
      <c r="A3083" s="16"/>
      <c r="B3083" s="37"/>
      <c r="C3083" s="16"/>
      <c r="D3083" s="16"/>
      <c r="E3083" s="16"/>
      <c r="F3083" s="16"/>
      <c r="G3083" s="16"/>
      <c r="H3083" s="16"/>
      <c r="I3083" s="16"/>
      <c r="J3083" s="16"/>
      <c r="K3083" s="16"/>
      <c r="L3083" s="16"/>
      <c r="M3083" s="16"/>
    </row>
    <row r="3084" spans="1:13" x14ac:dyDescent="0.2">
      <c r="A3084" s="16"/>
      <c r="B3084" s="37"/>
      <c r="C3084" s="16"/>
      <c r="D3084" s="16"/>
      <c r="E3084" s="16"/>
      <c r="F3084" s="16"/>
      <c r="G3084" s="16"/>
      <c r="H3084" s="16"/>
      <c r="I3084" s="16"/>
      <c r="J3084" s="16"/>
      <c r="K3084" s="16"/>
      <c r="L3084" s="16"/>
      <c r="M3084" s="16"/>
    </row>
    <row r="3085" spans="1:13" x14ac:dyDescent="0.2">
      <c r="A3085" s="16"/>
      <c r="B3085" s="37"/>
      <c r="C3085" s="16"/>
      <c r="D3085" s="16"/>
      <c r="E3085" s="16"/>
      <c r="F3085" s="16"/>
      <c r="G3085" s="16"/>
      <c r="H3085" s="16"/>
      <c r="I3085" s="16"/>
      <c r="J3085" s="16"/>
      <c r="K3085" s="16"/>
      <c r="L3085" s="16"/>
      <c r="M3085" s="16"/>
    </row>
    <row r="3086" spans="1:13" x14ac:dyDescent="0.2">
      <c r="A3086" s="16"/>
      <c r="B3086" s="37"/>
      <c r="C3086" s="16"/>
      <c r="D3086" s="16"/>
      <c r="E3086" s="16"/>
      <c r="F3086" s="16"/>
      <c r="G3086" s="16"/>
      <c r="H3086" s="16"/>
      <c r="I3086" s="16"/>
      <c r="J3086" s="16"/>
      <c r="K3086" s="16"/>
      <c r="L3086" s="16"/>
      <c r="M3086" s="16"/>
    </row>
    <row r="3087" spans="1:13" x14ac:dyDescent="0.2">
      <c r="A3087" s="16"/>
      <c r="B3087" s="37"/>
      <c r="C3087" s="16"/>
      <c r="D3087" s="16"/>
      <c r="E3087" s="16"/>
      <c r="F3087" s="16"/>
      <c r="G3087" s="16"/>
      <c r="H3087" s="16"/>
      <c r="I3087" s="16"/>
      <c r="J3087" s="16"/>
      <c r="K3087" s="16"/>
      <c r="L3087" s="16"/>
      <c r="M3087" s="16"/>
    </row>
    <row r="3088" spans="1:13" x14ac:dyDescent="0.2">
      <c r="A3088" s="16"/>
      <c r="B3088" s="37"/>
      <c r="C3088" s="16"/>
      <c r="D3088" s="16"/>
      <c r="E3088" s="16"/>
      <c r="F3088" s="16"/>
      <c r="G3088" s="16"/>
      <c r="H3088" s="16"/>
      <c r="I3088" s="16"/>
      <c r="J3088" s="16"/>
      <c r="K3088" s="16"/>
      <c r="L3088" s="16"/>
      <c r="M3088" s="16"/>
    </row>
    <row r="3089" spans="1:13" x14ac:dyDescent="0.2">
      <c r="A3089" s="16"/>
      <c r="B3089" s="37"/>
      <c r="C3089" s="16"/>
      <c r="D3089" s="16"/>
      <c r="E3089" s="16"/>
      <c r="F3089" s="16"/>
      <c r="G3089" s="16"/>
      <c r="H3089" s="16"/>
      <c r="I3089" s="16"/>
      <c r="J3089" s="16"/>
      <c r="K3089" s="16"/>
      <c r="L3089" s="16"/>
      <c r="M3089" s="16"/>
    </row>
    <row r="3090" spans="1:13" x14ac:dyDescent="0.2">
      <c r="A3090" s="16"/>
      <c r="B3090" s="37"/>
      <c r="C3090" s="16"/>
      <c r="D3090" s="16"/>
      <c r="E3090" s="16"/>
      <c r="F3090" s="16"/>
      <c r="G3090" s="16"/>
      <c r="H3090" s="16"/>
      <c r="I3090" s="16"/>
      <c r="J3090" s="16"/>
      <c r="K3090" s="16"/>
      <c r="L3090" s="16"/>
      <c r="M3090" s="16"/>
    </row>
    <row r="3091" spans="1:13" x14ac:dyDescent="0.2">
      <c r="A3091" s="16"/>
      <c r="B3091" s="37"/>
      <c r="C3091" s="16"/>
      <c r="D3091" s="16"/>
      <c r="E3091" s="16"/>
      <c r="F3091" s="16"/>
      <c r="G3091" s="16"/>
      <c r="H3091" s="16"/>
      <c r="I3091" s="16"/>
      <c r="J3091" s="16"/>
      <c r="K3091" s="16"/>
      <c r="L3091" s="16"/>
      <c r="M3091" s="16"/>
    </row>
    <row r="3092" spans="1:13" x14ac:dyDescent="0.2">
      <c r="A3092" s="16"/>
      <c r="B3092" s="37"/>
      <c r="C3092" s="16"/>
      <c r="D3092" s="16"/>
      <c r="E3092" s="16"/>
      <c r="F3092" s="16"/>
      <c r="G3092" s="16"/>
      <c r="H3092" s="16"/>
      <c r="I3092" s="16"/>
      <c r="J3092" s="16"/>
      <c r="K3092" s="16"/>
      <c r="L3092" s="16"/>
      <c r="M3092" s="16"/>
    </row>
    <row r="3093" spans="1:13" x14ac:dyDescent="0.2">
      <c r="A3093" s="16"/>
      <c r="B3093" s="37"/>
      <c r="C3093" s="16"/>
      <c r="D3093" s="16"/>
      <c r="E3093" s="16"/>
      <c r="F3093" s="16"/>
      <c r="G3093" s="16"/>
      <c r="H3093" s="16"/>
      <c r="I3093" s="16"/>
      <c r="J3093" s="16"/>
      <c r="K3093" s="16"/>
      <c r="L3093" s="16"/>
      <c r="M3093" s="16"/>
    </row>
    <row r="3094" spans="1:13" x14ac:dyDescent="0.2">
      <c r="A3094" s="16"/>
      <c r="B3094" s="37"/>
      <c r="C3094" s="16"/>
      <c r="D3094" s="16"/>
      <c r="E3094" s="16"/>
      <c r="F3094" s="16"/>
      <c r="G3094" s="16"/>
      <c r="H3094" s="16"/>
      <c r="I3094" s="16"/>
      <c r="J3094" s="16"/>
      <c r="K3094" s="16"/>
      <c r="L3094" s="16"/>
      <c r="M3094" s="16"/>
    </row>
    <row r="3095" spans="1:13" x14ac:dyDescent="0.2">
      <c r="A3095" s="16"/>
      <c r="B3095" s="37"/>
      <c r="C3095" s="16"/>
      <c r="D3095" s="16"/>
      <c r="E3095" s="16"/>
      <c r="F3095" s="16"/>
      <c r="G3095" s="16"/>
      <c r="H3095" s="16"/>
      <c r="I3095" s="16"/>
      <c r="J3095" s="16"/>
      <c r="K3095" s="16"/>
      <c r="L3095" s="16"/>
      <c r="M3095" s="16"/>
    </row>
    <row r="3096" spans="1:13" x14ac:dyDescent="0.2">
      <c r="A3096" s="16"/>
      <c r="B3096" s="37"/>
      <c r="C3096" s="16"/>
      <c r="D3096" s="16"/>
      <c r="E3096" s="16"/>
      <c r="F3096" s="16"/>
      <c r="G3096" s="16"/>
      <c r="H3096" s="16"/>
      <c r="I3096" s="16"/>
      <c r="J3096" s="16"/>
      <c r="K3096" s="16"/>
      <c r="L3096" s="16"/>
      <c r="M3096" s="16"/>
    </row>
    <row r="3097" spans="1:13" x14ac:dyDescent="0.2">
      <c r="A3097" s="16"/>
      <c r="B3097" s="37"/>
      <c r="C3097" s="16"/>
      <c r="D3097" s="16"/>
      <c r="E3097" s="16"/>
      <c r="F3097" s="16"/>
      <c r="G3097" s="16"/>
      <c r="H3097" s="16"/>
      <c r="I3097" s="16"/>
      <c r="J3097" s="16"/>
      <c r="K3097" s="16"/>
      <c r="L3097" s="16"/>
      <c r="M3097" s="16"/>
    </row>
    <row r="3098" spans="1:13" x14ac:dyDescent="0.2">
      <c r="A3098" s="16"/>
      <c r="B3098" s="37"/>
      <c r="C3098" s="16"/>
      <c r="D3098" s="16"/>
      <c r="E3098" s="16"/>
      <c r="F3098" s="16"/>
      <c r="G3098" s="16"/>
      <c r="H3098" s="16"/>
      <c r="I3098" s="16"/>
      <c r="J3098" s="16"/>
      <c r="K3098" s="16"/>
      <c r="L3098" s="16"/>
      <c r="M3098" s="16"/>
    </row>
    <row r="3099" spans="1:13" x14ac:dyDescent="0.2">
      <c r="A3099" s="16"/>
      <c r="B3099" s="37"/>
      <c r="C3099" s="16"/>
      <c r="D3099" s="16"/>
      <c r="E3099" s="16"/>
      <c r="F3099" s="16"/>
      <c r="G3099" s="16"/>
      <c r="H3099" s="16"/>
      <c r="I3099" s="16"/>
      <c r="J3099" s="16"/>
      <c r="K3099" s="16"/>
      <c r="L3099" s="16"/>
      <c r="M3099" s="16"/>
    </row>
    <row r="3100" spans="1:13" x14ac:dyDescent="0.2">
      <c r="A3100" s="16"/>
      <c r="B3100" s="37"/>
      <c r="C3100" s="16"/>
      <c r="D3100" s="16"/>
      <c r="E3100" s="16"/>
      <c r="F3100" s="16"/>
      <c r="G3100" s="16"/>
      <c r="H3100" s="16"/>
      <c r="I3100" s="16"/>
      <c r="J3100" s="16"/>
      <c r="K3100" s="16"/>
      <c r="L3100" s="16"/>
      <c r="M3100" s="16"/>
    </row>
    <row r="3101" spans="1:13" x14ac:dyDescent="0.2">
      <c r="A3101" s="16"/>
      <c r="B3101" s="37"/>
      <c r="C3101" s="16"/>
      <c r="D3101" s="16"/>
      <c r="E3101" s="16"/>
      <c r="F3101" s="16"/>
      <c r="G3101" s="16"/>
      <c r="H3101" s="16"/>
      <c r="I3101" s="16"/>
      <c r="J3101" s="16"/>
      <c r="K3101" s="16"/>
      <c r="L3101" s="16"/>
      <c r="M3101" s="16"/>
    </row>
    <row r="3102" spans="1:13" x14ac:dyDescent="0.2">
      <c r="A3102" s="16"/>
      <c r="B3102" s="37"/>
      <c r="C3102" s="16"/>
      <c r="D3102" s="16"/>
      <c r="E3102" s="16"/>
      <c r="F3102" s="16"/>
      <c r="G3102" s="16"/>
      <c r="H3102" s="16"/>
      <c r="I3102" s="16"/>
      <c r="J3102" s="16"/>
      <c r="K3102" s="16"/>
      <c r="L3102" s="16"/>
      <c r="M3102" s="16"/>
    </row>
    <row r="3103" spans="1:13" x14ac:dyDescent="0.2">
      <c r="A3103" s="16"/>
      <c r="B3103" s="37"/>
      <c r="C3103" s="16"/>
      <c r="D3103" s="16"/>
      <c r="E3103" s="16"/>
      <c r="F3103" s="16"/>
      <c r="G3103" s="16"/>
      <c r="H3103" s="16"/>
      <c r="I3103" s="16"/>
      <c r="J3103" s="16"/>
      <c r="K3103" s="16"/>
      <c r="L3103" s="16"/>
      <c r="M3103" s="16"/>
    </row>
    <row r="3104" spans="1:13" x14ac:dyDescent="0.2">
      <c r="A3104" s="16"/>
      <c r="B3104" s="37"/>
      <c r="C3104" s="16"/>
      <c r="D3104" s="16"/>
      <c r="E3104" s="16"/>
      <c r="F3104" s="16"/>
      <c r="G3104" s="16"/>
      <c r="H3104" s="16"/>
      <c r="I3104" s="16"/>
      <c r="J3104" s="16"/>
      <c r="K3104" s="16"/>
      <c r="L3104" s="16"/>
      <c r="M3104" s="16"/>
    </row>
    <row r="3105" spans="1:13" x14ac:dyDescent="0.2">
      <c r="A3105" s="16"/>
      <c r="B3105" s="37"/>
      <c r="C3105" s="16"/>
      <c r="D3105" s="16"/>
      <c r="E3105" s="16"/>
      <c r="F3105" s="16"/>
      <c r="G3105" s="16"/>
      <c r="H3105" s="16"/>
      <c r="I3105" s="16"/>
      <c r="J3105" s="16"/>
      <c r="K3105" s="16"/>
      <c r="L3105" s="16"/>
      <c r="M3105" s="16"/>
    </row>
    <row r="3106" spans="1:13" x14ac:dyDescent="0.2">
      <c r="A3106" s="16"/>
      <c r="B3106" s="37"/>
      <c r="C3106" s="16"/>
      <c r="D3106" s="16"/>
      <c r="E3106" s="16"/>
      <c r="F3106" s="16"/>
      <c r="G3106" s="16"/>
      <c r="H3106" s="16"/>
      <c r="I3106" s="16"/>
      <c r="J3106" s="16"/>
      <c r="K3106" s="16"/>
      <c r="L3106" s="16"/>
      <c r="M3106" s="16"/>
    </row>
    <row r="3107" spans="1:13" x14ac:dyDescent="0.2">
      <c r="A3107" s="16"/>
      <c r="B3107" s="37"/>
      <c r="C3107" s="16"/>
      <c r="D3107" s="16"/>
      <c r="E3107" s="16"/>
      <c r="F3107" s="16"/>
      <c r="G3107" s="16"/>
      <c r="H3107" s="16"/>
      <c r="I3107" s="16"/>
      <c r="J3107" s="16"/>
      <c r="K3107" s="16"/>
      <c r="L3107" s="16"/>
      <c r="M3107" s="16"/>
    </row>
    <row r="3108" spans="1:13" x14ac:dyDescent="0.2">
      <c r="A3108" s="16"/>
      <c r="B3108" s="37"/>
      <c r="C3108" s="16"/>
      <c r="D3108" s="16"/>
      <c r="E3108" s="16"/>
      <c r="F3108" s="16"/>
      <c r="G3108" s="16"/>
      <c r="H3108" s="16"/>
      <c r="I3108" s="16"/>
      <c r="J3108" s="16"/>
      <c r="K3108" s="16"/>
      <c r="L3108" s="16"/>
      <c r="M3108" s="16"/>
    </row>
    <row r="3109" spans="1:13" x14ac:dyDescent="0.2">
      <c r="A3109" s="16"/>
      <c r="B3109" s="37"/>
      <c r="C3109" s="16"/>
      <c r="D3109" s="16"/>
      <c r="E3109" s="16"/>
      <c r="F3109" s="16"/>
      <c r="G3109" s="16"/>
      <c r="H3109" s="16"/>
      <c r="I3109" s="16"/>
      <c r="J3109" s="16"/>
      <c r="K3109" s="16"/>
      <c r="L3109" s="16"/>
      <c r="M3109" s="16"/>
    </row>
    <row r="3110" spans="1:13" x14ac:dyDescent="0.2">
      <c r="A3110" s="16"/>
      <c r="B3110" s="37"/>
      <c r="C3110" s="16"/>
      <c r="D3110" s="16"/>
      <c r="E3110" s="16"/>
      <c r="F3110" s="16"/>
      <c r="G3110" s="16"/>
      <c r="H3110" s="16"/>
      <c r="I3110" s="16"/>
      <c r="J3110" s="16"/>
      <c r="K3110" s="16"/>
      <c r="L3110" s="16"/>
      <c r="M3110" s="16"/>
    </row>
    <row r="3111" spans="1:13" x14ac:dyDescent="0.2">
      <c r="A3111" s="16"/>
      <c r="B3111" s="37"/>
      <c r="C3111" s="16"/>
      <c r="D3111" s="16"/>
      <c r="E3111" s="16"/>
      <c r="F3111" s="16"/>
      <c r="G3111" s="16"/>
      <c r="H3111" s="16"/>
      <c r="I3111" s="16"/>
      <c r="J3111" s="16"/>
      <c r="K3111" s="16"/>
      <c r="L3111" s="16"/>
      <c r="M3111" s="16"/>
    </row>
    <row r="3112" spans="1:13" x14ac:dyDescent="0.2">
      <c r="A3112" s="16"/>
      <c r="B3112" s="37"/>
      <c r="C3112" s="16"/>
      <c r="D3112" s="16"/>
      <c r="E3112" s="16"/>
      <c r="F3112" s="16"/>
      <c r="G3112" s="16"/>
      <c r="H3112" s="16"/>
      <c r="I3112" s="16"/>
      <c r="J3112" s="16"/>
      <c r="K3112" s="16"/>
      <c r="L3112" s="16"/>
      <c r="M3112" s="16"/>
    </row>
    <row r="3113" spans="1:13" x14ac:dyDescent="0.2">
      <c r="A3113" s="16"/>
      <c r="B3113" s="37"/>
      <c r="C3113" s="16"/>
      <c r="D3113" s="16"/>
      <c r="E3113" s="16"/>
      <c r="F3113" s="16"/>
      <c r="G3113" s="16"/>
      <c r="H3113" s="16"/>
      <c r="I3113" s="16"/>
      <c r="J3113" s="16"/>
      <c r="K3113" s="16"/>
      <c r="L3113" s="16"/>
      <c r="M3113" s="16"/>
    </row>
    <row r="3114" spans="1:13" x14ac:dyDescent="0.2">
      <c r="A3114" s="16"/>
      <c r="B3114" s="37"/>
      <c r="C3114" s="16"/>
      <c r="D3114" s="16"/>
      <c r="E3114" s="16"/>
      <c r="F3114" s="16"/>
      <c r="G3114" s="16"/>
      <c r="H3114" s="16"/>
      <c r="I3114" s="16"/>
      <c r="J3114" s="16"/>
      <c r="K3114" s="16"/>
      <c r="L3114" s="16"/>
      <c r="M3114" s="16"/>
    </row>
    <row r="3115" spans="1:13" x14ac:dyDescent="0.2">
      <c r="A3115" s="16"/>
      <c r="B3115" s="37"/>
      <c r="C3115" s="16"/>
      <c r="D3115" s="16"/>
      <c r="E3115" s="16"/>
      <c r="F3115" s="16"/>
      <c r="G3115" s="16"/>
      <c r="H3115" s="16"/>
      <c r="I3115" s="16"/>
      <c r="J3115" s="16"/>
      <c r="K3115" s="16"/>
      <c r="L3115" s="16"/>
      <c r="M3115" s="16"/>
    </row>
    <row r="3116" spans="1:13" x14ac:dyDescent="0.2">
      <c r="A3116" s="16"/>
      <c r="B3116" s="37"/>
      <c r="C3116" s="16"/>
      <c r="D3116" s="16"/>
      <c r="E3116" s="16"/>
      <c r="F3116" s="16"/>
      <c r="G3116" s="16"/>
      <c r="H3116" s="16"/>
      <c r="I3116" s="16"/>
      <c r="J3116" s="16"/>
      <c r="K3116" s="16"/>
      <c r="L3116" s="16"/>
      <c r="M3116" s="16"/>
    </row>
    <row r="3117" spans="1:13" x14ac:dyDescent="0.2">
      <c r="A3117" s="16"/>
      <c r="B3117" s="37"/>
      <c r="C3117" s="16"/>
      <c r="D3117" s="16"/>
      <c r="E3117" s="16"/>
      <c r="F3117" s="16"/>
      <c r="G3117" s="16"/>
      <c r="H3117" s="16"/>
      <c r="I3117" s="16"/>
      <c r="J3117" s="16"/>
      <c r="K3117" s="16"/>
      <c r="L3117" s="16"/>
      <c r="M3117" s="16"/>
    </row>
    <row r="3118" spans="1:13" x14ac:dyDescent="0.2">
      <c r="A3118" s="16"/>
      <c r="B3118" s="37"/>
      <c r="C3118" s="16"/>
      <c r="D3118" s="16"/>
      <c r="E3118" s="16"/>
      <c r="F3118" s="16"/>
      <c r="G3118" s="16"/>
      <c r="H3118" s="16"/>
      <c r="I3118" s="16"/>
      <c r="J3118" s="16"/>
      <c r="K3118" s="16"/>
      <c r="L3118" s="16"/>
      <c r="M3118" s="16"/>
    </row>
    <row r="3119" spans="1:13" x14ac:dyDescent="0.2">
      <c r="A3119" s="16"/>
      <c r="B3119" s="37"/>
      <c r="C3119" s="16"/>
      <c r="D3119" s="16"/>
      <c r="E3119" s="16"/>
      <c r="F3119" s="16"/>
      <c r="G3119" s="16"/>
      <c r="H3119" s="16"/>
      <c r="I3119" s="16"/>
      <c r="J3119" s="16"/>
      <c r="K3119" s="16"/>
      <c r="L3119" s="16"/>
      <c r="M3119" s="16"/>
    </row>
    <row r="3120" spans="1:13" x14ac:dyDescent="0.2">
      <c r="A3120" s="16"/>
      <c r="B3120" s="37"/>
      <c r="C3120" s="16"/>
      <c r="D3120" s="16"/>
      <c r="E3120" s="16"/>
      <c r="F3120" s="16"/>
      <c r="G3120" s="16"/>
      <c r="H3120" s="16"/>
      <c r="I3120" s="16"/>
      <c r="J3120" s="16"/>
      <c r="K3120" s="16"/>
      <c r="L3120" s="16"/>
      <c r="M3120" s="16"/>
    </row>
    <row r="3121" spans="1:13" x14ac:dyDescent="0.2">
      <c r="A3121" s="16"/>
      <c r="B3121" s="37"/>
      <c r="C3121" s="16"/>
      <c r="D3121" s="16"/>
      <c r="E3121" s="16"/>
      <c r="F3121" s="16"/>
      <c r="G3121" s="16"/>
      <c r="H3121" s="16"/>
      <c r="I3121" s="16"/>
      <c r="J3121" s="16"/>
      <c r="K3121" s="16"/>
      <c r="L3121" s="16"/>
      <c r="M3121" s="16"/>
    </row>
    <row r="3122" spans="1:13" x14ac:dyDescent="0.2">
      <c r="A3122" s="16"/>
      <c r="B3122" s="37"/>
      <c r="C3122" s="16"/>
      <c r="D3122" s="16"/>
      <c r="E3122" s="16"/>
      <c r="F3122" s="16"/>
      <c r="G3122" s="16"/>
      <c r="H3122" s="16"/>
      <c r="I3122" s="16"/>
      <c r="J3122" s="16"/>
      <c r="K3122" s="16"/>
      <c r="L3122" s="16"/>
      <c r="M3122" s="16"/>
    </row>
    <row r="3123" spans="1:13" x14ac:dyDescent="0.2">
      <c r="A3123" s="16"/>
      <c r="B3123" s="37"/>
      <c r="C3123" s="16"/>
      <c r="D3123" s="16"/>
      <c r="E3123" s="16"/>
      <c r="F3123" s="16"/>
      <c r="G3123" s="16"/>
      <c r="H3123" s="16"/>
      <c r="I3123" s="16"/>
      <c r="J3123" s="16"/>
      <c r="K3123" s="16"/>
      <c r="L3123" s="16"/>
      <c r="M3123" s="16"/>
    </row>
    <row r="3124" spans="1:13" x14ac:dyDescent="0.2">
      <c r="A3124" s="16"/>
      <c r="B3124" s="37"/>
      <c r="C3124" s="16"/>
      <c r="D3124" s="16"/>
      <c r="E3124" s="16"/>
      <c r="F3124" s="16"/>
      <c r="G3124" s="16"/>
      <c r="H3124" s="16"/>
      <c r="I3124" s="16"/>
      <c r="J3124" s="16"/>
      <c r="K3124" s="16"/>
      <c r="L3124" s="16"/>
      <c r="M3124" s="16"/>
    </row>
    <row r="3125" spans="1:13" x14ac:dyDescent="0.2">
      <c r="A3125" s="16"/>
      <c r="B3125" s="37"/>
      <c r="C3125" s="16"/>
      <c r="D3125" s="16"/>
      <c r="E3125" s="16"/>
      <c r="F3125" s="16"/>
      <c r="G3125" s="16"/>
      <c r="H3125" s="16"/>
      <c r="I3125" s="16"/>
      <c r="J3125" s="16"/>
      <c r="K3125" s="16"/>
      <c r="L3125" s="16"/>
      <c r="M3125" s="16"/>
    </row>
    <row r="3126" spans="1:13" x14ac:dyDescent="0.2">
      <c r="A3126" s="16"/>
      <c r="B3126" s="37"/>
      <c r="C3126" s="16"/>
      <c r="D3126" s="16"/>
      <c r="E3126" s="16"/>
      <c r="F3126" s="16"/>
      <c r="G3126" s="16"/>
      <c r="H3126" s="16"/>
      <c r="I3126" s="16"/>
      <c r="J3126" s="16"/>
      <c r="K3126" s="16"/>
      <c r="L3126" s="16"/>
      <c r="M3126" s="16"/>
    </row>
    <row r="3127" spans="1:13" x14ac:dyDescent="0.2">
      <c r="A3127" s="16"/>
      <c r="B3127" s="37"/>
      <c r="C3127" s="16"/>
      <c r="D3127" s="16"/>
      <c r="E3127" s="16"/>
      <c r="F3127" s="16"/>
      <c r="G3127" s="16"/>
      <c r="H3127" s="16"/>
      <c r="I3127" s="16"/>
      <c r="J3127" s="16"/>
      <c r="K3127" s="16"/>
      <c r="L3127" s="16"/>
      <c r="M3127" s="16"/>
    </row>
    <row r="3128" spans="1:13" x14ac:dyDescent="0.2">
      <c r="A3128" s="16"/>
      <c r="B3128" s="37"/>
      <c r="C3128" s="16"/>
      <c r="D3128" s="16"/>
      <c r="E3128" s="16"/>
      <c r="F3128" s="16"/>
      <c r="G3128" s="16"/>
      <c r="H3128" s="16"/>
      <c r="I3128" s="16"/>
      <c r="J3128" s="16"/>
      <c r="K3128" s="16"/>
      <c r="L3128" s="16"/>
      <c r="M3128" s="16"/>
    </row>
    <row r="3129" spans="1:13" x14ac:dyDescent="0.2">
      <c r="A3129" s="16"/>
      <c r="B3129" s="37"/>
      <c r="C3129" s="16"/>
      <c r="D3129" s="16"/>
      <c r="E3129" s="16"/>
      <c r="F3129" s="16"/>
      <c r="G3129" s="16"/>
      <c r="H3129" s="16"/>
      <c r="I3129" s="16"/>
      <c r="J3129" s="16"/>
      <c r="K3129" s="16"/>
      <c r="L3129" s="16"/>
      <c r="M3129" s="16"/>
    </row>
    <row r="3130" spans="1:13" x14ac:dyDescent="0.2">
      <c r="A3130" s="16"/>
      <c r="B3130" s="37"/>
      <c r="C3130" s="16"/>
      <c r="D3130" s="16"/>
      <c r="E3130" s="16"/>
      <c r="F3130" s="16"/>
      <c r="G3130" s="16"/>
      <c r="H3130" s="16"/>
      <c r="I3130" s="16"/>
      <c r="J3130" s="16"/>
      <c r="K3130" s="16"/>
      <c r="L3130" s="16"/>
      <c r="M3130" s="16"/>
    </row>
    <row r="3131" spans="1:13" x14ac:dyDescent="0.2">
      <c r="A3131" s="16"/>
      <c r="B3131" s="37"/>
      <c r="C3131" s="16"/>
      <c r="D3131" s="16"/>
      <c r="E3131" s="16"/>
      <c r="F3131" s="16"/>
      <c r="G3131" s="16"/>
      <c r="H3131" s="16"/>
      <c r="I3131" s="16"/>
      <c r="J3131" s="16"/>
      <c r="K3131" s="16"/>
      <c r="L3131" s="16"/>
      <c r="M3131" s="16"/>
    </row>
    <row r="3132" spans="1:13" x14ac:dyDescent="0.2">
      <c r="A3132" s="16"/>
      <c r="B3132" s="37"/>
      <c r="C3132" s="16"/>
      <c r="D3132" s="16"/>
      <c r="E3132" s="16"/>
      <c r="F3132" s="16"/>
      <c r="G3132" s="16"/>
      <c r="H3132" s="16"/>
      <c r="I3132" s="16"/>
      <c r="J3132" s="16"/>
      <c r="K3132" s="16"/>
      <c r="L3132" s="16"/>
      <c r="M3132" s="16"/>
    </row>
    <row r="3133" spans="1:13" x14ac:dyDescent="0.2">
      <c r="A3133" s="16"/>
      <c r="B3133" s="37"/>
      <c r="C3133" s="16"/>
      <c r="D3133" s="16"/>
      <c r="E3133" s="16"/>
      <c r="F3133" s="16"/>
      <c r="G3133" s="16"/>
      <c r="H3133" s="16"/>
      <c r="I3133" s="16"/>
      <c r="J3133" s="16"/>
      <c r="K3133" s="16"/>
      <c r="L3133" s="16"/>
      <c r="M3133" s="16"/>
    </row>
    <row r="3134" spans="1:13" x14ac:dyDescent="0.2">
      <c r="A3134" s="16"/>
      <c r="B3134" s="37"/>
      <c r="C3134" s="16"/>
      <c r="D3134" s="16"/>
      <c r="E3134" s="16"/>
      <c r="F3134" s="16"/>
      <c r="G3134" s="16"/>
      <c r="H3134" s="16"/>
      <c r="I3134" s="16"/>
      <c r="J3134" s="16"/>
      <c r="K3134" s="16"/>
      <c r="L3134" s="16"/>
      <c r="M3134" s="16"/>
    </row>
    <row r="3135" spans="1:13" x14ac:dyDescent="0.2">
      <c r="A3135" s="16"/>
      <c r="B3135" s="37"/>
      <c r="C3135" s="16"/>
      <c r="D3135" s="16"/>
      <c r="E3135" s="16"/>
      <c r="F3135" s="16"/>
      <c r="G3135" s="16"/>
      <c r="H3135" s="16"/>
      <c r="I3135" s="16"/>
      <c r="J3135" s="16"/>
      <c r="K3135" s="16"/>
      <c r="L3135" s="16"/>
      <c r="M3135" s="16"/>
    </row>
    <row r="3136" spans="1:13" x14ac:dyDescent="0.2">
      <c r="A3136" s="16"/>
      <c r="B3136" s="37"/>
      <c r="C3136" s="16"/>
      <c r="D3136" s="16"/>
      <c r="E3136" s="16"/>
      <c r="F3136" s="16"/>
      <c r="G3136" s="16"/>
      <c r="H3136" s="16"/>
      <c r="I3136" s="16"/>
      <c r="J3136" s="16"/>
      <c r="K3136" s="16"/>
      <c r="L3136" s="16"/>
      <c r="M3136" s="16"/>
    </row>
    <row r="3137" spans="1:13" x14ac:dyDescent="0.2">
      <c r="A3137" s="16"/>
      <c r="B3137" s="37"/>
      <c r="C3137" s="16"/>
      <c r="D3137" s="16"/>
      <c r="E3137" s="16"/>
      <c r="F3137" s="16"/>
      <c r="G3137" s="16"/>
      <c r="H3137" s="16"/>
      <c r="I3137" s="16"/>
      <c r="J3137" s="16"/>
      <c r="K3137" s="16"/>
      <c r="L3137" s="16"/>
      <c r="M3137" s="16"/>
    </row>
    <row r="3138" spans="1:13" x14ac:dyDescent="0.2">
      <c r="A3138" s="16"/>
      <c r="B3138" s="37"/>
      <c r="C3138" s="16"/>
      <c r="D3138" s="16"/>
      <c r="E3138" s="16"/>
      <c r="F3138" s="16"/>
      <c r="G3138" s="16"/>
      <c r="H3138" s="16"/>
      <c r="I3138" s="16"/>
      <c r="J3138" s="16"/>
      <c r="K3138" s="16"/>
      <c r="L3138" s="16"/>
      <c r="M3138" s="16"/>
    </row>
    <row r="3139" spans="1:13" x14ac:dyDescent="0.2">
      <c r="A3139" s="16"/>
      <c r="B3139" s="37"/>
      <c r="C3139" s="16"/>
      <c r="D3139" s="16"/>
      <c r="E3139" s="16"/>
      <c r="F3139" s="16"/>
      <c r="G3139" s="16"/>
      <c r="H3139" s="16"/>
      <c r="I3139" s="16"/>
      <c r="J3139" s="16"/>
      <c r="K3139" s="16"/>
      <c r="L3139" s="16"/>
      <c r="M3139" s="16"/>
    </row>
    <row r="3140" spans="1:13" x14ac:dyDescent="0.2">
      <c r="A3140" s="16"/>
      <c r="B3140" s="37"/>
      <c r="C3140" s="16"/>
      <c r="D3140" s="16"/>
      <c r="E3140" s="16"/>
      <c r="F3140" s="16"/>
      <c r="G3140" s="16"/>
      <c r="H3140" s="16"/>
      <c r="I3140" s="16"/>
      <c r="J3140" s="16"/>
      <c r="K3140" s="16"/>
      <c r="L3140" s="16"/>
      <c r="M3140" s="16"/>
    </row>
    <row r="3141" spans="1:13" x14ac:dyDescent="0.2">
      <c r="A3141" s="16"/>
      <c r="B3141" s="37"/>
      <c r="C3141" s="16"/>
      <c r="D3141" s="16"/>
      <c r="E3141" s="16"/>
      <c r="F3141" s="16"/>
      <c r="G3141" s="16"/>
      <c r="H3141" s="16"/>
      <c r="I3141" s="16"/>
      <c r="J3141" s="16"/>
      <c r="K3141" s="16"/>
      <c r="L3141" s="16"/>
      <c r="M3141" s="16"/>
    </row>
    <row r="3142" spans="1:13" x14ac:dyDescent="0.2">
      <c r="A3142" s="16"/>
      <c r="B3142" s="37"/>
      <c r="C3142" s="16"/>
      <c r="D3142" s="16"/>
      <c r="E3142" s="16"/>
      <c r="F3142" s="16"/>
      <c r="G3142" s="16"/>
      <c r="H3142" s="16"/>
      <c r="I3142" s="16"/>
      <c r="J3142" s="16"/>
      <c r="K3142" s="16"/>
      <c r="L3142" s="16"/>
      <c r="M3142" s="16"/>
    </row>
    <row r="3143" spans="1:13" x14ac:dyDescent="0.2">
      <c r="A3143" s="16"/>
      <c r="B3143" s="37"/>
      <c r="C3143" s="16"/>
      <c r="D3143" s="16"/>
      <c r="E3143" s="16"/>
      <c r="F3143" s="16"/>
      <c r="G3143" s="16"/>
      <c r="H3143" s="16"/>
      <c r="I3143" s="16"/>
      <c r="J3143" s="16"/>
      <c r="K3143" s="16"/>
      <c r="L3143" s="16"/>
      <c r="M3143" s="16"/>
    </row>
    <row r="3144" spans="1:13" x14ac:dyDescent="0.2">
      <c r="A3144" s="16"/>
      <c r="B3144" s="37"/>
      <c r="C3144" s="16"/>
      <c r="D3144" s="16"/>
      <c r="E3144" s="16"/>
      <c r="F3144" s="16"/>
      <c r="G3144" s="16"/>
      <c r="H3144" s="16"/>
      <c r="I3144" s="16"/>
      <c r="J3144" s="16"/>
      <c r="K3144" s="16"/>
      <c r="L3144" s="16"/>
      <c r="M3144" s="16"/>
    </row>
    <row r="3145" spans="1:13" x14ac:dyDescent="0.2">
      <c r="A3145" s="16"/>
      <c r="B3145" s="37"/>
      <c r="C3145" s="16"/>
      <c r="D3145" s="16"/>
      <c r="E3145" s="16"/>
      <c r="F3145" s="16"/>
      <c r="G3145" s="16"/>
      <c r="H3145" s="16"/>
      <c r="I3145" s="16"/>
      <c r="J3145" s="16"/>
      <c r="K3145" s="16"/>
      <c r="L3145" s="16"/>
      <c r="M3145" s="16"/>
    </row>
    <row r="3146" spans="1:13" x14ac:dyDescent="0.2">
      <c r="A3146" s="16"/>
      <c r="B3146" s="37"/>
      <c r="C3146" s="16"/>
      <c r="D3146" s="16"/>
      <c r="E3146" s="16"/>
      <c r="F3146" s="16"/>
      <c r="G3146" s="16"/>
      <c r="H3146" s="16"/>
      <c r="I3146" s="16"/>
      <c r="J3146" s="16"/>
      <c r="K3146" s="16"/>
      <c r="L3146" s="16"/>
      <c r="M3146" s="16"/>
    </row>
    <row r="3147" spans="1:13" x14ac:dyDescent="0.2">
      <c r="A3147" s="16"/>
      <c r="B3147" s="37"/>
      <c r="C3147" s="16"/>
      <c r="D3147" s="16"/>
      <c r="E3147" s="16"/>
      <c r="F3147" s="16"/>
      <c r="G3147" s="16"/>
      <c r="H3147" s="16"/>
      <c r="I3147" s="16"/>
      <c r="J3147" s="16"/>
      <c r="K3147" s="16"/>
      <c r="L3147" s="16"/>
      <c r="M3147" s="16"/>
    </row>
    <row r="3148" spans="1:13" x14ac:dyDescent="0.2">
      <c r="A3148" s="16"/>
      <c r="B3148" s="37"/>
      <c r="C3148" s="16"/>
      <c r="D3148" s="16"/>
      <c r="E3148" s="16"/>
      <c r="F3148" s="16"/>
      <c r="G3148" s="16"/>
      <c r="H3148" s="16"/>
      <c r="I3148" s="16"/>
      <c r="J3148" s="16"/>
      <c r="K3148" s="16"/>
      <c r="L3148" s="16"/>
      <c r="M3148" s="16"/>
    </row>
    <row r="3149" spans="1:13" x14ac:dyDescent="0.2">
      <c r="A3149" s="16"/>
      <c r="B3149" s="37"/>
      <c r="C3149" s="16"/>
      <c r="D3149" s="16"/>
      <c r="E3149" s="16"/>
      <c r="F3149" s="16"/>
      <c r="G3149" s="16"/>
      <c r="H3149" s="16"/>
      <c r="I3149" s="16"/>
      <c r="J3149" s="16"/>
      <c r="K3149" s="16"/>
      <c r="L3149" s="16"/>
      <c r="M3149" s="16"/>
    </row>
    <row r="3150" spans="1:13" x14ac:dyDescent="0.2">
      <c r="A3150" s="16"/>
      <c r="B3150" s="37"/>
      <c r="C3150" s="16"/>
      <c r="D3150" s="16"/>
      <c r="E3150" s="16"/>
      <c r="F3150" s="16"/>
      <c r="G3150" s="16"/>
      <c r="H3150" s="16"/>
      <c r="I3150" s="16"/>
      <c r="J3150" s="16"/>
      <c r="K3150" s="16"/>
      <c r="L3150" s="16"/>
      <c r="M3150" s="16"/>
    </row>
    <row r="3151" spans="1:13" x14ac:dyDescent="0.2">
      <c r="A3151" s="16"/>
      <c r="B3151" s="37"/>
      <c r="C3151" s="16"/>
      <c r="D3151" s="16"/>
      <c r="E3151" s="16"/>
      <c r="F3151" s="16"/>
      <c r="G3151" s="16"/>
      <c r="H3151" s="16"/>
      <c r="I3151" s="16"/>
      <c r="J3151" s="16"/>
      <c r="K3151" s="16"/>
      <c r="L3151" s="16"/>
      <c r="M3151" s="16"/>
    </row>
    <row r="3152" spans="1:13" x14ac:dyDescent="0.2">
      <c r="A3152" s="16"/>
      <c r="B3152" s="37"/>
      <c r="C3152" s="16"/>
      <c r="D3152" s="16"/>
      <c r="E3152" s="16"/>
      <c r="F3152" s="16"/>
      <c r="G3152" s="16"/>
      <c r="H3152" s="16"/>
      <c r="I3152" s="16"/>
      <c r="J3152" s="16"/>
      <c r="K3152" s="16"/>
      <c r="L3152" s="16"/>
      <c r="M3152" s="16"/>
    </row>
    <row r="3153" spans="1:13" x14ac:dyDescent="0.2">
      <c r="A3153" s="16"/>
      <c r="B3153" s="37"/>
      <c r="C3153" s="16"/>
      <c r="D3153" s="16"/>
      <c r="E3153" s="16"/>
      <c r="F3153" s="16"/>
      <c r="G3153" s="16"/>
      <c r="H3153" s="16"/>
      <c r="I3153" s="16"/>
      <c r="J3153" s="16"/>
      <c r="K3153" s="16"/>
      <c r="L3153" s="16"/>
      <c r="M3153" s="16"/>
    </row>
    <row r="3154" spans="1:13" x14ac:dyDescent="0.2">
      <c r="A3154" s="16"/>
      <c r="B3154" s="37"/>
      <c r="C3154" s="16"/>
      <c r="D3154" s="16"/>
      <c r="E3154" s="16"/>
      <c r="F3154" s="16"/>
      <c r="G3154" s="16"/>
      <c r="H3154" s="16"/>
      <c r="I3154" s="16"/>
      <c r="J3154" s="16"/>
      <c r="K3154" s="16"/>
      <c r="L3154" s="16"/>
      <c r="M3154" s="16"/>
    </row>
    <row r="3155" spans="1:13" x14ac:dyDescent="0.2">
      <c r="A3155" s="16"/>
      <c r="B3155" s="37"/>
      <c r="C3155" s="16"/>
      <c r="D3155" s="16"/>
      <c r="E3155" s="16"/>
      <c r="F3155" s="16"/>
      <c r="G3155" s="16"/>
      <c r="H3155" s="16"/>
      <c r="I3155" s="16"/>
      <c r="J3155" s="16"/>
      <c r="K3155" s="16"/>
      <c r="L3155" s="16"/>
      <c r="M3155" s="16"/>
    </row>
    <row r="3156" spans="1:13" x14ac:dyDescent="0.2">
      <c r="A3156" s="16"/>
      <c r="B3156" s="37"/>
      <c r="C3156" s="16"/>
      <c r="D3156" s="16"/>
      <c r="E3156" s="16"/>
      <c r="F3156" s="16"/>
      <c r="G3156" s="16"/>
      <c r="H3156" s="16"/>
      <c r="I3156" s="16"/>
      <c r="J3156" s="16"/>
      <c r="K3156" s="16"/>
      <c r="L3156" s="16"/>
      <c r="M3156" s="16"/>
    </row>
    <row r="3157" spans="1:13" x14ac:dyDescent="0.2">
      <c r="A3157" s="16"/>
      <c r="B3157" s="37"/>
      <c r="C3157" s="16"/>
      <c r="D3157" s="16"/>
      <c r="E3157" s="16"/>
      <c r="F3157" s="16"/>
      <c r="G3157" s="16"/>
      <c r="H3157" s="16"/>
      <c r="I3157" s="16"/>
      <c r="J3157" s="16"/>
      <c r="K3157" s="16"/>
      <c r="L3157" s="16"/>
      <c r="M3157" s="16"/>
    </row>
    <row r="3158" spans="1:13" x14ac:dyDescent="0.2">
      <c r="A3158" s="16"/>
      <c r="B3158" s="37"/>
      <c r="C3158" s="16"/>
      <c r="D3158" s="16"/>
      <c r="E3158" s="16"/>
      <c r="F3158" s="16"/>
      <c r="G3158" s="16"/>
      <c r="H3158" s="16"/>
      <c r="I3158" s="16"/>
      <c r="J3158" s="16"/>
      <c r="K3158" s="16"/>
      <c r="L3158" s="16"/>
      <c r="M3158" s="16"/>
    </row>
    <row r="3159" spans="1:13" x14ac:dyDescent="0.2">
      <c r="A3159" s="16"/>
      <c r="B3159" s="37"/>
      <c r="C3159" s="16"/>
      <c r="D3159" s="16"/>
      <c r="E3159" s="16"/>
      <c r="F3159" s="16"/>
      <c r="G3159" s="16"/>
      <c r="H3159" s="16"/>
      <c r="I3159" s="16"/>
      <c r="J3159" s="16"/>
      <c r="K3159" s="16"/>
      <c r="L3159" s="16"/>
      <c r="M3159" s="16"/>
    </row>
    <row r="3160" spans="1:13" x14ac:dyDescent="0.2">
      <c r="A3160" s="16"/>
      <c r="B3160" s="37"/>
      <c r="C3160" s="16"/>
      <c r="D3160" s="16"/>
      <c r="E3160" s="16"/>
      <c r="F3160" s="16"/>
      <c r="G3160" s="16"/>
      <c r="H3160" s="16"/>
      <c r="I3160" s="16"/>
      <c r="J3160" s="16"/>
      <c r="K3160" s="16"/>
      <c r="L3160" s="16"/>
      <c r="M3160" s="16"/>
    </row>
    <row r="3161" spans="1:13" x14ac:dyDescent="0.2">
      <c r="A3161" s="16"/>
      <c r="B3161" s="37"/>
      <c r="C3161" s="16"/>
      <c r="D3161" s="16"/>
      <c r="E3161" s="16"/>
      <c r="F3161" s="16"/>
      <c r="G3161" s="16"/>
      <c r="H3161" s="16"/>
      <c r="I3161" s="16"/>
      <c r="J3161" s="16"/>
      <c r="K3161" s="16"/>
      <c r="L3161" s="16"/>
      <c r="M3161" s="16"/>
    </row>
    <row r="3162" spans="1:13" x14ac:dyDescent="0.2">
      <c r="A3162" s="16"/>
      <c r="B3162" s="37"/>
      <c r="C3162" s="16"/>
      <c r="D3162" s="16"/>
      <c r="E3162" s="16"/>
      <c r="F3162" s="16"/>
      <c r="G3162" s="16"/>
      <c r="H3162" s="16"/>
      <c r="I3162" s="16"/>
      <c r="J3162" s="16"/>
      <c r="K3162" s="16"/>
      <c r="L3162" s="16"/>
      <c r="M3162" s="16"/>
    </row>
    <row r="3163" spans="1:13" x14ac:dyDescent="0.2">
      <c r="A3163" s="16"/>
      <c r="B3163" s="37"/>
      <c r="C3163" s="16"/>
      <c r="D3163" s="16"/>
      <c r="E3163" s="16"/>
      <c r="F3163" s="16"/>
      <c r="G3163" s="16"/>
      <c r="H3163" s="16"/>
      <c r="I3163" s="16"/>
      <c r="J3163" s="16"/>
      <c r="K3163" s="16"/>
      <c r="L3163" s="16"/>
      <c r="M3163" s="16"/>
    </row>
    <row r="3164" spans="1:13" x14ac:dyDescent="0.2">
      <c r="A3164" s="16"/>
      <c r="B3164" s="37"/>
      <c r="C3164" s="16"/>
      <c r="D3164" s="16"/>
      <c r="E3164" s="16"/>
      <c r="F3164" s="16"/>
      <c r="G3164" s="16"/>
      <c r="H3164" s="16"/>
      <c r="I3164" s="16"/>
      <c r="J3164" s="16"/>
      <c r="K3164" s="16"/>
      <c r="L3164" s="16"/>
      <c r="M3164" s="16"/>
    </row>
    <row r="3165" spans="1:13" x14ac:dyDescent="0.2">
      <c r="A3165" s="16"/>
      <c r="B3165" s="37"/>
      <c r="C3165" s="16"/>
      <c r="D3165" s="16"/>
      <c r="E3165" s="16"/>
      <c r="F3165" s="16"/>
      <c r="G3165" s="16"/>
      <c r="H3165" s="16"/>
      <c r="I3165" s="16"/>
      <c r="J3165" s="16"/>
      <c r="K3165" s="16"/>
      <c r="L3165" s="16"/>
      <c r="M3165" s="16"/>
    </row>
    <row r="3166" spans="1:13" x14ac:dyDescent="0.2">
      <c r="A3166" s="16"/>
      <c r="B3166" s="37"/>
      <c r="C3166" s="16"/>
      <c r="D3166" s="16"/>
      <c r="E3166" s="16"/>
      <c r="F3166" s="16"/>
      <c r="G3166" s="16"/>
      <c r="H3166" s="16"/>
      <c r="I3166" s="16"/>
      <c r="J3166" s="16"/>
      <c r="K3166" s="16"/>
      <c r="L3166" s="16"/>
      <c r="M3166" s="16"/>
    </row>
    <row r="3167" spans="1:13" x14ac:dyDescent="0.2">
      <c r="A3167" s="16"/>
      <c r="B3167" s="37"/>
      <c r="C3167" s="16"/>
      <c r="D3167" s="16"/>
      <c r="E3167" s="16"/>
      <c r="F3167" s="16"/>
      <c r="G3167" s="16"/>
      <c r="H3167" s="16"/>
      <c r="I3167" s="16"/>
      <c r="J3167" s="16"/>
      <c r="K3167" s="16"/>
      <c r="L3167" s="16"/>
      <c r="M3167" s="16"/>
    </row>
    <row r="3168" spans="1:13" x14ac:dyDescent="0.2">
      <c r="A3168" s="16"/>
      <c r="B3168" s="37"/>
      <c r="C3168" s="16"/>
      <c r="D3168" s="16"/>
      <c r="E3168" s="16"/>
      <c r="F3168" s="16"/>
      <c r="G3168" s="16"/>
      <c r="H3168" s="16"/>
      <c r="I3168" s="16"/>
      <c r="J3168" s="16"/>
      <c r="K3168" s="16"/>
      <c r="L3168" s="16"/>
      <c r="M3168" s="16"/>
    </row>
    <row r="3169" spans="1:13" x14ac:dyDescent="0.2">
      <c r="A3169" s="16"/>
      <c r="B3169" s="37"/>
      <c r="C3169" s="16"/>
      <c r="D3169" s="16"/>
      <c r="E3169" s="16"/>
      <c r="F3169" s="16"/>
      <c r="G3169" s="16"/>
      <c r="H3169" s="16"/>
      <c r="I3169" s="16"/>
      <c r="J3169" s="16"/>
      <c r="K3169" s="16"/>
      <c r="L3169" s="16"/>
      <c r="M3169" s="16"/>
    </row>
    <row r="3170" spans="1:13" x14ac:dyDescent="0.2">
      <c r="A3170" s="16"/>
      <c r="B3170" s="37"/>
      <c r="C3170" s="16"/>
      <c r="D3170" s="16"/>
      <c r="E3170" s="16"/>
      <c r="F3170" s="16"/>
      <c r="G3170" s="16"/>
      <c r="H3170" s="16"/>
      <c r="I3170" s="16"/>
      <c r="J3170" s="16"/>
      <c r="K3170" s="16"/>
      <c r="L3170" s="16"/>
      <c r="M3170" s="16"/>
    </row>
    <row r="3171" spans="1:13" x14ac:dyDescent="0.2">
      <c r="A3171" s="16"/>
      <c r="B3171" s="37"/>
      <c r="C3171" s="16"/>
      <c r="D3171" s="16"/>
      <c r="E3171" s="16"/>
      <c r="F3171" s="16"/>
      <c r="G3171" s="16"/>
      <c r="H3171" s="16"/>
      <c r="I3171" s="16"/>
      <c r="J3171" s="16"/>
      <c r="K3171" s="16"/>
      <c r="L3171" s="16"/>
      <c r="M3171" s="16"/>
    </row>
    <row r="3172" spans="1:13" x14ac:dyDescent="0.2">
      <c r="A3172" s="16"/>
      <c r="B3172" s="37"/>
      <c r="C3172" s="16"/>
      <c r="D3172" s="16"/>
      <c r="E3172" s="16"/>
      <c r="F3172" s="16"/>
      <c r="G3172" s="16"/>
      <c r="H3172" s="16"/>
      <c r="I3172" s="16"/>
      <c r="J3172" s="16"/>
      <c r="K3172" s="16"/>
      <c r="L3172" s="16"/>
      <c r="M3172" s="16"/>
    </row>
    <row r="3173" spans="1:13" x14ac:dyDescent="0.2">
      <c r="A3173" s="16"/>
      <c r="B3173" s="37"/>
      <c r="C3173" s="16"/>
      <c r="D3173" s="16"/>
      <c r="E3173" s="16"/>
      <c r="F3173" s="16"/>
      <c r="G3173" s="16"/>
      <c r="H3173" s="16"/>
      <c r="I3173" s="16"/>
      <c r="J3173" s="16"/>
      <c r="K3173" s="16"/>
      <c r="L3173" s="16"/>
      <c r="M3173" s="16"/>
    </row>
    <row r="3174" spans="1:13" x14ac:dyDescent="0.2">
      <c r="A3174" s="16"/>
      <c r="B3174" s="37"/>
      <c r="C3174" s="16"/>
      <c r="D3174" s="16"/>
      <c r="E3174" s="16"/>
      <c r="F3174" s="16"/>
      <c r="G3174" s="16"/>
      <c r="H3174" s="16"/>
      <c r="I3174" s="16"/>
      <c r="J3174" s="16"/>
      <c r="K3174" s="16"/>
      <c r="L3174" s="16"/>
      <c r="M3174" s="16"/>
    </row>
    <row r="3175" spans="1:13" x14ac:dyDescent="0.2">
      <c r="A3175" s="16"/>
      <c r="B3175" s="37"/>
      <c r="C3175" s="16"/>
      <c r="D3175" s="16"/>
      <c r="E3175" s="16"/>
      <c r="F3175" s="16"/>
      <c r="G3175" s="16"/>
      <c r="H3175" s="16"/>
      <c r="I3175" s="16"/>
      <c r="J3175" s="16"/>
      <c r="K3175" s="16"/>
      <c r="L3175" s="16"/>
      <c r="M3175" s="16"/>
    </row>
    <row r="3176" spans="1:13" x14ac:dyDescent="0.2">
      <c r="A3176" s="16"/>
      <c r="B3176" s="37"/>
      <c r="C3176" s="16"/>
      <c r="D3176" s="16"/>
      <c r="E3176" s="16"/>
      <c r="F3176" s="16"/>
      <c r="G3176" s="16"/>
      <c r="H3176" s="16"/>
      <c r="I3176" s="16"/>
      <c r="J3176" s="16"/>
      <c r="K3176" s="16"/>
      <c r="L3176" s="16"/>
      <c r="M3176" s="16"/>
    </row>
    <row r="3177" spans="1:13" x14ac:dyDescent="0.2">
      <c r="A3177" s="16"/>
      <c r="B3177" s="37"/>
      <c r="C3177" s="16"/>
      <c r="D3177" s="16"/>
      <c r="E3177" s="16"/>
      <c r="F3177" s="16"/>
      <c r="G3177" s="16"/>
      <c r="H3177" s="16"/>
      <c r="I3177" s="16"/>
      <c r="J3177" s="16"/>
      <c r="K3177" s="16"/>
      <c r="L3177" s="16"/>
      <c r="M3177" s="16"/>
    </row>
    <row r="3178" spans="1:13" x14ac:dyDescent="0.2">
      <c r="A3178" s="16"/>
      <c r="B3178" s="37"/>
      <c r="C3178" s="16"/>
      <c r="D3178" s="16"/>
      <c r="E3178" s="16"/>
      <c r="F3178" s="16"/>
      <c r="G3178" s="16"/>
      <c r="H3178" s="16"/>
      <c r="I3178" s="16"/>
      <c r="J3178" s="16"/>
      <c r="K3178" s="16"/>
      <c r="L3178" s="16"/>
      <c r="M3178" s="16"/>
    </row>
    <row r="3179" spans="1:13" x14ac:dyDescent="0.2">
      <c r="A3179" s="16"/>
      <c r="B3179" s="37"/>
      <c r="C3179" s="16"/>
      <c r="D3179" s="16"/>
      <c r="E3179" s="16"/>
      <c r="F3179" s="16"/>
      <c r="G3179" s="16"/>
      <c r="H3179" s="16"/>
      <c r="I3179" s="16"/>
      <c r="J3179" s="16"/>
      <c r="K3179" s="16"/>
      <c r="L3179" s="16"/>
      <c r="M3179" s="16"/>
    </row>
    <row r="3180" spans="1:13" x14ac:dyDescent="0.2">
      <c r="A3180" s="16"/>
      <c r="B3180" s="37"/>
      <c r="C3180" s="16"/>
      <c r="D3180" s="16"/>
      <c r="E3180" s="16"/>
      <c r="F3180" s="16"/>
      <c r="G3180" s="16"/>
      <c r="H3180" s="16"/>
      <c r="I3180" s="16"/>
      <c r="J3180" s="16"/>
      <c r="K3180" s="16"/>
      <c r="L3180" s="16"/>
      <c r="M3180" s="16"/>
    </row>
    <row r="3181" spans="1:13" x14ac:dyDescent="0.2">
      <c r="A3181" s="16"/>
      <c r="B3181" s="37"/>
      <c r="C3181" s="16"/>
      <c r="D3181" s="16"/>
      <c r="E3181" s="16"/>
      <c r="F3181" s="16"/>
      <c r="G3181" s="16"/>
      <c r="H3181" s="16"/>
      <c r="I3181" s="16"/>
      <c r="J3181" s="16"/>
      <c r="K3181" s="16"/>
      <c r="L3181" s="16"/>
      <c r="M3181" s="16"/>
    </row>
    <row r="3182" spans="1:13" x14ac:dyDescent="0.2">
      <c r="A3182" s="16"/>
      <c r="B3182" s="37"/>
      <c r="C3182" s="16"/>
      <c r="D3182" s="16"/>
      <c r="E3182" s="16"/>
      <c r="F3182" s="16"/>
      <c r="G3182" s="16"/>
      <c r="H3182" s="16"/>
      <c r="I3182" s="16"/>
      <c r="J3182" s="16"/>
      <c r="K3182" s="16"/>
      <c r="L3182" s="16"/>
      <c r="M3182" s="16"/>
    </row>
    <row r="3183" spans="1:13" x14ac:dyDescent="0.2">
      <c r="A3183" s="16"/>
      <c r="B3183" s="37"/>
      <c r="C3183" s="16"/>
      <c r="D3183" s="16"/>
      <c r="E3183" s="16"/>
      <c r="F3183" s="16"/>
      <c r="G3183" s="16"/>
      <c r="H3183" s="16"/>
      <c r="I3183" s="16"/>
      <c r="J3183" s="16"/>
      <c r="K3183" s="16"/>
      <c r="L3183" s="16"/>
      <c r="M3183" s="16"/>
    </row>
    <row r="3184" spans="1:13" x14ac:dyDescent="0.2">
      <c r="A3184" s="16"/>
      <c r="B3184" s="37"/>
      <c r="C3184" s="16"/>
      <c r="D3184" s="16"/>
      <c r="E3184" s="16"/>
      <c r="F3184" s="16"/>
      <c r="G3184" s="16"/>
      <c r="H3184" s="16"/>
      <c r="I3184" s="16"/>
      <c r="J3184" s="16"/>
      <c r="K3184" s="16"/>
      <c r="L3184" s="16"/>
      <c r="M3184" s="16"/>
    </row>
    <row r="3185" spans="1:13" x14ac:dyDescent="0.2">
      <c r="A3185" s="16"/>
      <c r="B3185" s="37"/>
      <c r="C3185" s="16"/>
      <c r="D3185" s="16"/>
      <c r="E3185" s="16"/>
      <c r="F3185" s="16"/>
      <c r="G3185" s="16"/>
      <c r="H3185" s="16"/>
      <c r="I3185" s="16"/>
      <c r="J3185" s="16"/>
      <c r="K3185" s="16"/>
      <c r="L3185" s="16"/>
      <c r="M3185" s="16"/>
    </row>
    <row r="3186" spans="1:13" x14ac:dyDescent="0.2">
      <c r="A3186" s="16"/>
      <c r="B3186" s="37"/>
      <c r="C3186" s="16"/>
      <c r="D3186" s="16"/>
      <c r="E3186" s="16"/>
      <c r="F3186" s="16"/>
      <c r="G3186" s="16"/>
      <c r="H3186" s="16"/>
      <c r="I3186" s="16"/>
      <c r="J3186" s="16"/>
      <c r="K3186" s="16"/>
      <c r="L3186" s="16"/>
      <c r="M3186" s="16"/>
    </row>
    <row r="3187" spans="1:13" x14ac:dyDescent="0.2">
      <c r="A3187" s="16"/>
      <c r="B3187" s="37"/>
      <c r="C3187" s="16"/>
      <c r="D3187" s="16"/>
      <c r="E3187" s="16"/>
      <c r="F3187" s="16"/>
      <c r="G3187" s="16"/>
      <c r="H3187" s="16"/>
      <c r="I3187" s="16"/>
      <c r="J3187" s="16"/>
      <c r="K3187" s="16"/>
      <c r="L3187" s="16"/>
      <c r="M3187" s="16"/>
    </row>
    <row r="3188" spans="1:13" x14ac:dyDescent="0.2">
      <c r="A3188" s="16"/>
      <c r="B3188" s="37"/>
      <c r="C3188" s="16"/>
      <c r="D3188" s="16"/>
      <c r="E3188" s="16"/>
      <c r="F3188" s="16"/>
      <c r="G3188" s="16"/>
      <c r="H3188" s="16"/>
      <c r="I3188" s="16"/>
      <c r="J3188" s="16"/>
      <c r="K3188" s="16"/>
      <c r="L3188" s="16"/>
      <c r="M3188" s="16"/>
    </row>
    <row r="3189" spans="1:13" x14ac:dyDescent="0.2">
      <c r="A3189" s="16"/>
      <c r="B3189" s="37"/>
      <c r="C3189" s="16"/>
      <c r="D3189" s="16"/>
      <c r="E3189" s="16"/>
      <c r="F3189" s="16"/>
      <c r="G3189" s="16"/>
      <c r="H3189" s="16"/>
      <c r="I3189" s="16"/>
      <c r="J3189" s="16"/>
      <c r="K3189" s="16"/>
      <c r="L3189" s="16"/>
      <c r="M3189" s="16"/>
    </row>
    <row r="3190" spans="1:13" x14ac:dyDescent="0.2">
      <c r="A3190" s="16"/>
      <c r="B3190" s="37"/>
      <c r="C3190" s="16"/>
      <c r="D3190" s="16"/>
      <c r="E3190" s="16"/>
      <c r="F3190" s="16"/>
      <c r="G3190" s="16"/>
      <c r="H3190" s="16"/>
      <c r="I3190" s="16"/>
      <c r="J3190" s="16"/>
      <c r="K3190" s="16"/>
      <c r="L3190" s="16"/>
      <c r="M3190" s="16"/>
    </row>
    <row r="3191" spans="1:13" x14ac:dyDescent="0.2">
      <c r="A3191" s="16"/>
      <c r="B3191" s="37"/>
      <c r="C3191" s="16"/>
      <c r="D3191" s="16"/>
      <c r="E3191" s="16"/>
      <c r="F3191" s="16"/>
      <c r="G3191" s="16"/>
      <c r="H3191" s="16"/>
      <c r="I3191" s="16"/>
      <c r="J3191" s="16"/>
      <c r="K3191" s="16"/>
      <c r="L3191" s="16"/>
      <c r="M3191" s="16"/>
    </row>
    <row r="3192" spans="1:13" x14ac:dyDescent="0.2">
      <c r="A3192" s="16"/>
      <c r="B3192" s="37"/>
      <c r="C3192" s="16"/>
      <c r="D3192" s="16"/>
      <c r="E3192" s="16"/>
      <c r="F3192" s="16"/>
      <c r="G3192" s="16"/>
      <c r="H3192" s="16"/>
      <c r="I3192" s="16"/>
      <c r="J3192" s="16"/>
      <c r="K3192" s="16"/>
      <c r="L3192" s="16"/>
      <c r="M3192" s="16"/>
    </row>
    <row r="3193" spans="1:13" x14ac:dyDescent="0.2">
      <c r="A3193" s="16"/>
      <c r="B3193" s="37"/>
      <c r="C3193" s="16"/>
      <c r="D3193" s="16"/>
      <c r="E3193" s="16"/>
      <c r="F3193" s="16"/>
      <c r="G3193" s="16"/>
      <c r="H3193" s="16"/>
      <c r="I3193" s="16"/>
      <c r="J3193" s="16"/>
      <c r="K3193" s="16"/>
      <c r="L3193" s="16"/>
      <c r="M3193" s="16"/>
    </row>
    <row r="3194" spans="1:13" x14ac:dyDescent="0.2">
      <c r="A3194" s="16"/>
      <c r="B3194" s="37"/>
      <c r="C3194" s="16"/>
      <c r="D3194" s="16"/>
      <c r="E3194" s="16"/>
      <c r="F3194" s="16"/>
      <c r="G3194" s="16"/>
      <c r="H3194" s="16"/>
      <c r="I3194" s="16"/>
      <c r="J3194" s="16"/>
      <c r="K3194" s="16"/>
      <c r="L3194" s="16"/>
      <c r="M3194" s="16"/>
    </row>
    <row r="3195" spans="1:13" x14ac:dyDescent="0.2">
      <c r="A3195" s="16"/>
      <c r="B3195" s="37"/>
      <c r="C3195" s="16"/>
      <c r="D3195" s="16"/>
      <c r="E3195" s="16"/>
      <c r="F3195" s="16"/>
      <c r="G3195" s="16"/>
      <c r="H3195" s="16"/>
      <c r="I3195" s="16"/>
      <c r="J3195" s="16"/>
      <c r="K3195" s="16"/>
      <c r="L3195" s="16"/>
      <c r="M3195" s="16"/>
    </row>
    <row r="3196" spans="1:13" x14ac:dyDescent="0.2">
      <c r="A3196" s="16"/>
      <c r="B3196" s="37"/>
      <c r="C3196" s="16"/>
      <c r="D3196" s="16"/>
      <c r="E3196" s="16"/>
      <c r="F3196" s="16"/>
      <c r="G3196" s="16"/>
      <c r="H3196" s="16"/>
      <c r="I3196" s="16"/>
      <c r="J3196" s="16"/>
      <c r="K3196" s="16"/>
      <c r="L3196" s="16"/>
      <c r="M3196" s="16"/>
    </row>
    <row r="3197" spans="1:13" x14ac:dyDescent="0.2">
      <c r="A3197" s="16"/>
      <c r="B3197" s="37"/>
      <c r="C3197" s="16"/>
      <c r="D3197" s="16"/>
      <c r="E3197" s="16"/>
      <c r="F3197" s="16"/>
      <c r="G3197" s="16"/>
      <c r="H3197" s="16"/>
      <c r="I3197" s="16"/>
      <c r="J3197" s="16"/>
      <c r="K3197" s="16"/>
      <c r="L3197" s="16"/>
      <c r="M3197" s="16"/>
    </row>
    <row r="3198" spans="1:13" x14ac:dyDescent="0.2">
      <c r="A3198" s="16"/>
      <c r="B3198" s="37"/>
      <c r="C3198" s="16"/>
      <c r="D3198" s="16"/>
      <c r="E3198" s="16"/>
      <c r="F3198" s="16"/>
      <c r="G3198" s="16"/>
      <c r="H3198" s="16"/>
      <c r="I3198" s="16"/>
      <c r="J3198" s="16"/>
      <c r="K3198" s="16"/>
      <c r="L3198" s="16"/>
      <c r="M3198" s="16"/>
    </row>
    <row r="3199" spans="1:13" x14ac:dyDescent="0.2">
      <c r="A3199" s="16"/>
      <c r="B3199" s="37"/>
      <c r="C3199" s="16"/>
      <c r="D3199" s="16"/>
      <c r="E3199" s="16"/>
      <c r="F3199" s="16"/>
      <c r="G3199" s="16"/>
      <c r="H3199" s="16"/>
      <c r="I3199" s="16"/>
      <c r="J3199" s="16"/>
      <c r="K3199" s="16"/>
      <c r="L3199" s="16"/>
      <c r="M3199" s="16"/>
    </row>
    <row r="3200" spans="1:13" x14ac:dyDescent="0.2">
      <c r="A3200" s="16"/>
      <c r="B3200" s="37"/>
      <c r="C3200" s="16"/>
      <c r="D3200" s="16"/>
      <c r="E3200" s="16"/>
      <c r="F3200" s="16"/>
      <c r="G3200" s="16"/>
      <c r="H3200" s="16"/>
      <c r="I3200" s="16"/>
      <c r="J3200" s="16"/>
      <c r="K3200" s="16"/>
      <c r="L3200" s="16"/>
      <c r="M3200" s="16"/>
    </row>
    <row r="3201" spans="1:13" x14ac:dyDescent="0.2">
      <c r="A3201" s="16"/>
      <c r="B3201" s="37"/>
      <c r="C3201" s="16"/>
      <c r="D3201" s="16"/>
      <c r="E3201" s="16"/>
      <c r="F3201" s="16"/>
      <c r="G3201" s="16"/>
      <c r="H3201" s="16"/>
      <c r="I3201" s="16"/>
      <c r="J3201" s="16"/>
      <c r="K3201" s="16"/>
      <c r="L3201" s="16"/>
      <c r="M3201" s="16"/>
    </row>
    <row r="3202" spans="1:13" x14ac:dyDescent="0.2">
      <c r="A3202" s="16"/>
      <c r="B3202" s="37"/>
      <c r="C3202" s="16"/>
      <c r="D3202" s="16"/>
      <c r="E3202" s="16"/>
      <c r="F3202" s="16"/>
      <c r="G3202" s="16"/>
      <c r="H3202" s="16"/>
      <c r="I3202" s="16"/>
      <c r="J3202" s="16"/>
      <c r="K3202" s="16"/>
      <c r="L3202" s="16"/>
      <c r="M3202" s="16"/>
    </row>
    <row r="3203" spans="1:13" x14ac:dyDescent="0.2">
      <c r="A3203" s="16"/>
      <c r="B3203" s="37"/>
      <c r="C3203" s="16"/>
      <c r="D3203" s="16"/>
      <c r="E3203" s="16"/>
      <c r="F3203" s="16"/>
      <c r="G3203" s="16"/>
      <c r="H3203" s="16"/>
      <c r="I3203" s="16"/>
      <c r="J3203" s="16"/>
      <c r="K3203" s="16"/>
      <c r="L3203" s="16"/>
      <c r="M3203" s="16"/>
    </row>
    <row r="3204" spans="1:13" x14ac:dyDescent="0.2">
      <c r="A3204" s="16"/>
      <c r="B3204" s="37"/>
      <c r="C3204" s="16"/>
      <c r="D3204" s="16"/>
      <c r="E3204" s="16"/>
      <c r="F3204" s="16"/>
      <c r="G3204" s="16"/>
      <c r="H3204" s="16"/>
      <c r="I3204" s="16"/>
      <c r="J3204" s="16"/>
      <c r="K3204" s="16"/>
      <c r="L3204" s="16"/>
      <c r="M3204" s="16"/>
    </row>
    <row r="3205" spans="1:13" x14ac:dyDescent="0.2">
      <c r="A3205" s="16"/>
      <c r="B3205" s="37"/>
      <c r="C3205" s="16"/>
      <c r="D3205" s="16"/>
      <c r="E3205" s="16"/>
      <c r="F3205" s="16"/>
      <c r="G3205" s="16"/>
      <c r="H3205" s="16"/>
      <c r="I3205" s="16"/>
      <c r="J3205" s="16"/>
      <c r="K3205" s="16"/>
      <c r="L3205" s="16"/>
      <c r="M3205" s="16"/>
    </row>
    <row r="3206" spans="1:13" x14ac:dyDescent="0.2">
      <c r="A3206" s="16"/>
      <c r="B3206" s="37"/>
      <c r="C3206" s="16"/>
      <c r="D3206" s="16"/>
      <c r="E3206" s="16"/>
      <c r="F3206" s="16"/>
      <c r="G3206" s="16"/>
      <c r="H3206" s="16"/>
      <c r="I3206" s="16"/>
      <c r="J3206" s="16"/>
      <c r="K3206" s="16"/>
      <c r="L3206" s="16"/>
      <c r="M3206" s="16"/>
    </row>
    <row r="3207" spans="1:13" x14ac:dyDescent="0.2">
      <c r="A3207" s="16"/>
      <c r="B3207" s="37"/>
      <c r="C3207" s="16"/>
      <c r="D3207" s="16"/>
      <c r="E3207" s="16"/>
      <c r="F3207" s="16"/>
      <c r="G3207" s="16"/>
      <c r="H3207" s="16"/>
      <c r="I3207" s="16"/>
      <c r="J3207" s="16"/>
      <c r="K3207" s="16"/>
      <c r="L3207" s="16"/>
      <c r="M3207" s="16"/>
    </row>
    <row r="3208" spans="1:13" x14ac:dyDescent="0.2">
      <c r="A3208" s="16"/>
      <c r="B3208" s="37"/>
      <c r="C3208" s="16"/>
      <c r="D3208" s="16"/>
      <c r="E3208" s="16"/>
      <c r="F3208" s="16"/>
      <c r="G3208" s="16"/>
      <c r="H3208" s="16"/>
      <c r="I3208" s="16"/>
      <c r="J3208" s="16"/>
      <c r="K3208" s="16"/>
      <c r="L3208" s="16"/>
      <c r="M3208" s="16"/>
    </row>
    <row r="3209" spans="1:13" x14ac:dyDescent="0.2">
      <c r="A3209" s="16"/>
      <c r="B3209" s="37"/>
      <c r="C3209" s="16"/>
      <c r="D3209" s="16"/>
      <c r="E3209" s="16"/>
      <c r="F3209" s="16"/>
      <c r="G3209" s="16"/>
      <c r="H3209" s="16"/>
      <c r="I3209" s="16"/>
      <c r="J3209" s="16"/>
      <c r="K3209" s="16"/>
      <c r="L3209" s="16"/>
      <c r="M3209" s="16"/>
    </row>
    <row r="3210" spans="1:13" x14ac:dyDescent="0.2">
      <c r="A3210" s="16"/>
      <c r="B3210" s="37"/>
      <c r="C3210" s="16"/>
      <c r="D3210" s="16"/>
      <c r="E3210" s="16"/>
      <c r="F3210" s="16"/>
      <c r="G3210" s="16"/>
      <c r="H3210" s="16"/>
      <c r="I3210" s="16"/>
      <c r="J3210" s="16"/>
      <c r="K3210" s="16"/>
      <c r="L3210" s="16"/>
      <c r="M3210" s="16"/>
    </row>
    <row r="3211" spans="1:13" x14ac:dyDescent="0.2">
      <c r="A3211" s="16"/>
      <c r="B3211" s="37"/>
      <c r="C3211" s="16"/>
      <c r="D3211" s="16"/>
      <c r="E3211" s="16"/>
      <c r="F3211" s="16"/>
      <c r="G3211" s="16"/>
      <c r="H3211" s="16"/>
      <c r="I3211" s="16"/>
      <c r="J3211" s="16"/>
      <c r="K3211" s="16"/>
      <c r="L3211" s="16"/>
      <c r="M3211" s="16"/>
    </row>
    <row r="3212" spans="1:13" x14ac:dyDescent="0.2">
      <c r="A3212" s="16"/>
      <c r="B3212" s="37"/>
      <c r="C3212" s="16"/>
      <c r="D3212" s="16"/>
      <c r="E3212" s="16"/>
      <c r="F3212" s="16"/>
      <c r="G3212" s="16"/>
      <c r="H3212" s="16"/>
      <c r="I3212" s="16"/>
      <c r="J3212" s="16"/>
      <c r="K3212" s="16"/>
      <c r="L3212" s="16"/>
      <c r="M3212" s="16"/>
    </row>
    <row r="3213" spans="1:13" x14ac:dyDescent="0.2">
      <c r="A3213" s="16"/>
      <c r="B3213" s="37"/>
      <c r="C3213" s="16"/>
      <c r="D3213" s="16"/>
      <c r="E3213" s="16"/>
      <c r="F3213" s="16"/>
      <c r="G3213" s="16"/>
      <c r="H3213" s="16"/>
      <c r="I3213" s="16"/>
      <c r="J3213" s="16"/>
      <c r="K3213" s="16"/>
      <c r="L3213" s="16"/>
      <c r="M3213" s="16"/>
    </row>
    <row r="3214" spans="1:13" x14ac:dyDescent="0.2">
      <c r="A3214" s="16"/>
      <c r="B3214" s="37"/>
      <c r="C3214" s="16"/>
      <c r="D3214" s="16"/>
      <c r="E3214" s="16"/>
      <c r="F3214" s="16"/>
      <c r="G3214" s="16"/>
      <c r="H3214" s="16"/>
      <c r="I3214" s="16"/>
      <c r="J3214" s="16"/>
      <c r="K3214" s="16"/>
      <c r="L3214" s="16"/>
      <c r="M3214" s="16"/>
    </row>
    <row r="3215" spans="1:13" x14ac:dyDescent="0.2">
      <c r="A3215" s="16"/>
      <c r="B3215" s="37"/>
      <c r="C3215" s="16"/>
      <c r="D3215" s="16"/>
      <c r="E3215" s="16"/>
      <c r="F3215" s="16"/>
      <c r="G3215" s="16"/>
      <c r="H3215" s="16"/>
      <c r="I3215" s="16"/>
      <c r="J3215" s="16"/>
      <c r="K3215" s="16"/>
      <c r="L3215" s="16"/>
      <c r="M3215" s="16"/>
    </row>
    <row r="3216" spans="1:13" x14ac:dyDescent="0.2">
      <c r="A3216" s="16"/>
      <c r="B3216" s="37"/>
      <c r="C3216" s="16"/>
      <c r="D3216" s="16"/>
      <c r="E3216" s="16"/>
      <c r="F3216" s="16"/>
      <c r="G3216" s="16"/>
      <c r="H3216" s="16"/>
      <c r="I3216" s="16"/>
      <c r="J3216" s="16"/>
      <c r="K3216" s="16"/>
      <c r="L3216" s="16"/>
      <c r="M3216" s="16"/>
    </row>
    <row r="3217" spans="1:13" x14ac:dyDescent="0.2">
      <c r="A3217" s="16"/>
      <c r="B3217" s="37"/>
      <c r="C3217" s="16"/>
      <c r="D3217" s="16"/>
      <c r="E3217" s="16"/>
      <c r="F3217" s="16"/>
      <c r="G3217" s="16"/>
      <c r="H3217" s="16"/>
      <c r="I3217" s="16"/>
      <c r="J3217" s="16"/>
      <c r="K3217" s="16"/>
      <c r="L3217" s="16"/>
      <c r="M3217" s="16"/>
    </row>
    <row r="3218" spans="1:13" x14ac:dyDescent="0.2">
      <c r="A3218" s="16"/>
      <c r="B3218" s="37"/>
      <c r="C3218" s="16"/>
      <c r="D3218" s="16"/>
      <c r="E3218" s="16"/>
      <c r="F3218" s="16"/>
      <c r="G3218" s="16"/>
      <c r="H3218" s="16"/>
      <c r="I3218" s="16"/>
      <c r="J3218" s="16"/>
      <c r="K3218" s="16"/>
      <c r="L3218" s="16"/>
      <c r="M3218" s="16"/>
    </row>
    <row r="3219" spans="1:13" x14ac:dyDescent="0.2">
      <c r="A3219" s="16"/>
      <c r="B3219" s="37"/>
      <c r="C3219" s="16"/>
      <c r="D3219" s="16"/>
      <c r="E3219" s="16"/>
      <c r="F3219" s="16"/>
      <c r="G3219" s="16"/>
      <c r="H3219" s="16"/>
      <c r="I3219" s="16"/>
      <c r="J3219" s="16"/>
      <c r="K3219" s="16"/>
      <c r="L3219" s="16"/>
      <c r="M3219" s="16"/>
    </row>
    <row r="3220" spans="1:13" x14ac:dyDescent="0.2">
      <c r="A3220" s="16"/>
      <c r="B3220" s="37"/>
      <c r="C3220" s="16"/>
      <c r="D3220" s="16"/>
      <c r="E3220" s="16"/>
      <c r="F3220" s="16"/>
      <c r="G3220" s="16"/>
      <c r="H3220" s="16"/>
      <c r="I3220" s="16"/>
      <c r="J3220" s="16"/>
      <c r="K3220" s="16"/>
      <c r="L3220" s="16"/>
      <c r="M3220" s="16"/>
    </row>
    <row r="3221" spans="1:13" x14ac:dyDescent="0.2">
      <c r="A3221" s="16"/>
      <c r="B3221" s="37"/>
      <c r="C3221" s="16"/>
      <c r="D3221" s="16"/>
      <c r="E3221" s="16"/>
      <c r="F3221" s="16"/>
      <c r="G3221" s="16"/>
      <c r="H3221" s="16"/>
      <c r="I3221" s="16"/>
      <c r="J3221" s="16"/>
      <c r="K3221" s="16"/>
      <c r="L3221" s="16"/>
      <c r="M3221" s="16"/>
    </row>
    <row r="3222" spans="1:13" x14ac:dyDescent="0.2">
      <c r="A3222" s="16"/>
      <c r="B3222" s="37"/>
      <c r="C3222" s="16"/>
      <c r="D3222" s="16"/>
      <c r="E3222" s="16"/>
      <c r="F3222" s="16"/>
      <c r="G3222" s="16"/>
      <c r="H3222" s="16"/>
      <c r="I3222" s="16"/>
      <c r="J3222" s="16"/>
      <c r="K3222" s="16"/>
      <c r="L3222" s="16"/>
      <c r="M3222" s="16"/>
    </row>
    <row r="3223" spans="1:13" x14ac:dyDescent="0.2">
      <c r="A3223" s="16"/>
      <c r="B3223" s="37"/>
      <c r="C3223" s="16"/>
      <c r="D3223" s="16"/>
      <c r="E3223" s="16"/>
      <c r="F3223" s="16"/>
      <c r="G3223" s="16"/>
      <c r="H3223" s="16"/>
      <c r="I3223" s="16"/>
      <c r="J3223" s="16"/>
      <c r="K3223" s="16"/>
      <c r="L3223" s="16"/>
      <c r="M3223" s="16"/>
    </row>
    <row r="3224" spans="1:13" x14ac:dyDescent="0.2">
      <c r="A3224" s="16"/>
      <c r="B3224" s="37"/>
      <c r="C3224" s="16"/>
      <c r="D3224" s="16"/>
      <c r="E3224" s="16"/>
      <c r="F3224" s="16"/>
      <c r="G3224" s="16"/>
      <c r="H3224" s="16"/>
      <c r="I3224" s="16"/>
      <c r="J3224" s="16"/>
      <c r="K3224" s="16"/>
      <c r="L3224" s="16"/>
      <c r="M3224" s="16"/>
    </row>
    <row r="3225" spans="1:13" x14ac:dyDescent="0.2">
      <c r="A3225" s="16"/>
      <c r="B3225" s="37"/>
      <c r="C3225" s="16"/>
      <c r="D3225" s="16"/>
      <c r="E3225" s="16"/>
      <c r="F3225" s="16"/>
      <c r="G3225" s="16"/>
      <c r="H3225" s="16"/>
      <c r="I3225" s="16"/>
      <c r="J3225" s="16"/>
      <c r="K3225" s="16"/>
      <c r="L3225" s="16"/>
      <c r="M3225" s="16"/>
    </row>
    <row r="3226" spans="1:13" x14ac:dyDescent="0.2">
      <c r="A3226" s="16"/>
      <c r="B3226" s="37"/>
      <c r="C3226" s="16"/>
      <c r="D3226" s="16"/>
      <c r="E3226" s="16"/>
      <c r="F3226" s="16"/>
      <c r="G3226" s="16"/>
      <c r="H3226" s="16"/>
      <c r="I3226" s="16"/>
      <c r="J3226" s="16"/>
      <c r="K3226" s="16"/>
      <c r="L3226" s="16"/>
      <c r="M3226" s="16"/>
    </row>
    <row r="3227" spans="1:13" x14ac:dyDescent="0.2">
      <c r="A3227" s="16"/>
      <c r="B3227" s="37"/>
      <c r="C3227" s="16"/>
      <c r="D3227" s="16"/>
      <c r="E3227" s="16"/>
      <c r="F3227" s="16"/>
      <c r="G3227" s="16"/>
      <c r="H3227" s="16"/>
      <c r="I3227" s="16"/>
      <c r="J3227" s="16"/>
      <c r="K3227" s="16"/>
      <c r="L3227" s="16"/>
      <c r="M3227" s="16"/>
    </row>
    <row r="3228" spans="1:13" x14ac:dyDescent="0.2">
      <c r="A3228" s="16"/>
      <c r="B3228" s="37"/>
      <c r="C3228" s="16"/>
      <c r="D3228" s="16"/>
      <c r="E3228" s="16"/>
      <c r="F3228" s="16"/>
      <c r="G3228" s="16"/>
      <c r="H3228" s="16"/>
      <c r="I3228" s="16"/>
      <c r="J3228" s="16"/>
      <c r="K3228" s="16"/>
      <c r="L3228" s="16"/>
      <c r="M3228" s="16"/>
    </row>
    <row r="3229" spans="1:13" x14ac:dyDescent="0.2">
      <c r="A3229" s="16"/>
      <c r="B3229" s="37"/>
      <c r="C3229" s="16"/>
      <c r="D3229" s="16"/>
      <c r="E3229" s="16"/>
      <c r="F3229" s="16"/>
      <c r="G3229" s="16"/>
      <c r="H3229" s="16"/>
      <c r="I3229" s="16"/>
      <c r="J3229" s="16"/>
      <c r="K3229" s="16"/>
      <c r="L3229" s="16"/>
      <c r="M3229" s="16"/>
    </row>
    <row r="3230" spans="1:13" x14ac:dyDescent="0.2">
      <c r="A3230" s="16"/>
      <c r="B3230" s="37"/>
      <c r="C3230" s="16"/>
      <c r="D3230" s="16"/>
      <c r="E3230" s="16"/>
      <c r="F3230" s="16"/>
      <c r="G3230" s="16"/>
      <c r="H3230" s="16"/>
      <c r="I3230" s="16"/>
      <c r="J3230" s="16"/>
      <c r="K3230" s="16"/>
      <c r="L3230" s="16"/>
      <c r="M3230" s="16"/>
    </row>
    <row r="3231" spans="1:13" x14ac:dyDescent="0.2">
      <c r="A3231" s="16"/>
      <c r="B3231" s="37"/>
      <c r="C3231" s="16"/>
      <c r="D3231" s="16"/>
      <c r="E3231" s="16"/>
      <c r="F3231" s="16"/>
      <c r="G3231" s="16"/>
      <c r="H3231" s="16"/>
      <c r="I3231" s="16"/>
      <c r="J3231" s="16"/>
      <c r="K3231" s="16"/>
      <c r="L3231" s="16"/>
      <c r="M3231" s="16"/>
    </row>
    <row r="3232" spans="1:13" x14ac:dyDescent="0.2">
      <c r="A3232" s="16"/>
      <c r="B3232" s="37"/>
      <c r="C3232" s="16"/>
      <c r="D3232" s="16"/>
      <c r="E3232" s="16"/>
      <c r="F3232" s="16"/>
      <c r="G3232" s="16"/>
      <c r="H3232" s="16"/>
      <c r="I3232" s="16"/>
      <c r="J3232" s="16"/>
      <c r="K3232" s="16"/>
      <c r="L3232" s="16"/>
      <c r="M3232" s="16"/>
    </row>
    <row r="3233" spans="1:13" x14ac:dyDescent="0.2">
      <c r="A3233" s="16"/>
      <c r="B3233" s="37"/>
      <c r="C3233" s="16"/>
      <c r="D3233" s="16"/>
      <c r="E3233" s="16"/>
      <c r="F3233" s="16"/>
      <c r="G3233" s="16"/>
      <c r="H3233" s="16"/>
      <c r="I3233" s="16"/>
      <c r="J3233" s="16"/>
      <c r="K3233" s="16"/>
      <c r="L3233" s="16"/>
      <c r="M3233" s="16"/>
    </row>
    <row r="3234" spans="1:13" x14ac:dyDescent="0.2">
      <c r="A3234" s="16"/>
      <c r="B3234" s="37"/>
      <c r="C3234" s="16"/>
      <c r="D3234" s="16"/>
      <c r="E3234" s="16"/>
      <c r="F3234" s="16"/>
      <c r="G3234" s="16"/>
      <c r="H3234" s="16"/>
      <c r="I3234" s="16"/>
      <c r="J3234" s="16"/>
      <c r="K3234" s="16"/>
      <c r="L3234" s="16"/>
      <c r="M3234" s="16"/>
    </row>
    <row r="3235" spans="1:13" x14ac:dyDescent="0.2">
      <c r="A3235" s="16"/>
      <c r="B3235" s="37"/>
      <c r="C3235" s="16"/>
      <c r="D3235" s="16"/>
      <c r="E3235" s="16"/>
      <c r="F3235" s="16"/>
      <c r="G3235" s="16"/>
      <c r="H3235" s="16"/>
      <c r="I3235" s="16"/>
      <c r="J3235" s="16"/>
      <c r="K3235" s="16"/>
      <c r="L3235" s="16"/>
      <c r="M3235" s="16"/>
    </row>
    <row r="3236" spans="1:13" x14ac:dyDescent="0.2">
      <c r="A3236" s="16"/>
      <c r="B3236" s="37"/>
      <c r="C3236" s="16"/>
      <c r="D3236" s="16"/>
      <c r="E3236" s="16"/>
      <c r="F3236" s="16"/>
      <c r="G3236" s="16"/>
      <c r="H3236" s="16"/>
      <c r="I3236" s="16"/>
      <c r="J3236" s="16"/>
      <c r="K3236" s="16"/>
      <c r="L3236" s="16"/>
      <c r="M3236" s="16"/>
    </row>
    <row r="3237" spans="1:13" x14ac:dyDescent="0.2">
      <c r="A3237" s="16"/>
      <c r="B3237" s="37"/>
      <c r="C3237" s="16"/>
      <c r="D3237" s="16"/>
      <c r="E3237" s="16"/>
      <c r="F3237" s="16"/>
      <c r="G3237" s="16"/>
      <c r="H3237" s="16"/>
      <c r="I3237" s="16"/>
      <c r="J3237" s="16"/>
      <c r="K3237" s="16"/>
      <c r="L3237" s="16"/>
      <c r="M3237" s="16"/>
    </row>
    <row r="3238" spans="1:13" x14ac:dyDescent="0.2">
      <c r="A3238" s="16"/>
      <c r="B3238" s="37"/>
      <c r="C3238" s="16"/>
      <c r="D3238" s="16"/>
      <c r="E3238" s="16"/>
      <c r="F3238" s="16"/>
      <c r="G3238" s="16"/>
      <c r="H3238" s="16"/>
      <c r="I3238" s="16"/>
      <c r="J3238" s="16"/>
      <c r="K3238" s="16"/>
      <c r="L3238" s="16"/>
      <c r="M3238" s="16"/>
    </row>
    <row r="3239" spans="1:13" x14ac:dyDescent="0.2">
      <c r="A3239" s="16"/>
      <c r="B3239" s="37"/>
      <c r="C3239" s="16"/>
      <c r="D3239" s="16"/>
      <c r="E3239" s="16"/>
      <c r="F3239" s="16"/>
      <c r="G3239" s="16"/>
      <c r="H3239" s="16"/>
      <c r="I3239" s="16"/>
      <c r="J3239" s="16"/>
      <c r="K3239" s="16"/>
      <c r="L3239" s="16"/>
      <c r="M3239" s="16"/>
    </row>
    <row r="3240" spans="1:13" x14ac:dyDescent="0.2">
      <c r="A3240" s="16"/>
      <c r="B3240" s="37"/>
      <c r="C3240" s="16"/>
      <c r="D3240" s="16"/>
      <c r="E3240" s="16"/>
      <c r="F3240" s="16"/>
      <c r="G3240" s="16"/>
      <c r="H3240" s="16"/>
      <c r="I3240" s="16"/>
      <c r="J3240" s="16"/>
      <c r="K3240" s="16"/>
      <c r="L3240" s="16"/>
      <c r="M3240" s="16"/>
    </row>
    <row r="3241" spans="1:13" x14ac:dyDescent="0.2">
      <c r="A3241" s="16"/>
      <c r="B3241" s="37"/>
      <c r="C3241" s="16"/>
      <c r="D3241" s="16"/>
      <c r="E3241" s="16"/>
      <c r="F3241" s="16"/>
      <c r="G3241" s="16"/>
      <c r="H3241" s="16"/>
      <c r="I3241" s="16"/>
      <c r="J3241" s="16"/>
      <c r="K3241" s="16"/>
      <c r="L3241" s="16"/>
      <c r="M3241" s="16"/>
    </row>
    <row r="3242" spans="1:13" x14ac:dyDescent="0.2">
      <c r="A3242" s="16"/>
      <c r="B3242" s="37"/>
      <c r="C3242" s="16"/>
      <c r="D3242" s="16"/>
      <c r="E3242" s="16"/>
      <c r="F3242" s="16"/>
      <c r="G3242" s="16"/>
      <c r="H3242" s="16"/>
      <c r="I3242" s="16"/>
      <c r="J3242" s="16"/>
      <c r="K3242" s="16"/>
      <c r="L3242" s="16"/>
      <c r="M3242" s="16"/>
    </row>
    <row r="3243" spans="1:13" x14ac:dyDescent="0.2">
      <c r="A3243" s="16"/>
      <c r="B3243" s="37"/>
      <c r="C3243" s="16"/>
      <c r="D3243" s="16"/>
      <c r="E3243" s="16"/>
      <c r="F3243" s="16"/>
      <c r="G3243" s="16"/>
      <c r="H3243" s="16"/>
      <c r="I3243" s="16"/>
      <c r="J3243" s="16"/>
      <c r="K3243" s="16"/>
      <c r="L3243" s="16"/>
      <c r="M3243" s="16"/>
    </row>
    <row r="3244" spans="1:13" x14ac:dyDescent="0.2">
      <c r="A3244" s="16"/>
      <c r="B3244" s="37"/>
      <c r="C3244" s="16"/>
      <c r="D3244" s="16"/>
      <c r="E3244" s="16"/>
      <c r="F3244" s="16"/>
      <c r="G3244" s="16"/>
      <c r="H3244" s="16"/>
      <c r="I3244" s="16"/>
      <c r="J3244" s="16"/>
      <c r="K3244" s="16"/>
      <c r="L3244" s="16"/>
      <c r="M3244" s="16"/>
    </row>
    <row r="3245" spans="1:13" x14ac:dyDescent="0.2">
      <c r="A3245" s="16"/>
      <c r="B3245" s="37"/>
      <c r="C3245" s="16"/>
      <c r="D3245" s="16"/>
      <c r="E3245" s="16"/>
      <c r="F3245" s="16"/>
      <c r="G3245" s="16"/>
      <c r="H3245" s="16"/>
      <c r="I3245" s="16"/>
      <c r="J3245" s="16"/>
      <c r="K3245" s="16"/>
      <c r="L3245" s="16"/>
      <c r="M3245" s="16"/>
    </row>
    <row r="3246" spans="1:13" x14ac:dyDescent="0.2">
      <c r="A3246" s="16"/>
      <c r="B3246" s="37"/>
      <c r="C3246" s="16"/>
      <c r="D3246" s="16"/>
      <c r="E3246" s="16"/>
      <c r="F3246" s="16"/>
      <c r="G3246" s="16"/>
      <c r="H3246" s="16"/>
      <c r="I3246" s="16"/>
      <c r="J3246" s="16"/>
      <c r="K3246" s="16"/>
      <c r="L3246" s="16"/>
      <c r="M3246" s="16"/>
    </row>
    <row r="3247" spans="1:13" x14ac:dyDescent="0.2">
      <c r="A3247" s="16"/>
      <c r="B3247" s="37"/>
      <c r="C3247" s="16"/>
      <c r="D3247" s="16"/>
      <c r="E3247" s="16"/>
      <c r="F3247" s="16"/>
      <c r="G3247" s="16"/>
      <c r="H3247" s="16"/>
      <c r="I3247" s="16"/>
      <c r="J3247" s="16"/>
      <c r="K3247" s="16"/>
      <c r="L3247" s="16"/>
      <c r="M3247" s="16"/>
    </row>
    <row r="3248" spans="1:13" x14ac:dyDescent="0.2">
      <c r="A3248" s="16"/>
      <c r="B3248" s="37"/>
      <c r="C3248" s="16"/>
      <c r="D3248" s="16"/>
      <c r="E3248" s="16"/>
      <c r="F3248" s="16"/>
      <c r="G3248" s="16"/>
      <c r="H3248" s="16"/>
      <c r="I3248" s="16"/>
      <c r="J3248" s="16"/>
      <c r="K3248" s="16"/>
      <c r="L3248" s="16"/>
      <c r="M3248" s="16"/>
    </row>
    <row r="3249" spans="1:13" x14ac:dyDescent="0.2">
      <c r="A3249" s="16"/>
      <c r="B3249" s="37"/>
      <c r="C3249" s="16"/>
      <c r="D3249" s="16"/>
      <c r="E3249" s="16"/>
      <c r="F3249" s="16"/>
      <c r="G3249" s="16"/>
      <c r="H3249" s="16"/>
      <c r="I3249" s="16"/>
      <c r="J3249" s="16"/>
      <c r="K3249" s="16"/>
      <c r="L3249" s="16"/>
      <c r="M3249" s="16"/>
    </row>
    <row r="3250" spans="1:13" x14ac:dyDescent="0.2">
      <c r="A3250" s="16"/>
      <c r="B3250" s="37"/>
      <c r="C3250" s="16"/>
      <c r="D3250" s="16"/>
      <c r="E3250" s="16"/>
      <c r="F3250" s="16"/>
      <c r="G3250" s="16"/>
      <c r="H3250" s="16"/>
      <c r="I3250" s="16"/>
      <c r="J3250" s="16"/>
      <c r="K3250" s="16"/>
      <c r="L3250" s="16"/>
      <c r="M3250" s="16"/>
    </row>
    <row r="3251" spans="1:13" x14ac:dyDescent="0.2">
      <c r="A3251" s="16"/>
      <c r="B3251" s="37"/>
      <c r="C3251" s="16"/>
      <c r="D3251" s="16"/>
      <c r="E3251" s="16"/>
      <c r="F3251" s="16"/>
      <c r="G3251" s="16"/>
      <c r="H3251" s="16"/>
      <c r="I3251" s="16"/>
      <c r="J3251" s="16"/>
      <c r="K3251" s="16"/>
      <c r="L3251" s="16"/>
      <c r="M3251" s="16"/>
    </row>
    <row r="3252" spans="1:13" x14ac:dyDescent="0.2">
      <c r="A3252" s="16"/>
      <c r="B3252" s="37"/>
      <c r="C3252" s="16"/>
      <c r="D3252" s="16"/>
      <c r="E3252" s="16"/>
      <c r="F3252" s="16"/>
      <c r="G3252" s="16"/>
      <c r="H3252" s="16"/>
      <c r="I3252" s="16"/>
      <c r="J3252" s="16"/>
      <c r="K3252" s="16"/>
      <c r="L3252" s="16"/>
      <c r="M3252" s="16"/>
    </row>
    <row r="3253" spans="1:13" x14ac:dyDescent="0.2">
      <c r="A3253" s="16"/>
      <c r="B3253" s="37"/>
      <c r="C3253" s="16"/>
      <c r="D3253" s="16"/>
      <c r="E3253" s="16"/>
      <c r="F3253" s="16"/>
      <c r="G3253" s="16"/>
      <c r="H3253" s="16"/>
      <c r="I3253" s="16"/>
      <c r="J3253" s="16"/>
      <c r="K3253" s="16"/>
      <c r="L3253" s="16"/>
      <c r="M3253" s="16"/>
    </row>
    <row r="3254" spans="1:13" x14ac:dyDescent="0.2">
      <c r="A3254" s="16"/>
      <c r="B3254" s="37"/>
      <c r="C3254" s="16"/>
      <c r="D3254" s="16"/>
      <c r="E3254" s="16"/>
      <c r="F3254" s="16"/>
      <c r="G3254" s="16"/>
      <c r="H3254" s="16"/>
      <c r="I3254" s="16"/>
      <c r="J3254" s="16"/>
      <c r="K3254" s="16"/>
      <c r="L3254" s="16"/>
      <c r="M3254" s="16"/>
    </row>
    <row r="3255" spans="1:13" x14ac:dyDescent="0.2">
      <c r="A3255" s="16"/>
      <c r="B3255" s="37"/>
      <c r="C3255" s="16"/>
      <c r="D3255" s="16"/>
      <c r="E3255" s="16"/>
      <c r="F3255" s="16"/>
      <c r="G3255" s="16"/>
      <c r="H3255" s="16"/>
      <c r="I3255" s="16"/>
      <c r="J3255" s="16"/>
      <c r="K3255" s="16"/>
      <c r="L3255" s="16"/>
      <c r="M3255" s="16"/>
    </row>
    <row r="3256" spans="1:13" x14ac:dyDescent="0.2">
      <c r="A3256" s="16"/>
      <c r="B3256" s="37"/>
      <c r="C3256" s="16"/>
      <c r="D3256" s="16"/>
      <c r="E3256" s="16"/>
      <c r="F3256" s="16"/>
      <c r="G3256" s="16"/>
      <c r="H3256" s="16"/>
      <c r="I3256" s="16"/>
      <c r="J3256" s="16"/>
      <c r="K3256" s="16"/>
      <c r="L3256" s="16"/>
      <c r="M3256" s="16"/>
    </row>
    <row r="3257" spans="1:13" x14ac:dyDescent="0.2">
      <c r="A3257" s="16"/>
      <c r="B3257" s="37"/>
      <c r="C3257" s="16"/>
      <c r="D3257" s="16"/>
      <c r="E3257" s="16"/>
      <c r="F3257" s="16"/>
      <c r="G3257" s="16"/>
      <c r="H3257" s="16"/>
      <c r="I3257" s="16"/>
      <c r="J3257" s="16"/>
      <c r="K3257" s="16"/>
      <c r="L3257" s="16"/>
      <c r="M3257" s="16"/>
    </row>
    <row r="3258" spans="1:13" x14ac:dyDescent="0.2">
      <c r="A3258" s="16"/>
      <c r="B3258" s="37"/>
      <c r="C3258" s="16"/>
      <c r="D3258" s="16"/>
      <c r="E3258" s="16"/>
      <c r="F3258" s="16"/>
      <c r="G3258" s="16"/>
      <c r="H3258" s="16"/>
      <c r="I3258" s="16"/>
      <c r="J3258" s="16"/>
      <c r="K3258" s="16"/>
      <c r="L3258" s="16"/>
      <c r="M3258" s="16"/>
    </row>
    <row r="3259" spans="1:13" x14ac:dyDescent="0.2">
      <c r="A3259" s="16"/>
      <c r="B3259" s="37"/>
      <c r="C3259" s="16"/>
      <c r="D3259" s="16"/>
      <c r="E3259" s="16"/>
      <c r="F3259" s="16"/>
      <c r="G3259" s="16"/>
      <c r="H3259" s="16"/>
      <c r="I3259" s="16"/>
      <c r="J3259" s="16"/>
      <c r="K3259" s="16"/>
      <c r="L3259" s="16"/>
      <c r="M3259" s="16"/>
    </row>
    <row r="3260" spans="1:13" x14ac:dyDescent="0.2">
      <c r="A3260" s="16"/>
      <c r="B3260" s="37"/>
      <c r="C3260" s="16"/>
      <c r="D3260" s="16"/>
      <c r="E3260" s="16"/>
      <c r="F3260" s="16"/>
      <c r="G3260" s="16"/>
      <c r="H3260" s="16"/>
      <c r="I3260" s="16"/>
      <c r="J3260" s="16"/>
      <c r="K3260" s="16"/>
      <c r="L3260" s="16"/>
      <c r="M3260" s="16"/>
    </row>
    <row r="3261" spans="1:13" x14ac:dyDescent="0.2">
      <c r="A3261" s="16"/>
      <c r="B3261" s="37"/>
      <c r="C3261" s="16"/>
      <c r="D3261" s="16"/>
      <c r="E3261" s="16"/>
      <c r="F3261" s="16"/>
      <c r="G3261" s="16"/>
      <c r="H3261" s="16"/>
      <c r="I3261" s="16"/>
      <c r="J3261" s="16"/>
      <c r="K3261" s="16"/>
      <c r="L3261" s="16"/>
      <c r="M3261" s="16"/>
    </row>
    <row r="3262" spans="1:13" x14ac:dyDescent="0.2">
      <c r="A3262" s="16"/>
      <c r="B3262" s="37"/>
      <c r="C3262" s="16"/>
      <c r="D3262" s="16"/>
      <c r="E3262" s="16"/>
      <c r="F3262" s="16"/>
      <c r="G3262" s="16"/>
      <c r="H3262" s="16"/>
      <c r="I3262" s="16"/>
      <c r="J3262" s="16"/>
      <c r="K3262" s="16"/>
      <c r="L3262" s="16"/>
      <c r="M3262" s="16"/>
    </row>
    <row r="3263" spans="1:13" x14ac:dyDescent="0.2">
      <c r="A3263" s="16"/>
      <c r="B3263" s="37"/>
      <c r="C3263" s="16"/>
      <c r="D3263" s="16"/>
      <c r="E3263" s="16"/>
      <c r="F3263" s="16"/>
      <c r="G3263" s="16"/>
      <c r="H3263" s="16"/>
      <c r="I3263" s="16"/>
      <c r="J3263" s="16"/>
      <c r="K3263" s="16"/>
      <c r="L3263" s="16"/>
      <c r="M3263" s="16"/>
    </row>
    <row r="3264" spans="1:13" x14ac:dyDescent="0.2">
      <c r="A3264" s="16"/>
      <c r="B3264" s="37"/>
      <c r="C3264" s="16"/>
      <c r="D3264" s="16"/>
      <c r="E3264" s="16"/>
      <c r="F3264" s="16"/>
      <c r="G3264" s="16"/>
      <c r="H3264" s="16"/>
      <c r="I3264" s="16"/>
      <c r="J3264" s="16"/>
      <c r="K3264" s="16"/>
      <c r="L3264" s="16"/>
      <c r="M3264" s="16"/>
    </row>
    <row r="3265" spans="1:13" x14ac:dyDescent="0.2">
      <c r="A3265" s="16"/>
      <c r="B3265" s="37"/>
      <c r="C3265" s="16"/>
      <c r="D3265" s="16"/>
      <c r="E3265" s="16"/>
      <c r="F3265" s="16"/>
      <c r="G3265" s="16"/>
      <c r="H3265" s="16"/>
      <c r="I3265" s="16"/>
      <c r="J3265" s="16"/>
      <c r="K3265" s="16"/>
      <c r="L3265" s="16"/>
      <c r="M3265" s="16"/>
    </row>
    <row r="3266" spans="1:13" x14ac:dyDescent="0.2">
      <c r="A3266" s="16"/>
      <c r="B3266" s="37"/>
      <c r="C3266" s="16"/>
      <c r="D3266" s="16"/>
      <c r="E3266" s="16"/>
      <c r="F3266" s="16"/>
      <c r="G3266" s="16"/>
      <c r="H3266" s="16"/>
      <c r="I3266" s="16"/>
      <c r="J3266" s="16"/>
      <c r="K3266" s="16"/>
      <c r="L3266" s="16"/>
      <c r="M3266" s="16"/>
    </row>
    <row r="3267" spans="1:13" x14ac:dyDescent="0.2">
      <c r="A3267" s="16"/>
      <c r="B3267" s="37"/>
      <c r="C3267" s="16"/>
      <c r="D3267" s="16"/>
      <c r="E3267" s="16"/>
      <c r="F3267" s="16"/>
      <c r="G3267" s="16"/>
      <c r="H3267" s="16"/>
      <c r="I3267" s="16"/>
      <c r="J3267" s="16"/>
      <c r="K3267" s="16"/>
      <c r="L3267" s="16"/>
      <c r="M3267" s="16"/>
    </row>
    <row r="3268" spans="1:13" x14ac:dyDescent="0.2">
      <c r="A3268" s="16"/>
      <c r="B3268" s="37"/>
      <c r="C3268" s="16"/>
      <c r="D3268" s="16"/>
      <c r="E3268" s="16"/>
      <c r="F3268" s="16"/>
      <c r="G3268" s="16"/>
      <c r="H3268" s="16"/>
      <c r="I3268" s="16"/>
      <c r="J3268" s="16"/>
      <c r="K3268" s="16"/>
      <c r="L3268" s="16"/>
      <c r="M3268" s="16"/>
    </row>
    <row r="3269" spans="1:13" x14ac:dyDescent="0.2">
      <c r="A3269" s="16"/>
      <c r="B3269" s="37"/>
      <c r="C3269" s="16"/>
      <c r="D3269" s="16"/>
      <c r="E3269" s="16"/>
      <c r="F3269" s="16"/>
      <c r="G3269" s="16"/>
      <c r="H3269" s="16"/>
      <c r="I3269" s="16"/>
      <c r="J3269" s="16"/>
      <c r="K3269" s="16"/>
      <c r="L3269" s="16"/>
      <c r="M3269" s="16"/>
    </row>
    <row r="3270" spans="1:13" x14ac:dyDescent="0.2">
      <c r="A3270" s="16"/>
      <c r="B3270" s="37"/>
      <c r="C3270" s="16"/>
      <c r="D3270" s="16"/>
      <c r="E3270" s="16"/>
      <c r="F3270" s="16"/>
      <c r="G3270" s="16"/>
      <c r="H3270" s="16"/>
      <c r="I3270" s="16"/>
      <c r="J3270" s="16"/>
      <c r="K3270" s="16"/>
      <c r="L3270" s="16"/>
      <c r="M3270" s="16"/>
    </row>
    <row r="3271" spans="1:13" x14ac:dyDescent="0.2">
      <c r="A3271" s="16"/>
      <c r="B3271" s="37"/>
      <c r="C3271" s="16"/>
      <c r="D3271" s="16"/>
      <c r="E3271" s="16"/>
      <c r="F3271" s="16"/>
      <c r="G3271" s="16"/>
      <c r="H3271" s="16"/>
      <c r="I3271" s="16"/>
      <c r="J3271" s="16"/>
      <c r="K3271" s="16"/>
      <c r="L3271" s="16"/>
      <c r="M3271" s="16"/>
    </row>
    <row r="3272" spans="1:13" x14ac:dyDescent="0.2">
      <c r="A3272" s="16"/>
      <c r="B3272" s="37"/>
      <c r="C3272" s="16"/>
      <c r="D3272" s="16"/>
      <c r="E3272" s="16"/>
      <c r="F3272" s="16"/>
      <c r="G3272" s="16"/>
      <c r="H3272" s="16"/>
      <c r="I3272" s="16"/>
      <c r="J3272" s="16"/>
      <c r="K3272" s="16"/>
      <c r="L3272" s="16"/>
      <c r="M3272" s="16"/>
    </row>
    <row r="3273" spans="1:13" x14ac:dyDescent="0.2">
      <c r="A3273" s="16"/>
      <c r="B3273" s="37"/>
      <c r="C3273" s="16"/>
      <c r="D3273" s="16"/>
      <c r="E3273" s="16"/>
      <c r="F3273" s="16"/>
      <c r="G3273" s="16"/>
      <c r="H3273" s="16"/>
      <c r="I3273" s="16"/>
      <c r="J3273" s="16"/>
      <c r="K3273" s="16"/>
      <c r="L3273" s="16"/>
      <c r="M3273" s="16"/>
    </row>
    <row r="3274" spans="1:13" x14ac:dyDescent="0.2">
      <c r="A3274" s="16"/>
      <c r="B3274" s="37"/>
      <c r="C3274" s="16"/>
      <c r="D3274" s="16"/>
      <c r="E3274" s="16"/>
      <c r="F3274" s="16"/>
      <c r="G3274" s="16"/>
      <c r="H3274" s="16"/>
      <c r="I3274" s="16"/>
      <c r="J3274" s="16"/>
      <c r="K3274" s="16"/>
      <c r="L3274" s="16"/>
      <c r="M3274" s="16"/>
    </row>
    <row r="3275" spans="1:13" x14ac:dyDescent="0.2">
      <c r="A3275" s="16"/>
      <c r="B3275" s="37"/>
      <c r="C3275" s="16"/>
      <c r="D3275" s="16"/>
      <c r="E3275" s="16"/>
      <c r="F3275" s="16"/>
      <c r="G3275" s="16"/>
      <c r="H3275" s="16"/>
      <c r="I3275" s="16"/>
      <c r="J3275" s="16"/>
      <c r="K3275" s="16"/>
      <c r="L3275" s="16"/>
      <c r="M3275" s="16"/>
    </row>
    <row r="3276" spans="1:13" x14ac:dyDescent="0.2">
      <c r="A3276" s="16"/>
      <c r="B3276" s="37"/>
      <c r="C3276" s="16"/>
      <c r="D3276" s="16"/>
      <c r="E3276" s="16"/>
      <c r="F3276" s="16"/>
      <c r="G3276" s="16"/>
      <c r="H3276" s="16"/>
      <c r="I3276" s="16"/>
      <c r="J3276" s="16"/>
      <c r="K3276" s="16"/>
      <c r="L3276" s="16"/>
      <c r="M3276" s="16"/>
    </row>
    <row r="3277" spans="1:13" x14ac:dyDescent="0.2">
      <c r="A3277" s="16"/>
      <c r="B3277" s="37"/>
      <c r="C3277" s="16"/>
      <c r="D3277" s="16"/>
      <c r="E3277" s="16"/>
      <c r="F3277" s="16"/>
      <c r="G3277" s="16"/>
      <c r="H3277" s="16"/>
      <c r="I3277" s="16"/>
      <c r="J3277" s="16"/>
      <c r="K3277" s="16"/>
      <c r="L3277" s="16"/>
      <c r="M3277" s="16"/>
    </row>
    <row r="3278" spans="1:13" x14ac:dyDescent="0.2">
      <c r="A3278" s="16"/>
      <c r="B3278" s="37"/>
      <c r="C3278" s="16"/>
      <c r="D3278" s="16"/>
      <c r="E3278" s="16"/>
      <c r="F3278" s="16"/>
      <c r="G3278" s="16"/>
      <c r="H3278" s="16"/>
      <c r="I3278" s="16"/>
      <c r="J3278" s="16"/>
      <c r="K3278" s="16"/>
      <c r="L3278" s="16"/>
      <c r="M3278" s="16"/>
    </row>
    <row r="3279" spans="1:13" x14ac:dyDescent="0.2">
      <c r="A3279" s="16"/>
      <c r="B3279" s="37"/>
      <c r="C3279" s="16"/>
      <c r="D3279" s="16"/>
      <c r="E3279" s="16"/>
      <c r="F3279" s="16"/>
      <c r="G3279" s="16"/>
      <c r="H3279" s="16"/>
      <c r="I3279" s="16"/>
      <c r="J3279" s="16"/>
      <c r="K3279" s="16"/>
      <c r="L3279" s="16"/>
      <c r="M3279" s="16"/>
    </row>
    <row r="3280" spans="1:13" x14ac:dyDescent="0.2">
      <c r="A3280" s="16"/>
      <c r="B3280" s="37"/>
      <c r="C3280" s="16"/>
      <c r="D3280" s="16"/>
      <c r="E3280" s="16"/>
      <c r="F3280" s="16"/>
      <c r="G3280" s="16"/>
      <c r="H3280" s="16"/>
      <c r="I3280" s="16"/>
      <c r="J3280" s="16"/>
      <c r="K3280" s="16"/>
      <c r="L3280" s="16"/>
      <c r="M3280" s="16"/>
    </row>
    <row r="3281" spans="1:13" x14ac:dyDescent="0.2">
      <c r="A3281" s="16"/>
      <c r="B3281" s="37"/>
      <c r="C3281" s="16"/>
      <c r="D3281" s="16"/>
      <c r="E3281" s="16"/>
      <c r="F3281" s="16"/>
      <c r="G3281" s="16"/>
      <c r="H3281" s="16"/>
      <c r="I3281" s="16"/>
      <c r="J3281" s="16"/>
      <c r="K3281" s="16"/>
      <c r="L3281" s="16"/>
      <c r="M3281" s="16"/>
    </row>
    <row r="3282" spans="1:13" x14ac:dyDescent="0.2">
      <c r="A3282" s="16"/>
      <c r="B3282" s="37"/>
      <c r="C3282" s="16"/>
      <c r="D3282" s="16"/>
      <c r="E3282" s="16"/>
      <c r="F3282" s="16"/>
      <c r="G3282" s="16"/>
      <c r="H3282" s="16"/>
      <c r="I3282" s="16"/>
      <c r="J3282" s="16"/>
      <c r="K3282" s="16"/>
      <c r="L3282" s="16"/>
      <c r="M3282" s="16"/>
    </row>
    <row r="3283" spans="1:13" x14ac:dyDescent="0.2">
      <c r="A3283" s="16"/>
      <c r="B3283" s="37"/>
      <c r="C3283" s="16"/>
      <c r="D3283" s="16"/>
      <c r="E3283" s="16"/>
      <c r="F3283" s="16"/>
      <c r="G3283" s="16"/>
      <c r="H3283" s="16"/>
      <c r="I3283" s="16"/>
      <c r="J3283" s="16"/>
      <c r="K3283" s="16"/>
      <c r="L3283" s="16"/>
      <c r="M3283" s="16"/>
    </row>
    <row r="3284" spans="1:13" x14ac:dyDescent="0.2">
      <c r="A3284" s="16"/>
      <c r="B3284" s="37"/>
      <c r="C3284" s="16"/>
      <c r="D3284" s="16"/>
      <c r="E3284" s="16"/>
      <c r="F3284" s="16"/>
      <c r="G3284" s="16"/>
      <c r="H3284" s="16"/>
      <c r="I3284" s="16"/>
      <c r="J3284" s="16"/>
      <c r="K3284" s="16"/>
      <c r="L3284" s="16"/>
      <c r="M3284" s="16"/>
    </row>
    <row r="3285" spans="1:13" x14ac:dyDescent="0.2">
      <c r="A3285" s="16"/>
      <c r="B3285" s="37"/>
      <c r="C3285" s="16"/>
      <c r="D3285" s="16"/>
      <c r="E3285" s="16"/>
      <c r="F3285" s="16"/>
      <c r="G3285" s="16"/>
      <c r="H3285" s="16"/>
      <c r="I3285" s="16"/>
      <c r="J3285" s="16"/>
      <c r="K3285" s="16"/>
      <c r="L3285" s="16"/>
      <c r="M3285" s="16"/>
    </row>
    <row r="3286" spans="1:13" x14ac:dyDescent="0.2">
      <c r="A3286" s="16"/>
      <c r="B3286" s="37"/>
      <c r="C3286" s="16"/>
      <c r="D3286" s="16"/>
      <c r="E3286" s="16"/>
      <c r="F3286" s="16"/>
      <c r="G3286" s="16"/>
      <c r="H3286" s="16"/>
      <c r="I3286" s="16"/>
      <c r="J3286" s="16"/>
      <c r="K3286" s="16"/>
      <c r="L3286" s="16"/>
      <c r="M3286" s="16"/>
    </row>
    <row r="3287" spans="1:13" x14ac:dyDescent="0.2">
      <c r="A3287" s="16"/>
      <c r="B3287" s="37"/>
      <c r="C3287" s="16"/>
      <c r="D3287" s="16"/>
      <c r="E3287" s="16"/>
      <c r="F3287" s="16"/>
      <c r="G3287" s="16"/>
      <c r="H3287" s="16"/>
      <c r="I3287" s="16"/>
      <c r="J3287" s="16"/>
      <c r="K3287" s="16"/>
      <c r="L3287" s="16"/>
      <c r="M3287" s="16"/>
    </row>
    <row r="3288" spans="1:13" x14ac:dyDescent="0.2">
      <c r="A3288" s="16"/>
      <c r="B3288" s="37"/>
      <c r="C3288" s="16"/>
      <c r="D3288" s="16"/>
      <c r="E3288" s="16"/>
      <c r="F3288" s="16"/>
      <c r="G3288" s="16"/>
      <c r="H3288" s="16"/>
      <c r="I3288" s="16"/>
      <c r="J3288" s="16"/>
      <c r="K3288" s="16"/>
      <c r="L3288" s="16"/>
      <c r="M3288" s="16"/>
    </row>
    <row r="3289" spans="1:13" x14ac:dyDescent="0.2">
      <c r="A3289" s="16"/>
      <c r="B3289" s="37"/>
      <c r="C3289" s="16"/>
      <c r="D3289" s="16"/>
      <c r="E3289" s="16"/>
      <c r="F3289" s="16"/>
      <c r="G3289" s="16"/>
      <c r="H3289" s="16"/>
      <c r="I3289" s="16"/>
      <c r="J3289" s="16"/>
      <c r="K3289" s="16"/>
      <c r="L3289" s="16"/>
      <c r="M3289" s="16"/>
    </row>
    <row r="3290" spans="1:13" x14ac:dyDescent="0.2">
      <c r="A3290" s="16"/>
      <c r="B3290" s="37"/>
      <c r="C3290" s="16"/>
      <c r="D3290" s="16"/>
      <c r="E3290" s="16"/>
      <c r="F3290" s="16"/>
      <c r="G3290" s="16"/>
      <c r="H3290" s="16"/>
      <c r="I3290" s="16"/>
      <c r="J3290" s="16"/>
      <c r="K3290" s="16"/>
      <c r="L3290" s="16"/>
      <c r="M3290" s="16"/>
    </row>
    <row r="3291" spans="1:13" x14ac:dyDescent="0.2">
      <c r="A3291" s="16"/>
      <c r="B3291" s="37"/>
      <c r="C3291" s="16"/>
      <c r="D3291" s="16"/>
      <c r="E3291" s="16"/>
      <c r="F3291" s="16"/>
      <c r="G3291" s="16"/>
      <c r="H3291" s="16"/>
      <c r="I3291" s="16"/>
      <c r="J3291" s="16"/>
      <c r="K3291" s="16"/>
      <c r="L3291" s="16"/>
      <c r="M3291" s="16"/>
    </row>
    <row r="3292" spans="1:13" x14ac:dyDescent="0.2">
      <c r="A3292" s="16"/>
      <c r="B3292" s="37"/>
      <c r="C3292" s="16"/>
      <c r="D3292" s="16"/>
      <c r="E3292" s="16"/>
      <c r="F3292" s="16"/>
      <c r="G3292" s="16"/>
      <c r="H3292" s="16"/>
      <c r="I3292" s="16"/>
      <c r="J3292" s="16"/>
      <c r="K3292" s="16"/>
      <c r="L3292" s="16"/>
      <c r="M3292" s="16"/>
    </row>
    <row r="3293" spans="1:13" x14ac:dyDescent="0.2">
      <c r="A3293" s="16"/>
      <c r="B3293" s="37"/>
      <c r="C3293" s="16"/>
      <c r="D3293" s="16"/>
      <c r="E3293" s="16"/>
      <c r="F3293" s="16"/>
      <c r="G3293" s="16"/>
      <c r="H3293" s="16"/>
      <c r="I3293" s="16"/>
      <c r="J3293" s="16"/>
      <c r="K3293" s="16"/>
      <c r="L3293" s="16"/>
      <c r="M3293" s="16"/>
    </row>
    <row r="3294" spans="1:13" x14ac:dyDescent="0.2">
      <c r="A3294" s="16"/>
      <c r="B3294" s="37"/>
      <c r="C3294" s="16"/>
      <c r="D3294" s="16"/>
      <c r="E3294" s="16"/>
      <c r="F3294" s="16"/>
      <c r="G3294" s="16"/>
      <c r="H3294" s="16"/>
      <c r="I3294" s="16"/>
      <c r="J3294" s="16"/>
      <c r="K3294" s="16"/>
      <c r="L3294" s="16"/>
      <c r="M3294" s="16"/>
    </row>
    <row r="3295" spans="1:13" x14ac:dyDescent="0.2">
      <c r="A3295" s="16"/>
      <c r="B3295" s="37"/>
      <c r="C3295" s="16"/>
      <c r="D3295" s="16"/>
      <c r="E3295" s="16"/>
      <c r="F3295" s="16"/>
      <c r="G3295" s="16"/>
      <c r="H3295" s="16"/>
      <c r="I3295" s="16"/>
      <c r="J3295" s="16"/>
      <c r="K3295" s="16"/>
      <c r="L3295" s="16"/>
      <c r="M3295" s="16"/>
    </row>
    <row r="3296" spans="1:13" x14ac:dyDescent="0.2">
      <c r="A3296" s="16"/>
      <c r="B3296" s="37"/>
      <c r="C3296" s="16"/>
      <c r="D3296" s="16"/>
      <c r="E3296" s="16"/>
      <c r="F3296" s="16"/>
      <c r="G3296" s="16"/>
      <c r="H3296" s="16"/>
      <c r="I3296" s="16"/>
      <c r="J3296" s="16"/>
      <c r="K3296" s="16"/>
      <c r="L3296" s="16"/>
      <c r="M3296" s="16"/>
    </row>
    <row r="3297" spans="1:13" x14ac:dyDescent="0.2">
      <c r="A3297" s="16"/>
      <c r="B3297" s="37"/>
      <c r="C3297" s="16"/>
      <c r="D3297" s="16"/>
      <c r="E3297" s="16"/>
      <c r="F3297" s="16"/>
      <c r="G3297" s="16"/>
      <c r="H3297" s="16"/>
      <c r="I3297" s="16"/>
      <c r="J3297" s="16"/>
      <c r="K3297" s="16"/>
      <c r="L3297" s="16"/>
      <c r="M3297" s="16"/>
    </row>
    <row r="3298" spans="1:13" x14ac:dyDescent="0.2">
      <c r="A3298" s="16"/>
      <c r="B3298" s="37"/>
      <c r="C3298" s="16"/>
      <c r="D3298" s="16"/>
      <c r="E3298" s="16"/>
      <c r="F3298" s="16"/>
      <c r="G3298" s="16"/>
      <c r="H3298" s="16"/>
      <c r="I3298" s="16"/>
      <c r="J3298" s="16"/>
      <c r="K3298" s="16"/>
      <c r="L3298" s="16"/>
      <c r="M3298" s="16"/>
    </row>
    <row r="3299" spans="1:13" x14ac:dyDescent="0.2">
      <c r="A3299" s="16"/>
      <c r="B3299" s="37"/>
      <c r="C3299" s="16"/>
      <c r="D3299" s="16"/>
      <c r="E3299" s="16"/>
      <c r="F3299" s="16"/>
      <c r="G3299" s="16"/>
      <c r="H3299" s="16"/>
      <c r="I3299" s="16"/>
      <c r="J3299" s="16"/>
      <c r="K3299" s="16"/>
      <c r="L3299" s="16"/>
      <c r="M3299" s="16"/>
    </row>
    <row r="3300" spans="1:13" x14ac:dyDescent="0.2">
      <c r="A3300" s="16"/>
      <c r="B3300" s="37"/>
      <c r="C3300" s="16"/>
      <c r="D3300" s="16"/>
      <c r="E3300" s="16"/>
      <c r="F3300" s="16"/>
      <c r="G3300" s="16"/>
      <c r="H3300" s="16"/>
      <c r="I3300" s="16"/>
      <c r="J3300" s="16"/>
      <c r="K3300" s="16"/>
      <c r="L3300" s="16"/>
      <c r="M3300" s="16"/>
    </row>
    <row r="3301" spans="1:13" x14ac:dyDescent="0.2">
      <c r="A3301" s="16"/>
      <c r="B3301" s="37"/>
      <c r="C3301" s="16"/>
      <c r="D3301" s="16"/>
      <c r="E3301" s="16"/>
      <c r="F3301" s="16"/>
      <c r="G3301" s="16"/>
      <c r="H3301" s="16"/>
      <c r="I3301" s="16"/>
      <c r="J3301" s="16"/>
      <c r="K3301" s="16"/>
      <c r="L3301" s="16"/>
      <c r="M3301" s="16"/>
    </row>
    <row r="3302" spans="1:13" x14ac:dyDescent="0.2">
      <c r="A3302" s="16"/>
      <c r="B3302" s="37"/>
      <c r="C3302" s="16"/>
      <c r="D3302" s="16"/>
      <c r="E3302" s="16"/>
      <c r="F3302" s="16"/>
      <c r="G3302" s="16"/>
      <c r="H3302" s="16"/>
      <c r="I3302" s="16"/>
      <c r="J3302" s="16"/>
      <c r="K3302" s="16"/>
      <c r="L3302" s="16"/>
      <c r="M3302" s="16"/>
    </row>
    <row r="3303" spans="1:13" x14ac:dyDescent="0.2">
      <c r="A3303" s="16"/>
      <c r="B3303" s="37"/>
      <c r="C3303" s="16"/>
      <c r="D3303" s="16"/>
      <c r="E3303" s="16"/>
      <c r="F3303" s="16"/>
      <c r="G3303" s="16"/>
      <c r="H3303" s="16"/>
      <c r="I3303" s="16"/>
      <c r="J3303" s="16"/>
      <c r="K3303" s="16"/>
      <c r="L3303" s="16"/>
      <c r="M3303" s="16"/>
    </row>
    <row r="3304" spans="1:13" x14ac:dyDescent="0.2">
      <c r="A3304" s="16"/>
      <c r="B3304" s="37"/>
      <c r="C3304" s="16"/>
      <c r="D3304" s="16"/>
      <c r="E3304" s="16"/>
      <c r="F3304" s="16"/>
      <c r="G3304" s="16"/>
      <c r="H3304" s="16"/>
      <c r="I3304" s="16"/>
      <c r="J3304" s="16"/>
      <c r="K3304" s="16"/>
      <c r="L3304" s="16"/>
      <c r="M3304" s="16"/>
    </row>
    <row r="3305" spans="1:13" x14ac:dyDescent="0.2">
      <c r="A3305" s="16"/>
      <c r="B3305" s="37"/>
      <c r="C3305" s="16"/>
      <c r="D3305" s="16"/>
      <c r="E3305" s="16"/>
      <c r="F3305" s="16"/>
      <c r="G3305" s="16"/>
      <c r="H3305" s="16"/>
      <c r="I3305" s="16"/>
      <c r="J3305" s="16"/>
      <c r="K3305" s="16"/>
      <c r="L3305" s="16"/>
      <c r="M3305" s="16"/>
    </row>
    <row r="3306" spans="1:13" x14ac:dyDescent="0.2">
      <c r="A3306" s="16"/>
      <c r="B3306" s="37"/>
      <c r="C3306" s="16"/>
      <c r="D3306" s="16"/>
      <c r="E3306" s="16"/>
      <c r="F3306" s="16"/>
      <c r="G3306" s="16"/>
      <c r="H3306" s="16"/>
      <c r="I3306" s="16"/>
      <c r="J3306" s="16"/>
      <c r="K3306" s="16"/>
      <c r="L3306" s="16"/>
      <c r="M3306" s="16"/>
    </row>
    <row r="3307" spans="1:13" x14ac:dyDescent="0.2">
      <c r="A3307" s="16"/>
      <c r="B3307" s="37"/>
      <c r="C3307" s="16"/>
      <c r="D3307" s="16"/>
      <c r="E3307" s="16"/>
      <c r="F3307" s="16"/>
      <c r="G3307" s="16"/>
      <c r="H3307" s="16"/>
      <c r="I3307" s="16"/>
      <c r="J3307" s="16"/>
      <c r="K3307" s="16"/>
      <c r="L3307" s="16"/>
      <c r="M3307" s="16"/>
    </row>
    <row r="3308" spans="1:13" x14ac:dyDescent="0.2">
      <c r="A3308" s="16"/>
      <c r="B3308" s="37"/>
      <c r="C3308" s="16"/>
      <c r="D3308" s="16"/>
      <c r="E3308" s="16"/>
      <c r="F3308" s="16"/>
      <c r="G3308" s="16"/>
      <c r="H3308" s="16"/>
      <c r="I3308" s="16"/>
      <c r="J3308" s="16"/>
      <c r="K3308" s="16"/>
      <c r="L3308" s="16"/>
      <c r="M3308" s="16"/>
    </row>
    <row r="3309" spans="1:13" x14ac:dyDescent="0.2">
      <c r="A3309" s="16"/>
      <c r="B3309" s="37"/>
      <c r="C3309" s="16"/>
      <c r="D3309" s="16"/>
      <c r="E3309" s="16"/>
      <c r="F3309" s="16"/>
      <c r="G3309" s="16"/>
      <c r="H3309" s="16"/>
      <c r="I3309" s="16"/>
      <c r="J3309" s="16"/>
      <c r="K3309" s="16"/>
      <c r="L3309" s="16"/>
      <c r="M3309" s="16"/>
    </row>
    <row r="3310" spans="1:13" x14ac:dyDescent="0.2">
      <c r="A3310" s="16"/>
      <c r="B3310" s="37"/>
      <c r="C3310" s="16"/>
      <c r="D3310" s="16"/>
      <c r="E3310" s="16"/>
      <c r="F3310" s="16"/>
      <c r="G3310" s="16"/>
      <c r="H3310" s="16"/>
      <c r="I3310" s="16"/>
      <c r="J3310" s="16"/>
      <c r="K3310" s="16"/>
      <c r="L3310" s="16"/>
      <c r="M3310" s="16"/>
    </row>
    <row r="3311" spans="1:13" x14ac:dyDescent="0.2">
      <c r="A3311" s="16"/>
      <c r="B3311" s="37"/>
      <c r="C3311" s="16"/>
      <c r="D3311" s="16"/>
      <c r="E3311" s="16"/>
      <c r="F3311" s="16"/>
      <c r="G3311" s="16"/>
      <c r="H3311" s="16"/>
      <c r="I3311" s="16"/>
      <c r="J3311" s="16"/>
      <c r="K3311" s="16"/>
      <c r="L3311" s="16"/>
      <c r="M3311" s="16"/>
    </row>
    <row r="3312" spans="1:13" x14ac:dyDescent="0.2">
      <c r="A3312" s="16"/>
      <c r="B3312" s="37"/>
      <c r="C3312" s="16"/>
      <c r="D3312" s="16"/>
      <c r="E3312" s="16"/>
      <c r="F3312" s="16"/>
      <c r="G3312" s="16"/>
      <c r="H3312" s="16"/>
      <c r="I3312" s="16"/>
      <c r="J3312" s="16"/>
      <c r="K3312" s="16"/>
      <c r="L3312" s="16"/>
      <c r="M3312" s="16"/>
    </row>
    <row r="3313" spans="1:13" x14ac:dyDescent="0.2">
      <c r="A3313" s="16"/>
      <c r="B3313" s="37"/>
      <c r="C3313" s="16"/>
      <c r="D3313" s="16"/>
      <c r="E3313" s="16"/>
      <c r="F3313" s="16"/>
      <c r="G3313" s="16"/>
      <c r="H3313" s="16"/>
      <c r="I3313" s="16"/>
      <c r="J3313" s="16"/>
      <c r="K3313" s="16"/>
      <c r="L3313" s="16"/>
      <c r="M3313" s="16"/>
    </row>
    <row r="3314" spans="1:13" x14ac:dyDescent="0.2">
      <c r="A3314" s="16"/>
      <c r="B3314" s="37"/>
      <c r="C3314" s="16"/>
      <c r="D3314" s="16"/>
      <c r="E3314" s="16"/>
      <c r="F3314" s="16"/>
      <c r="G3314" s="16"/>
      <c r="H3314" s="16"/>
      <c r="I3314" s="16"/>
      <c r="J3314" s="16"/>
      <c r="K3314" s="16"/>
      <c r="L3314" s="16"/>
      <c r="M3314" s="16"/>
    </row>
    <row r="3315" spans="1:13" x14ac:dyDescent="0.2">
      <c r="A3315" s="16"/>
      <c r="B3315" s="37"/>
      <c r="C3315" s="16"/>
      <c r="D3315" s="16"/>
      <c r="E3315" s="16"/>
      <c r="F3315" s="16"/>
      <c r="G3315" s="16"/>
      <c r="H3315" s="16"/>
      <c r="I3315" s="16"/>
      <c r="J3315" s="16"/>
      <c r="K3315" s="16"/>
      <c r="L3315" s="16"/>
      <c r="M3315" s="16"/>
    </row>
    <row r="3316" spans="1:13" x14ac:dyDescent="0.2">
      <c r="A3316" s="16"/>
      <c r="B3316" s="37"/>
      <c r="C3316" s="16"/>
      <c r="D3316" s="16"/>
      <c r="E3316" s="16"/>
      <c r="F3316" s="16"/>
      <c r="G3316" s="16"/>
      <c r="H3316" s="16"/>
      <c r="I3316" s="16"/>
      <c r="J3316" s="16"/>
      <c r="K3316" s="16"/>
      <c r="L3316" s="16"/>
      <c r="M3316" s="16"/>
    </row>
    <row r="3317" spans="1:13" x14ac:dyDescent="0.2">
      <c r="A3317" s="16"/>
      <c r="B3317" s="37"/>
      <c r="C3317" s="16"/>
      <c r="D3317" s="16"/>
      <c r="E3317" s="16"/>
      <c r="F3317" s="16"/>
      <c r="G3317" s="16"/>
      <c r="H3317" s="16"/>
      <c r="I3317" s="16"/>
      <c r="J3317" s="16"/>
      <c r="K3317" s="16"/>
      <c r="L3317" s="16"/>
      <c r="M3317" s="16"/>
    </row>
    <row r="3318" spans="1:13" x14ac:dyDescent="0.2">
      <c r="A3318" s="16"/>
      <c r="B3318" s="37"/>
      <c r="C3318" s="16"/>
      <c r="D3318" s="16"/>
      <c r="E3318" s="16"/>
      <c r="F3318" s="16"/>
      <c r="G3318" s="16"/>
      <c r="H3318" s="16"/>
      <c r="I3318" s="16"/>
      <c r="J3318" s="16"/>
      <c r="K3318" s="16"/>
      <c r="L3318" s="16"/>
      <c r="M3318" s="16"/>
    </row>
    <row r="3319" spans="1:13" x14ac:dyDescent="0.2">
      <c r="A3319" s="16"/>
      <c r="B3319" s="37"/>
      <c r="C3319" s="16"/>
      <c r="D3319" s="16"/>
      <c r="E3319" s="16"/>
      <c r="F3319" s="16"/>
      <c r="G3319" s="16"/>
      <c r="H3319" s="16"/>
      <c r="I3319" s="16"/>
      <c r="J3319" s="16"/>
      <c r="K3319" s="16"/>
      <c r="L3319" s="16"/>
      <c r="M3319" s="16"/>
    </row>
    <row r="3320" spans="1:13" x14ac:dyDescent="0.2">
      <c r="A3320" s="16"/>
      <c r="B3320" s="37"/>
      <c r="C3320" s="16"/>
      <c r="D3320" s="16"/>
      <c r="E3320" s="16"/>
      <c r="F3320" s="16"/>
      <c r="G3320" s="16"/>
      <c r="H3320" s="16"/>
      <c r="I3320" s="16"/>
      <c r="J3320" s="16"/>
      <c r="K3320" s="16"/>
      <c r="L3320" s="16"/>
      <c r="M3320" s="16"/>
    </row>
    <row r="3321" spans="1:13" x14ac:dyDescent="0.2">
      <c r="A3321" s="16"/>
      <c r="B3321" s="37"/>
      <c r="C3321" s="16"/>
      <c r="D3321" s="16"/>
      <c r="E3321" s="16"/>
      <c r="F3321" s="16"/>
      <c r="G3321" s="16"/>
      <c r="H3321" s="16"/>
      <c r="I3321" s="16"/>
      <c r="J3321" s="16"/>
      <c r="K3321" s="16"/>
      <c r="L3321" s="16"/>
      <c r="M3321" s="16"/>
    </row>
    <row r="3322" spans="1:13" x14ac:dyDescent="0.2">
      <c r="A3322" s="16"/>
      <c r="B3322" s="37"/>
      <c r="C3322" s="16"/>
      <c r="D3322" s="16"/>
      <c r="E3322" s="16"/>
      <c r="F3322" s="16"/>
      <c r="G3322" s="16"/>
      <c r="H3322" s="16"/>
      <c r="I3322" s="16"/>
      <c r="J3322" s="16"/>
      <c r="K3322" s="16"/>
      <c r="L3322" s="16"/>
      <c r="M3322" s="16"/>
    </row>
    <row r="3323" spans="1:13" x14ac:dyDescent="0.2">
      <c r="A3323" s="16"/>
      <c r="B3323" s="37"/>
      <c r="C3323" s="16"/>
      <c r="D3323" s="16"/>
      <c r="E3323" s="16"/>
      <c r="F3323" s="16"/>
      <c r="G3323" s="16"/>
      <c r="H3323" s="16"/>
      <c r="I3323" s="16"/>
      <c r="J3323" s="16"/>
      <c r="K3323" s="16"/>
      <c r="L3323" s="16"/>
      <c r="M3323" s="16"/>
    </row>
    <row r="3324" spans="1:13" x14ac:dyDescent="0.2">
      <c r="A3324" s="16"/>
      <c r="B3324" s="37"/>
      <c r="C3324" s="16"/>
      <c r="D3324" s="16"/>
      <c r="E3324" s="16"/>
      <c r="F3324" s="16"/>
      <c r="G3324" s="16"/>
      <c r="H3324" s="16"/>
      <c r="I3324" s="16"/>
      <c r="J3324" s="16"/>
      <c r="K3324" s="16"/>
      <c r="L3324" s="16"/>
      <c r="M3324" s="16"/>
    </row>
    <row r="3325" spans="1:13" x14ac:dyDescent="0.2">
      <c r="A3325" s="16"/>
      <c r="B3325" s="37"/>
      <c r="C3325" s="16"/>
      <c r="D3325" s="16"/>
      <c r="E3325" s="16"/>
      <c r="F3325" s="16"/>
      <c r="G3325" s="16"/>
      <c r="H3325" s="16"/>
      <c r="I3325" s="16"/>
      <c r="J3325" s="16"/>
      <c r="K3325" s="16"/>
      <c r="L3325" s="16"/>
      <c r="M3325" s="16"/>
    </row>
    <row r="3326" spans="1:13" x14ac:dyDescent="0.2">
      <c r="A3326" s="16"/>
      <c r="B3326" s="37"/>
      <c r="C3326" s="16"/>
      <c r="D3326" s="16"/>
      <c r="E3326" s="16"/>
      <c r="F3326" s="16"/>
      <c r="G3326" s="16"/>
      <c r="H3326" s="16"/>
      <c r="I3326" s="16"/>
      <c r="J3326" s="16"/>
      <c r="K3326" s="16"/>
      <c r="L3326" s="16"/>
      <c r="M3326" s="16"/>
    </row>
    <row r="3327" spans="1:13" x14ac:dyDescent="0.2">
      <c r="A3327" s="16"/>
      <c r="B3327" s="37"/>
      <c r="C3327" s="16"/>
      <c r="D3327" s="16"/>
      <c r="E3327" s="16"/>
      <c r="F3327" s="16"/>
      <c r="G3327" s="16"/>
      <c r="H3327" s="16"/>
      <c r="I3327" s="16"/>
      <c r="J3327" s="16"/>
      <c r="K3327" s="16"/>
      <c r="L3327" s="16"/>
      <c r="M3327" s="16"/>
    </row>
    <row r="3328" spans="1:13" x14ac:dyDescent="0.2">
      <c r="A3328" s="16"/>
      <c r="B3328" s="37"/>
      <c r="C3328" s="16"/>
      <c r="D3328" s="16"/>
      <c r="E3328" s="16"/>
      <c r="F3328" s="16"/>
      <c r="G3328" s="16"/>
      <c r="H3328" s="16"/>
      <c r="I3328" s="16"/>
      <c r="J3328" s="16"/>
      <c r="K3328" s="16"/>
      <c r="L3328" s="16"/>
      <c r="M3328" s="16"/>
    </row>
    <row r="3329" spans="1:13" x14ac:dyDescent="0.2">
      <c r="A3329" s="16"/>
      <c r="B3329" s="37"/>
      <c r="C3329" s="16"/>
      <c r="D3329" s="16"/>
      <c r="E3329" s="16"/>
      <c r="F3329" s="16"/>
      <c r="G3329" s="16"/>
      <c r="H3329" s="16"/>
      <c r="I3329" s="16"/>
      <c r="J3329" s="16"/>
      <c r="K3329" s="16"/>
      <c r="L3329" s="16"/>
      <c r="M3329" s="16"/>
    </row>
    <row r="3330" spans="1:13" x14ac:dyDescent="0.2">
      <c r="A3330" s="16"/>
      <c r="B3330" s="37"/>
      <c r="C3330" s="16"/>
      <c r="D3330" s="16"/>
      <c r="E3330" s="16"/>
      <c r="F3330" s="16"/>
      <c r="G3330" s="16"/>
      <c r="H3330" s="16"/>
      <c r="I3330" s="16"/>
      <c r="J3330" s="16"/>
      <c r="K3330" s="16"/>
      <c r="L3330" s="16"/>
      <c r="M3330" s="16"/>
    </row>
    <row r="3331" spans="1:13" x14ac:dyDescent="0.2">
      <c r="A3331" s="16"/>
      <c r="B3331" s="37"/>
      <c r="C3331" s="16"/>
      <c r="D3331" s="16"/>
      <c r="E3331" s="16"/>
      <c r="F3331" s="16"/>
      <c r="G3331" s="16"/>
      <c r="H3331" s="16"/>
      <c r="I3331" s="16"/>
      <c r="J3331" s="16"/>
      <c r="K3331" s="16"/>
      <c r="L3331" s="16"/>
      <c r="M3331" s="16"/>
    </row>
    <row r="3332" spans="1:13" x14ac:dyDescent="0.2">
      <c r="A3332" s="16"/>
      <c r="B3332" s="37"/>
      <c r="C3332" s="16"/>
      <c r="D3332" s="16"/>
      <c r="E3332" s="16"/>
      <c r="F3332" s="16"/>
      <c r="G3332" s="16"/>
      <c r="H3332" s="16"/>
      <c r="I3332" s="16"/>
      <c r="J3332" s="16"/>
      <c r="K3332" s="16"/>
      <c r="L3332" s="16"/>
      <c r="M3332" s="16"/>
    </row>
    <row r="3333" spans="1:13" x14ac:dyDescent="0.2">
      <c r="A3333" s="16"/>
      <c r="B3333" s="37"/>
      <c r="C3333" s="16"/>
      <c r="D3333" s="16"/>
      <c r="E3333" s="16"/>
      <c r="F3333" s="16"/>
      <c r="G3333" s="16"/>
      <c r="H3333" s="16"/>
      <c r="I3333" s="16"/>
      <c r="J3333" s="16"/>
      <c r="K3333" s="16"/>
      <c r="L3333" s="16"/>
      <c r="M3333" s="16"/>
    </row>
    <row r="3334" spans="1:13" x14ac:dyDescent="0.2">
      <c r="A3334" s="16"/>
      <c r="B3334" s="37"/>
      <c r="C3334" s="16"/>
      <c r="D3334" s="16"/>
      <c r="E3334" s="16"/>
      <c r="F3334" s="16"/>
      <c r="G3334" s="16"/>
      <c r="H3334" s="16"/>
      <c r="I3334" s="16"/>
      <c r="J3334" s="16"/>
      <c r="K3334" s="16"/>
      <c r="L3334" s="16"/>
      <c r="M3334" s="16"/>
    </row>
    <row r="3335" spans="1:13" x14ac:dyDescent="0.2">
      <c r="A3335" s="16"/>
      <c r="B3335" s="37"/>
      <c r="C3335" s="16"/>
      <c r="D3335" s="16"/>
      <c r="E3335" s="16"/>
      <c r="F3335" s="16"/>
      <c r="G3335" s="16"/>
      <c r="H3335" s="16"/>
      <c r="I3335" s="16"/>
      <c r="J3335" s="16"/>
      <c r="K3335" s="16"/>
      <c r="L3335" s="16"/>
      <c r="M3335" s="16"/>
    </row>
    <row r="3336" spans="1:13" x14ac:dyDescent="0.2">
      <c r="A3336" s="16"/>
      <c r="B3336" s="37"/>
      <c r="C3336" s="16"/>
      <c r="D3336" s="16"/>
      <c r="E3336" s="16"/>
      <c r="F3336" s="16"/>
      <c r="G3336" s="16"/>
      <c r="H3336" s="16"/>
      <c r="I3336" s="16"/>
      <c r="J3336" s="16"/>
      <c r="K3336" s="16"/>
      <c r="L3336" s="16"/>
      <c r="M3336" s="16"/>
    </row>
    <row r="3337" spans="1:13" x14ac:dyDescent="0.2">
      <c r="A3337" s="16"/>
      <c r="B3337" s="37"/>
      <c r="C3337" s="16"/>
      <c r="D3337" s="16"/>
      <c r="E3337" s="16"/>
      <c r="F3337" s="16"/>
      <c r="G3337" s="16"/>
      <c r="H3337" s="16"/>
      <c r="I3337" s="16"/>
      <c r="J3337" s="16"/>
      <c r="K3337" s="16"/>
      <c r="L3337" s="16"/>
      <c r="M3337" s="16"/>
    </row>
    <row r="3338" spans="1:13" x14ac:dyDescent="0.2">
      <c r="A3338" s="16"/>
      <c r="B3338" s="37"/>
      <c r="C3338" s="16"/>
      <c r="D3338" s="16"/>
      <c r="E3338" s="16"/>
      <c r="F3338" s="16"/>
      <c r="G3338" s="16"/>
      <c r="H3338" s="16"/>
      <c r="I3338" s="16"/>
      <c r="J3338" s="16"/>
      <c r="K3338" s="16"/>
      <c r="L3338" s="16"/>
      <c r="M3338" s="16"/>
    </row>
    <row r="3339" spans="1:13" x14ac:dyDescent="0.2">
      <c r="A3339" s="16"/>
      <c r="B3339" s="37"/>
      <c r="C3339" s="16"/>
      <c r="D3339" s="16"/>
      <c r="E3339" s="16"/>
      <c r="F3339" s="16"/>
      <c r="G3339" s="16"/>
      <c r="H3339" s="16"/>
      <c r="I3339" s="16"/>
      <c r="J3339" s="16"/>
      <c r="K3339" s="16"/>
      <c r="L3339" s="16"/>
      <c r="M3339" s="16"/>
    </row>
    <row r="3340" spans="1:13" x14ac:dyDescent="0.2">
      <c r="A3340" s="16"/>
      <c r="B3340" s="37"/>
      <c r="C3340" s="16"/>
      <c r="D3340" s="16"/>
      <c r="E3340" s="16"/>
      <c r="F3340" s="16"/>
      <c r="G3340" s="16"/>
      <c r="H3340" s="16"/>
      <c r="I3340" s="16"/>
      <c r="J3340" s="16"/>
      <c r="K3340" s="16"/>
      <c r="L3340" s="16"/>
      <c r="M3340" s="16"/>
    </row>
    <row r="3341" spans="1:13" x14ac:dyDescent="0.2">
      <c r="A3341" s="16"/>
      <c r="B3341" s="37"/>
      <c r="C3341" s="16"/>
      <c r="D3341" s="16"/>
      <c r="E3341" s="16"/>
      <c r="F3341" s="16"/>
      <c r="G3341" s="16"/>
      <c r="H3341" s="16"/>
      <c r="I3341" s="16"/>
      <c r="J3341" s="16"/>
      <c r="K3341" s="16"/>
      <c r="L3341" s="16"/>
      <c r="M3341" s="16"/>
    </row>
    <row r="3342" spans="1:13" x14ac:dyDescent="0.2">
      <c r="A3342" s="16"/>
      <c r="B3342" s="37"/>
      <c r="C3342" s="16"/>
      <c r="D3342" s="16"/>
      <c r="E3342" s="16"/>
      <c r="F3342" s="16"/>
      <c r="G3342" s="16"/>
      <c r="H3342" s="16"/>
      <c r="I3342" s="16"/>
      <c r="J3342" s="16"/>
      <c r="K3342" s="16"/>
      <c r="L3342" s="16"/>
      <c r="M3342" s="16"/>
    </row>
    <row r="3343" spans="1:13" x14ac:dyDescent="0.2">
      <c r="A3343" s="16"/>
      <c r="B3343" s="37"/>
      <c r="C3343" s="16"/>
      <c r="D3343" s="16"/>
      <c r="E3343" s="16"/>
      <c r="F3343" s="16"/>
      <c r="G3343" s="16"/>
      <c r="H3343" s="16"/>
      <c r="I3343" s="16"/>
      <c r="J3343" s="16"/>
      <c r="K3343" s="16"/>
      <c r="L3343" s="16"/>
      <c r="M3343" s="16"/>
    </row>
    <row r="3344" spans="1:13" x14ac:dyDescent="0.2">
      <c r="A3344" s="16"/>
      <c r="B3344" s="37"/>
      <c r="C3344" s="16"/>
      <c r="D3344" s="16"/>
      <c r="E3344" s="16"/>
      <c r="F3344" s="16"/>
      <c r="G3344" s="16"/>
      <c r="H3344" s="16"/>
      <c r="I3344" s="16"/>
      <c r="J3344" s="16"/>
      <c r="K3344" s="16"/>
      <c r="L3344" s="16"/>
      <c r="M3344" s="16"/>
    </row>
    <row r="3345" spans="1:13" x14ac:dyDescent="0.2">
      <c r="A3345" s="16"/>
      <c r="B3345" s="37"/>
      <c r="C3345" s="16"/>
      <c r="D3345" s="16"/>
      <c r="E3345" s="16"/>
      <c r="F3345" s="16"/>
      <c r="G3345" s="16"/>
      <c r="H3345" s="16"/>
      <c r="I3345" s="16"/>
      <c r="J3345" s="16"/>
      <c r="K3345" s="16"/>
      <c r="L3345" s="16"/>
      <c r="M3345" s="16"/>
    </row>
    <row r="3346" spans="1:13" x14ac:dyDescent="0.2">
      <c r="A3346" s="16"/>
      <c r="B3346" s="37"/>
      <c r="C3346" s="16"/>
      <c r="D3346" s="16"/>
      <c r="E3346" s="16"/>
      <c r="F3346" s="16"/>
      <c r="G3346" s="16"/>
      <c r="H3346" s="16"/>
      <c r="I3346" s="16"/>
      <c r="J3346" s="16"/>
      <c r="K3346" s="16"/>
      <c r="L3346" s="16"/>
      <c r="M3346" s="16"/>
    </row>
    <row r="3347" spans="1:13" x14ac:dyDescent="0.2">
      <c r="A3347" s="16"/>
      <c r="B3347" s="37"/>
      <c r="C3347" s="16"/>
      <c r="D3347" s="16"/>
      <c r="E3347" s="16"/>
      <c r="F3347" s="16"/>
      <c r="G3347" s="16"/>
      <c r="H3347" s="16"/>
      <c r="I3347" s="16"/>
      <c r="J3347" s="16"/>
      <c r="K3347" s="16"/>
      <c r="L3347" s="16"/>
      <c r="M3347" s="16"/>
    </row>
    <row r="3348" spans="1:13" x14ac:dyDescent="0.2">
      <c r="A3348" s="16"/>
      <c r="B3348" s="37"/>
      <c r="C3348" s="16"/>
      <c r="D3348" s="16"/>
      <c r="E3348" s="16"/>
      <c r="F3348" s="16"/>
      <c r="G3348" s="16"/>
      <c r="H3348" s="16"/>
      <c r="I3348" s="16"/>
      <c r="J3348" s="16"/>
      <c r="K3348" s="16"/>
      <c r="L3348" s="16"/>
      <c r="M3348" s="16"/>
    </row>
    <row r="3349" spans="1:13" x14ac:dyDescent="0.2">
      <c r="A3349" s="16"/>
      <c r="B3349" s="37"/>
      <c r="C3349" s="16"/>
      <c r="D3349" s="16"/>
      <c r="E3349" s="16"/>
      <c r="F3349" s="16"/>
      <c r="G3349" s="16"/>
      <c r="H3349" s="16"/>
      <c r="I3349" s="16"/>
      <c r="J3349" s="16"/>
      <c r="K3349" s="16"/>
      <c r="L3349" s="16"/>
      <c r="M3349" s="16"/>
    </row>
    <row r="3350" spans="1:13" x14ac:dyDescent="0.2">
      <c r="A3350" s="16"/>
      <c r="B3350" s="37"/>
      <c r="C3350" s="16"/>
      <c r="D3350" s="16"/>
      <c r="E3350" s="16"/>
      <c r="F3350" s="16"/>
      <c r="G3350" s="16"/>
      <c r="H3350" s="16"/>
      <c r="I3350" s="16"/>
      <c r="J3350" s="16"/>
      <c r="K3350" s="16"/>
      <c r="L3350" s="16"/>
      <c r="M3350" s="16"/>
    </row>
    <row r="3351" spans="1:13" x14ac:dyDescent="0.2">
      <c r="A3351" s="16"/>
      <c r="B3351" s="37"/>
      <c r="C3351" s="16"/>
      <c r="D3351" s="16"/>
      <c r="E3351" s="16"/>
      <c r="F3351" s="16"/>
      <c r="G3351" s="16"/>
      <c r="H3351" s="16"/>
      <c r="I3351" s="16"/>
      <c r="J3351" s="16"/>
      <c r="K3351" s="16"/>
      <c r="L3351" s="16"/>
      <c r="M3351" s="16"/>
    </row>
    <row r="3352" spans="1:13" x14ac:dyDescent="0.2">
      <c r="A3352" s="16"/>
      <c r="B3352" s="37"/>
      <c r="C3352" s="16"/>
      <c r="D3352" s="16"/>
      <c r="E3352" s="16"/>
      <c r="F3352" s="16"/>
      <c r="G3352" s="16"/>
      <c r="H3352" s="16"/>
      <c r="I3352" s="16"/>
      <c r="J3352" s="16"/>
      <c r="K3352" s="16"/>
      <c r="L3352" s="16"/>
      <c r="M3352" s="16"/>
    </row>
    <row r="3353" spans="1:13" x14ac:dyDescent="0.2">
      <c r="A3353" s="16"/>
      <c r="B3353" s="37"/>
      <c r="C3353" s="16"/>
      <c r="D3353" s="16"/>
      <c r="E3353" s="16"/>
      <c r="F3353" s="16"/>
      <c r="G3353" s="16"/>
      <c r="H3353" s="16"/>
      <c r="I3353" s="16"/>
      <c r="J3353" s="16"/>
      <c r="K3353" s="16"/>
      <c r="L3353" s="16"/>
      <c r="M3353" s="16"/>
    </row>
    <row r="3354" spans="1:13" x14ac:dyDescent="0.2">
      <c r="A3354" s="16"/>
      <c r="B3354" s="37"/>
      <c r="C3354" s="16"/>
      <c r="D3354" s="16"/>
      <c r="E3354" s="16"/>
      <c r="F3354" s="16"/>
      <c r="G3354" s="16"/>
      <c r="H3354" s="16"/>
      <c r="I3354" s="16"/>
      <c r="J3354" s="16"/>
      <c r="K3354" s="16"/>
      <c r="L3354" s="16"/>
      <c r="M3354" s="16"/>
    </row>
    <row r="3355" spans="1:13" x14ac:dyDescent="0.2">
      <c r="A3355" s="16"/>
      <c r="B3355" s="37"/>
      <c r="C3355" s="16"/>
      <c r="D3355" s="16"/>
      <c r="E3355" s="16"/>
      <c r="F3355" s="16"/>
      <c r="G3355" s="16"/>
      <c r="H3355" s="16"/>
      <c r="I3355" s="16"/>
      <c r="J3355" s="16"/>
      <c r="K3355" s="16"/>
      <c r="L3355" s="16"/>
      <c r="M3355" s="16"/>
    </row>
    <row r="3356" spans="1:13" x14ac:dyDescent="0.2">
      <c r="A3356" s="16"/>
      <c r="B3356" s="37"/>
      <c r="C3356" s="16"/>
      <c r="D3356" s="16"/>
      <c r="E3356" s="16"/>
      <c r="F3356" s="16"/>
      <c r="G3356" s="16"/>
      <c r="H3356" s="16"/>
      <c r="I3356" s="16"/>
      <c r="J3356" s="16"/>
      <c r="K3356" s="16"/>
      <c r="L3356" s="16"/>
      <c r="M3356" s="16"/>
    </row>
    <row r="3357" spans="1:13" x14ac:dyDescent="0.2">
      <c r="A3357" s="16"/>
      <c r="B3357" s="37"/>
      <c r="C3357" s="16"/>
      <c r="D3357" s="16"/>
      <c r="E3357" s="16"/>
      <c r="F3357" s="16"/>
      <c r="G3357" s="16"/>
      <c r="H3357" s="16"/>
      <c r="I3357" s="16"/>
      <c r="J3357" s="16"/>
      <c r="K3357" s="16"/>
      <c r="L3357" s="16"/>
      <c r="M3357" s="16"/>
    </row>
    <row r="3358" spans="1:13" x14ac:dyDescent="0.2">
      <c r="A3358" s="16"/>
      <c r="B3358" s="37"/>
      <c r="C3358" s="16"/>
      <c r="D3358" s="16"/>
      <c r="E3358" s="16"/>
      <c r="F3358" s="16"/>
      <c r="G3358" s="16"/>
      <c r="H3358" s="16"/>
      <c r="I3358" s="16"/>
      <c r="J3358" s="16"/>
      <c r="K3358" s="16"/>
      <c r="L3358" s="16"/>
      <c r="M3358" s="16"/>
    </row>
    <row r="3359" spans="1:13" x14ac:dyDescent="0.2">
      <c r="A3359" s="16"/>
      <c r="B3359" s="37"/>
      <c r="C3359" s="16"/>
      <c r="D3359" s="16"/>
      <c r="E3359" s="16"/>
      <c r="F3359" s="16"/>
      <c r="G3359" s="16"/>
      <c r="H3359" s="16"/>
      <c r="I3359" s="16"/>
      <c r="J3359" s="16"/>
      <c r="K3359" s="16"/>
      <c r="L3359" s="16"/>
      <c r="M3359" s="16"/>
    </row>
    <row r="3360" spans="1:13" x14ac:dyDescent="0.2">
      <c r="A3360" s="16"/>
      <c r="B3360" s="37"/>
      <c r="C3360" s="16"/>
      <c r="D3360" s="16"/>
      <c r="E3360" s="16"/>
      <c r="F3360" s="16"/>
      <c r="G3360" s="16"/>
      <c r="H3360" s="16"/>
      <c r="I3360" s="16"/>
      <c r="J3360" s="16"/>
      <c r="K3360" s="16"/>
      <c r="L3360" s="16"/>
      <c r="M3360" s="16"/>
    </row>
    <row r="3361" spans="1:13" x14ac:dyDescent="0.2">
      <c r="A3361" s="16"/>
      <c r="B3361" s="37"/>
      <c r="C3361" s="16"/>
      <c r="D3361" s="16"/>
      <c r="E3361" s="16"/>
      <c r="F3361" s="16"/>
      <c r="G3361" s="16"/>
      <c r="H3361" s="16"/>
      <c r="I3361" s="16"/>
      <c r="J3361" s="16"/>
      <c r="K3361" s="16"/>
      <c r="L3361" s="16"/>
      <c r="M3361" s="16"/>
    </row>
    <row r="3362" spans="1:13" x14ac:dyDescent="0.2">
      <c r="A3362" s="16"/>
      <c r="B3362" s="37"/>
      <c r="C3362" s="16"/>
      <c r="D3362" s="16"/>
      <c r="E3362" s="16"/>
      <c r="F3362" s="16"/>
      <c r="G3362" s="16"/>
      <c r="H3362" s="16"/>
      <c r="I3362" s="16"/>
      <c r="J3362" s="16"/>
      <c r="K3362" s="16"/>
      <c r="L3362" s="16"/>
      <c r="M3362" s="16"/>
    </row>
    <row r="3363" spans="1:13" x14ac:dyDescent="0.2">
      <c r="A3363" s="16"/>
      <c r="B3363" s="37"/>
      <c r="C3363" s="16"/>
      <c r="D3363" s="16"/>
      <c r="E3363" s="16"/>
      <c r="F3363" s="16"/>
      <c r="G3363" s="16"/>
      <c r="H3363" s="16"/>
      <c r="I3363" s="16"/>
      <c r="J3363" s="16"/>
      <c r="K3363" s="16"/>
      <c r="L3363" s="16"/>
      <c r="M3363" s="16"/>
    </row>
    <row r="3364" spans="1:13" x14ac:dyDescent="0.2">
      <c r="A3364" s="16"/>
      <c r="B3364" s="37"/>
      <c r="C3364" s="16"/>
      <c r="D3364" s="16"/>
      <c r="E3364" s="16"/>
      <c r="F3364" s="16"/>
      <c r="G3364" s="16"/>
      <c r="H3364" s="16"/>
      <c r="I3364" s="16"/>
      <c r="J3364" s="16"/>
      <c r="K3364" s="16"/>
      <c r="L3364" s="16"/>
      <c r="M3364" s="16"/>
    </row>
    <row r="3365" spans="1:13" x14ac:dyDescent="0.2">
      <c r="A3365" s="16"/>
      <c r="B3365" s="37"/>
      <c r="C3365" s="16"/>
      <c r="D3365" s="16"/>
      <c r="E3365" s="16"/>
      <c r="F3365" s="16"/>
      <c r="G3365" s="16"/>
      <c r="H3365" s="16"/>
      <c r="I3365" s="16"/>
      <c r="J3365" s="16"/>
      <c r="K3365" s="16"/>
      <c r="L3365" s="16"/>
      <c r="M3365" s="16"/>
    </row>
    <row r="3366" spans="1:13" x14ac:dyDescent="0.2">
      <c r="A3366" s="16"/>
      <c r="B3366" s="37"/>
      <c r="C3366" s="16"/>
      <c r="D3366" s="16"/>
      <c r="E3366" s="16"/>
      <c r="F3366" s="16"/>
      <c r="G3366" s="16"/>
      <c r="H3366" s="16"/>
      <c r="I3366" s="16"/>
      <c r="J3366" s="16"/>
      <c r="K3366" s="16"/>
      <c r="L3366" s="16"/>
      <c r="M3366" s="16"/>
    </row>
    <row r="3367" spans="1:13" x14ac:dyDescent="0.2">
      <c r="A3367" s="16"/>
      <c r="B3367" s="37"/>
      <c r="C3367" s="16"/>
      <c r="D3367" s="16"/>
      <c r="E3367" s="16"/>
      <c r="F3367" s="16"/>
      <c r="G3367" s="16"/>
      <c r="H3367" s="16"/>
      <c r="I3367" s="16"/>
      <c r="J3367" s="16"/>
      <c r="K3367" s="16"/>
      <c r="L3367" s="16"/>
      <c r="M3367" s="16"/>
    </row>
    <row r="3368" spans="1:13" x14ac:dyDescent="0.2">
      <c r="A3368" s="16"/>
      <c r="B3368" s="37"/>
      <c r="C3368" s="16"/>
      <c r="D3368" s="16"/>
      <c r="E3368" s="16"/>
      <c r="F3368" s="16"/>
      <c r="G3368" s="16"/>
      <c r="H3368" s="16"/>
      <c r="I3368" s="16"/>
      <c r="J3368" s="16"/>
      <c r="K3368" s="16"/>
      <c r="L3368" s="16"/>
      <c r="M3368" s="16"/>
    </row>
    <row r="3369" spans="1:13" x14ac:dyDescent="0.2">
      <c r="A3369" s="16"/>
      <c r="B3369" s="37"/>
      <c r="C3369" s="16"/>
      <c r="D3369" s="16"/>
      <c r="E3369" s="16"/>
      <c r="F3369" s="16"/>
      <c r="G3369" s="16"/>
      <c r="H3369" s="16"/>
      <c r="I3369" s="16"/>
      <c r="J3369" s="16"/>
      <c r="K3369" s="16"/>
      <c r="L3369" s="16"/>
      <c r="M3369" s="16"/>
    </row>
    <row r="3370" spans="1:13" x14ac:dyDescent="0.2">
      <c r="A3370" s="16"/>
      <c r="B3370" s="37"/>
      <c r="C3370" s="16"/>
      <c r="D3370" s="16"/>
      <c r="E3370" s="16"/>
      <c r="F3370" s="16"/>
      <c r="G3370" s="16"/>
      <c r="H3370" s="16"/>
      <c r="I3370" s="16"/>
      <c r="J3370" s="16"/>
      <c r="K3370" s="16"/>
      <c r="L3370" s="16"/>
      <c r="M3370" s="16"/>
    </row>
    <row r="3371" spans="1:13" x14ac:dyDescent="0.2">
      <c r="A3371" s="16"/>
      <c r="B3371" s="37"/>
      <c r="C3371" s="16"/>
      <c r="D3371" s="16"/>
      <c r="E3371" s="16"/>
      <c r="F3371" s="16"/>
      <c r="G3371" s="16"/>
      <c r="H3371" s="16"/>
      <c r="I3371" s="16"/>
      <c r="J3371" s="16"/>
      <c r="K3371" s="16"/>
      <c r="L3371" s="16"/>
      <c r="M3371" s="16"/>
    </row>
    <row r="3372" spans="1:13" x14ac:dyDescent="0.2">
      <c r="A3372" s="16"/>
      <c r="B3372" s="37"/>
      <c r="C3372" s="16"/>
      <c r="D3372" s="16"/>
      <c r="E3372" s="16"/>
      <c r="F3372" s="16"/>
      <c r="G3372" s="16"/>
      <c r="H3372" s="16"/>
      <c r="I3372" s="16"/>
      <c r="J3372" s="16"/>
      <c r="K3372" s="16"/>
      <c r="L3372" s="16"/>
      <c r="M3372" s="16"/>
    </row>
    <row r="3373" spans="1:13" x14ac:dyDescent="0.2">
      <c r="A3373" s="16"/>
      <c r="B3373" s="37"/>
      <c r="C3373" s="16"/>
      <c r="D3373" s="16"/>
      <c r="E3373" s="16"/>
      <c r="F3373" s="16"/>
      <c r="G3373" s="16"/>
      <c r="H3373" s="16"/>
      <c r="I3373" s="16"/>
      <c r="J3373" s="16"/>
      <c r="K3373" s="16"/>
      <c r="L3373" s="16"/>
      <c r="M3373" s="16"/>
    </row>
    <row r="3374" spans="1:13" x14ac:dyDescent="0.2">
      <c r="A3374" s="16"/>
      <c r="B3374" s="37"/>
      <c r="C3374" s="16"/>
      <c r="D3374" s="16"/>
      <c r="E3374" s="16"/>
      <c r="F3374" s="16"/>
      <c r="G3374" s="16"/>
      <c r="H3374" s="16"/>
      <c r="I3374" s="16"/>
      <c r="J3374" s="16"/>
      <c r="K3374" s="16"/>
      <c r="L3374" s="16"/>
      <c r="M3374" s="16"/>
    </row>
    <row r="3375" spans="1:13" x14ac:dyDescent="0.2">
      <c r="A3375" s="16"/>
      <c r="B3375" s="37"/>
      <c r="C3375" s="16"/>
      <c r="D3375" s="16"/>
      <c r="E3375" s="16"/>
      <c r="F3375" s="16"/>
      <c r="G3375" s="16"/>
      <c r="H3375" s="16"/>
      <c r="I3375" s="16"/>
      <c r="J3375" s="16"/>
      <c r="K3375" s="16"/>
      <c r="L3375" s="16"/>
      <c r="M3375" s="16"/>
    </row>
    <row r="3376" spans="1:13" x14ac:dyDescent="0.2">
      <c r="A3376" s="16"/>
      <c r="B3376" s="37"/>
      <c r="C3376" s="16"/>
      <c r="D3376" s="16"/>
      <c r="E3376" s="16"/>
      <c r="F3376" s="16"/>
      <c r="G3376" s="16"/>
      <c r="H3376" s="16"/>
      <c r="I3376" s="16"/>
      <c r="J3376" s="16"/>
      <c r="K3376" s="16"/>
      <c r="L3376" s="16"/>
      <c r="M3376" s="16"/>
    </row>
    <row r="3377" spans="1:13" x14ac:dyDescent="0.2">
      <c r="A3377" s="16"/>
      <c r="B3377" s="37"/>
      <c r="C3377" s="16"/>
      <c r="D3377" s="16"/>
      <c r="E3377" s="16"/>
      <c r="F3377" s="16"/>
      <c r="G3377" s="16"/>
      <c r="H3377" s="16"/>
      <c r="I3377" s="16"/>
      <c r="J3377" s="16"/>
      <c r="K3377" s="16"/>
      <c r="L3377" s="16"/>
      <c r="M3377" s="16"/>
    </row>
    <row r="3378" spans="1:13" x14ac:dyDescent="0.2">
      <c r="A3378" s="16"/>
      <c r="B3378" s="37"/>
      <c r="C3378" s="16"/>
      <c r="D3378" s="16"/>
      <c r="E3378" s="16"/>
      <c r="F3378" s="16"/>
      <c r="G3378" s="16"/>
      <c r="H3378" s="16"/>
      <c r="I3378" s="16"/>
      <c r="J3378" s="16"/>
      <c r="K3378" s="16"/>
      <c r="L3378" s="16"/>
      <c r="M3378" s="16"/>
    </row>
    <row r="3379" spans="1:13" x14ac:dyDescent="0.2">
      <c r="A3379" s="16"/>
      <c r="B3379" s="37"/>
      <c r="C3379" s="16"/>
      <c r="D3379" s="16"/>
      <c r="E3379" s="16"/>
      <c r="F3379" s="16"/>
      <c r="G3379" s="16"/>
      <c r="H3379" s="16"/>
      <c r="I3379" s="16"/>
      <c r="J3379" s="16"/>
      <c r="K3379" s="16"/>
      <c r="L3379" s="16"/>
      <c r="M3379" s="16"/>
    </row>
    <row r="3380" spans="1:13" x14ac:dyDescent="0.2">
      <c r="A3380" s="16"/>
      <c r="B3380" s="37"/>
      <c r="C3380" s="16"/>
      <c r="D3380" s="16"/>
      <c r="E3380" s="16"/>
      <c r="F3380" s="16"/>
      <c r="G3380" s="16"/>
      <c r="H3380" s="16"/>
      <c r="I3380" s="16"/>
      <c r="J3380" s="16"/>
      <c r="K3380" s="16"/>
      <c r="L3380" s="16"/>
      <c r="M3380" s="16"/>
    </row>
    <row r="3381" spans="1:13" x14ac:dyDescent="0.2">
      <c r="A3381" s="16"/>
      <c r="B3381" s="37"/>
      <c r="C3381" s="16"/>
      <c r="D3381" s="16"/>
      <c r="E3381" s="16"/>
      <c r="F3381" s="16"/>
      <c r="G3381" s="16"/>
      <c r="H3381" s="16"/>
      <c r="I3381" s="16"/>
      <c r="J3381" s="16"/>
      <c r="K3381" s="16"/>
      <c r="L3381" s="16"/>
      <c r="M3381" s="16"/>
    </row>
    <row r="3382" spans="1:13" x14ac:dyDescent="0.2">
      <c r="A3382" s="16"/>
      <c r="B3382" s="37"/>
      <c r="C3382" s="16"/>
      <c r="D3382" s="16"/>
      <c r="E3382" s="16"/>
      <c r="F3382" s="16"/>
      <c r="G3382" s="16"/>
      <c r="H3382" s="16"/>
      <c r="I3382" s="16"/>
      <c r="J3382" s="16"/>
      <c r="K3382" s="16"/>
      <c r="L3382" s="16"/>
      <c r="M3382" s="16"/>
    </row>
    <row r="3383" spans="1:13" x14ac:dyDescent="0.2">
      <c r="A3383" s="16"/>
      <c r="B3383" s="37"/>
      <c r="C3383" s="16"/>
      <c r="D3383" s="16"/>
      <c r="E3383" s="16"/>
      <c r="F3383" s="16"/>
      <c r="G3383" s="16"/>
      <c r="H3383" s="16"/>
      <c r="I3383" s="16"/>
      <c r="J3383" s="16"/>
      <c r="K3383" s="16"/>
      <c r="L3383" s="16"/>
      <c r="M3383" s="16"/>
    </row>
    <row r="3384" spans="1:13" x14ac:dyDescent="0.2">
      <c r="A3384" s="16"/>
      <c r="B3384" s="37"/>
      <c r="C3384" s="16"/>
      <c r="D3384" s="16"/>
      <c r="E3384" s="16"/>
      <c r="F3384" s="16"/>
      <c r="G3384" s="16"/>
      <c r="H3384" s="16"/>
      <c r="I3384" s="16"/>
      <c r="J3384" s="16"/>
      <c r="K3384" s="16"/>
      <c r="L3384" s="16"/>
      <c r="M3384" s="16"/>
    </row>
    <row r="3385" spans="1:13" x14ac:dyDescent="0.2">
      <c r="A3385" s="16"/>
      <c r="B3385" s="37"/>
      <c r="C3385" s="16"/>
      <c r="D3385" s="16"/>
      <c r="E3385" s="16"/>
      <c r="F3385" s="16"/>
      <c r="G3385" s="16"/>
      <c r="H3385" s="16"/>
      <c r="I3385" s="16"/>
      <c r="J3385" s="16"/>
      <c r="K3385" s="16"/>
      <c r="L3385" s="16"/>
      <c r="M3385" s="16"/>
    </row>
    <row r="3386" spans="1:13" x14ac:dyDescent="0.2">
      <c r="A3386" s="16"/>
      <c r="B3386" s="37"/>
      <c r="C3386" s="16"/>
      <c r="D3386" s="16"/>
      <c r="E3386" s="16"/>
      <c r="F3386" s="16"/>
      <c r="G3386" s="16"/>
      <c r="H3386" s="16"/>
      <c r="I3386" s="16"/>
      <c r="J3386" s="16"/>
      <c r="K3386" s="16"/>
      <c r="L3386" s="16"/>
      <c r="M3386" s="16"/>
    </row>
    <row r="3387" spans="1:13" x14ac:dyDescent="0.2">
      <c r="A3387" s="16"/>
      <c r="B3387" s="37"/>
      <c r="C3387" s="16"/>
      <c r="D3387" s="16"/>
      <c r="E3387" s="16"/>
      <c r="F3387" s="16"/>
      <c r="G3387" s="16"/>
      <c r="H3387" s="16"/>
      <c r="I3387" s="16"/>
      <c r="J3387" s="16"/>
      <c r="K3387" s="16"/>
      <c r="L3387" s="16"/>
      <c r="M3387" s="16"/>
    </row>
    <row r="3388" spans="1:13" x14ac:dyDescent="0.2">
      <c r="A3388" s="16"/>
      <c r="B3388" s="37"/>
      <c r="C3388" s="16"/>
      <c r="D3388" s="16"/>
      <c r="E3388" s="16"/>
      <c r="F3388" s="16"/>
      <c r="G3388" s="16"/>
      <c r="H3388" s="16"/>
      <c r="I3388" s="16"/>
      <c r="J3388" s="16"/>
      <c r="K3388" s="16"/>
      <c r="L3388" s="16"/>
      <c r="M3388" s="16"/>
    </row>
    <row r="3389" spans="1:13" x14ac:dyDescent="0.2">
      <c r="A3389" s="16"/>
      <c r="B3389" s="37"/>
      <c r="C3389" s="16"/>
      <c r="D3389" s="16"/>
      <c r="E3389" s="16"/>
      <c r="F3389" s="16"/>
      <c r="G3389" s="16"/>
      <c r="H3389" s="16"/>
      <c r="I3389" s="16"/>
      <c r="J3389" s="16"/>
      <c r="K3389" s="16"/>
      <c r="L3389" s="16"/>
      <c r="M3389" s="16"/>
    </row>
    <row r="3390" spans="1:13" x14ac:dyDescent="0.2">
      <c r="A3390" s="16"/>
      <c r="B3390" s="37"/>
      <c r="C3390" s="16"/>
      <c r="D3390" s="16"/>
      <c r="E3390" s="16"/>
      <c r="F3390" s="16"/>
      <c r="G3390" s="16"/>
      <c r="H3390" s="16"/>
      <c r="I3390" s="16"/>
      <c r="J3390" s="16"/>
      <c r="K3390" s="16"/>
      <c r="L3390" s="16"/>
      <c r="M3390" s="16"/>
    </row>
    <row r="3391" spans="1:13" x14ac:dyDescent="0.2">
      <c r="A3391" s="16"/>
      <c r="B3391" s="37"/>
      <c r="C3391" s="16"/>
      <c r="D3391" s="16"/>
      <c r="E3391" s="16"/>
      <c r="F3391" s="16"/>
      <c r="G3391" s="16"/>
      <c r="H3391" s="16"/>
      <c r="I3391" s="16"/>
      <c r="J3391" s="16"/>
      <c r="K3391" s="16"/>
      <c r="L3391" s="16"/>
      <c r="M3391" s="16"/>
    </row>
    <row r="3392" spans="1:13" x14ac:dyDescent="0.2">
      <c r="A3392" s="16"/>
      <c r="B3392" s="37"/>
      <c r="C3392" s="16"/>
      <c r="D3392" s="16"/>
      <c r="E3392" s="16"/>
      <c r="F3392" s="16"/>
      <c r="G3392" s="16"/>
      <c r="H3392" s="16"/>
      <c r="I3392" s="16"/>
      <c r="J3392" s="16"/>
      <c r="K3392" s="16"/>
      <c r="L3392" s="16"/>
      <c r="M3392" s="16"/>
    </row>
    <row r="3393" spans="1:13" x14ac:dyDescent="0.2">
      <c r="A3393" s="16"/>
      <c r="B3393" s="37"/>
      <c r="C3393" s="16"/>
      <c r="D3393" s="16"/>
      <c r="E3393" s="16"/>
      <c r="F3393" s="16"/>
      <c r="G3393" s="16"/>
      <c r="H3393" s="16"/>
      <c r="I3393" s="16"/>
      <c r="J3393" s="16"/>
      <c r="K3393" s="16"/>
      <c r="L3393" s="16"/>
      <c r="M3393" s="16"/>
    </row>
    <row r="3394" spans="1:13" x14ac:dyDescent="0.2">
      <c r="A3394" s="16"/>
      <c r="B3394" s="37"/>
      <c r="C3394" s="16"/>
      <c r="D3394" s="16"/>
      <c r="E3394" s="16"/>
      <c r="F3394" s="16"/>
      <c r="G3394" s="16"/>
      <c r="H3394" s="16"/>
      <c r="I3394" s="16"/>
      <c r="J3394" s="16"/>
      <c r="K3394" s="16"/>
      <c r="L3394" s="16"/>
      <c r="M3394" s="16"/>
    </row>
    <row r="3395" spans="1:13" x14ac:dyDescent="0.2">
      <c r="A3395" s="16"/>
      <c r="B3395" s="37"/>
      <c r="C3395" s="16"/>
      <c r="D3395" s="16"/>
      <c r="E3395" s="16"/>
      <c r="F3395" s="16"/>
      <c r="G3395" s="16"/>
      <c r="H3395" s="16"/>
      <c r="I3395" s="16"/>
      <c r="J3395" s="16"/>
      <c r="K3395" s="16"/>
      <c r="L3395" s="16"/>
      <c r="M3395" s="16"/>
    </row>
    <row r="3396" spans="1:13" x14ac:dyDescent="0.2">
      <c r="A3396" s="16"/>
      <c r="B3396" s="37"/>
      <c r="C3396" s="16"/>
      <c r="D3396" s="16"/>
      <c r="E3396" s="16"/>
      <c r="F3396" s="16"/>
      <c r="G3396" s="16"/>
      <c r="H3396" s="16"/>
      <c r="I3396" s="16"/>
      <c r="J3396" s="16"/>
      <c r="K3396" s="16"/>
      <c r="L3396" s="16"/>
      <c r="M3396" s="16"/>
    </row>
    <row r="3397" spans="1:13" x14ac:dyDescent="0.2">
      <c r="A3397" s="16"/>
      <c r="B3397" s="37"/>
      <c r="C3397" s="16"/>
      <c r="D3397" s="16"/>
      <c r="E3397" s="16"/>
      <c r="F3397" s="16"/>
      <c r="G3397" s="16"/>
      <c r="H3397" s="16"/>
      <c r="I3397" s="16"/>
      <c r="J3397" s="16"/>
      <c r="K3397" s="16"/>
      <c r="L3397" s="16"/>
      <c r="M3397" s="16"/>
    </row>
    <row r="3398" spans="1:13" x14ac:dyDescent="0.2">
      <c r="A3398" s="16"/>
      <c r="B3398" s="37"/>
      <c r="C3398" s="16"/>
      <c r="D3398" s="16"/>
      <c r="E3398" s="16"/>
      <c r="F3398" s="16"/>
      <c r="G3398" s="16"/>
      <c r="H3398" s="16"/>
      <c r="I3398" s="16"/>
      <c r="J3398" s="16"/>
      <c r="K3398" s="16"/>
      <c r="L3398" s="16"/>
      <c r="M3398" s="16"/>
    </row>
    <row r="3399" spans="1:13" x14ac:dyDescent="0.2">
      <c r="A3399" s="16"/>
      <c r="B3399" s="37"/>
      <c r="C3399" s="16"/>
      <c r="D3399" s="16"/>
      <c r="E3399" s="16"/>
      <c r="F3399" s="16"/>
      <c r="G3399" s="16"/>
      <c r="H3399" s="16"/>
      <c r="I3399" s="16"/>
      <c r="J3399" s="16"/>
      <c r="K3399" s="16"/>
      <c r="L3399" s="16"/>
      <c r="M3399" s="16"/>
    </row>
    <row r="3400" spans="1:13" x14ac:dyDescent="0.2">
      <c r="A3400" s="16"/>
      <c r="B3400" s="37"/>
      <c r="C3400" s="16"/>
      <c r="D3400" s="16"/>
      <c r="E3400" s="16"/>
      <c r="F3400" s="16"/>
      <c r="G3400" s="16"/>
      <c r="H3400" s="16"/>
      <c r="I3400" s="16"/>
      <c r="J3400" s="16"/>
      <c r="K3400" s="16"/>
      <c r="L3400" s="16"/>
      <c r="M3400" s="16"/>
    </row>
    <row r="3401" spans="1:13" x14ac:dyDescent="0.2">
      <c r="A3401" s="16"/>
      <c r="B3401" s="37"/>
      <c r="C3401" s="16"/>
      <c r="D3401" s="16"/>
      <c r="E3401" s="16"/>
      <c r="F3401" s="16"/>
      <c r="G3401" s="16"/>
      <c r="H3401" s="16"/>
      <c r="I3401" s="16"/>
      <c r="J3401" s="16"/>
      <c r="K3401" s="16"/>
      <c r="L3401" s="16"/>
      <c r="M3401" s="16"/>
    </row>
    <row r="3402" spans="1:13" x14ac:dyDescent="0.2">
      <c r="A3402" s="16"/>
      <c r="B3402" s="37"/>
      <c r="C3402" s="16"/>
      <c r="D3402" s="16"/>
      <c r="E3402" s="16"/>
      <c r="F3402" s="16"/>
      <c r="G3402" s="16"/>
      <c r="H3402" s="16"/>
      <c r="I3402" s="16"/>
      <c r="J3402" s="16"/>
      <c r="K3402" s="16"/>
      <c r="L3402" s="16"/>
      <c r="M3402" s="16"/>
    </row>
    <row r="3403" spans="1:13" x14ac:dyDescent="0.2">
      <c r="A3403" s="16"/>
      <c r="B3403" s="37"/>
      <c r="C3403" s="16"/>
      <c r="D3403" s="16"/>
      <c r="E3403" s="16"/>
      <c r="F3403" s="16"/>
      <c r="G3403" s="16"/>
      <c r="H3403" s="16"/>
      <c r="I3403" s="16"/>
      <c r="J3403" s="16"/>
      <c r="K3403" s="16"/>
      <c r="L3403" s="16"/>
      <c r="M3403" s="16"/>
    </row>
    <row r="3404" spans="1:13" x14ac:dyDescent="0.2">
      <c r="A3404" s="16"/>
      <c r="B3404" s="37"/>
      <c r="C3404" s="16"/>
      <c r="D3404" s="16"/>
      <c r="E3404" s="16"/>
      <c r="F3404" s="16"/>
      <c r="G3404" s="16"/>
      <c r="H3404" s="16"/>
      <c r="I3404" s="16"/>
      <c r="J3404" s="16"/>
      <c r="K3404" s="16"/>
      <c r="L3404" s="16"/>
      <c r="M3404" s="16"/>
    </row>
    <row r="3405" spans="1:13" x14ac:dyDescent="0.2">
      <c r="A3405" s="16"/>
      <c r="B3405" s="37"/>
      <c r="C3405" s="16"/>
      <c r="D3405" s="16"/>
      <c r="E3405" s="16"/>
      <c r="F3405" s="16"/>
      <c r="G3405" s="16"/>
      <c r="H3405" s="16"/>
      <c r="I3405" s="16"/>
      <c r="J3405" s="16"/>
      <c r="K3405" s="16"/>
      <c r="L3405" s="16"/>
      <c r="M3405" s="16"/>
    </row>
    <row r="3406" spans="1:13" x14ac:dyDescent="0.2">
      <c r="A3406" s="16"/>
      <c r="B3406" s="37"/>
      <c r="C3406" s="16"/>
      <c r="D3406" s="16"/>
      <c r="E3406" s="16"/>
      <c r="F3406" s="16"/>
      <c r="G3406" s="16"/>
      <c r="H3406" s="16"/>
      <c r="I3406" s="16"/>
      <c r="J3406" s="16"/>
      <c r="K3406" s="16"/>
      <c r="L3406" s="16"/>
      <c r="M3406" s="16"/>
    </row>
    <row r="3407" spans="1:13" x14ac:dyDescent="0.2">
      <c r="A3407" s="16"/>
      <c r="B3407" s="37"/>
      <c r="C3407" s="16"/>
      <c r="D3407" s="16"/>
      <c r="E3407" s="16"/>
      <c r="F3407" s="16"/>
      <c r="G3407" s="16"/>
      <c r="H3407" s="16"/>
      <c r="I3407" s="16"/>
      <c r="J3407" s="16"/>
      <c r="K3407" s="16"/>
      <c r="L3407" s="16"/>
      <c r="M3407" s="16"/>
    </row>
    <row r="3408" spans="1:13" x14ac:dyDescent="0.2">
      <c r="A3408" s="16"/>
      <c r="B3408" s="37"/>
      <c r="C3408" s="16"/>
      <c r="D3408" s="16"/>
      <c r="E3408" s="16"/>
      <c r="F3408" s="16"/>
      <c r="G3408" s="16"/>
      <c r="H3408" s="16"/>
      <c r="I3408" s="16"/>
      <c r="J3408" s="16"/>
      <c r="K3408" s="16"/>
      <c r="L3408" s="16"/>
      <c r="M3408" s="16"/>
    </row>
    <row r="3409" spans="1:13" x14ac:dyDescent="0.2">
      <c r="A3409" s="16"/>
      <c r="B3409" s="37"/>
      <c r="C3409" s="16"/>
      <c r="D3409" s="16"/>
      <c r="E3409" s="16"/>
      <c r="F3409" s="16"/>
      <c r="G3409" s="16"/>
      <c r="H3409" s="16"/>
      <c r="I3409" s="16"/>
      <c r="J3409" s="16"/>
      <c r="K3409" s="16"/>
      <c r="L3409" s="16"/>
      <c r="M3409" s="16"/>
    </row>
    <row r="3410" spans="1:13" x14ac:dyDescent="0.2">
      <c r="A3410" s="16"/>
      <c r="B3410" s="37"/>
      <c r="C3410" s="16"/>
      <c r="D3410" s="16"/>
      <c r="E3410" s="16"/>
      <c r="F3410" s="16"/>
      <c r="G3410" s="16"/>
      <c r="H3410" s="16"/>
      <c r="I3410" s="16"/>
      <c r="J3410" s="16"/>
      <c r="K3410" s="16"/>
      <c r="L3410" s="16"/>
      <c r="M3410" s="16"/>
    </row>
    <row r="3411" spans="1:13" x14ac:dyDescent="0.2">
      <c r="A3411" s="16"/>
      <c r="B3411" s="37"/>
      <c r="C3411" s="16"/>
      <c r="D3411" s="16"/>
      <c r="E3411" s="16"/>
      <c r="F3411" s="16"/>
      <c r="G3411" s="16"/>
      <c r="H3411" s="16"/>
      <c r="I3411" s="16"/>
      <c r="J3411" s="16"/>
      <c r="K3411" s="16"/>
      <c r="L3411" s="16"/>
      <c r="M3411" s="16"/>
    </row>
    <row r="3412" spans="1:13" x14ac:dyDescent="0.2">
      <c r="A3412" s="16"/>
      <c r="B3412" s="37"/>
      <c r="C3412" s="16"/>
      <c r="D3412" s="16"/>
      <c r="E3412" s="16"/>
      <c r="F3412" s="16"/>
      <c r="G3412" s="16"/>
      <c r="H3412" s="16"/>
      <c r="I3412" s="16"/>
      <c r="J3412" s="16"/>
      <c r="K3412" s="16"/>
      <c r="L3412" s="16"/>
      <c r="M3412" s="16"/>
    </row>
    <row r="3413" spans="1:13" x14ac:dyDescent="0.2">
      <c r="A3413" s="16"/>
      <c r="B3413" s="37"/>
      <c r="C3413" s="16"/>
      <c r="D3413" s="16"/>
      <c r="E3413" s="16"/>
      <c r="F3413" s="16"/>
      <c r="G3413" s="16"/>
      <c r="H3413" s="16"/>
      <c r="I3413" s="16"/>
      <c r="J3413" s="16"/>
      <c r="K3413" s="16"/>
      <c r="L3413" s="16"/>
      <c r="M3413" s="16"/>
    </row>
    <row r="3414" spans="1:13" x14ac:dyDescent="0.2">
      <c r="A3414" s="16"/>
      <c r="B3414" s="37"/>
      <c r="C3414" s="16"/>
      <c r="D3414" s="16"/>
      <c r="E3414" s="16"/>
      <c r="F3414" s="16"/>
      <c r="G3414" s="16"/>
      <c r="H3414" s="16"/>
      <c r="I3414" s="16"/>
      <c r="J3414" s="16"/>
      <c r="K3414" s="16"/>
      <c r="L3414" s="16"/>
      <c r="M3414" s="16"/>
    </row>
    <row r="3415" spans="1:13" x14ac:dyDescent="0.2">
      <c r="A3415" s="16"/>
      <c r="B3415" s="37"/>
      <c r="C3415" s="16"/>
      <c r="D3415" s="16"/>
      <c r="E3415" s="16"/>
      <c r="F3415" s="16"/>
      <c r="G3415" s="16"/>
      <c r="H3415" s="16"/>
      <c r="I3415" s="16"/>
      <c r="J3415" s="16"/>
      <c r="K3415" s="16"/>
      <c r="L3415" s="16"/>
      <c r="M3415" s="16"/>
    </row>
    <row r="3416" spans="1:13" x14ac:dyDescent="0.2">
      <c r="A3416" s="16"/>
      <c r="B3416" s="37"/>
      <c r="C3416" s="16"/>
      <c r="D3416" s="16"/>
      <c r="E3416" s="16"/>
      <c r="F3416" s="16"/>
      <c r="G3416" s="16"/>
      <c r="H3416" s="16"/>
      <c r="I3416" s="16"/>
      <c r="J3416" s="16"/>
      <c r="K3416" s="16"/>
      <c r="L3416" s="16"/>
      <c r="M3416" s="16"/>
    </row>
    <row r="3417" spans="1:13" x14ac:dyDescent="0.2">
      <c r="A3417" s="16"/>
      <c r="B3417" s="37"/>
      <c r="C3417" s="16"/>
      <c r="D3417" s="16"/>
      <c r="E3417" s="16"/>
      <c r="F3417" s="16"/>
      <c r="G3417" s="16"/>
      <c r="H3417" s="16"/>
      <c r="I3417" s="16"/>
      <c r="J3417" s="16"/>
      <c r="K3417" s="16"/>
      <c r="L3417" s="16"/>
      <c r="M3417" s="16"/>
    </row>
    <row r="3418" spans="1:13" x14ac:dyDescent="0.2">
      <c r="A3418" s="16"/>
      <c r="B3418" s="37"/>
      <c r="C3418" s="16"/>
      <c r="D3418" s="16"/>
      <c r="E3418" s="16"/>
      <c r="F3418" s="16"/>
      <c r="G3418" s="16"/>
      <c r="H3418" s="16"/>
      <c r="I3418" s="16"/>
      <c r="J3418" s="16"/>
      <c r="K3418" s="16"/>
      <c r="L3418" s="16"/>
      <c r="M3418" s="16"/>
    </row>
    <row r="3419" spans="1:13" x14ac:dyDescent="0.2">
      <c r="A3419" s="16"/>
      <c r="B3419" s="37"/>
      <c r="C3419" s="16"/>
      <c r="D3419" s="16"/>
      <c r="E3419" s="16"/>
      <c r="F3419" s="16"/>
      <c r="G3419" s="16"/>
      <c r="H3419" s="16"/>
      <c r="I3419" s="16"/>
      <c r="J3419" s="16"/>
      <c r="K3419" s="16"/>
      <c r="L3419" s="16"/>
      <c r="M3419" s="16"/>
    </row>
    <row r="3420" spans="1:13" x14ac:dyDescent="0.2">
      <c r="A3420" s="16"/>
      <c r="B3420" s="37"/>
      <c r="C3420" s="16"/>
      <c r="D3420" s="16"/>
      <c r="E3420" s="16"/>
      <c r="F3420" s="16"/>
      <c r="G3420" s="16"/>
      <c r="H3420" s="16"/>
      <c r="I3420" s="16"/>
      <c r="J3420" s="16"/>
      <c r="K3420" s="16"/>
      <c r="L3420" s="16"/>
      <c r="M3420" s="16"/>
    </row>
    <row r="3421" spans="1:13" x14ac:dyDescent="0.2">
      <c r="A3421" s="16"/>
      <c r="B3421" s="37"/>
      <c r="C3421" s="16"/>
      <c r="D3421" s="16"/>
      <c r="E3421" s="16"/>
      <c r="F3421" s="16"/>
      <c r="G3421" s="16"/>
      <c r="H3421" s="16"/>
      <c r="I3421" s="16"/>
      <c r="J3421" s="16"/>
      <c r="K3421" s="16"/>
      <c r="L3421" s="16"/>
      <c r="M3421" s="16"/>
    </row>
    <row r="3422" spans="1:13" x14ac:dyDescent="0.2">
      <c r="A3422" s="16"/>
      <c r="B3422" s="37"/>
      <c r="C3422" s="16"/>
      <c r="D3422" s="16"/>
      <c r="E3422" s="16"/>
      <c r="F3422" s="16"/>
      <c r="G3422" s="16"/>
      <c r="H3422" s="16"/>
      <c r="I3422" s="16"/>
      <c r="J3422" s="16"/>
      <c r="K3422" s="16"/>
      <c r="L3422" s="16"/>
      <c r="M3422" s="16"/>
    </row>
    <row r="3423" spans="1:13" x14ac:dyDescent="0.2">
      <c r="A3423" s="16"/>
      <c r="B3423" s="37"/>
      <c r="C3423" s="16"/>
      <c r="D3423" s="16"/>
      <c r="E3423" s="16"/>
      <c r="F3423" s="16"/>
      <c r="G3423" s="16"/>
      <c r="H3423" s="16"/>
      <c r="I3423" s="16"/>
      <c r="J3423" s="16"/>
      <c r="K3423" s="16"/>
      <c r="L3423" s="16"/>
      <c r="M3423" s="16"/>
    </row>
    <row r="3424" spans="1:13" x14ac:dyDescent="0.2">
      <c r="A3424" s="16"/>
      <c r="B3424" s="37"/>
      <c r="C3424" s="16"/>
      <c r="D3424" s="16"/>
      <c r="E3424" s="16"/>
      <c r="F3424" s="16"/>
      <c r="G3424" s="16"/>
      <c r="H3424" s="16"/>
      <c r="I3424" s="16"/>
      <c r="J3424" s="16"/>
      <c r="K3424" s="16"/>
      <c r="L3424" s="16"/>
      <c r="M3424" s="16"/>
    </row>
    <row r="3425" spans="1:13" x14ac:dyDescent="0.2">
      <c r="A3425" s="16"/>
      <c r="B3425" s="37"/>
      <c r="C3425" s="16"/>
      <c r="D3425" s="16"/>
      <c r="E3425" s="16"/>
      <c r="F3425" s="16"/>
      <c r="G3425" s="16"/>
      <c r="H3425" s="16"/>
      <c r="I3425" s="16"/>
      <c r="J3425" s="16"/>
      <c r="K3425" s="16"/>
      <c r="L3425" s="16"/>
      <c r="M3425" s="16"/>
    </row>
    <row r="3426" spans="1:13" x14ac:dyDescent="0.2">
      <c r="A3426" s="16"/>
      <c r="B3426" s="37"/>
      <c r="C3426" s="16"/>
      <c r="D3426" s="16"/>
      <c r="E3426" s="16"/>
      <c r="F3426" s="16"/>
      <c r="G3426" s="16"/>
      <c r="H3426" s="16"/>
      <c r="I3426" s="16"/>
      <c r="J3426" s="16"/>
      <c r="K3426" s="16"/>
      <c r="L3426" s="16"/>
      <c r="M3426" s="16"/>
    </row>
    <row r="3427" spans="1:13" x14ac:dyDescent="0.2">
      <c r="A3427" s="16"/>
      <c r="B3427" s="37"/>
      <c r="C3427" s="16"/>
      <c r="D3427" s="16"/>
      <c r="E3427" s="16"/>
      <c r="F3427" s="16"/>
      <c r="G3427" s="16"/>
      <c r="H3427" s="16"/>
      <c r="I3427" s="16"/>
      <c r="J3427" s="16"/>
      <c r="K3427" s="16"/>
      <c r="L3427" s="16"/>
      <c r="M3427" s="16"/>
    </row>
    <row r="3428" spans="1:13" x14ac:dyDescent="0.2">
      <c r="A3428" s="16"/>
      <c r="B3428" s="37"/>
      <c r="C3428" s="16"/>
      <c r="D3428" s="16"/>
      <c r="E3428" s="16"/>
      <c r="F3428" s="16"/>
      <c r="G3428" s="16"/>
      <c r="H3428" s="16"/>
      <c r="I3428" s="16"/>
      <c r="J3428" s="16"/>
      <c r="K3428" s="16"/>
      <c r="L3428" s="16"/>
      <c r="M3428" s="16"/>
    </row>
    <row r="3429" spans="1:13" x14ac:dyDescent="0.2">
      <c r="A3429" s="16"/>
      <c r="B3429" s="37"/>
      <c r="C3429" s="16"/>
      <c r="D3429" s="16"/>
      <c r="E3429" s="16"/>
      <c r="F3429" s="16"/>
      <c r="G3429" s="16"/>
      <c r="H3429" s="16"/>
      <c r="I3429" s="16"/>
      <c r="J3429" s="16"/>
      <c r="K3429" s="16"/>
      <c r="L3429" s="16"/>
      <c r="M3429" s="16"/>
    </row>
    <row r="3430" spans="1:13" x14ac:dyDescent="0.2">
      <c r="A3430" s="16"/>
      <c r="B3430" s="37"/>
      <c r="C3430" s="16"/>
      <c r="D3430" s="16"/>
      <c r="E3430" s="16"/>
      <c r="F3430" s="16"/>
      <c r="G3430" s="16"/>
      <c r="H3430" s="16"/>
      <c r="I3430" s="16"/>
      <c r="J3430" s="16"/>
      <c r="K3430" s="16"/>
      <c r="L3430" s="16"/>
      <c r="M3430" s="16"/>
    </row>
    <row r="3431" spans="1:13" x14ac:dyDescent="0.2">
      <c r="A3431" s="16"/>
      <c r="B3431" s="37"/>
      <c r="C3431" s="16"/>
      <c r="D3431" s="16"/>
      <c r="E3431" s="16"/>
      <c r="F3431" s="16"/>
      <c r="G3431" s="16"/>
      <c r="H3431" s="16"/>
      <c r="I3431" s="16"/>
      <c r="J3431" s="16"/>
      <c r="K3431" s="16"/>
      <c r="L3431" s="16"/>
      <c r="M3431" s="16"/>
    </row>
    <row r="3432" spans="1:13" x14ac:dyDescent="0.2">
      <c r="A3432" s="16"/>
      <c r="B3432" s="37"/>
      <c r="C3432" s="16"/>
      <c r="D3432" s="16"/>
      <c r="E3432" s="16"/>
      <c r="F3432" s="16"/>
      <c r="G3432" s="16"/>
      <c r="H3432" s="16"/>
      <c r="I3432" s="16"/>
      <c r="J3432" s="16"/>
      <c r="K3432" s="16"/>
      <c r="L3432" s="16"/>
      <c r="M3432" s="16"/>
    </row>
    <row r="3433" spans="1:13" x14ac:dyDescent="0.2">
      <c r="A3433" s="16"/>
      <c r="B3433" s="37"/>
      <c r="C3433" s="16"/>
      <c r="D3433" s="16"/>
      <c r="E3433" s="16"/>
      <c r="F3433" s="16"/>
      <c r="G3433" s="16"/>
      <c r="H3433" s="16"/>
      <c r="I3433" s="16"/>
      <c r="J3433" s="16"/>
      <c r="K3433" s="16"/>
      <c r="L3433" s="16"/>
      <c r="M3433" s="16"/>
    </row>
    <row r="3434" spans="1:13" x14ac:dyDescent="0.2">
      <c r="A3434" s="16"/>
      <c r="B3434" s="37"/>
      <c r="C3434" s="16"/>
      <c r="D3434" s="16"/>
      <c r="E3434" s="16"/>
      <c r="F3434" s="16"/>
      <c r="G3434" s="16"/>
      <c r="H3434" s="16"/>
      <c r="I3434" s="16"/>
      <c r="J3434" s="16"/>
      <c r="K3434" s="16"/>
      <c r="L3434" s="16"/>
      <c r="M3434" s="16"/>
    </row>
    <row r="3435" spans="1:13" x14ac:dyDescent="0.2">
      <c r="A3435" s="16"/>
      <c r="B3435" s="37"/>
      <c r="C3435" s="16"/>
      <c r="D3435" s="16"/>
      <c r="E3435" s="16"/>
      <c r="F3435" s="16"/>
      <c r="G3435" s="16"/>
      <c r="H3435" s="16"/>
      <c r="I3435" s="16"/>
      <c r="J3435" s="16"/>
      <c r="K3435" s="16"/>
      <c r="L3435" s="16"/>
      <c r="M3435" s="16"/>
    </row>
    <row r="3436" spans="1:13" x14ac:dyDescent="0.2">
      <c r="A3436" s="16"/>
      <c r="B3436" s="37"/>
      <c r="C3436" s="16"/>
      <c r="D3436" s="16"/>
      <c r="E3436" s="16"/>
      <c r="F3436" s="16"/>
      <c r="G3436" s="16"/>
      <c r="H3436" s="16"/>
      <c r="I3436" s="16"/>
      <c r="J3436" s="16"/>
      <c r="K3436" s="16"/>
      <c r="L3436" s="16"/>
      <c r="M3436" s="16"/>
    </row>
    <row r="3437" spans="1:13" x14ac:dyDescent="0.2">
      <c r="A3437" s="16"/>
      <c r="B3437" s="37"/>
      <c r="C3437" s="16"/>
      <c r="D3437" s="16"/>
      <c r="E3437" s="16"/>
      <c r="F3437" s="16"/>
      <c r="G3437" s="16"/>
      <c r="H3437" s="16"/>
      <c r="I3437" s="16"/>
      <c r="J3437" s="16"/>
      <c r="K3437" s="16"/>
      <c r="L3437" s="16"/>
      <c r="M3437" s="16"/>
    </row>
    <row r="3438" spans="1:13" x14ac:dyDescent="0.2">
      <c r="A3438" s="16"/>
      <c r="B3438" s="37"/>
      <c r="C3438" s="16"/>
      <c r="D3438" s="16"/>
      <c r="E3438" s="16"/>
      <c r="F3438" s="16"/>
      <c r="G3438" s="16"/>
      <c r="H3438" s="16"/>
      <c r="I3438" s="16"/>
      <c r="J3438" s="16"/>
      <c r="K3438" s="16"/>
      <c r="L3438" s="16"/>
      <c r="M3438" s="16"/>
    </row>
    <row r="3439" spans="1:13" x14ac:dyDescent="0.2">
      <c r="A3439" s="16"/>
      <c r="B3439" s="37"/>
      <c r="C3439" s="16"/>
      <c r="D3439" s="16"/>
      <c r="E3439" s="16"/>
      <c r="F3439" s="16"/>
      <c r="G3439" s="16"/>
      <c r="H3439" s="16"/>
      <c r="I3439" s="16"/>
      <c r="J3439" s="16"/>
      <c r="K3439" s="16"/>
      <c r="L3439" s="16"/>
      <c r="M3439" s="16"/>
    </row>
    <row r="3440" spans="1:13" x14ac:dyDescent="0.2">
      <c r="A3440" s="16"/>
      <c r="B3440" s="37"/>
      <c r="C3440" s="16"/>
      <c r="D3440" s="16"/>
      <c r="E3440" s="16"/>
      <c r="F3440" s="16"/>
      <c r="G3440" s="16"/>
      <c r="H3440" s="16"/>
      <c r="I3440" s="16"/>
      <c r="J3440" s="16"/>
      <c r="K3440" s="16"/>
      <c r="L3440" s="16"/>
      <c r="M3440" s="16"/>
    </row>
    <row r="3441" spans="1:13" x14ac:dyDescent="0.2">
      <c r="A3441" s="16"/>
      <c r="B3441" s="37"/>
      <c r="C3441" s="16"/>
      <c r="D3441" s="16"/>
      <c r="E3441" s="16"/>
      <c r="F3441" s="16"/>
      <c r="G3441" s="16"/>
      <c r="H3441" s="16"/>
      <c r="I3441" s="16"/>
      <c r="J3441" s="16"/>
      <c r="K3441" s="16"/>
      <c r="L3441" s="16"/>
      <c r="M3441" s="16"/>
    </row>
    <row r="3442" spans="1:13" x14ac:dyDescent="0.2">
      <c r="A3442" s="16"/>
      <c r="B3442" s="37"/>
      <c r="C3442" s="16"/>
      <c r="D3442" s="16"/>
      <c r="E3442" s="16"/>
      <c r="F3442" s="16"/>
      <c r="G3442" s="16"/>
      <c r="H3442" s="16"/>
      <c r="I3442" s="16"/>
      <c r="J3442" s="16"/>
      <c r="K3442" s="16"/>
      <c r="L3442" s="16"/>
      <c r="M3442" s="16"/>
    </row>
    <row r="3443" spans="1:13" x14ac:dyDescent="0.2">
      <c r="A3443" s="16"/>
      <c r="B3443" s="37"/>
      <c r="C3443" s="16"/>
      <c r="D3443" s="16"/>
      <c r="E3443" s="16"/>
      <c r="F3443" s="16"/>
      <c r="G3443" s="16"/>
      <c r="H3443" s="16"/>
      <c r="I3443" s="16"/>
      <c r="J3443" s="16"/>
      <c r="K3443" s="16"/>
      <c r="L3443" s="16"/>
      <c r="M3443" s="16"/>
    </row>
    <row r="3444" spans="1:13" x14ac:dyDescent="0.2">
      <c r="A3444" s="16"/>
      <c r="B3444" s="37"/>
      <c r="C3444" s="16"/>
      <c r="D3444" s="16"/>
      <c r="E3444" s="16"/>
      <c r="F3444" s="16"/>
      <c r="G3444" s="16"/>
      <c r="H3444" s="16"/>
      <c r="I3444" s="16"/>
      <c r="J3444" s="16"/>
      <c r="K3444" s="16"/>
      <c r="L3444" s="16"/>
      <c r="M3444" s="16"/>
    </row>
    <row r="3445" spans="1:13" x14ac:dyDescent="0.2">
      <c r="A3445" s="16"/>
      <c r="B3445" s="37"/>
      <c r="C3445" s="16"/>
      <c r="D3445" s="16"/>
      <c r="E3445" s="16"/>
      <c r="F3445" s="16"/>
      <c r="G3445" s="16"/>
      <c r="H3445" s="16"/>
      <c r="I3445" s="16"/>
      <c r="J3445" s="16"/>
      <c r="K3445" s="16"/>
      <c r="L3445" s="16"/>
      <c r="M3445" s="16"/>
    </row>
    <row r="3446" spans="1:13" x14ac:dyDescent="0.2">
      <c r="A3446" s="16"/>
      <c r="B3446" s="37"/>
      <c r="C3446" s="16"/>
      <c r="D3446" s="16"/>
      <c r="E3446" s="16"/>
      <c r="F3446" s="16"/>
      <c r="G3446" s="16"/>
      <c r="H3446" s="16"/>
      <c r="I3446" s="16"/>
      <c r="J3446" s="16"/>
      <c r="K3446" s="16"/>
      <c r="L3446" s="16"/>
      <c r="M3446" s="16"/>
    </row>
    <row r="3447" spans="1:13" x14ac:dyDescent="0.2">
      <c r="A3447" s="16"/>
      <c r="B3447" s="37"/>
      <c r="C3447" s="16"/>
      <c r="D3447" s="16"/>
      <c r="E3447" s="16"/>
      <c r="F3447" s="16"/>
      <c r="G3447" s="16"/>
      <c r="H3447" s="16"/>
      <c r="I3447" s="16"/>
      <c r="J3447" s="16"/>
      <c r="K3447" s="16"/>
      <c r="L3447" s="16"/>
      <c r="M3447" s="16"/>
    </row>
    <row r="3448" spans="1:13" x14ac:dyDescent="0.2">
      <c r="A3448" s="16"/>
      <c r="B3448" s="37"/>
      <c r="C3448" s="16"/>
      <c r="D3448" s="16"/>
      <c r="E3448" s="16"/>
      <c r="F3448" s="16"/>
      <c r="G3448" s="16"/>
      <c r="H3448" s="16"/>
      <c r="I3448" s="16"/>
      <c r="J3448" s="16"/>
      <c r="K3448" s="16"/>
      <c r="L3448" s="16"/>
      <c r="M3448" s="16"/>
    </row>
    <row r="3449" spans="1:13" x14ac:dyDescent="0.2">
      <c r="A3449" s="16"/>
      <c r="B3449" s="37"/>
      <c r="C3449" s="16"/>
      <c r="D3449" s="16"/>
      <c r="E3449" s="16"/>
      <c r="F3449" s="16"/>
      <c r="G3449" s="16"/>
      <c r="H3449" s="16"/>
      <c r="I3449" s="16"/>
      <c r="J3449" s="16"/>
      <c r="K3449" s="16"/>
      <c r="L3449" s="16"/>
      <c r="M3449" s="16"/>
    </row>
    <row r="3450" spans="1:13" x14ac:dyDescent="0.2">
      <c r="A3450" s="16"/>
      <c r="B3450" s="37"/>
      <c r="C3450" s="16"/>
      <c r="D3450" s="16"/>
      <c r="E3450" s="16"/>
      <c r="F3450" s="16"/>
      <c r="G3450" s="16"/>
      <c r="H3450" s="16"/>
      <c r="I3450" s="16"/>
      <c r="J3450" s="16"/>
      <c r="K3450" s="16"/>
      <c r="L3450" s="16"/>
      <c r="M3450" s="16"/>
    </row>
    <row r="3451" spans="1:13" x14ac:dyDescent="0.2">
      <c r="A3451" s="16"/>
      <c r="B3451" s="37"/>
      <c r="C3451" s="16"/>
      <c r="D3451" s="16"/>
      <c r="E3451" s="16"/>
      <c r="F3451" s="16"/>
      <c r="G3451" s="16"/>
      <c r="H3451" s="16"/>
      <c r="I3451" s="16"/>
      <c r="J3451" s="16"/>
      <c r="K3451" s="16"/>
      <c r="L3451" s="16"/>
      <c r="M3451" s="16"/>
    </row>
    <row r="3452" spans="1:13" x14ac:dyDescent="0.2">
      <c r="A3452" s="16"/>
      <c r="B3452" s="37"/>
      <c r="C3452" s="16"/>
      <c r="D3452" s="16"/>
      <c r="E3452" s="16"/>
      <c r="F3452" s="16"/>
      <c r="G3452" s="16"/>
      <c r="H3452" s="16"/>
      <c r="I3452" s="16"/>
      <c r="J3452" s="16"/>
      <c r="K3452" s="16"/>
      <c r="L3452" s="16"/>
      <c r="M3452" s="16"/>
    </row>
    <row r="3453" spans="1:13" x14ac:dyDescent="0.2">
      <c r="A3453" s="16"/>
      <c r="B3453" s="37"/>
      <c r="C3453" s="16"/>
      <c r="D3453" s="16"/>
      <c r="E3453" s="16"/>
      <c r="F3453" s="16"/>
      <c r="G3453" s="16"/>
      <c r="H3453" s="16"/>
      <c r="I3453" s="16"/>
      <c r="J3453" s="16"/>
      <c r="K3453" s="16"/>
      <c r="L3453" s="16"/>
      <c r="M3453" s="16"/>
    </row>
    <row r="3454" spans="1:13" x14ac:dyDescent="0.2">
      <c r="A3454" s="16"/>
      <c r="B3454" s="37"/>
      <c r="C3454" s="16"/>
      <c r="D3454" s="16"/>
      <c r="E3454" s="16"/>
      <c r="F3454" s="16"/>
      <c r="G3454" s="16"/>
      <c r="H3454" s="16"/>
      <c r="I3454" s="16"/>
      <c r="J3454" s="16"/>
      <c r="K3454" s="16"/>
      <c r="L3454" s="16"/>
      <c r="M3454" s="16"/>
    </row>
    <row r="3455" spans="1:13" x14ac:dyDescent="0.2">
      <c r="A3455" s="16"/>
      <c r="B3455" s="37"/>
      <c r="C3455" s="16"/>
      <c r="D3455" s="16"/>
      <c r="E3455" s="16"/>
      <c r="F3455" s="16"/>
      <c r="G3455" s="16"/>
      <c r="H3455" s="16"/>
      <c r="I3455" s="16"/>
      <c r="J3455" s="16"/>
      <c r="K3455" s="16"/>
      <c r="L3455" s="16"/>
      <c r="M3455" s="16"/>
    </row>
    <row r="3456" spans="1:13" x14ac:dyDescent="0.2">
      <c r="A3456" s="16"/>
      <c r="B3456" s="37"/>
      <c r="C3456" s="16"/>
      <c r="D3456" s="16"/>
      <c r="E3456" s="16"/>
      <c r="F3456" s="16"/>
      <c r="G3456" s="16"/>
      <c r="H3456" s="16"/>
      <c r="I3456" s="16"/>
      <c r="J3456" s="16"/>
      <c r="K3456" s="16"/>
      <c r="L3456" s="16"/>
      <c r="M3456" s="16"/>
    </row>
    <row r="3457" spans="1:13" x14ac:dyDescent="0.2">
      <c r="A3457" s="16"/>
      <c r="B3457" s="37"/>
      <c r="C3457" s="16"/>
      <c r="D3457" s="16"/>
      <c r="E3457" s="16"/>
      <c r="F3457" s="16"/>
      <c r="G3457" s="16"/>
      <c r="H3457" s="16"/>
      <c r="I3457" s="16"/>
      <c r="J3457" s="16"/>
      <c r="K3457" s="16"/>
      <c r="L3457" s="16"/>
      <c r="M3457" s="16"/>
    </row>
    <row r="3458" spans="1:13" x14ac:dyDescent="0.2">
      <c r="A3458" s="16"/>
      <c r="B3458" s="37"/>
      <c r="C3458" s="16"/>
      <c r="D3458" s="16"/>
      <c r="E3458" s="16"/>
      <c r="F3458" s="16"/>
      <c r="G3458" s="16"/>
      <c r="H3458" s="16"/>
      <c r="I3458" s="16"/>
      <c r="J3458" s="16"/>
      <c r="K3458" s="16"/>
      <c r="L3458" s="16"/>
      <c r="M3458" s="16"/>
    </row>
    <row r="3459" spans="1:13" x14ac:dyDescent="0.2">
      <c r="A3459" s="16"/>
      <c r="B3459" s="37"/>
      <c r="C3459" s="16"/>
      <c r="D3459" s="16"/>
      <c r="E3459" s="16"/>
      <c r="F3459" s="16"/>
      <c r="G3459" s="16"/>
      <c r="H3459" s="16"/>
      <c r="I3459" s="16"/>
      <c r="J3459" s="16"/>
      <c r="K3459" s="16"/>
      <c r="L3459" s="16"/>
      <c r="M3459" s="16"/>
    </row>
    <row r="3460" spans="1:13" x14ac:dyDescent="0.2">
      <c r="A3460" s="16"/>
      <c r="B3460" s="37"/>
      <c r="C3460" s="16"/>
      <c r="D3460" s="16"/>
      <c r="E3460" s="16"/>
      <c r="F3460" s="16"/>
      <c r="G3460" s="16"/>
      <c r="H3460" s="16"/>
      <c r="I3460" s="16"/>
      <c r="J3460" s="16"/>
      <c r="K3460" s="16"/>
      <c r="L3460" s="16"/>
      <c r="M3460" s="16"/>
    </row>
    <row r="3461" spans="1:13" x14ac:dyDescent="0.2">
      <c r="A3461" s="16"/>
      <c r="B3461" s="37"/>
      <c r="C3461" s="16"/>
      <c r="D3461" s="16"/>
      <c r="E3461" s="16"/>
      <c r="F3461" s="16"/>
      <c r="G3461" s="16"/>
      <c r="H3461" s="16"/>
      <c r="I3461" s="16"/>
      <c r="J3461" s="16"/>
      <c r="K3461" s="16"/>
      <c r="L3461" s="16"/>
      <c r="M3461" s="16"/>
    </row>
    <row r="3462" spans="1:13" x14ac:dyDescent="0.2">
      <c r="A3462" s="16"/>
      <c r="B3462" s="37"/>
      <c r="C3462" s="16"/>
      <c r="D3462" s="16"/>
      <c r="E3462" s="16"/>
      <c r="F3462" s="16"/>
      <c r="G3462" s="16"/>
      <c r="H3462" s="16"/>
      <c r="I3462" s="16"/>
      <c r="J3462" s="16"/>
      <c r="K3462" s="16"/>
      <c r="L3462" s="16"/>
      <c r="M3462" s="16"/>
    </row>
    <row r="3463" spans="1:13" x14ac:dyDescent="0.2">
      <c r="A3463" s="16"/>
      <c r="B3463" s="37"/>
      <c r="C3463" s="16"/>
      <c r="D3463" s="16"/>
      <c r="E3463" s="16"/>
      <c r="F3463" s="16"/>
      <c r="G3463" s="16"/>
      <c r="H3463" s="16"/>
      <c r="I3463" s="16"/>
      <c r="J3463" s="16"/>
      <c r="K3463" s="16"/>
      <c r="L3463" s="16"/>
      <c r="M3463" s="16"/>
    </row>
    <row r="3464" spans="1:13" x14ac:dyDescent="0.2">
      <c r="A3464" s="16"/>
      <c r="B3464" s="37"/>
      <c r="C3464" s="16"/>
      <c r="D3464" s="16"/>
      <c r="E3464" s="16"/>
      <c r="F3464" s="16"/>
      <c r="G3464" s="16"/>
      <c r="H3464" s="16"/>
      <c r="I3464" s="16"/>
      <c r="J3464" s="16"/>
      <c r="K3464" s="16"/>
      <c r="L3464" s="16"/>
      <c r="M3464" s="16"/>
    </row>
    <row r="3465" spans="1:13" x14ac:dyDescent="0.2">
      <c r="A3465" s="16"/>
      <c r="B3465" s="37"/>
      <c r="C3465" s="16"/>
      <c r="D3465" s="16"/>
      <c r="E3465" s="16"/>
      <c r="F3465" s="16"/>
      <c r="G3465" s="16"/>
      <c r="H3465" s="16"/>
      <c r="I3465" s="16"/>
      <c r="J3465" s="16"/>
      <c r="K3465" s="16"/>
      <c r="L3465" s="16"/>
      <c r="M3465" s="16"/>
    </row>
    <row r="3466" spans="1:13" x14ac:dyDescent="0.2">
      <c r="A3466" s="16"/>
      <c r="B3466" s="37"/>
      <c r="C3466" s="16"/>
      <c r="D3466" s="16"/>
      <c r="E3466" s="16"/>
      <c r="F3466" s="16"/>
      <c r="G3466" s="16"/>
      <c r="H3466" s="16"/>
      <c r="I3466" s="16"/>
      <c r="J3466" s="16"/>
      <c r="K3466" s="16"/>
      <c r="L3466" s="16"/>
      <c r="M3466" s="16"/>
    </row>
    <row r="3467" spans="1:13" x14ac:dyDescent="0.2">
      <c r="A3467" s="16"/>
      <c r="B3467" s="37"/>
      <c r="C3467" s="16"/>
      <c r="D3467" s="16"/>
      <c r="E3467" s="16"/>
      <c r="F3467" s="16"/>
      <c r="G3467" s="16"/>
      <c r="H3467" s="16"/>
      <c r="I3467" s="16"/>
      <c r="J3467" s="16"/>
      <c r="K3467" s="16"/>
      <c r="L3467" s="16"/>
      <c r="M3467" s="16"/>
    </row>
    <row r="3468" spans="1:13" x14ac:dyDescent="0.2">
      <c r="A3468" s="16"/>
      <c r="B3468" s="37"/>
      <c r="C3468" s="16"/>
      <c r="D3468" s="16"/>
      <c r="E3468" s="16"/>
      <c r="F3468" s="16"/>
      <c r="G3468" s="16"/>
      <c r="H3468" s="16"/>
      <c r="I3468" s="16"/>
      <c r="J3468" s="16"/>
      <c r="K3468" s="16"/>
      <c r="L3468" s="16"/>
      <c r="M3468" s="16"/>
    </row>
    <row r="3469" spans="1:13" x14ac:dyDescent="0.2">
      <c r="A3469" s="16"/>
      <c r="B3469" s="37"/>
      <c r="C3469" s="16"/>
      <c r="D3469" s="16"/>
      <c r="E3469" s="16"/>
      <c r="F3469" s="16"/>
      <c r="G3469" s="16"/>
      <c r="H3469" s="16"/>
      <c r="I3469" s="16"/>
      <c r="J3469" s="16"/>
      <c r="K3469" s="16"/>
      <c r="L3469" s="16"/>
      <c r="M3469" s="16"/>
    </row>
    <row r="3470" spans="1:13" x14ac:dyDescent="0.2">
      <c r="A3470" s="16"/>
      <c r="B3470" s="37"/>
      <c r="C3470" s="16"/>
      <c r="D3470" s="16"/>
      <c r="E3470" s="16"/>
      <c r="F3470" s="16"/>
      <c r="G3470" s="16"/>
      <c r="H3470" s="16"/>
      <c r="I3470" s="16"/>
      <c r="J3470" s="16"/>
      <c r="K3470" s="16"/>
      <c r="L3470" s="16"/>
      <c r="M3470" s="16"/>
    </row>
    <row r="3471" spans="1:13" x14ac:dyDescent="0.2">
      <c r="A3471" s="16"/>
      <c r="B3471" s="37"/>
      <c r="C3471" s="16"/>
      <c r="D3471" s="16"/>
      <c r="E3471" s="16"/>
      <c r="F3471" s="16"/>
      <c r="G3471" s="16"/>
      <c r="H3471" s="16"/>
      <c r="I3471" s="16"/>
      <c r="J3471" s="16"/>
      <c r="K3471" s="16"/>
      <c r="L3471" s="16"/>
      <c r="M3471" s="16"/>
    </row>
    <row r="3472" spans="1:13" x14ac:dyDescent="0.2">
      <c r="A3472" s="16"/>
      <c r="B3472" s="37"/>
      <c r="C3472" s="16"/>
      <c r="D3472" s="16"/>
      <c r="E3472" s="16"/>
      <c r="F3472" s="16"/>
      <c r="G3472" s="16"/>
      <c r="H3472" s="16"/>
      <c r="I3472" s="16"/>
      <c r="J3472" s="16"/>
      <c r="K3472" s="16"/>
      <c r="L3472" s="16"/>
      <c r="M3472" s="16"/>
    </row>
    <row r="3473" spans="1:13" x14ac:dyDescent="0.2">
      <c r="A3473" s="16"/>
      <c r="B3473" s="37"/>
      <c r="C3473" s="16"/>
      <c r="D3473" s="16"/>
      <c r="E3473" s="16"/>
      <c r="F3473" s="16"/>
      <c r="G3473" s="16"/>
      <c r="H3473" s="16"/>
      <c r="I3473" s="16"/>
      <c r="J3473" s="16"/>
      <c r="K3473" s="16"/>
      <c r="L3473" s="16"/>
      <c r="M3473" s="16"/>
    </row>
    <row r="3474" spans="1:13" x14ac:dyDescent="0.2">
      <c r="A3474" s="16"/>
      <c r="B3474" s="37"/>
      <c r="C3474" s="16"/>
      <c r="D3474" s="16"/>
      <c r="E3474" s="16"/>
      <c r="F3474" s="16"/>
      <c r="G3474" s="16"/>
      <c r="H3474" s="16"/>
      <c r="I3474" s="16"/>
      <c r="J3474" s="16"/>
      <c r="K3474" s="16"/>
      <c r="L3474" s="16"/>
      <c r="M3474" s="16"/>
    </row>
    <row r="3475" spans="1:13" x14ac:dyDescent="0.2">
      <c r="A3475" s="16"/>
      <c r="B3475" s="37"/>
      <c r="C3475" s="16"/>
      <c r="D3475" s="16"/>
      <c r="E3475" s="16"/>
      <c r="F3475" s="16"/>
      <c r="G3475" s="16"/>
      <c r="H3475" s="16"/>
      <c r="I3475" s="16"/>
      <c r="J3475" s="16"/>
      <c r="K3475" s="16"/>
      <c r="L3475" s="16"/>
      <c r="M3475" s="16"/>
    </row>
    <row r="3476" spans="1:13" x14ac:dyDescent="0.2">
      <c r="A3476" s="16"/>
      <c r="B3476" s="37"/>
      <c r="C3476" s="16"/>
      <c r="D3476" s="16"/>
      <c r="E3476" s="16"/>
      <c r="F3476" s="16"/>
      <c r="G3476" s="16"/>
      <c r="H3476" s="16"/>
      <c r="I3476" s="16"/>
      <c r="J3476" s="16"/>
      <c r="K3476" s="16"/>
      <c r="L3476" s="16"/>
      <c r="M3476" s="16"/>
    </row>
    <row r="3477" spans="1:13" x14ac:dyDescent="0.2">
      <c r="A3477" s="16"/>
      <c r="B3477" s="37"/>
      <c r="C3477" s="16"/>
      <c r="D3477" s="16"/>
      <c r="E3477" s="16"/>
      <c r="F3477" s="16"/>
      <c r="G3477" s="16"/>
      <c r="H3477" s="16"/>
      <c r="I3477" s="16"/>
      <c r="J3477" s="16"/>
      <c r="K3477" s="16"/>
      <c r="L3477" s="16"/>
      <c r="M3477" s="16"/>
    </row>
    <row r="3478" spans="1:13" x14ac:dyDescent="0.2">
      <c r="A3478" s="16"/>
      <c r="B3478" s="37"/>
      <c r="C3478" s="16"/>
      <c r="D3478" s="16"/>
      <c r="E3478" s="16"/>
      <c r="F3478" s="16"/>
      <c r="G3478" s="16"/>
      <c r="H3478" s="16"/>
      <c r="I3478" s="16"/>
      <c r="J3478" s="16"/>
      <c r="K3478" s="16"/>
      <c r="L3478" s="16"/>
      <c r="M3478" s="16"/>
    </row>
    <row r="3479" spans="1:13" x14ac:dyDescent="0.2">
      <c r="A3479" s="16"/>
      <c r="B3479" s="37"/>
      <c r="C3479" s="16"/>
      <c r="D3479" s="16"/>
      <c r="E3479" s="16"/>
      <c r="F3479" s="16"/>
      <c r="G3479" s="16"/>
      <c r="H3479" s="16"/>
      <c r="I3479" s="16"/>
      <c r="J3479" s="16"/>
      <c r="K3479" s="16"/>
      <c r="L3479" s="16"/>
      <c r="M3479" s="16"/>
    </row>
    <row r="3480" spans="1:13" x14ac:dyDescent="0.2">
      <c r="A3480" s="16"/>
      <c r="B3480" s="37"/>
      <c r="C3480" s="16"/>
      <c r="D3480" s="16"/>
      <c r="E3480" s="16"/>
      <c r="F3480" s="16"/>
      <c r="G3480" s="16"/>
      <c r="H3480" s="16"/>
      <c r="I3480" s="16"/>
      <c r="J3480" s="16"/>
      <c r="K3480" s="16"/>
      <c r="L3480" s="16"/>
      <c r="M3480" s="16"/>
    </row>
    <row r="3481" spans="1:13" x14ac:dyDescent="0.2">
      <c r="A3481" s="16"/>
      <c r="B3481" s="37"/>
      <c r="C3481" s="16"/>
      <c r="D3481" s="16"/>
      <c r="E3481" s="16"/>
      <c r="F3481" s="16"/>
      <c r="G3481" s="16"/>
      <c r="H3481" s="16"/>
      <c r="I3481" s="16"/>
      <c r="J3481" s="16"/>
      <c r="K3481" s="16"/>
      <c r="L3481" s="16"/>
      <c r="M3481" s="16"/>
    </row>
    <row r="3482" spans="1:13" x14ac:dyDescent="0.2">
      <c r="A3482" s="16"/>
      <c r="B3482" s="37"/>
      <c r="C3482" s="16"/>
      <c r="D3482" s="16"/>
      <c r="E3482" s="16"/>
      <c r="F3482" s="16"/>
      <c r="G3482" s="16"/>
      <c r="H3482" s="16"/>
      <c r="I3482" s="16"/>
      <c r="J3482" s="16"/>
      <c r="K3482" s="16"/>
      <c r="L3482" s="16"/>
      <c r="M3482" s="16"/>
    </row>
    <row r="3483" spans="1:13" x14ac:dyDescent="0.2">
      <c r="A3483" s="16"/>
      <c r="B3483" s="37"/>
      <c r="C3483" s="16"/>
      <c r="D3483" s="16"/>
      <c r="E3483" s="16"/>
      <c r="F3483" s="16"/>
      <c r="G3483" s="16"/>
      <c r="H3483" s="16"/>
      <c r="I3483" s="16"/>
      <c r="J3483" s="16"/>
      <c r="K3483" s="16"/>
      <c r="L3483" s="16"/>
      <c r="M3483" s="16"/>
    </row>
    <row r="3484" spans="1:13" x14ac:dyDescent="0.2">
      <c r="A3484" s="16"/>
      <c r="B3484" s="37"/>
      <c r="C3484" s="16"/>
      <c r="D3484" s="16"/>
      <c r="E3484" s="16"/>
      <c r="F3484" s="16"/>
      <c r="G3484" s="16"/>
      <c r="H3484" s="16"/>
      <c r="I3484" s="16"/>
      <c r="J3484" s="16"/>
      <c r="K3484" s="16"/>
      <c r="L3484" s="16"/>
      <c r="M3484" s="16"/>
    </row>
    <row r="3485" spans="1:13" x14ac:dyDescent="0.2">
      <c r="A3485" s="16"/>
      <c r="B3485" s="37"/>
      <c r="C3485" s="16"/>
      <c r="D3485" s="16"/>
      <c r="E3485" s="16"/>
      <c r="F3485" s="16"/>
      <c r="G3485" s="16"/>
      <c r="H3485" s="16"/>
      <c r="I3485" s="16"/>
      <c r="J3485" s="16"/>
      <c r="K3485" s="16"/>
      <c r="L3485" s="16"/>
      <c r="M3485" s="16"/>
    </row>
    <row r="3486" spans="1:13" x14ac:dyDescent="0.2">
      <c r="A3486" s="16"/>
      <c r="B3486" s="37"/>
      <c r="C3486" s="16"/>
      <c r="D3486" s="16"/>
      <c r="E3486" s="16"/>
      <c r="F3486" s="16"/>
      <c r="G3486" s="16"/>
      <c r="H3486" s="16"/>
      <c r="I3486" s="16"/>
      <c r="J3486" s="16"/>
      <c r="K3486" s="16"/>
      <c r="L3486" s="16"/>
      <c r="M3486" s="16"/>
    </row>
    <row r="3487" spans="1:13" x14ac:dyDescent="0.2">
      <c r="A3487" s="16"/>
      <c r="B3487" s="37"/>
      <c r="C3487" s="16"/>
      <c r="D3487" s="16"/>
      <c r="E3487" s="16"/>
      <c r="F3487" s="16"/>
      <c r="G3487" s="16"/>
      <c r="H3487" s="16"/>
      <c r="I3487" s="16"/>
      <c r="J3487" s="16"/>
      <c r="K3487" s="16"/>
      <c r="L3487" s="16"/>
      <c r="M3487" s="16"/>
    </row>
    <row r="3488" spans="1:13" x14ac:dyDescent="0.2">
      <c r="A3488" s="16"/>
      <c r="B3488" s="37"/>
      <c r="C3488" s="16"/>
      <c r="D3488" s="16"/>
      <c r="E3488" s="16"/>
      <c r="F3488" s="16"/>
      <c r="G3488" s="16"/>
      <c r="H3488" s="16"/>
      <c r="I3488" s="16"/>
      <c r="J3488" s="16"/>
      <c r="K3488" s="16"/>
      <c r="L3488" s="16"/>
      <c r="M3488" s="16"/>
    </row>
    <row r="3489" spans="1:13" x14ac:dyDescent="0.2">
      <c r="A3489" s="16"/>
      <c r="B3489" s="37"/>
      <c r="C3489" s="16"/>
      <c r="D3489" s="16"/>
      <c r="E3489" s="16"/>
      <c r="F3489" s="16"/>
      <c r="G3489" s="16"/>
      <c r="H3489" s="16"/>
      <c r="I3489" s="16"/>
      <c r="J3489" s="16"/>
      <c r="K3489" s="16"/>
      <c r="L3489" s="16"/>
      <c r="M3489" s="16"/>
    </row>
    <row r="3490" spans="1:13" x14ac:dyDescent="0.2">
      <c r="A3490" s="16"/>
      <c r="B3490" s="37"/>
      <c r="C3490" s="16"/>
      <c r="D3490" s="16"/>
      <c r="E3490" s="16"/>
      <c r="F3490" s="16"/>
      <c r="G3490" s="16"/>
      <c r="H3490" s="16"/>
      <c r="I3490" s="16"/>
      <c r="J3490" s="16"/>
      <c r="K3490" s="16"/>
      <c r="L3490" s="16"/>
      <c r="M3490" s="16"/>
    </row>
    <row r="3491" spans="1:13" x14ac:dyDescent="0.2">
      <c r="A3491" s="16"/>
      <c r="B3491" s="37"/>
      <c r="C3491" s="16"/>
      <c r="D3491" s="16"/>
      <c r="E3491" s="16"/>
      <c r="F3491" s="16"/>
      <c r="G3491" s="16"/>
      <c r="H3491" s="16"/>
      <c r="I3491" s="16"/>
      <c r="J3491" s="16"/>
      <c r="K3491" s="16"/>
      <c r="L3491" s="16"/>
      <c r="M3491" s="16"/>
    </row>
    <row r="3492" spans="1:13" x14ac:dyDescent="0.2">
      <c r="A3492" s="16"/>
      <c r="B3492" s="37"/>
      <c r="C3492" s="16"/>
      <c r="D3492" s="16"/>
      <c r="E3492" s="16"/>
      <c r="F3492" s="16"/>
      <c r="G3492" s="16"/>
      <c r="H3492" s="16"/>
      <c r="I3492" s="16"/>
      <c r="J3492" s="16"/>
      <c r="K3492" s="16"/>
      <c r="L3492" s="16"/>
      <c r="M3492" s="16"/>
    </row>
    <row r="3493" spans="1:13" x14ac:dyDescent="0.2">
      <c r="A3493" s="16"/>
      <c r="B3493" s="37"/>
      <c r="C3493" s="16"/>
      <c r="D3493" s="16"/>
      <c r="E3493" s="16"/>
      <c r="F3493" s="16"/>
      <c r="G3493" s="16"/>
      <c r="H3493" s="16"/>
      <c r="I3493" s="16"/>
      <c r="J3493" s="16"/>
      <c r="K3493" s="16"/>
      <c r="L3493" s="16"/>
      <c r="M3493" s="16"/>
    </row>
    <row r="3494" spans="1:13" x14ac:dyDescent="0.2">
      <c r="A3494" s="16"/>
      <c r="B3494" s="37"/>
      <c r="C3494" s="16"/>
      <c r="D3494" s="16"/>
      <c r="E3494" s="16"/>
      <c r="F3494" s="16"/>
      <c r="G3494" s="16"/>
      <c r="H3494" s="16"/>
      <c r="I3494" s="16"/>
      <c r="J3494" s="16"/>
      <c r="K3494" s="16"/>
      <c r="L3494" s="16"/>
      <c r="M3494" s="16"/>
    </row>
    <row r="3495" spans="1:13" x14ac:dyDescent="0.2">
      <c r="A3495" s="16"/>
      <c r="B3495" s="37"/>
      <c r="C3495" s="16"/>
      <c r="D3495" s="16"/>
      <c r="E3495" s="16"/>
      <c r="F3495" s="16"/>
      <c r="G3495" s="16"/>
      <c r="H3495" s="16"/>
      <c r="I3495" s="16"/>
      <c r="J3495" s="16"/>
      <c r="K3495" s="16"/>
      <c r="L3495" s="16"/>
      <c r="M3495" s="16"/>
    </row>
    <row r="3496" spans="1:13" x14ac:dyDescent="0.2">
      <c r="A3496" s="16"/>
      <c r="B3496" s="37"/>
      <c r="C3496" s="16"/>
      <c r="D3496" s="16"/>
      <c r="E3496" s="16"/>
      <c r="F3496" s="16"/>
      <c r="G3496" s="16"/>
      <c r="H3496" s="16"/>
      <c r="I3496" s="16"/>
      <c r="J3496" s="16"/>
      <c r="K3496" s="16"/>
      <c r="L3496" s="16"/>
      <c r="M3496" s="16"/>
    </row>
    <row r="3497" spans="1:13" x14ac:dyDescent="0.2">
      <c r="A3497" s="16"/>
      <c r="B3497" s="37"/>
      <c r="C3497" s="16"/>
      <c r="D3497" s="16"/>
      <c r="E3497" s="16"/>
      <c r="F3497" s="16"/>
      <c r="G3497" s="16"/>
      <c r="H3497" s="16"/>
      <c r="I3497" s="16"/>
      <c r="J3497" s="16"/>
      <c r="K3497" s="16"/>
      <c r="L3497" s="16"/>
      <c r="M3497" s="16"/>
    </row>
    <row r="3498" spans="1:13" x14ac:dyDescent="0.2">
      <c r="A3498" s="16"/>
      <c r="B3498" s="37"/>
      <c r="C3498" s="16"/>
      <c r="D3498" s="16"/>
      <c r="E3498" s="16"/>
      <c r="F3498" s="16"/>
      <c r="G3498" s="16"/>
      <c r="H3498" s="16"/>
      <c r="I3498" s="16"/>
      <c r="J3498" s="16"/>
      <c r="K3498" s="16"/>
      <c r="L3498" s="16"/>
      <c r="M3498" s="16"/>
    </row>
    <row r="3499" spans="1:13" x14ac:dyDescent="0.2">
      <c r="A3499" s="16"/>
      <c r="B3499" s="37"/>
      <c r="C3499" s="16"/>
      <c r="D3499" s="16"/>
      <c r="E3499" s="16"/>
      <c r="F3499" s="16"/>
      <c r="G3499" s="16"/>
      <c r="H3499" s="16"/>
      <c r="I3499" s="16"/>
      <c r="J3499" s="16"/>
      <c r="K3499" s="16"/>
      <c r="L3499" s="16"/>
      <c r="M3499" s="16"/>
    </row>
    <row r="3500" spans="1:13" x14ac:dyDescent="0.2">
      <c r="A3500" s="16"/>
      <c r="B3500" s="37"/>
      <c r="C3500" s="16"/>
      <c r="D3500" s="16"/>
      <c r="E3500" s="16"/>
      <c r="F3500" s="16"/>
      <c r="G3500" s="16"/>
      <c r="H3500" s="16"/>
      <c r="I3500" s="16"/>
      <c r="J3500" s="16"/>
      <c r="K3500" s="16"/>
      <c r="L3500" s="16"/>
      <c r="M3500" s="16"/>
    </row>
    <row r="3501" spans="1:13" x14ac:dyDescent="0.2">
      <c r="A3501" s="16"/>
      <c r="B3501" s="37"/>
      <c r="C3501" s="16"/>
      <c r="D3501" s="16"/>
      <c r="E3501" s="16"/>
      <c r="F3501" s="16"/>
      <c r="G3501" s="16"/>
      <c r="H3501" s="16"/>
      <c r="I3501" s="16"/>
      <c r="J3501" s="16"/>
      <c r="K3501" s="16"/>
      <c r="L3501" s="16"/>
      <c r="M3501" s="16"/>
    </row>
    <row r="3502" spans="1:13" x14ac:dyDescent="0.2">
      <c r="A3502" s="16"/>
      <c r="B3502" s="37"/>
      <c r="C3502" s="16"/>
      <c r="D3502" s="16"/>
      <c r="E3502" s="16"/>
      <c r="F3502" s="16"/>
      <c r="G3502" s="16"/>
      <c r="H3502" s="16"/>
      <c r="I3502" s="16"/>
      <c r="J3502" s="16"/>
      <c r="K3502" s="16"/>
      <c r="L3502" s="16"/>
      <c r="M3502" s="16"/>
    </row>
    <row r="3503" spans="1:13" x14ac:dyDescent="0.2">
      <c r="A3503" s="16"/>
      <c r="B3503" s="37"/>
      <c r="C3503" s="16"/>
      <c r="D3503" s="16"/>
      <c r="E3503" s="16"/>
      <c r="F3503" s="16"/>
      <c r="G3503" s="16"/>
      <c r="H3503" s="16"/>
      <c r="I3503" s="16"/>
      <c r="J3503" s="16"/>
      <c r="K3503" s="16"/>
      <c r="L3503" s="16"/>
      <c r="M3503" s="16"/>
    </row>
    <row r="3504" spans="1:13" x14ac:dyDescent="0.2">
      <c r="A3504" s="16"/>
      <c r="B3504" s="37"/>
      <c r="C3504" s="16"/>
      <c r="D3504" s="16"/>
      <c r="E3504" s="16"/>
      <c r="F3504" s="16"/>
      <c r="G3504" s="16"/>
      <c r="H3504" s="16"/>
      <c r="I3504" s="16"/>
      <c r="J3504" s="16"/>
      <c r="K3504" s="16"/>
      <c r="L3504" s="16"/>
      <c r="M3504" s="16"/>
    </row>
    <row r="3505" spans="1:13" x14ac:dyDescent="0.2">
      <c r="A3505" s="16"/>
      <c r="B3505" s="37"/>
      <c r="C3505" s="16"/>
      <c r="D3505" s="16"/>
      <c r="E3505" s="16"/>
      <c r="F3505" s="16"/>
      <c r="G3505" s="16"/>
      <c r="H3505" s="16"/>
      <c r="I3505" s="16"/>
      <c r="J3505" s="16"/>
      <c r="K3505" s="16"/>
      <c r="L3505" s="16"/>
      <c r="M3505" s="16"/>
    </row>
    <row r="3506" spans="1:13" x14ac:dyDescent="0.2">
      <c r="A3506" s="16"/>
      <c r="B3506" s="37"/>
      <c r="C3506" s="16"/>
      <c r="D3506" s="16"/>
      <c r="E3506" s="16"/>
      <c r="F3506" s="16"/>
      <c r="G3506" s="16"/>
      <c r="H3506" s="16"/>
      <c r="I3506" s="16"/>
      <c r="J3506" s="16"/>
      <c r="K3506" s="16"/>
      <c r="L3506" s="16"/>
      <c r="M3506" s="16"/>
    </row>
    <row r="3507" spans="1:13" x14ac:dyDescent="0.2">
      <c r="A3507" s="16"/>
      <c r="B3507" s="37"/>
      <c r="C3507" s="16"/>
      <c r="D3507" s="16"/>
      <c r="E3507" s="16"/>
      <c r="F3507" s="16"/>
      <c r="G3507" s="16"/>
      <c r="H3507" s="16"/>
      <c r="I3507" s="16"/>
      <c r="J3507" s="16"/>
      <c r="K3507" s="16"/>
      <c r="L3507" s="16"/>
      <c r="M3507" s="16"/>
    </row>
    <row r="3508" spans="1:13" x14ac:dyDescent="0.2">
      <c r="A3508" s="16"/>
      <c r="B3508" s="37"/>
      <c r="C3508" s="16"/>
      <c r="D3508" s="16"/>
      <c r="E3508" s="16"/>
      <c r="F3508" s="16"/>
      <c r="G3508" s="16"/>
      <c r="H3508" s="16"/>
      <c r="I3508" s="16"/>
      <c r="J3508" s="16"/>
      <c r="K3508" s="16"/>
      <c r="L3508" s="16"/>
      <c r="M3508" s="16"/>
    </row>
    <row r="3509" spans="1:13" x14ac:dyDescent="0.2">
      <c r="A3509" s="16"/>
      <c r="B3509" s="37"/>
      <c r="C3509" s="16"/>
      <c r="D3509" s="16"/>
      <c r="E3509" s="16"/>
      <c r="F3509" s="16"/>
      <c r="G3509" s="16"/>
      <c r="H3509" s="16"/>
      <c r="I3509" s="16"/>
      <c r="J3509" s="16"/>
      <c r="K3509" s="16"/>
      <c r="L3509" s="16"/>
      <c r="M3509" s="16"/>
    </row>
    <row r="3510" spans="1:13" x14ac:dyDescent="0.2">
      <c r="A3510" s="16"/>
      <c r="B3510" s="37"/>
      <c r="C3510" s="16"/>
      <c r="D3510" s="16"/>
      <c r="E3510" s="16"/>
      <c r="F3510" s="16"/>
      <c r="G3510" s="16"/>
      <c r="H3510" s="16"/>
      <c r="I3510" s="16"/>
      <c r="J3510" s="16"/>
      <c r="K3510" s="16"/>
      <c r="L3510" s="16"/>
      <c r="M3510" s="16"/>
    </row>
    <row r="3511" spans="1:13" x14ac:dyDescent="0.2">
      <c r="A3511" s="16"/>
      <c r="B3511" s="37"/>
      <c r="C3511" s="16"/>
      <c r="D3511" s="16"/>
      <c r="E3511" s="16"/>
      <c r="F3511" s="16"/>
      <c r="G3511" s="16"/>
      <c r="H3511" s="16"/>
      <c r="I3511" s="16"/>
      <c r="J3511" s="16"/>
      <c r="K3511" s="16"/>
      <c r="L3511" s="16"/>
      <c r="M3511" s="16"/>
    </row>
    <row r="3512" spans="1:13" x14ac:dyDescent="0.2">
      <c r="A3512" s="16"/>
      <c r="B3512" s="37"/>
      <c r="C3512" s="16"/>
      <c r="D3512" s="16"/>
      <c r="E3512" s="16"/>
      <c r="F3512" s="16"/>
      <c r="G3512" s="16"/>
      <c r="H3512" s="16"/>
      <c r="I3512" s="16"/>
      <c r="J3512" s="16"/>
      <c r="K3512" s="16"/>
      <c r="L3512" s="16"/>
      <c r="M3512" s="16"/>
    </row>
    <row r="3513" spans="1:13" x14ac:dyDescent="0.2">
      <c r="A3513" s="16"/>
      <c r="B3513" s="37"/>
      <c r="C3513" s="16"/>
      <c r="D3513" s="16"/>
      <c r="E3513" s="16"/>
      <c r="F3513" s="16"/>
      <c r="G3513" s="16"/>
      <c r="H3513" s="16"/>
      <c r="I3513" s="16"/>
      <c r="J3513" s="16"/>
      <c r="K3513" s="16"/>
      <c r="L3513" s="16"/>
      <c r="M3513" s="16"/>
    </row>
    <row r="3514" spans="1:13" x14ac:dyDescent="0.2">
      <c r="A3514" s="16"/>
      <c r="B3514" s="37"/>
      <c r="C3514" s="16"/>
      <c r="D3514" s="16"/>
      <c r="E3514" s="16"/>
      <c r="F3514" s="16"/>
      <c r="G3514" s="16"/>
      <c r="H3514" s="16"/>
      <c r="I3514" s="16"/>
      <c r="J3514" s="16"/>
      <c r="K3514" s="16"/>
      <c r="L3514" s="16"/>
      <c r="M3514" s="16"/>
    </row>
    <row r="3515" spans="1:13" x14ac:dyDescent="0.2">
      <c r="A3515" s="16"/>
      <c r="B3515" s="37"/>
      <c r="C3515" s="16"/>
      <c r="D3515" s="16"/>
      <c r="E3515" s="16"/>
      <c r="F3515" s="16"/>
      <c r="G3515" s="16"/>
      <c r="H3515" s="16"/>
      <c r="I3515" s="16"/>
      <c r="J3515" s="16"/>
      <c r="K3515" s="16"/>
      <c r="L3515" s="16"/>
      <c r="M3515" s="16"/>
    </row>
    <row r="3516" spans="1:13" x14ac:dyDescent="0.2">
      <c r="A3516" s="16"/>
      <c r="B3516" s="37"/>
      <c r="C3516" s="16"/>
      <c r="D3516" s="16"/>
      <c r="E3516" s="16"/>
      <c r="F3516" s="16"/>
      <c r="G3516" s="16"/>
      <c r="H3516" s="16"/>
      <c r="I3516" s="16"/>
      <c r="J3516" s="16"/>
      <c r="K3516" s="16"/>
      <c r="L3516" s="16"/>
      <c r="M3516" s="16"/>
    </row>
    <row r="3517" spans="1:13" x14ac:dyDescent="0.2">
      <c r="A3517" s="16"/>
      <c r="B3517" s="37"/>
      <c r="C3517" s="16"/>
      <c r="D3517" s="16"/>
      <c r="E3517" s="16"/>
      <c r="F3517" s="16"/>
      <c r="G3517" s="16"/>
      <c r="H3517" s="16"/>
      <c r="I3517" s="16"/>
      <c r="J3517" s="16"/>
      <c r="K3517" s="16"/>
      <c r="L3517" s="16"/>
      <c r="M3517" s="16"/>
    </row>
    <row r="3518" spans="1:13" x14ac:dyDescent="0.2">
      <c r="A3518" s="16"/>
      <c r="B3518" s="37"/>
      <c r="C3518" s="16"/>
      <c r="D3518" s="16"/>
      <c r="E3518" s="16"/>
      <c r="F3518" s="16"/>
      <c r="G3518" s="16"/>
      <c r="H3518" s="16"/>
      <c r="I3518" s="16"/>
      <c r="J3518" s="16"/>
      <c r="K3518" s="16"/>
      <c r="L3518" s="16"/>
      <c r="M3518" s="16"/>
    </row>
    <row r="3519" spans="1:13" x14ac:dyDescent="0.2">
      <c r="A3519" s="16"/>
      <c r="B3519" s="37"/>
      <c r="C3519" s="16"/>
      <c r="D3519" s="16"/>
      <c r="E3519" s="16"/>
      <c r="F3519" s="16"/>
      <c r="G3519" s="16"/>
      <c r="H3519" s="16"/>
      <c r="I3519" s="16"/>
      <c r="J3519" s="16"/>
      <c r="K3519" s="16"/>
      <c r="L3519" s="16"/>
      <c r="M3519" s="16"/>
    </row>
    <row r="3520" spans="1:13" x14ac:dyDescent="0.2">
      <c r="A3520" s="16"/>
      <c r="B3520" s="37"/>
      <c r="C3520" s="16"/>
      <c r="D3520" s="16"/>
      <c r="E3520" s="16"/>
      <c r="F3520" s="16"/>
      <c r="G3520" s="16"/>
      <c r="H3520" s="16"/>
      <c r="I3520" s="16"/>
      <c r="J3520" s="16"/>
      <c r="K3520" s="16"/>
      <c r="L3520" s="16"/>
      <c r="M3520" s="16"/>
    </row>
    <row r="3521" spans="1:13" x14ac:dyDescent="0.2">
      <c r="A3521" s="16"/>
      <c r="B3521" s="37"/>
      <c r="C3521" s="16"/>
      <c r="D3521" s="16"/>
      <c r="E3521" s="16"/>
      <c r="F3521" s="16"/>
      <c r="G3521" s="16"/>
      <c r="H3521" s="16"/>
      <c r="I3521" s="16"/>
      <c r="J3521" s="16"/>
      <c r="K3521" s="16"/>
      <c r="L3521" s="16"/>
      <c r="M3521" s="16"/>
    </row>
    <row r="3522" spans="1:13" x14ac:dyDescent="0.2">
      <c r="A3522" s="16"/>
      <c r="B3522" s="37"/>
      <c r="C3522" s="16"/>
      <c r="D3522" s="16"/>
      <c r="E3522" s="16"/>
      <c r="F3522" s="16"/>
      <c r="G3522" s="16"/>
      <c r="H3522" s="16"/>
      <c r="I3522" s="16"/>
      <c r="J3522" s="16"/>
      <c r="K3522" s="16"/>
      <c r="L3522" s="16"/>
      <c r="M3522" s="16"/>
    </row>
    <row r="3523" spans="1:13" x14ac:dyDescent="0.2">
      <c r="A3523" s="16"/>
      <c r="B3523" s="37"/>
      <c r="C3523" s="16"/>
      <c r="D3523" s="16"/>
      <c r="E3523" s="16"/>
      <c r="F3523" s="16"/>
      <c r="G3523" s="16"/>
      <c r="H3523" s="16"/>
      <c r="I3523" s="16"/>
      <c r="J3523" s="16"/>
      <c r="K3523" s="16"/>
      <c r="L3523" s="16"/>
      <c r="M3523" s="16"/>
    </row>
    <row r="3524" spans="1:13" x14ac:dyDescent="0.2">
      <c r="A3524" s="16"/>
      <c r="B3524" s="37"/>
      <c r="C3524" s="16"/>
      <c r="D3524" s="16"/>
      <c r="E3524" s="16"/>
      <c r="F3524" s="16"/>
      <c r="G3524" s="16"/>
      <c r="H3524" s="16"/>
      <c r="I3524" s="16"/>
      <c r="J3524" s="16"/>
      <c r="K3524" s="16"/>
      <c r="L3524" s="16"/>
      <c r="M3524" s="16"/>
    </row>
    <row r="3525" spans="1:13" x14ac:dyDescent="0.2">
      <c r="A3525" s="16"/>
      <c r="B3525" s="37"/>
      <c r="C3525" s="16"/>
      <c r="D3525" s="16"/>
      <c r="E3525" s="16"/>
      <c r="F3525" s="16"/>
      <c r="G3525" s="16"/>
      <c r="H3525" s="16"/>
      <c r="I3525" s="16"/>
      <c r="J3525" s="16"/>
      <c r="K3525" s="16"/>
      <c r="L3525" s="16"/>
      <c r="M3525" s="16"/>
    </row>
    <row r="3526" spans="1:13" x14ac:dyDescent="0.2">
      <c r="A3526" s="16"/>
      <c r="B3526" s="37"/>
      <c r="C3526" s="16"/>
      <c r="D3526" s="16"/>
      <c r="E3526" s="16"/>
      <c r="F3526" s="16"/>
      <c r="G3526" s="16"/>
      <c r="H3526" s="16"/>
      <c r="I3526" s="16"/>
      <c r="J3526" s="16"/>
      <c r="K3526" s="16"/>
      <c r="L3526" s="16"/>
      <c r="M3526" s="16"/>
    </row>
    <row r="3527" spans="1:13" x14ac:dyDescent="0.2">
      <c r="A3527" s="16"/>
      <c r="B3527" s="37"/>
      <c r="C3527" s="16"/>
      <c r="D3527" s="16"/>
      <c r="E3527" s="16"/>
      <c r="F3527" s="16"/>
      <c r="G3527" s="16"/>
      <c r="H3527" s="16"/>
      <c r="I3527" s="16"/>
      <c r="J3527" s="16"/>
      <c r="K3527" s="16"/>
      <c r="L3527" s="16"/>
      <c r="M3527" s="16"/>
    </row>
    <row r="3528" spans="1:13" x14ac:dyDescent="0.2">
      <c r="A3528" s="16"/>
      <c r="B3528" s="37"/>
      <c r="C3528" s="16"/>
      <c r="D3528" s="16"/>
      <c r="E3528" s="16"/>
      <c r="F3528" s="16"/>
      <c r="G3528" s="16"/>
      <c r="H3528" s="16"/>
      <c r="I3528" s="16"/>
      <c r="J3528" s="16"/>
      <c r="K3528" s="16"/>
      <c r="L3528" s="16"/>
      <c r="M3528" s="16"/>
    </row>
    <row r="3529" spans="1:13" x14ac:dyDescent="0.2">
      <c r="A3529" s="16"/>
      <c r="B3529" s="37"/>
      <c r="C3529" s="16"/>
      <c r="D3529" s="16"/>
      <c r="E3529" s="16"/>
      <c r="F3529" s="16"/>
      <c r="G3529" s="16"/>
      <c r="H3529" s="16"/>
      <c r="I3529" s="16"/>
      <c r="J3529" s="16"/>
      <c r="K3529" s="16"/>
      <c r="L3529" s="16"/>
      <c r="M3529" s="16"/>
    </row>
    <row r="3530" spans="1:13" x14ac:dyDescent="0.2">
      <c r="A3530" s="16"/>
      <c r="B3530" s="37"/>
      <c r="C3530" s="16"/>
      <c r="D3530" s="16"/>
      <c r="E3530" s="16"/>
      <c r="F3530" s="16"/>
      <c r="G3530" s="16"/>
      <c r="H3530" s="16"/>
      <c r="I3530" s="16"/>
      <c r="J3530" s="16"/>
      <c r="K3530" s="16"/>
      <c r="L3530" s="16"/>
      <c r="M3530" s="16"/>
    </row>
    <row r="3531" spans="1:13" x14ac:dyDescent="0.2">
      <c r="A3531" s="16"/>
      <c r="B3531" s="37"/>
      <c r="C3531" s="16"/>
      <c r="D3531" s="16"/>
      <c r="E3531" s="16"/>
      <c r="F3531" s="16"/>
      <c r="G3531" s="16"/>
      <c r="H3531" s="16"/>
      <c r="I3531" s="16"/>
      <c r="J3531" s="16"/>
      <c r="K3531" s="16"/>
      <c r="L3531" s="16"/>
      <c r="M3531" s="16"/>
    </row>
    <row r="3532" spans="1:13" x14ac:dyDescent="0.2">
      <c r="A3532" s="16"/>
      <c r="B3532" s="37"/>
      <c r="C3532" s="16"/>
      <c r="D3532" s="16"/>
      <c r="E3532" s="16"/>
      <c r="F3532" s="16"/>
      <c r="G3532" s="16"/>
      <c r="H3532" s="16"/>
      <c r="I3532" s="16"/>
      <c r="J3532" s="16"/>
      <c r="K3532" s="16"/>
      <c r="L3532" s="16"/>
      <c r="M3532" s="16"/>
    </row>
    <row r="3533" spans="1:13" x14ac:dyDescent="0.2">
      <c r="A3533" s="16"/>
      <c r="B3533" s="37"/>
      <c r="C3533" s="16"/>
      <c r="D3533" s="16"/>
      <c r="E3533" s="16"/>
      <c r="F3533" s="16"/>
      <c r="G3533" s="16"/>
      <c r="H3533" s="16"/>
      <c r="I3533" s="16"/>
      <c r="J3533" s="16"/>
      <c r="K3533" s="16"/>
      <c r="L3533" s="16"/>
      <c r="M3533" s="16"/>
    </row>
    <row r="3534" spans="1:13" x14ac:dyDescent="0.2">
      <c r="A3534" s="16"/>
      <c r="B3534" s="37"/>
      <c r="C3534" s="16"/>
      <c r="D3534" s="16"/>
      <c r="E3534" s="16"/>
      <c r="F3534" s="16"/>
      <c r="G3534" s="16"/>
      <c r="H3534" s="16"/>
      <c r="I3534" s="16"/>
      <c r="J3534" s="16"/>
      <c r="K3534" s="16"/>
      <c r="L3534" s="16"/>
      <c r="M3534" s="16"/>
    </row>
    <row r="3535" spans="1:13" x14ac:dyDescent="0.2">
      <c r="A3535" s="16"/>
      <c r="B3535" s="37"/>
      <c r="C3535" s="16"/>
      <c r="D3535" s="16"/>
      <c r="E3535" s="16"/>
      <c r="F3535" s="16"/>
      <c r="G3535" s="16"/>
      <c r="H3535" s="16"/>
      <c r="I3535" s="16"/>
      <c r="J3535" s="16"/>
      <c r="K3535" s="16"/>
      <c r="L3535" s="16"/>
      <c r="M3535" s="16"/>
    </row>
    <row r="3536" spans="1:13" x14ac:dyDescent="0.2">
      <c r="A3536" s="16"/>
      <c r="B3536" s="37"/>
      <c r="C3536" s="16"/>
      <c r="D3536" s="16"/>
      <c r="E3536" s="16"/>
      <c r="F3536" s="16"/>
      <c r="G3536" s="16"/>
      <c r="H3536" s="16"/>
      <c r="I3536" s="16"/>
      <c r="J3536" s="16"/>
      <c r="K3536" s="16"/>
      <c r="L3536" s="16"/>
      <c r="M3536" s="16"/>
    </row>
    <row r="3537" spans="1:13" x14ac:dyDescent="0.2">
      <c r="A3537" s="16"/>
      <c r="B3537" s="37"/>
      <c r="C3537" s="16"/>
      <c r="D3537" s="16"/>
      <c r="E3537" s="16"/>
      <c r="F3537" s="16"/>
      <c r="G3537" s="16"/>
      <c r="H3537" s="16"/>
      <c r="I3537" s="16"/>
      <c r="J3537" s="16"/>
      <c r="K3537" s="16"/>
      <c r="L3537" s="16"/>
      <c r="M3537" s="16"/>
    </row>
    <row r="3538" spans="1:13" x14ac:dyDescent="0.2">
      <c r="A3538" s="16"/>
      <c r="B3538" s="37"/>
      <c r="C3538" s="16"/>
      <c r="D3538" s="16"/>
      <c r="E3538" s="16"/>
      <c r="F3538" s="16"/>
      <c r="G3538" s="16"/>
      <c r="H3538" s="16"/>
      <c r="I3538" s="16"/>
      <c r="J3538" s="16"/>
      <c r="K3538" s="16"/>
      <c r="L3538" s="16"/>
      <c r="M3538" s="16"/>
    </row>
    <row r="3539" spans="1:13" x14ac:dyDescent="0.2">
      <c r="A3539" s="16"/>
      <c r="B3539" s="37"/>
      <c r="C3539" s="16"/>
      <c r="D3539" s="16"/>
      <c r="E3539" s="16"/>
      <c r="F3539" s="16"/>
      <c r="G3539" s="16"/>
      <c r="H3539" s="16"/>
      <c r="I3539" s="16"/>
      <c r="J3539" s="16"/>
      <c r="K3539" s="16"/>
      <c r="L3539" s="16"/>
      <c r="M3539" s="16"/>
    </row>
    <row r="3540" spans="1:13" x14ac:dyDescent="0.2">
      <c r="A3540" s="16"/>
      <c r="B3540" s="37"/>
      <c r="C3540" s="16"/>
      <c r="D3540" s="16"/>
      <c r="E3540" s="16"/>
      <c r="F3540" s="16"/>
      <c r="G3540" s="16"/>
      <c r="H3540" s="16"/>
      <c r="I3540" s="16"/>
      <c r="J3540" s="16"/>
      <c r="K3540" s="16"/>
      <c r="L3540" s="16"/>
      <c r="M3540" s="16"/>
    </row>
    <row r="3541" spans="1:13" x14ac:dyDescent="0.2">
      <c r="A3541" s="16"/>
      <c r="B3541" s="37"/>
      <c r="C3541" s="16"/>
      <c r="D3541" s="16"/>
      <c r="E3541" s="16"/>
      <c r="F3541" s="16"/>
      <c r="G3541" s="16"/>
      <c r="H3541" s="16"/>
      <c r="I3541" s="16"/>
      <c r="J3541" s="16"/>
      <c r="K3541" s="16"/>
      <c r="L3541" s="16"/>
      <c r="M3541" s="16"/>
    </row>
    <row r="3542" spans="1:13" x14ac:dyDescent="0.2">
      <c r="A3542" s="16"/>
      <c r="B3542" s="37"/>
      <c r="C3542" s="16"/>
      <c r="D3542" s="16"/>
      <c r="E3542" s="16"/>
      <c r="F3542" s="16"/>
      <c r="G3542" s="16"/>
      <c r="H3542" s="16"/>
      <c r="I3542" s="16"/>
      <c r="J3542" s="16"/>
      <c r="K3542" s="16"/>
      <c r="L3542" s="16"/>
      <c r="M3542" s="16"/>
    </row>
    <row r="3543" spans="1:13" x14ac:dyDescent="0.2">
      <c r="A3543" s="16"/>
      <c r="B3543" s="37"/>
      <c r="C3543" s="16"/>
      <c r="D3543" s="16"/>
      <c r="E3543" s="16"/>
      <c r="F3543" s="16"/>
      <c r="G3543" s="16"/>
      <c r="H3543" s="16"/>
      <c r="I3543" s="16"/>
      <c r="J3543" s="16"/>
      <c r="K3543" s="16"/>
      <c r="L3543" s="16"/>
      <c r="M3543" s="16"/>
    </row>
    <row r="3544" spans="1:13" x14ac:dyDescent="0.2">
      <c r="A3544" s="16"/>
      <c r="B3544" s="37"/>
      <c r="C3544" s="16"/>
      <c r="D3544" s="16"/>
      <c r="E3544" s="16"/>
      <c r="F3544" s="16"/>
      <c r="G3544" s="16"/>
      <c r="H3544" s="16"/>
      <c r="I3544" s="16"/>
      <c r="J3544" s="16"/>
      <c r="K3544" s="16"/>
      <c r="L3544" s="16"/>
      <c r="M3544" s="16"/>
    </row>
    <row r="3545" spans="1:13" x14ac:dyDescent="0.2">
      <c r="A3545" s="16"/>
      <c r="B3545" s="37"/>
      <c r="C3545" s="16"/>
      <c r="D3545" s="16"/>
      <c r="E3545" s="16"/>
      <c r="F3545" s="16"/>
      <c r="G3545" s="16"/>
      <c r="H3545" s="16"/>
      <c r="I3545" s="16"/>
      <c r="J3545" s="16"/>
      <c r="K3545" s="16"/>
      <c r="L3545" s="16"/>
      <c r="M3545" s="16"/>
    </row>
    <row r="3546" spans="1:13" x14ac:dyDescent="0.2">
      <c r="A3546" s="16"/>
      <c r="B3546" s="37"/>
      <c r="C3546" s="16"/>
      <c r="D3546" s="16"/>
      <c r="E3546" s="16"/>
      <c r="F3546" s="16"/>
      <c r="G3546" s="16"/>
      <c r="H3546" s="16"/>
      <c r="I3546" s="16"/>
      <c r="J3546" s="16"/>
      <c r="K3546" s="16"/>
      <c r="L3546" s="16"/>
      <c r="M3546" s="16"/>
    </row>
    <row r="3547" spans="1:13" x14ac:dyDescent="0.2">
      <c r="A3547" s="16"/>
      <c r="B3547" s="37"/>
      <c r="C3547" s="16"/>
      <c r="D3547" s="16"/>
      <c r="E3547" s="16"/>
      <c r="F3547" s="16"/>
      <c r="G3547" s="16"/>
      <c r="H3547" s="16"/>
      <c r="I3547" s="16"/>
      <c r="J3547" s="16"/>
      <c r="K3547" s="16"/>
      <c r="L3547" s="16"/>
      <c r="M3547" s="16"/>
    </row>
    <row r="3548" spans="1:13" x14ac:dyDescent="0.2">
      <c r="A3548" s="16"/>
      <c r="B3548" s="37"/>
      <c r="C3548" s="16"/>
      <c r="D3548" s="16"/>
      <c r="E3548" s="16"/>
      <c r="F3548" s="16"/>
      <c r="G3548" s="16"/>
      <c r="H3548" s="16"/>
      <c r="I3548" s="16"/>
      <c r="J3548" s="16"/>
      <c r="K3548" s="16"/>
      <c r="L3548" s="16"/>
      <c r="M3548" s="16"/>
    </row>
    <row r="3549" spans="1:13" x14ac:dyDescent="0.2">
      <c r="A3549" s="16"/>
      <c r="B3549" s="37"/>
      <c r="C3549" s="16"/>
      <c r="D3549" s="16"/>
      <c r="E3549" s="16"/>
      <c r="F3549" s="16"/>
      <c r="G3549" s="16"/>
      <c r="H3549" s="16"/>
      <c r="I3549" s="16"/>
      <c r="J3549" s="16"/>
      <c r="K3549" s="16"/>
      <c r="L3549" s="16"/>
      <c r="M3549" s="16"/>
    </row>
    <row r="3550" spans="1:13" x14ac:dyDescent="0.2">
      <c r="A3550" s="16"/>
      <c r="B3550" s="37"/>
      <c r="C3550" s="16"/>
      <c r="D3550" s="16"/>
      <c r="E3550" s="16"/>
      <c r="F3550" s="16"/>
      <c r="G3550" s="16"/>
      <c r="H3550" s="16"/>
      <c r="I3550" s="16"/>
      <c r="J3550" s="16"/>
      <c r="K3550" s="16"/>
      <c r="L3550" s="16"/>
      <c r="M3550" s="16"/>
    </row>
    <row r="3551" spans="1:13" x14ac:dyDescent="0.2">
      <c r="A3551" s="16"/>
      <c r="B3551" s="37"/>
      <c r="C3551" s="16"/>
      <c r="D3551" s="16"/>
      <c r="E3551" s="16"/>
      <c r="F3551" s="16"/>
      <c r="G3551" s="16"/>
      <c r="H3551" s="16"/>
      <c r="I3551" s="16"/>
      <c r="J3551" s="16"/>
      <c r="K3551" s="16"/>
      <c r="L3551" s="16"/>
      <c r="M3551" s="16"/>
    </row>
    <row r="3552" spans="1:13" x14ac:dyDescent="0.2">
      <c r="A3552" s="16"/>
      <c r="B3552" s="37"/>
      <c r="C3552" s="16"/>
      <c r="D3552" s="16"/>
      <c r="E3552" s="16"/>
      <c r="F3552" s="16"/>
      <c r="G3552" s="16"/>
      <c r="H3552" s="16"/>
      <c r="I3552" s="16"/>
      <c r="J3552" s="16"/>
      <c r="K3552" s="16"/>
      <c r="L3552" s="16"/>
      <c r="M3552" s="16"/>
    </row>
    <row r="3553" spans="1:13" x14ac:dyDescent="0.2">
      <c r="A3553" s="16"/>
      <c r="B3553" s="37"/>
      <c r="C3553" s="16"/>
      <c r="D3553" s="16"/>
      <c r="E3553" s="16"/>
      <c r="F3553" s="16"/>
      <c r="G3553" s="16"/>
      <c r="H3553" s="16"/>
      <c r="I3553" s="16"/>
      <c r="J3553" s="16"/>
      <c r="K3553" s="16"/>
      <c r="L3553" s="16"/>
      <c r="M3553" s="16"/>
    </row>
    <row r="3554" spans="1:13" x14ac:dyDescent="0.2">
      <c r="A3554" s="16"/>
      <c r="B3554" s="37"/>
      <c r="C3554" s="16"/>
      <c r="D3554" s="16"/>
      <c r="E3554" s="16"/>
      <c r="F3554" s="16"/>
      <c r="G3554" s="16"/>
      <c r="H3554" s="16"/>
      <c r="I3554" s="16"/>
      <c r="J3554" s="16"/>
      <c r="K3554" s="16"/>
      <c r="L3554" s="16"/>
      <c r="M3554" s="16"/>
    </row>
    <row r="3555" spans="1:13" x14ac:dyDescent="0.2">
      <c r="A3555" s="16"/>
      <c r="B3555" s="37"/>
      <c r="C3555" s="16"/>
      <c r="D3555" s="16"/>
      <c r="E3555" s="16"/>
      <c r="F3555" s="16"/>
      <c r="G3555" s="16"/>
      <c r="H3555" s="16"/>
      <c r="I3555" s="16"/>
      <c r="J3555" s="16"/>
      <c r="K3555" s="16"/>
      <c r="L3555" s="16"/>
      <c r="M3555" s="16"/>
    </row>
    <row r="3556" spans="1:13" x14ac:dyDescent="0.2">
      <c r="A3556" s="16"/>
      <c r="B3556" s="37"/>
      <c r="C3556" s="16"/>
      <c r="D3556" s="16"/>
      <c r="E3556" s="16"/>
      <c r="F3556" s="16"/>
      <c r="G3556" s="16"/>
      <c r="H3556" s="16"/>
      <c r="I3556" s="16"/>
      <c r="J3556" s="16"/>
      <c r="K3556" s="16"/>
      <c r="L3556" s="16"/>
      <c r="M3556" s="16"/>
    </row>
    <row r="3557" spans="1:13" x14ac:dyDescent="0.2">
      <c r="A3557" s="16"/>
      <c r="B3557" s="37"/>
      <c r="C3557" s="16"/>
      <c r="D3557" s="16"/>
      <c r="E3557" s="16"/>
      <c r="F3557" s="16"/>
      <c r="G3557" s="16"/>
      <c r="H3557" s="16"/>
      <c r="I3557" s="16"/>
      <c r="J3557" s="16"/>
      <c r="K3557" s="16"/>
      <c r="L3557" s="16"/>
      <c r="M3557" s="16"/>
    </row>
    <row r="3558" spans="1:13" x14ac:dyDescent="0.2">
      <c r="A3558" s="16"/>
      <c r="B3558" s="37"/>
      <c r="C3558" s="16"/>
      <c r="D3558" s="16"/>
      <c r="E3558" s="16"/>
      <c r="F3558" s="16"/>
      <c r="G3558" s="16"/>
      <c r="H3558" s="16"/>
      <c r="I3558" s="16"/>
      <c r="J3558" s="16"/>
      <c r="K3558" s="16"/>
      <c r="L3558" s="16"/>
      <c r="M3558" s="16"/>
    </row>
    <row r="3559" spans="1:13" x14ac:dyDescent="0.2">
      <c r="A3559" s="16"/>
      <c r="B3559" s="37"/>
      <c r="C3559" s="16"/>
      <c r="D3559" s="16"/>
      <c r="E3559" s="16"/>
      <c r="F3559" s="16"/>
      <c r="G3559" s="16"/>
      <c r="H3559" s="16"/>
      <c r="I3559" s="16"/>
      <c r="J3559" s="16"/>
      <c r="K3559" s="16"/>
      <c r="L3559" s="16"/>
      <c r="M3559" s="16"/>
    </row>
    <row r="3560" spans="1:13" x14ac:dyDescent="0.2">
      <c r="A3560" s="16"/>
      <c r="B3560" s="37"/>
      <c r="C3560" s="16"/>
      <c r="D3560" s="16"/>
      <c r="E3560" s="16"/>
      <c r="F3560" s="16"/>
      <c r="G3560" s="16"/>
      <c r="H3560" s="16"/>
      <c r="I3560" s="16"/>
      <c r="J3560" s="16"/>
      <c r="K3560" s="16"/>
      <c r="L3560" s="16"/>
      <c r="M3560" s="16"/>
    </row>
    <row r="3561" spans="1:13" x14ac:dyDescent="0.2">
      <c r="A3561" s="16"/>
      <c r="B3561" s="37"/>
      <c r="C3561" s="16"/>
      <c r="D3561" s="16"/>
      <c r="E3561" s="16"/>
      <c r="F3561" s="16"/>
      <c r="G3561" s="16"/>
      <c r="H3561" s="16"/>
      <c r="I3561" s="16"/>
      <c r="J3561" s="16"/>
      <c r="K3561" s="16"/>
      <c r="L3561" s="16"/>
      <c r="M3561" s="16"/>
    </row>
    <row r="3562" spans="1:13" x14ac:dyDescent="0.2">
      <c r="A3562" s="16"/>
      <c r="B3562" s="37"/>
      <c r="C3562" s="16"/>
      <c r="D3562" s="16"/>
      <c r="E3562" s="16"/>
      <c r="F3562" s="16"/>
      <c r="G3562" s="16"/>
      <c r="H3562" s="16"/>
      <c r="I3562" s="16"/>
      <c r="J3562" s="16"/>
      <c r="K3562" s="16"/>
      <c r="L3562" s="16"/>
      <c r="M3562" s="16"/>
    </row>
    <row r="3563" spans="1:13" x14ac:dyDescent="0.2">
      <c r="A3563" s="16"/>
      <c r="B3563" s="37"/>
      <c r="C3563" s="16"/>
      <c r="D3563" s="16"/>
      <c r="E3563" s="16"/>
      <c r="F3563" s="16"/>
      <c r="G3563" s="16"/>
      <c r="H3563" s="16"/>
      <c r="I3563" s="16"/>
      <c r="J3563" s="16"/>
      <c r="K3563" s="16"/>
      <c r="L3563" s="16"/>
      <c r="M3563" s="16"/>
    </row>
    <row r="3564" spans="1:13" x14ac:dyDescent="0.2">
      <c r="A3564" s="16"/>
      <c r="B3564" s="37"/>
      <c r="C3564" s="16"/>
      <c r="D3564" s="16"/>
      <c r="E3564" s="16"/>
      <c r="F3564" s="16"/>
      <c r="G3564" s="16"/>
      <c r="H3564" s="16"/>
      <c r="I3564" s="16"/>
      <c r="J3564" s="16"/>
      <c r="K3564" s="16"/>
      <c r="L3564" s="16"/>
      <c r="M3564" s="16"/>
    </row>
    <row r="3565" spans="1:13" x14ac:dyDescent="0.2">
      <c r="A3565" s="16"/>
      <c r="B3565" s="37"/>
      <c r="C3565" s="16"/>
      <c r="D3565" s="16"/>
      <c r="E3565" s="16"/>
      <c r="F3565" s="16"/>
      <c r="G3565" s="16"/>
      <c r="H3565" s="16"/>
      <c r="I3565" s="16"/>
      <c r="J3565" s="16"/>
      <c r="K3565" s="16"/>
      <c r="L3565" s="16"/>
      <c r="M3565" s="16"/>
    </row>
    <row r="3566" spans="1:13" x14ac:dyDescent="0.2">
      <c r="A3566" s="16"/>
      <c r="B3566" s="37"/>
      <c r="C3566" s="16"/>
      <c r="D3566" s="16"/>
      <c r="E3566" s="16"/>
      <c r="F3566" s="16"/>
      <c r="G3566" s="16"/>
      <c r="H3566" s="16"/>
      <c r="I3566" s="16"/>
      <c r="J3566" s="16"/>
      <c r="K3566" s="16"/>
      <c r="L3566" s="16"/>
      <c r="M3566" s="16"/>
    </row>
    <row r="3567" spans="1:13" x14ac:dyDescent="0.2">
      <c r="A3567" s="16"/>
      <c r="B3567" s="37"/>
      <c r="C3567" s="16"/>
      <c r="D3567" s="16"/>
      <c r="E3567" s="16"/>
      <c r="F3567" s="16"/>
      <c r="G3567" s="16"/>
      <c r="H3567" s="16"/>
      <c r="I3567" s="16"/>
      <c r="J3567" s="16"/>
      <c r="K3567" s="16"/>
      <c r="L3567" s="16"/>
      <c r="M3567" s="16"/>
    </row>
    <row r="3568" spans="1:13" x14ac:dyDescent="0.2">
      <c r="A3568" s="16"/>
      <c r="B3568" s="37"/>
      <c r="C3568" s="16"/>
      <c r="D3568" s="16"/>
      <c r="E3568" s="16"/>
      <c r="F3568" s="16"/>
      <c r="G3568" s="16"/>
      <c r="H3568" s="16"/>
      <c r="I3568" s="16"/>
      <c r="J3568" s="16"/>
      <c r="K3568" s="16"/>
      <c r="L3568" s="16"/>
      <c r="M3568" s="16"/>
    </row>
    <row r="3569" spans="1:13" x14ac:dyDescent="0.2">
      <c r="A3569" s="16"/>
      <c r="B3569" s="37"/>
      <c r="C3569" s="16"/>
      <c r="D3569" s="16"/>
      <c r="E3569" s="16"/>
      <c r="F3569" s="16"/>
      <c r="G3569" s="16"/>
      <c r="H3569" s="16"/>
      <c r="I3569" s="16"/>
      <c r="J3569" s="16"/>
      <c r="K3569" s="16"/>
      <c r="L3569" s="16"/>
      <c r="M3569" s="16"/>
    </row>
    <row r="3570" spans="1:13" x14ac:dyDescent="0.2">
      <c r="A3570" s="16"/>
      <c r="B3570" s="37"/>
      <c r="C3570" s="16"/>
      <c r="D3570" s="16"/>
      <c r="E3570" s="16"/>
      <c r="F3570" s="16"/>
      <c r="G3570" s="16"/>
      <c r="H3570" s="16"/>
      <c r="I3570" s="16"/>
      <c r="J3570" s="16"/>
      <c r="K3570" s="16"/>
      <c r="L3570" s="16"/>
      <c r="M3570" s="16"/>
    </row>
    <row r="3571" spans="1:13" x14ac:dyDescent="0.2">
      <c r="A3571" s="16"/>
      <c r="B3571" s="37"/>
      <c r="C3571" s="16"/>
      <c r="D3571" s="16"/>
      <c r="E3571" s="16"/>
      <c r="F3571" s="16"/>
      <c r="G3571" s="16"/>
      <c r="H3571" s="16"/>
      <c r="I3571" s="16"/>
      <c r="J3571" s="16"/>
      <c r="K3571" s="16"/>
      <c r="L3571" s="16"/>
      <c r="M3571" s="16"/>
    </row>
    <row r="3572" spans="1:13" x14ac:dyDescent="0.2">
      <c r="A3572" s="16"/>
      <c r="B3572" s="37"/>
      <c r="C3572" s="16"/>
      <c r="D3572" s="16"/>
      <c r="E3572" s="16"/>
      <c r="F3572" s="16"/>
      <c r="G3572" s="16"/>
      <c r="H3572" s="16"/>
      <c r="I3572" s="16"/>
      <c r="J3572" s="16"/>
      <c r="K3572" s="16"/>
      <c r="L3572" s="16"/>
      <c r="M3572" s="16"/>
    </row>
    <row r="3573" spans="1:13" x14ac:dyDescent="0.2">
      <c r="A3573" s="16"/>
      <c r="B3573" s="37"/>
      <c r="C3573" s="16"/>
      <c r="D3573" s="16"/>
      <c r="E3573" s="16"/>
      <c r="F3573" s="16"/>
      <c r="G3573" s="16"/>
      <c r="H3573" s="16"/>
      <c r="I3573" s="16"/>
      <c r="J3573" s="16"/>
      <c r="K3573" s="16"/>
      <c r="L3573" s="16"/>
      <c r="M3573" s="16"/>
    </row>
    <row r="3574" spans="1:13" x14ac:dyDescent="0.2">
      <c r="A3574" s="16"/>
      <c r="B3574" s="37"/>
      <c r="C3574" s="16"/>
      <c r="D3574" s="16"/>
      <c r="E3574" s="16"/>
      <c r="F3574" s="16"/>
      <c r="G3574" s="16"/>
      <c r="H3574" s="16"/>
      <c r="I3574" s="16"/>
      <c r="J3574" s="16"/>
      <c r="K3574" s="16"/>
      <c r="L3574" s="16"/>
      <c r="M3574" s="16"/>
    </row>
    <row r="3575" spans="1:13" x14ac:dyDescent="0.2">
      <c r="A3575" s="16"/>
      <c r="B3575" s="37"/>
      <c r="C3575" s="16"/>
      <c r="D3575" s="16"/>
      <c r="E3575" s="16"/>
      <c r="F3575" s="16"/>
      <c r="G3575" s="16"/>
      <c r="H3575" s="16"/>
      <c r="I3575" s="16"/>
      <c r="J3575" s="16"/>
      <c r="K3575" s="16"/>
      <c r="L3575" s="16"/>
      <c r="M3575" s="16"/>
    </row>
    <row r="3576" spans="1:13" x14ac:dyDescent="0.2">
      <c r="A3576" s="16"/>
      <c r="B3576" s="37"/>
      <c r="C3576" s="16"/>
      <c r="D3576" s="16"/>
      <c r="E3576" s="16"/>
      <c r="F3576" s="16"/>
      <c r="G3576" s="16"/>
      <c r="H3576" s="16"/>
      <c r="I3576" s="16"/>
      <c r="J3576" s="16"/>
      <c r="K3576" s="16"/>
      <c r="L3576" s="16"/>
      <c r="M3576" s="16"/>
    </row>
    <row r="3577" spans="1:13" x14ac:dyDescent="0.2">
      <c r="A3577" s="16"/>
      <c r="B3577" s="37"/>
      <c r="C3577" s="16"/>
      <c r="D3577" s="16"/>
      <c r="E3577" s="16"/>
      <c r="F3577" s="16"/>
      <c r="G3577" s="16"/>
      <c r="H3577" s="16"/>
      <c r="I3577" s="16"/>
      <c r="J3577" s="16"/>
      <c r="K3577" s="16"/>
      <c r="L3577" s="16"/>
      <c r="M3577" s="16"/>
    </row>
    <row r="3578" spans="1:13" x14ac:dyDescent="0.2">
      <c r="A3578" s="16"/>
      <c r="B3578" s="37"/>
      <c r="C3578" s="16"/>
      <c r="D3578" s="16"/>
      <c r="E3578" s="16"/>
      <c r="F3578" s="16"/>
      <c r="G3578" s="16"/>
      <c r="H3578" s="16"/>
      <c r="I3578" s="16"/>
      <c r="J3578" s="16"/>
      <c r="K3578" s="16"/>
      <c r="L3578" s="16"/>
      <c r="M3578" s="16"/>
    </row>
    <row r="3579" spans="1:13" x14ac:dyDescent="0.2">
      <c r="A3579" s="16"/>
      <c r="B3579" s="37"/>
      <c r="C3579" s="16"/>
      <c r="D3579" s="16"/>
      <c r="E3579" s="16"/>
      <c r="F3579" s="16"/>
      <c r="G3579" s="16"/>
      <c r="H3579" s="16"/>
      <c r="I3579" s="16"/>
      <c r="J3579" s="16"/>
      <c r="K3579" s="16"/>
      <c r="L3579" s="16"/>
      <c r="M3579" s="16"/>
    </row>
    <row r="3580" spans="1:13" x14ac:dyDescent="0.2">
      <c r="A3580" s="16"/>
      <c r="B3580" s="37"/>
      <c r="C3580" s="16"/>
      <c r="D3580" s="16"/>
      <c r="E3580" s="16"/>
      <c r="F3580" s="16"/>
      <c r="G3580" s="16"/>
      <c r="H3580" s="16"/>
      <c r="I3580" s="16"/>
      <c r="J3580" s="16"/>
      <c r="K3580" s="16"/>
      <c r="L3580" s="16"/>
      <c r="M3580" s="16"/>
    </row>
    <row r="3581" spans="1:13" x14ac:dyDescent="0.2">
      <c r="A3581" s="16"/>
      <c r="B3581" s="37"/>
      <c r="C3581" s="16"/>
      <c r="D3581" s="16"/>
      <c r="E3581" s="16"/>
      <c r="F3581" s="16"/>
      <c r="G3581" s="16"/>
      <c r="H3581" s="16"/>
      <c r="I3581" s="16"/>
      <c r="J3581" s="16"/>
      <c r="K3581" s="16"/>
      <c r="L3581" s="16"/>
      <c r="M3581" s="16"/>
    </row>
    <row r="3582" spans="1:13" x14ac:dyDescent="0.2">
      <c r="A3582" s="16"/>
      <c r="B3582" s="37"/>
      <c r="C3582" s="16"/>
      <c r="D3582" s="16"/>
      <c r="E3582" s="16"/>
      <c r="F3582" s="16"/>
      <c r="G3582" s="16"/>
      <c r="H3582" s="16"/>
      <c r="I3582" s="16"/>
      <c r="J3582" s="16"/>
      <c r="K3582" s="16"/>
      <c r="L3582" s="16"/>
      <c r="M3582" s="16"/>
    </row>
    <row r="3583" spans="1:13" x14ac:dyDescent="0.2">
      <c r="A3583" s="16"/>
      <c r="B3583" s="37"/>
      <c r="C3583" s="16"/>
      <c r="D3583" s="16"/>
      <c r="E3583" s="16"/>
      <c r="F3583" s="16"/>
      <c r="G3583" s="16"/>
      <c r="H3583" s="16"/>
      <c r="I3583" s="16"/>
      <c r="J3583" s="16"/>
      <c r="K3583" s="16"/>
      <c r="L3583" s="16"/>
      <c r="M3583" s="16"/>
    </row>
    <row r="3584" spans="1:13" x14ac:dyDescent="0.2">
      <c r="A3584" s="16"/>
      <c r="B3584" s="37"/>
      <c r="C3584" s="16"/>
      <c r="D3584" s="16"/>
      <c r="E3584" s="16"/>
      <c r="F3584" s="16"/>
      <c r="G3584" s="16"/>
      <c r="H3584" s="16"/>
      <c r="I3584" s="16"/>
      <c r="J3584" s="16"/>
      <c r="K3584" s="16"/>
      <c r="L3584" s="16"/>
      <c r="M3584" s="16"/>
    </row>
    <row r="3585" spans="1:13" x14ac:dyDescent="0.2">
      <c r="A3585" s="16"/>
      <c r="B3585" s="37"/>
      <c r="C3585" s="16"/>
      <c r="D3585" s="16"/>
      <c r="E3585" s="16"/>
      <c r="F3585" s="16"/>
      <c r="G3585" s="16"/>
      <c r="H3585" s="16"/>
      <c r="I3585" s="16"/>
      <c r="J3585" s="16"/>
      <c r="K3585" s="16"/>
      <c r="L3585" s="16"/>
      <c r="M3585" s="16"/>
    </row>
    <row r="3586" spans="1:13" x14ac:dyDescent="0.2">
      <c r="A3586" s="16"/>
      <c r="B3586" s="37"/>
      <c r="C3586" s="16"/>
      <c r="D3586" s="16"/>
      <c r="E3586" s="16"/>
      <c r="F3586" s="16"/>
      <c r="G3586" s="16"/>
      <c r="H3586" s="16"/>
      <c r="I3586" s="16"/>
      <c r="J3586" s="16"/>
      <c r="K3586" s="16"/>
      <c r="L3586" s="16"/>
      <c r="M3586" s="16"/>
    </row>
    <row r="3587" spans="1:13" x14ac:dyDescent="0.2">
      <c r="A3587" s="16"/>
      <c r="B3587" s="37"/>
      <c r="C3587" s="16"/>
      <c r="D3587" s="16"/>
      <c r="E3587" s="16"/>
      <c r="F3587" s="16"/>
      <c r="G3587" s="16"/>
      <c r="H3587" s="16"/>
      <c r="I3587" s="16"/>
      <c r="J3587" s="16"/>
      <c r="K3587" s="16"/>
      <c r="L3587" s="16"/>
      <c r="M3587" s="16"/>
    </row>
    <row r="3588" spans="1:13" x14ac:dyDescent="0.2">
      <c r="A3588" s="16"/>
      <c r="B3588" s="37"/>
      <c r="C3588" s="16"/>
      <c r="D3588" s="16"/>
      <c r="E3588" s="16"/>
      <c r="F3588" s="16"/>
      <c r="G3588" s="16"/>
      <c r="H3588" s="16"/>
      <c r="I3588" s="16"/>
      <c r="J3588" s="16"/>
      <c r="K3588" s="16"/>
      <c r="L3588" s="16"/>
      <c r="M3588" s="16"/>
    </row>
    <row r="3589" spans="1:13" x14ac:dyDescent="0.2">
      <c r="A3589" s="16"/>
      <c r="B3589" s="37"/>
      <c r="C3589" s="16"/>
      <c r="D3589" s="16"/>
      <c r="E3589" s="16"/>
      <c r="F3589" s="16"/>
      <c r="G3589" s="16"/>
      <c r="H3589" s="16"/>
      <c r="I3589" s="16"/>
      <c r="J3589" s="16"/>
      <c r="K3589" s="16"/>
      <c r="L3589" s="16"/>
      <c r="M3589" s="16"/>
    </row>
    <row r="3590" spans="1:13" x14ac:dyDescent="0.2">
      <c r="A3590" s="16"/>
      <c r="B3590" s="37"/>
      <c r="C3590" s="16"/>
      <c r="D3590" s="16"/>
      <c r="E3590" s="16"/>
      <c r="F3590" s="16"/>
      <c r="G3590" s="16"/>
      <c r="H3590" s="16"/>
      <c r="I3590" s="16"/>
      <c r="J3590" s="16"/>
      <c r="K3590" s="16"/>
      <c r="L3590" s="16"/>
      <c r="M3590" s="16"/>
    </row>
    <row r="3591" spans="1:13" x14ac:dyDescent="0.2">
      <c r="A3591" s="16"/>
      <c r="B3591" s="37"/>
      <c r="C3591" s="16"/>
      <c r="D3591" s="16"/>
      <c r="E3591" s="16"/>
      <c r="F3591" s="16"/>
      <c r="G3591" s="16"/>
      <c r="H3591" s="16"/>
      <c r="I3591" s="16"/>
      <c r="J3591" s="16"/>
      <c r="K3591" s="16"/>
      <c r="L3591" s="16"/>
      <c r="M3591" s="16"/>
    </row>
    <row r="3592" spans="1:13" x14ac:dyDescent="0.2">
      <c r="A3592" s="16"/>
      <c r="B3592" s="37"/>
      <c r="C3592" s="16"/>
      <c r="D3592" s="16"/>
      <c r="E3592" s="16"/>
      <c r="F3592" s="16"/>
      <c r="G3592" s="16"/>
      <c r="H3592" s="16"/>
      <c r="I3592" s="16"/>
      <c r="J3592" s="16"/>
      <c r="K3592" s="16"/>
      <c r="L3592" s="16"/>
      <c r="M3592" s="16"/>
    </row>
    <row r="3593" spans="1:13" x14ac:dyDescent="0.2">
      <c r="A3593" s="16"/>
      <c r="B3593" s="37"/>
      <c r="C3593" s="16"/>
      <c r="D3593" s="16"/>
      <c r="E3593" s="16"/>
      <c r="F3593" s="16"/>
      <c r="G3593" s="16"/>
      <c r="H3593" s="16"/>
      <c r="I3593" s="16"/>
      <c r="J3593" s="16"/>
      <c r="K3593" s="16"/>
      <c r="L3593" s="16"/>
      <c r="M3593" s="16"/>
    </row>
    <row r="3594" spans="1:13" x14ac:dyDescent="0.2">
      <c r="A3594" s="16"/>
      <c r="B3594" s="37"/>
      <c r="C3594" s="16"/>
      <c r="D3594" s="16"/>
      <c r="E3594" s="16"/>
      <c r="F3594" s="16"/>
      <c r="G3594" s="16"/>
      <c r="H3594" s="16"/>
      <c r="I3594" s="16"/>
      <c r="J3594" s="16"/>
      <c r="K3594" s="16"/>
      <c r="L3594" s="16"/>
      <c r="M3594" s="16"/>
    </row>
    <row r="3595" spans="1:13" x14ac:dyDescent="0.2">
      <c r="A3595" s="16"/>
      <c r="B3595" s="37"/>
      <c r="C3595" s="16"/>
      <c r="D3595" s="16"/>
      <c r="E3595" s="16"/>
      <c r="F3595" s="16"/>
      <c r="G3595" s="16"/>
      <c r="H3595" s="16"/>
      <c r="I3595" s="16"/>
      <c r="J3595" s="16"/>
      <c r="K3595" s="16"/>
      <c r="L3595" s="16"/>
      <c r="M3595" s="16"/>
    </row>
    <row r="3596" spans="1:13" x14ac:dyDescent="0.2">
      <c r="A3596" s="16"/>
      <c r="B3596" s="37"/>
      <c r="C3596" s="16"/>
      <c r="D3596" s="16"/>
      <c r="E3596" s="16"/>
      <c r="F3596" s="16"/>
      <c r="G3596" s="16"/>
      <c r="H3596" s="16"/>
      <c r="I3596" s="16"/>
      <c r="J3596" s="16"/>
      <c r="K3596" s="16"/>
      <c r="L3596" s="16"/>
      <c r="M3596" s="16"/>
    </row>
    <row r="3597" spans="1:13" x14ac:dyDescent="0.2">
      <c r="A3597" s="16"/>
      <c r="B3597" s="37"/>
      <c r="C3597" s="16"/>
      <c r="D3597" s="16"/>
      <c r="E3597" s="16"/>
      <c r="F3597" s="16"/>
      <c r="G3597" s="16"/>
      <c r="H3597" s="16"/>
      <c r="I3597" s="16"/>
      <c r="J3597" s="16"/>
      <c r="K3597" s="16"/>
      <c r="L3597" s="16"/>
      <c r="M3597" s="16"/>
    </row>
    <row r="3598" spans="1:13" x14ac:dyDescent="0.2">
      <c r="A3598" s="16"/>
      <c r="B3598" s="37"/>
      <c r="C3598" s="16"/>
      <c r="D3598" s="16"/>
      <c r="E3598" s="16"/>
      <c r="F3598" s="16"/>
      <c r="G3598" s="16"/>
      <c r="H3598" s="16"/>
      <c r="I3598" s="16"/>
      <c r="J3598" s="16"/>
      <c r="K3598" s="16"/>
      <c r="L3598" s="16"/>
      <c r="M3598" s="16"/>
    </row>
    <row r="3599" spans="1:13" x14ac:dyDescent="0.2">
      <c r="A3599" s="16"/>
      <c r="B3599" s="37"/>
      <c r="C3599" s="16"/>
      <c r="D3599" s="16"/>
      <c r="E3599" s="16"/>
      <c r="F3599" s="16"/>
      <c r="G3599" s="16"/>
      <c r="H3599" s="16"/>
      <c r="I3599" s="16"/>
      <c r="J3599" s="16"/>
      <c r="K3599" s="16"/>
      <c r="L3599" s="16"/>
      <c r="M3599" s="16"/>
    </row>
    <row r="3600" spans="1:13" x14ac:dyDescent="0.2">
      <c r="A3600" s="16"/>
      <c r="B3600" s="37"/>
      <c r="C3600" s="16"/>
      <c r="D3600" s="16"/>
      <c r="E3600" s="16"/>
      <c r="F3600" s="16"/>
      <c r="G3600" s="16"/>
      <c r="H3600" s="16"/>
      <c r="I3600" s="16"/>
      <c r="J3600" s="16"/>
      <c r="K3600" s="16"/>
      <c r="L3600" s="16"/>
      <c r="M3600" s="16"/>
    </row>
    <row r="3601" spans="1:13" x14ac:dyDescent="0.2">
      <c r="A3601" s="16"/>
      <c r="B3601" s="37"/>
      <c r="C3601" s="16"/>
      <c r="D3601" s="16"/>
      <c r="E3601" s="16"/>
      <c r="F3601" s="16"/>
      <c r="G3601" s="16"/>
      <c r="H3601" s="16"/>
      <c r="I3601" s="16"/>
      <c r="J3601" s="16"/>
      <c r="K3601" s="16"/>
      <c r="L3601" s="16"/>
      <c r="M3601" s="16"/>
    </row>
    <row r="3602" spans="1:13" x14ac:dyDescent="0.2">
      <c r="A3602" s="16"/>
      <c r="B3602" s="37"/>
      <c r="C3602" s="16"/>
      <c r="D3602" s="16"/>
      <c r="E3602" s="16"/>
      <c r="F3602" s="16"/>
      <c r="G3602" s="16"/>
      <c r="H3602" s="16"/>
      <c r="I3602" s="16"/>
      <c r="J3602" s="16"/>
      <c r="K3602" s="16"/>
      <c r="L3602" s="16"/>
      <c r="M3602" s="16"/>
    </row>
    <row r="3603" spans="1:13" x14ac:dyDescent="0.2">
      <c r="A3603" s="16"/>
      <c r="B3603" s="37"/>
      <c r="C3603" s="16"/>
      <c r="D3603" s="16"/>
      <c r="E3603" s="16"/>
      <c r="F3603" s="16"/>
      <c r="G3603" s="16"/>
      <c r="H3603" s="16"/>
      <c r="I3603" s="16"/>
      <c r="J3603" s="16"/>
      <c r="K3603" s="16"/>
      <c r="L3603" s="16"/>
      <c r="M3603" s="16"/>
    </row>
    <row r="3604" spans="1:13" x14ac:dyDescent="0.2">
      <c r="A3604" s="16"/>
      <c r="B3604" s="37"/>
      <c r="C3604" s="16"/>
      <c r="D3604" s="16"/>
      <c r="E3604" s="16"/>
      <c r="F3604" s="16"/>
      <c r="G3604" s="16"/>
      <c r="H3604" s="16"/>
      <c r="I3604" s="16"/>
      <c r="J3604" s="16"/>
      <c r="K3604" s="16"/>
      <c r="L3604" s="16"/>
      <c r="M3604" s="16"/>
    </row>
    <row r="3605" spans="1:13" x14ac:dyDescent="0.2">
      <c r="A3605" s="16"/>
      <c r="B3605" s="37"/>
      <c r="C3605" s="16"/>
      <c r="D3605" s="16"/>
      <c r="E3605" s="16"/>
      <c r="F3605" s="16"/>
      <c r="G3605" s="16"/>
      <c r="H3605" s="16"/>
      <c r="I3605" s="16"/>
      <c r="J3605" s="16"/>
      <c r="K3605" s="16"/>
      <c r="L3605" s="16"/>
      <c r="M3605" s="16"/>
    </row>
    <row r="3606" spans="1:13" x14ac:dyDescent="0.2">
      <c r="A3606" s="16"/>
      <c r="B3606" s="37"/>
      <c r="C3606" s="16"/>
      <c r="D3606" s="16"/>
      <c r="E3606" s="16"/>
      <c r="F3606" s="16"/>
      <c r="G3606" s="16"/>
      <c r="H3606" s="16"/>
      <c r="I3606" s="16"/>
      <c r="J3606" s="16"/>
      <c r="K3606" s="16"/>
      <c r="L3606" s="16"/>
      <c r="M3606" s="16"/>
    </row>
    <row r="3607" spans="1:13" x14ac:dyDescent="0.2">
      <c r="A3607" s="16"/>
      <c r="B3607" s="37"/>
      <c r="C3607" s="16"/>
      <c r="D3607" s="16"/>
      <c r="E3607" s="16"/>
      <c r="F3607" s="16"/>
      <c r="G3607" s="16"/>
      <c r="H3607" s="16"/>
      <c r="I3607" s="16"/>
      <c r="J3607" s="16"/>
      <c r="K3607" s="16"/>
      <c r="L3607" s="16"/>
      <c r="M3607" s="16"/>
    </row>
    <row r="3608" spans="1:13" x14ac:dyDescent="0.2">
      <c r="A3608" s="16"/>
      <c r="B3608" s="37"/>
      <c r="C3608" s="16"/>
      <c r="D3608" s="16"/>
      <c r="E3608" s="16"/>
      <c r="F3608" s="16"/>
      <c r="G3608" s="16"/>
      <c r="H3608" s="16"/>
      <c r="I3608" s="16"/>
      <c r="J3608" s="16"/>
      <c r="K3608" s="16"/>
      <c r="L3608" s="16"/>
      <c r="M3608" s="16"/>
    </row>
    <row r="3609" spans="1:13" x14ac:dyDescent="0.2">
      <c r="A3609" s="16"/>
      <c r="B3609" s="37"/>
      <c r="C3609" s="16"/>
      <c r="D3609" s="16"/>
      <c r="E3609" s="16"/>
      <c r="F3609" s="16"/>
      <c r="G3609" s="16"/>
      <c r="H3609" s="16"/>
      <c r="I3609" s="16"/>
      <c r="J3609" s="16"/>
      <c r="K3609" s="16"/>
      <c r="L3609" s="16"/>
      <c r="M3609" s="16"/>
    </row>
    <row r="3610" spans="1:13" x14ac:dyDescent="0.2">
      <c r="A3610" s="16"/>
      <c r="B3610" s="37"/>
      <c r="C3610" s="16"/>
      <c r="D3610" s="16"/>
      <c r="E3610" s="16"/>
      <c r="F3610" s="16"/>
      <c r="G3610" s="16"/>
      <c r="H3610" s="16"/>
      <c r="I3610" s="16"/>
      <c r="J3610" s="16"/>
      <c r="K3610" s="16"/>
      <c r="L3610" s="16"/>
      <c r="M3610" s="16"/>
    </row>
    <row r="3611" spans="1:13" x14ac:dyDescent="0.2">
      <c r="A3611" s="16"/>
      <c r="B3611" s="37"/>
      <c r="C3611" s="16"/>
      <c r="D3611" s="16"/>
      <c r="E3611" s="16"/>
      <c r="F3611" s="16"/>
      <c r="G3611" s="16"/>
      <c r="H3611" s="16"/>
      <c r="I3611" s="16"/>
      <c r="J3611" s="16"/>
      <c r="K3611" s="16"/>
      <c r="L3611" s="16"/>
      <c r="M3611" s="16"/>
    </row>
    <row r="3612" spans="1:13" x14ac:dyDescent="0.2">
      <c r="A3612" s="16"/>
      <c r="B3612" s="37"/>
      <c r="C3612" s="16"/>
      <c r="D3612" s="16"/>
      <c r="E3612" s="16"/>
      <c r="F3612" s="16"/>
      <c r="G3612" s="16"/>
      <c r="H3612" s="16"/>
      <c r="I3612" s="16"/>
      <c r="J3612" s="16"/>
      <c r="K3612" s="16"/>
      <c r="L3612" s="16"/>
      <c r="M3612" s="16"/>
    </row>
    <row r="3613" spans="1:13" x14ac:dyDescent="0.2">
      <c r="A3613" s="16"/>
      <c r="B3613" s="37"/>
      <c r="C3613" s="16"/>
      <c r="D3613" s="16"/>
      <c r="E3613" s="16"/>
      <c r="F3613" s="16"/>
      <c r="G3613" s="16"/>
      <c r="H3613" s="16"/>
      <c r="I3613" s="16"/>
      <c r="J3613" s="16"/>
      <c r="K3613" s="16"/>
      <c r="L3613" s="16"/>
      <c r="M3613" s="16"/>
    </row>
    <row r="3614" spans="1:13" x14ac:dyDescent="0.2">
      <c r="A3614" s="16"/>
      <c r="B3614" s="37"/>
      <c r="C3614" s="16"/>
      <c r="D3614" s="16"/>
      <c r="E3614" s="16"/>
      <c r="F3614" s="16"/>
      <c r="G3614" s="16"/>
      <c r="H3614" s="16"/>
      <c r="I3614" s="16"/>
      <c r="J3614" s="16"/>
      <c r="K3614" s="16"/>
      <c r="L3614" s="16"/>
      <c r="M3614" s="16"/>
    </row>
    <row r="3615" spans="1:13" x14ac:dyDescent="0.2">
      <c r="A3615" s="16"/>
      <c r="B3615" s="37"/>
      <c r="C3615" s="16"/>
      <c r="D3615" s="16"/>
      <c r="E3615" s="16"/>
      <c r="F3615" s="16"/>
      <c r="G3615" s="16"/>
      <c r="H3615" s="16"/>
      <c r="I3615" s="16"/>
      <c r="J3615" s="16"/>
      <c r="K3615" s="16"/>
      <c r="L3615" s="16"/>
      <c r="M3615" s="16"/>
    </row>
    <row r="3616" spans="1:13" x14ac:dyDescent="0.2">
      <c r="A3616" s="16"/>
      <c r="B3616" s="37"/>
      <c r="C3616" s="16"/>
      <c r="D3616" s="16"/>
      <c r="E3616" s="16"/>
      <c r="F3616" s="16"/>
      <c r="G3616" s="16"/>
      <c r="H3616" s="16"/>
      <c r="I3616" s="16"/>
      <c r="J3616" s="16"/>
      <c r="K3616" s="16"/>
      <c r="L3616" s="16"/>
      <c r="M3616" s="16"/>
    </row>
    <row r="3617" spans="1:13" x14ac:dyDescent="0.2">
      <c r="A3617" s="16"/>
      <c r="B3617" s="37"/>
      <c r="C3617" s="16"/>
      <c r="D3617" s="16"/>
      <c r="E3617" s="16"/>
      <c r="F3617" s="16"/>
      <c r="G3617" s="16"/>
      <c r="H3617" s="16"/>
      <c r="I3617" s="16"/>
      <c r="J3617" s="16"/>
      <c r="K3617" s="16"/>
      <c r="L3617" s="16"/>
      <c r="M3617" s="16"/>
    </row>
    <row r="3618" spans="1:13" x14ac:dyDescent="0.2">
      <c r="A3618" s="16"/>
      <c r="B3618" s="37"/>
      <c r="C3618" s="16"/>
      <c r="D3618" s="16"/>
      <c r="E3618" s="16"/>
      <c r="F3618" s="16"/>
      <c r="G3618" s="16"/>
      <c r="H3618" s="16"/>
      <c r="I3618" s="16"/>
      <c r="J3618" s="16"/>
      <c r="K3618" s="16"/>
      <c r="L3618" s="16"/>
      <c r="M3618" s="16"/>
    </row>
    <row r="3619" spans="1:13" x14ac:dyDescent="0.2">
      <c r="A3619" s="16"/>
      <c r="B3619" s="37"/>
      <c r="C3619" s="16"/>
      <c r="D3619" s="16"/>
      <c r="E3619" s="16"/>
      <c r="F3619" s="16"/>
      <c r="G3619" s="16"/>
      <c r="H3619" s="16"/>
      <c r="I3619" s="16"/>
      <c r="J3619" s="16"/>
      <c r="K3619" s="16"/>
      <c r="L3619" s="16"/>
      <c r="M3619" s="16"/>
    </row>
    <row r="3620" spans="1:13" x14ac:dyDescent="0.2">
      <c r="A3620" s="16"/>
      <c r="B3620" s="37"/>
      <c r="C3620" s="16"/>
      <c r="D3620" s="16"/>
      <c r="E3620" s="16"/>
      <c r="F3620" s="16"/>
      <c r="G3620" s="16"/>
      <c r="H3620" s="16"/>
      <c r="I3620" s="16"/>
      <c r="J3620" s="16"/>
      <c r="K3620" s="16"/>
      <c r="L3620" s="16"/>
      <c r="M3620" s="16"/>
    </row>
    <row r="3621" spans="1:13" x14ac:dyDescent="0.2">
      <c r="A3621" s="16"/>
      <c r="B3621" s="37"/>
      <c r="C3621" s="16"/>
      <c r="D3621" s="16"/>
      <c r="E3621" s="16"/>
      <c r="F3621" s="16"/>
      <c r="G3621" s="16"/>
      <c r="H3621" s="16"/>
      <c r="I3621" s="16"/>
      <c r="J3621" s="16"/>
      <c r="K3621" s="16"/>
      <c r="L3621" s="16"/>
      <c r="M3621" s="16"/>
    </row>
    <row r="3622" spans="1:13" x14ac:dyDescent="0.2">
      <c r="A3622" s="16"/>
      <c r="B3622" s="37"/>
      <c r="C3622" s="16"/>
      <c r="D3622" s="16"/>
      <c r="E3622" s="16"/>
      <c r="F3622" s="16"/>
      <c r="G3622" s="16"/>
      <c r="H3622" s="16"/>
      <c r="I3622" s="16"/>
      <c r="J3622" s="16"/>
      <c r="K3622" s="16"/>
      <c r="L3622" s="16"/>
      <c r="M3622" s="16"/>
    </row>
    <row r="3623" spans="1:13" x14ac:dyDescent="0.2">
      <c r="A3623" s="16"/>
      <c r="B3623" s="37"/>
      <c r="C3623" s="16"/>
      <c r="D3623" s="16"/>
      <c r="E3623" s="16"/>
      <c r="F3623" s="16"/>
      <c r="G3623" s="16"/>
      <c r="H3623" s="16"/>
      <c r="I3623" s="16"/>
      <c r="J3623" s="16"/>
      <c r="K3623" s="16"/>
      <c r="L3623" s="16"/>
      <c r="M3623" s="16"/>
    </row>
    <row r="3624" spans="1:13" x14ac:dyDescent="0.2">
      <c r="A3624" s="16"/>
      <c r="B3624" s="37"/>
      <c r="C3624" s="16"/>
      <c r="D3624" s="16"/>
      <c r="E3624" s="16"/>
      <c r="F3624" s="16"/>
      <c r="G3624" s="16"/>
      <c r="H3624" s="16"/>
      <c r="I3624" s="16"/>
      <c r="J3624" s="16"/>
      <c r="K3624" s="16"/>
      <c r="L3624" s="16"/>
      <c r="M3624" s="16"/>
    </row>
    <row r="3625" spans="1:13" x14ac:dyDescent="0.2">
      <c r="A3625" s="16"/>
      <c r="B3625" s="37"/>
      <c r="C3625" s="16"/>
      <c r="D3625" s="16"/>
      <c r="E3625" s="16"/>
      <c r="F3625" s="16"/>
      <c r="G3625" s="16"/>
      <c r="H3625" s="16"/>
      <c r="I3625" s="16"/>
      <c r="J3625" s="16"/>
      <c r="K3625" s="16"/>
      <c r="L3625" s="16"/>
      <c r="M3625" s="16"/>
    </row>
    <row r="3626" spans="1:13" x14ac:dyDescent="0.2">
      <c r="A3626" s="16"/>
      <c r="B3626" s="37"/>
      <c r="C3626" s="16"/>
      <c r="D3626" s="16"/>
      <c r="E3626" s="16"/>
      <c r="F3626" s="16"/>
      <c r="G3626" s="16"/>
      <c r="H3626" s="16"/>
      <c r="I3626" s="16"/>
      <c r="J3626" s="16"/>
      <c r="K3626" s="16"/>
      <c r="L3626" s="16"/>
      <c r="M3626" s="16"/>
    </row>
    <row r="3627" spans="1:13" x14ac:dyDescent="0.2">
      <c r="A3627" s="16"/>
      <c r="B3627" s="37"/>
      <c r="C3627" s="16"/>
      <c r="D3627" s="16"/>
      <c r="E3627" s="16"/>
      <c r="F3627" s="16"/>
      <c r="G3627" s="16"/>
      <c r="H3627" s="16"/>
      <c r="I3627" s="16"/>
      <c r="J3627" s="16"/>
      <c r="K3627" s="16"/>
      <c r="L3627" s="16"/>
      <c r="M3627" s="16"/>
    </row>
    <row r="3628" spans="1:13" x14ac:dyDescent="0.2">
      <c r="A3628" s="16"/>
      <c r="B3628" s="37"/>
      <c r="C3628" s="16"/>
      <c r="D3628" s="16"/>
      <c r="E3628" s="16"/>
      <c r="F3628" s="16"/>
      <c r="G3628" s="16"/>
      <c r="H3628" s="16"/>
      <c r="I3628" s="16"/>
      <c r="J3628" s="16"/>
      <c r="K3628" s="16"/>
      <c r="L3628" s="16"/>
      <c r="M3628" s="16"/>
    </row>
    <row r="3629" spans="1:13" x14ac:dyDescent="0.2">
      <c r="A3629" s="16"/>
      <c r="B3629" s="37"/>
      <c r="C3629" s="16"/>
      <c r="D3629" s="16"/>
      <c r="E3629" s="16"/>
      <c r="F3629" s="16"/>
      <c r="G3629" s="16"/>
      <c r="H3629" s="16"/>
      <c r="I3629" s="16"/>
      <c r="J3629" s="16"/>
      <c r="K3629" s="16"/>
      <c r="L3629" s="16"/>
      <c r="M3629" s="16"/>
    </row>
    <row r="3630" spans="1:13" x14ac:dyDescent="0.2">
      <c r="A3630" s="16"/>
      <c r="B3630" s="37"/>
      <c r="C3630" s="16"/>
      <c r="D3630" s="16"/>
      <c r="E3630" s="16"/>
      <c r="F3630" s="16"/>
      <c r="G3630" s="16"/>
      <c r="H3630" s="16"/>
      <c r="I3630" s="16"/>
      <c r="J3630" s="16"/>
      <c r="K3630" s="16"/>
      <c r="L3630" s="16"/>
      <c r="M3630" s="16"/>
    </row>
    <row r="3631" spans="1:13" x14ac:dyDescent="0.2">
      <c r="A3631" s="16"/>
      <c r="B3631" s="37"/>
      <c r="C3631" s="16"/>
      <c r="D3631" s="16"/>
      <c r="E3631" s="16"/>
      <c r="F3631" s="16"/>
      <c r="G3631" s="16"/>
      <c r="H3631" s="16"/>
      <c r="I3631" s="16"/>
      <c r="J3631" s="16"/>
      <c r="K3631" s="16"/>
      <c r="L3631" s="16"/>
      <c r="M3631" s="16"/>
    </row>
    <row r="3632" spans="1:13" x14ac:dyDescent="0.2">
      <c r="A3632" s="16"/>
      <c r="B3632" s="37"/>
      <c r="C3632" s="16"/>
      <c r="D3632" s="16"/>
      <c r="E3632" s="16"/>
      <c r="F3632" s="16"/>
      <c r="G3632" s="16"/>
      <c r="H3632" s="16"/>
      <c r="I3632" s="16"/>
      <c r="J3632" s="16"/>
      <c r="K3632" s="16"/>
      <c r="L3632" s="16"/>
      <c r="M3632" s="16"/>
    </row>
    <row r="3633" spans="1:13" x14ac:dyDescent="0.2">
      <c r="A3633" s="16"/>
      <c r="B3633" s="37"/>
      <c r="C3633" s="16"/>
      <c r="D3633" s="16"/>
      <c r="E3633" s="16"/>
      <c r="F3633" s="16"/>
      <c r="G3633" s="16"/>
      <c r="H3633" s="16"/>
      <c r="I3633" s="16"/>
      <c r="J3633" s="16"/>
      <c r="K3633" s="16"/>
      <c r="L3633" s="16"/>
      <c r="M3633" s="16"/>
    </row>
    <row r="3634" spans="1:13" x14ac:dyDescent="0.2">
      <c r="A3634" s="16"/>
      <c r="B3634" s="37"/>
      <c r="C3634" s="16"/>
      <c r="D3634" s="16"/>
      <c r="E3634" s="16"/>
      <c r="F3634" s="16"/>
      <c r="G3634" s="16"/>
      <c r="H3634" s="16"/>
      <c r="I3634" s="16"/>
      <c r="J3634" s="16"/>
      <c r="K3634" s="16"/>
      <c r="L3634" s="16"/>
      <c r="M3634" s="16"/>
    </row>
    <row r="3635" spans="1:13" x14ac:dyDescent="0.2">
      <c r="A3635" s="16"/>
      <c r="B3635" s="37"/>
      <c r="C3635" s="16"/>
      <c r="D3635" s="16"/>
      <c r="E3635" s="16"/>
      <c r="F3635" s="16"/>
      <c r="G3635" s="16"/>
      <c r="H3635" s="16"/>
      <c r="I3635" s="16"/>
      <c r="J3635" s="16"/>
      <c r="K3635" s="16"/>
      <c r="L3635" s="16"/>
      <c r="M3635" s="16"/>
    </row>
    <row r="3636" spans="1:13" x14ac:dyDescent="0.2">
      <c r="A3636" s="16"/>
      <c r="B3636" s="37"/>
      <c r="C3636" s="16"/>
      <c r="D3636" s="16"/>
      <c r="E3636" s="16"/>
      <c r="F3636" s="16"/>
      <c r="G3636" s="16"/>
      <c r="H3636" s="16"/>
      <c r="I3636" s="16"/>
      <c r="J3636" s="16"/>
      <c r="K3636" s="16"/>
      <c r="L3636" s="16"/>
      <c r="M3636" s="16"/>
    </row>
    <row r="3637" spans="1:13" x14ac:dyDescent="0.2">
      <c r="A3637" s="16"/>
      <c r="B3637" s="37"/>
      <c r="C3637" s="16"/>
      <c r="D3637" s="16"/>
      <c r="E3637" s="16"/>
      <c r="F3637" s="16"/>
      <c r="G3637" s="16"/>
      <c r="H3637" s="16"/>
      <c r="I3637" s="16"/>
      <c r="J3637" s="16"/>
      <c r="K3637" s="16"/>
      <c r="L3637" s="16"/>
      <c r="M3637" s="16"/>
    </row>
    <row r="3638" spans="1:13" x14ac:dyDescent="0.2">
      <c r="A3638" s="16"/>
      <c r="B3638" s="37"/>
      <c r="C3638" s="16"/>
      <c r="D3638" s="16"/>
      <c r="E3638" s="16"/>
      <c r="F3638" s="16"/>
      <c r="G3638" s="16"/>
      <c r="H3638" s="16"/>
      <c r="I3638" s="16"/>
      <c r="J3638" s="16"/>
      <c r="K3638" s="16"/>
      <c r="L3638" s="16"/>
      <c r="M3638" s="16"/>
    </row>
    <row r="3639" spans="1:13" x14ac:dyDescent="0.2">
      <c r="A3639" s="16"/>
      <c r="B3639" s="37"/>
      <c r="C3639" s="16"/>
      <c r="D3639" s="16"/>
      <c r="E3639" s="16"/>
      <c r="F3639" s="16"/>
      <c r="G3639" s="16"/>
      <c r="H3639" s="16"/>
      <c r="I3639" s="16"/>
      <c r="J3639" s="16"/>
      <c r="K3639" s="16"/>
      <c r="L3639" s="16"/>
      <c r="M3639" s="16"/>
    </row>
    <row r="3640" spans="1:13" x14ac:dyDescent="0.2">
      <c r="A3640" s="16"/>
      <c r="B3640" s="37"/>
      <c r="C3640" s="16"/>
      <c r="D3640" s="16"/>
      <c r="E3640" s="16"/>
      <c r="F3640" s="16"/>
      <c r="G3640" s="16"/>
      <c r="H3640" s="16"/>
      <c r="I3640" s="16"/>
      <c r="J3640" s="16"/>
      <c r="K3640" s="16"/>
      <c r="L3640" s="16"/>
      <c r="M3640" s="16"/>
    </row>
    <row r="3641" spans="1:13" x14ac:dyDescent="0.2">
      <c r="A3641" s="16"/>
      <c r="B3641" s="37"/>
      <c r="C3641" s="16"/>
      <c r="D3641" s="16"/>
      <c r="E3641" s="16"/>
      <c r="F3641" s="16"/>
      <c r="G3641" s="16"/>
      <c r="H3641" s="16"/>
      <c r="I3641" s="16"/>
      <c r="J3641" s="16"/>
      <c r="K3641" s="16"/>
      <c r="L3641" s="16"/>
      <c r="M3641" s="16"/>
    </row>
    <row r="3642" spans="1:13" x14ac:dyDescent="0.2">
      <c r="A3642" s="16"/>
      <c r="B3642" s="37"/>
      <c r="C3642" s="16"/>
      <c r="D3642" s="16"/>
      <c r="E3642" s="16"/>
      <c r="F3642" s="16"/>
      <c r="G3642" s="16"/>
      <c r="H3642" s="16"/>
      <c r="I3642" s="16"/>
      <c r="J3642" s="16"/>
      <c r="K3642" s="16"/>
      <c r="L3642" s="16"/>
      <c r="M3642" s="16"/>
    </row>
    <row r="3643" spans="1:13" x14ac:dyDescent="0.2">
      <c r="A3643" s="16"/>
      <c r="B3643" s="37"/>
      <c r="C3643" s="16"/>
      <c r="D3643" s="16"/>
      <c r="E3643" s="16"/>
      <c r="F3643" s="16"/>
      <c r="G3643" s="16"/>
      <c r="H3643" s="16"/>
      <c r="I3643" s="16"/>
      <c r="J3643" s="16"/>
      <c r="K3643" s="16"/>
      <c r="L3643" s="16"/>
      <c r="M3643" s="16"/>
    </row>
    <row r="3644" spans="1:13" x14ac:dyDescent="0.2">
      <c r="A3644" s="16"/>
      <c r="B3644" s="37"/>
      <c r="C3644" s="16"/>
      <c r="D3644" s="16"/>
      <c r="E3644" s="16"/>
      <c r="F3644" s="16"/>
      <c r="G3644" s="16"/>
      <c r="H3644" s="16"/>
      <c r="I3644" s="16"/>
      <c r="J3644" s="16"/>
      <c r="K3644" s="16"/>
      <c r="L3644" s="16"/>
      <c r="M3644" s="16"/>
    </row>
    <row r="3645" spans="1:13" x14ac:dyDescent="0.2">
      <c r="A3645" s="16"/>
      <c r="B3645" s="37"/>
      <c r="C3645" s="16"/>
      <c r="D3645" s="16"/>
      <c r="E3645" s="16"/>
      <c r="F3645" s="16"/>
      <c r="G3645" s="16"/>
      <c r="H3645" s="16"/>
      <c r="I3645" s="16"/>
      <c r="J3645" s="16"/>
      <c r="K3645" s="16"/>
      <c r="L3645" s="16"/>
      <c r="M3645" s="16"/>
    </row>
    <row r="3646" spans="1:13" x14ac:dyDescent="0.2">
      <c r="A3646" s="16"/>
      <c r="B3646" s="37"/>
      <c r="C3646" s="16"/>
      <c r="D3646" s="16"/>
      <c r="E3646" s="16"/>
      <c r="F3646" s="16"/>
      <c r="G3646" s="16"/>
      <c r="H3646" s="16"/>
      <c r="I3646" s="16"/>
      <c r="J3646" s="16"/>
      <c r="K3646" s="16"/>
      <c r="L3646" s="16"/>
      <c r="M3646" s="16"/>
    </row>
    <row r="3647" spans="1:13" x14ac:dyDescent="0.2">
      <c r="A3647" s="16"/>
      <c r="B3647" s="37"/>
      <c r="C3647" s="16"/>
      <c r="D3647" s="16"/>
      <c r="E3647" s="16"/>
      <c r="F3647" s="16"/>
      <c r="G3647" s="16"/>
      <c r="H3647" s="16"/>
      <c r="I3647" s="16"/>
      <c r="J3647" s="16"/>
      <c r="K3647" s="16"/>
      <c r="L3647" s="16"/>
      <c r="M3647" s="16"/>
    </row>
    <row r="3648" spans="1:13" x14ac:dyDescent="0.2">
      <c r="A3648" s="16"/>
      <c r="B3648" s="37"/>
      <c r="C3648" s="16"/>
      <c r="D3648" s="16"/>
      <c r="E3648" s="16"/>
      <c r="F3648" s="16"/>
      <c r="G3648" s="16"/>
      <c r="H3648" s="16"/>
      <c r="I3648" s="16"/>
      <c r="J3648" s="16"/>
      <c r="K3648" s="16"/>
      <c r="L3648" s="16"/>
      <c r="M3648" s="16"/>
    </row>
    <row r="3649" spans="1:13" x14ac:dyDescent="0.2">
      <c r="A3649" s="16"/>
      <c r="B3649" s="37"/>
      <c r="C3649" s="16"/>
      <c r="D3649" s="16"/>
      <c r="E3649" s="16"/>
      <c r="F3649" s="16"/>
      <c r="G3649" s="16"/>
      <c r="H3649" s="16"/>
      <c r="I3649" s="16"/>
      <c r="J3649" s="16"/>
      <c r="K3649" s="16"/>
      <c r="L3649" s="16"/>
      <c r="M3649" s="16"/>
    </row>
    <row r="3650" spans="1:13" x14ac:dyDescent="0.2">
      <c r="A3650" s="16"/>
      <c r="B3650" s="37"/>
      <c r="C3650" s="16"/>
      <c r="D3650" s="16"/>
      <c r="E3650" s="16"/>
      <c r="F3650" s="16"/>
      <c r="G3650" s="16"/>
      <c r="H3650" s="16"/>
      <c r="I3650" s="16"/>
      <c r="J3650" s="16"/>
      <c r="K3650" s="16"/>
      <c r="L3650" s="16"/>
      <c r="M3650" s="16"/>
    </row>
    <row r="3651" spans="1:13" x14ac:dyDescent="0.2">
      <c r="A3651" s="16"/>
      <c r="B3651" s="37"/>
      <c r="C3651" s="16"/>
      <c r="D3651" s="16"/>
      <c r="E3651" s="16"/>
      <c r="F3651" s="16"/>
      <c r="G3651" s="16"/>
      <c r="H3651" s="16"/>
      <c r="I3651" s="16"/>
      <c r="J3651" s="16"/>
      <c r="K3651" s="16"/>
      <c r="L3651" s="16"/>
      <c r="M3651" s="16"/>
    </row>
    <row r="3652" spans="1:13" x14ac:dyDescent="0.2">
      <c r="A3652" s="16"/>
      <c r="B3652" s="37"/>
      <c r="C3652" s="16"/>
      <c r="D3652" s="16"/>
      <c r="E3652" s="16"/>
      <c r="F3652" s="16"/>
      <c r="G3652" s="16"/>
      <c r="H3652" s="16"/>
      <c r="I3652" s="16"/>
      <c r="J3652" s="16"/>
      <c r="K3652" s="16"/>
      <c r="L3652" s="16"/>
      <c r="M3652" s="16"/>
    </row>
    <row r="3653" spans="1:13" x14ac:dyDescent="0.2">
      <c r="A3653" s="16"/>
      <c r="B3653" s="37"/>
      <c r="C3653" s="16"/>
      <c r="D3653" s="16"/>
      <c r="E3653" s="16"/>
      <c r="F3653" s="16"/>
      <c r="G3653" s="16"/>
      <c r="H3653" s="16"/>
      <c r="I3653" s="16"/>
      <c r="J3653" s="16"/>
      <c r="K3653" s="16"/>
      <c r="L3653" s="16"/>
      <c r="M3653" s="16"/>
    </row>
    <row r="3654" spans="1:13" x14ac:dyDescent="0.2">
      <c r="A3654" s="16"/>
      <c r="B3654" s="37"/>
      <c r="C3654" s="16"/>
      <c r="D3654" s="16"/>
      <c r="E3654" s="16"/>
      <c r="F3654" s="16"/>
      <c r="G3654" s="16"/>
      <c r="H3654" s="16"/>
      <c r="I3654" s="16"/>
      <c r="J3654" s="16"/>
      <c r="K3654" s="16"/>
      <c r="L3654" s="16"/>
      <c r="M3654" s="16"/>
    </row>
    <row r="3655" spans="1:13" x14ac:dyDescent="0.2">
      <c r="A3655" s="16"/>
      <c r="B3655" s="37"/>
      <c r="C3655" s="16"/>
      <c r="D3655" s="16"/>
      <c r="E3655" s="16"/>
      <c r="F3655" s="16"/>
      <c r="G3655" s="16"/>
      <c r="H3655" s="16"/>
      <c r="I3655" s="16"/>
      <c r="J3655" s="16"/>
      <c r="K3655" s="16"/>
      <c r="L3655" s="16"/>
      <c r="M3655" s="16"/>
    </row>
    <row r="3656" spans="1:13" x14ac:dyDescent="0.2">
      <c r="A3656" s="16"/>
      <c r="B3656" s="37"/>
      <c r="C3656" s="16"/>
      <c r="D3656" s="16"/>
      <c r="E3656" s="16"/>
      <c r="F3656" s="16"/>
      <c r="G3656" s="16"/>
      <c r="H3656" s="16"/>
      <c r="I3656" s="16"/>
      <c r="J3656" s="16"/>
      <c r="K3656" s="16"/>
      <c r="L3656" s="16"/>
      <c r="M3656" s="16"/>
    </row>
    <row r="3657" spans="1:13" x14ac:dyDescent="0.2">
      <c r="A3657" s="16"/>
      <c r="B3657" s="37"/>
      <c r="C3657" s="16"/>
      <c r="D3657" s="16"/>
      <c r="E3657" s="16"/>
      <c r="F3657" s="16"/>
      <c r="G3657" s="16"/>
      <c r="H3657" s="16"/>
      <c r="I3657" s="16"/>
      <c r="J3657" s="16"/>
      <c r="K3657" s="16"/>
      <c r="L3657" s="16"/>
      <c r="M3657" s="16"/>
    </row>
    <row r="3658" spans="1:13" x14ac:dyDescent="0.2">
      <c r="A3658" s="16"/>
      <c r="B3658" s="37"/>
      <c r="C3658" s="16"/>
      <c r="D3658" s="16"/>
      <c r="E3658" s="16"/>
      <c r="F3658" s="16"/>
      <c r="G3658" s="16"/>
      <c r="H3658" s="16"/>
      <c r="I3658" s="16"/>
      <c r="J3658" s="16"/>
      <c r="K3658" s="16"/>
      <c r="L3658" s="16"/>
      <c r="M3658" s="16"/>
    </row>
    <row r="3659" spans="1:13" x14ac:dyDescent="0.2">
      <c r="A3659" s="16"/>
      <c r="B3659" s="37"/>
      <c r="C3659" s="16"/>
      <c r="D3659" s="16"/>
      <c r="E3659" s="16"/>
      <c r="F3659" s="16"/>
      <c r="G3659" s="16"/>
      <c r="H3659" s="16"/>
      <c r="I3659" s="16"/>
      <c r="J3659" s="16"/>
      <c r="K3659" s="16"/>
      <c r="L3659" s="16"/>
      <c r="M3659" s="16"/>
    </row>
    <row r="3660" spans="1:13" x14ac:dyDescent="0.2">
      <c r="A3660" s="16"/>
      <c r="B3660" s="37"/>
      <c r="C3660" s="16"/>
      <c r="D3660" s="16"/>
      <c r="E3660" s="16"/>
      <c r="F3660" s="16"/>
      <c r="G3660" s="16"/>
      <c r="H3660" s="16"/>
      <c r="I3660" s="16"/>
      <c r="J3660" s="16"/>
      <c r="K3660" s="16"/>
      <c r="L3660" s="16"/>
      <c r="M3660" s="16"/>
    </row>
    <row r="3661" spans="1:13" x14ac:dyDescent="0.2">
      <c r="A3661" s="16"/>
      <c r="B3661" s="37"/>
      <c r="C3661" s="16"/>
      <c r="D3661" s="16"/>
      <c r="E3661" s="16"/>
      <c r="F3661" s="16"/>
      <c r="G3661" s="16"/>
      <c r="H3661" s="16"/>
      <c r="I3661" s="16"/>
      <c r="J3661" s="16"/>
      <c r="K3661" s="16"/>
      <c r="L3661" s="16"/>
      <c r="M3661" s="16"/>
    </row>
    <row r="3662" spans="1:13" x14ac:dyDescent="0.2">
      <c r="A3662" s="16"/>
      <c r="B3662" s="37"/>
      <c r="C3662" s="16"/>
      <c r="D3662" s="16"/>
      <c r="E3662" s="16"/>
      <c r="F3662" s="16"/>
      <c r="G3662" s="16"/>
      <c r="H3662" s="16"/>
      <c r="I3662" s="16"/>
      <c r="J3662" s="16"/>
      <c r="K3662" s="16"/>
      <c r="L3662" s="16"/>
      <c r="M3662" s="16"/>
    </row>
    <row r="3663" spans="1:13" x14ac:dyDescent="0.2">
      <c r="A3663" s="16"/>
      <c r="B3663" s="37"/>
      <c r="C3663" s="16"/>
      <c r="D3663" s="16"/>
      <c r="E3663" s="16"/>
      <c r="F3663" s="16"/>
      <c r="G3663" s="16"/>
      <c r="H3663" s="16"/>
      <c r="I3663" s="16"/>
      <c r="J3663" s="16"/>
      <c r="K3663" s="16"/>
      <c r="L3663" s="16"/>
      <c r="M3663" s="16"/>
    </row>
    <row r="3664" spans="1:13" x14ac:dyDescent="0.2">
      <c r="A3664" s="16"/>
      <c r="B3664" s="37"/>
      <c r="C3664" s="16"/>
      <c r="D3664" s="16"/>
      <c r="E3664" s="16"/>
      <c r="F3664" s="16"/>
      <c r="G3664" s="16"/>
      <c r="H3664" s="16"/>
      <c r="I3664" s="16"/>
      <c r="J3664" s="16"/>
      <c r="K3664" s="16"/>
      <c r="L3664" s="16"/>
      <c r="M3664" s="16"/>
    </row>
    <row r="3665" spans="1:13" x14ac:dyDescent="0.2">
      <c r="A3665" s="16"/>
      <c r="B3665" s="37"/>
      <c r="C3665" s="16"/>
      <c r="D3665" s="16"/>
      <c r="E3665" s="16"/>
      <c r="F3665" s="16"/>
      <c r="G3665" s="16"/>
      <c r="H3665" s="16"/>
      <c r="I3665" s="16"/>
      <c r="J3665" s="16"/>
      <c r="K3665" s="16"/>
      <c r="L3665" s="16"/>
      <c r="M3665" s="16"/>
    </row>
    <row r="3666" spans="1:13" x14ac:dyDescent="0.2">
      <c r="A3666" s="16"/>
      <c r="B3666" s="37"/>
      <c r="C3666" s="16"/>
      <c r="D3666" s="16"/>
      <c r="E3666" s="16"/>
      <c r="F3666" s="16"/>
      <c r="G3666" s="16"/>
      <c r="H3666" s="16"/>
      <c r="I3666" s="16"/>
      <c r="J3666" s="16"/>
      <c r="K3666" s="16"/>
      <c r="L3666" s="16"/>
      <c r="M3666" s="16"/>
    </row>
    <row r="3667" spans="1:13" x14ac:dyDescent="0.2">
      <c r="A3667" s="16"/>
      <c r="B3667" s="37"/>
      <c r="C3667" s="16"/>
      <c r="D3667" s="16"/>
      <c r="E3667" s="16"/>
      <c r="F3667" s="16"/>
      <c r="G3667" s="16"/>
      <c r="H3667" s="16"/>
      <c r="I3667" s="16"/>
      <c r="J3667" s="16"/>
      <c r="K3667" s="16"/>
      <c r="L3667" s="16"/>
      <c r="M3667" s="16"/>
    </row>
    <row r="3668" spans="1:13" x14ac:dyDescent="0.2">
      <c r="A3668" s="16"/>
      <c r="B3668" s="37"/>
      <c r="C3668" s="16"/>
      <c r="D3668" s="16"/>
      <c r="E3668" s="16"/>
      <c r="F3668" s="16"/>
      <c r="G3668" s="16"/>
      <c r="H3668" s="16"/>
      <c r="I3668" s="16"/>
      <c r="J3668" s="16"/>
      <c r="K3668" s="16"/>
      <c r="L3668" s="16"/>
      <c r="M3668" s="16"/>
    </row>
    <row r="3669" spans="1:13" x14ac:dyDescent="0.2">
      <c r="A3669" s="16"/>
      <c r="B3669" s="37"/>
      <c r="C3669" s="16"/>
      <c r="D3669" s="16"/>
      <c r="E3669" s="16"/>
      <c r="F3669" s="16"/>
      <c r="G3669" s="16"/>
      <c r="H3669" s="16"/>
      <c r="I3669" s="16"/>
      <c r="J3669" s="16"/>
      <c r="K3669" s="16"/>
      <c r="L3669" s="16"/>
      <c r="M3669" s="16"/>
    </row>
    <row r="3670" spans="1:13" x14ac:dyDescent="0.2">
      <c r="A3670" s="16"/>
      <c r="B3670" s="37"/>
      <c r="C3670" s="16"/>
      <c r="D3670" s="16"/>
      <c r="E3670" s="16"/>
      <c r="F3670" s="16"/>
      <c r="G3670" s="16"/>
      <c r="H3670" s="16"/>
      <c r="I3670" s="16"/>
      <c r="J3670" s="16"/>
      <c r="K3670" s="16"/>
      <c r="L3670" s="16"/>
      <c r="M3670" s="16"/>
    </row>
    <row r="3671" spans="1:13" x14ac:dyDescent="0.2">
      <c r="A3671" s="16"/>
      <c r="B3671" s="37"/>
      <c r="C3671" s="16"/>
      <c r="D3671" s="16"/>
      <c r="E3671" s="16"/>
      <c r="F3671" s="16"/>
      <c r="G3671" s="16"/>
      <c r="H3671" s="16"/>
      <c r="I3671" s="16"/>
      <c r="J3671" s="16"/>
      <c r="K3671" s="16"/>
      <c r="L3671" s="16"/>
      <c r="M3671" s="16"/>
    </row>
    <row r="3672" spans="1:13" x14ac:dyDescent="0.2">
      <c r="A3672" s="16"/>
      <c r="B3672" s="37"/>
      <c r="C3672" s="16"/>
      <c r="D3672" s="16"/>
      <c r="E3672" s="16"/>
      <c r="F3672" s="16"/>
      <c r="G3672" s="16"/>
      <c r="H3672" s="16"/>
      <c r="I3672" s="16"/>
      <c r="J3672" s="16"/>
      <c r="K3672" s="16"/>
      <c r="L3672" s="16"/>
      <c r="M3672" s="16"/>
    </row>
    <row r="3673" spans="1:13" x14ac:dyDescent="0.2">
      <c r="A3673" s="16"/>
      <c r="B3673" s="37"/>
      <c r="C3673" s="16"/>
      <c r="D3673" s="16"/>
      <c r="E3673" s="16"/>
      <c r="F3673" s="16"/>
      <c r="G3673" s="16"/>
      <c r="H3673" s="16"/>
      <c r="I3673" s="16"/>
      <c r="J3673" s="16"/>
      <c r="K3673" s="16"/>
      <c r="L3673" s="16"/>
      <c r="M3673" s="16"/>
    </row>
    <row r="3674" spans="1:13" x14ac:dyDescent="0.2">
      <c r="A3674" s="16"/>
      <c r="B3674" s="37"/>
      <c r="C3674" s="16"/>
      <c r="D3674" s="16"/>
      <c r="E3674" s="16"/>
      <c r="F3674" s="16"/>
      <c r="G3674" s="16"/>
      <c r="H3674" s="16"/>
      <c r="I3674" s="16"/>
      <c r="J3674" s="16"/>
      <c r="K3674" s="16"/>
      <c r="L3674" s="16"/>
      <c r="M3674" s="16"/>
    </row>
    <row r="3675" spans="1:13" x14ac:dyDescent="0.2">
      <c r="A3675" s="16"/>
      <c r="B3675" s="37"/>
      <c r="C3675" s="16"/>
      <c r="D3675" s="16"/>
      <c r="E3675" s="16"/>
      <c r="F3675" s="16"/>
      <c r="G3675" s="16"/>
      <c r="H3675" s="16"/>
      <c r="I3675" s="16"/>
      <c r="J3675" s="16"/>
      <c r="K3675" s="16"/>
      <c r="L3675" s="16"/>
      <c r="M3675" s="16"/>
    </row>
    <row r="3676" spans="1:13" x14ac:dyDescent="0.2">
      <c r="A3676" s="16"/>
      <c r="B3676" s="37"/>
      <c r="C3676" s="16"/>
      <c r="D3676" s="16"/>
      <c r="E3676" s="16"/>
      <c r="F3676" s="16"/>
      <c r="G3676" s="16"/>
      <c r="H3676" s="16"/>
      <c r="I3676" s="16"/>
      <c r="J3676" s="16"/>
      <c r="K3676" s="16"/>
      <c r="L3676" s="16"/>
      <c r="M3676" s="16"/>
    </row>
    <row r="3677" spans="1:13" x14ac:dyDescent="0.2">
      <c r="A3677" s="16"/>
      <c r="B3677" s="37"/>
      <c r="C3677" s="16"/>
      <c r="D3677" s="16"/>
      <c r="E3677" s="16"/>
      <c r="F3677" s="16"/>
      <c r="G3677" s="16"/>
      <c r="H3677" s="16"/>
      <c r="I3677" s="16"/>
      <c r="J3677" s="16"/>
      <c r="K3677" s="16"/>
      <c r="L3677" s="16"/>
      <c r="M3677" s="16"/>
    </row>
    <row r="3678" spans="1:13" x14ac:dyDescent="0.2">
      <c r="A3678" s="16"/>
      <c r="B3678" s="37"/>
      <c r="C3678" s="16"/>
      <c r="D3678" s="16"/>
      <c r="E3678" s="16"/>
      <c r="F3678" s="16"/>
      <c r="G3678" s="16"/>
      <c r="H3678" s="16"/>
      <c r="I3678" s="16"/>
      <c r="J3678" s="16"/>
      <c r="K3678" s="16"/>
      <c r="L3678" s="16"/>
      <c r="M3678" s="16"/>
    </row>
    <row r="3679" spans="1:13" x14ac:dyDescent="0.2">
      <c r="A3679" s="16"/>
      <c r="B3679" s="37"/>
      <c r="C3679" s="16"/>
      <c r="D3679" s="16"/>
      <c r="E3679" s="16"/>
      <c r="F3679" s="16"/>
      <c r="G3679" s="16"/>
      <c r="H3679" s="16"/>
      <c r="I3679" s="16"/>
      <c r="J3679" s="16"/>
      <c r="K3679" s="16"/>
      <c r="L3679" s="16"/>
      <c r="M3679" s="16"/>
    </row>
    <row r="3680" spans="1:13" x14ac:dyDescent="0.2">
      <c r="A3680" s="16"/>
      <c r="B3680" s="37"/>
      <c r="C3680" s="16"/>
      <c r="D3680" s="16"/>
      <c r="E3680" s="16"/>
      <c r="F3680" s="16"/>
      <c r="G3680" s="16"/>
      <c r="H3680" s="16"/>
      <c r="I3680" s="16"/>
      <c r="J3680" s="16"/>
      <c r="K3680" s="16"/>
      <c r="L3680" s="16"/>
      <c r="M3680" s="16"/>
    </row>
    <row r="3681" spans="1:13" x14ac:dyDescent="0.2">
      <c r="A3681" s="16"/>
      <c r="B3681" s="37"/>
      <c r="C3681" s="16"/>
      <c r="D3681" s="16"/>
      <c r="E3681" s="16"/>
      <c r="F3681" s="16"/>
      <c r="G3681" s="16"/>
      <c r="H3681" s="16"/>
      <c r="I3681" s="16"/>
      <c r="J3681" s="16"/>
      <c r="K3681" s="16"/>
      <c r="L3681" s="16"/>
      <c r="M3681" s="16"/>
    </row>
    <row r="3682" spans="1:13" x14ac:dyDescent="0.2">
      <c r="A3682" s="16"/>
      <c r="B3682" s="37"/>
      <c r="C3682" s="16"/>
      <c r="D3682" s="16"/>
      <c r="E3682" s="16"/>
      <c r="F3682" s="16"/>
      <c r="G3682" s="16"/>
      <c r="H3682" s="16"/>
      <c r="I3682" s="16"/>
      <c r="J3682" s="16"/>
      <c r="K3682" s="16"/>
      <c r="L3682" s="16"/>
      <c r="M3682" s="16"/>
    </row>
    <row r="3683" spans="1:13" x14ac:dyDescent="0.2">
      <c r="A3683" s="16"/>
      <c r="B3683" s="37"/>
      <c r="C3683" s="16"/>
      <c r="D3683" s="16"/>
      <c r="E3683" s="16"/>
      <c r="F3683" s="16"/>
      <c r="G3683" s="16"/>
      <c r="H3683" s="16"/>
      <c r="I3683" s="16"/>
      <c r="J3683" s="16"/>
      <c r="K3683" s="16"/>
      <c r="L3683" s="16"/>
      <c r="M3683" s="16"/>
    </row>
    <row r="3684" spans="1:13" x14ac:dyDescent="0.2">
      <c r="A3684" s="16"/>
      <c r="B3684" s="37"/>
      <c r="C3684" s="16"/>
      <c r="D3684" s="16"/>
      <c r="E3684" s="16"/>
      <c r="F3684" s="16"/>
      <c r="G3684" s="16"/>
      <c r="H3684" s="16"/>
      <c r="I3684" s="16"/>
      <c r="J3684" s="16"/>
      <c r="K3684" s="16"/>
      <c r="L3684" s="16"/>
      <c r="M3684" s="16"/>
    </row>
    <row r="3685" spans="1:13" x14ac:dyDescent="0.2">
      <c r="A3685" s="16"/>
      <c r="B3685" s="37"/>
      <c r="C3685" s="16"/>
      <c r="D3685" s="16"/>
      <c r="E3685" s="16"/>
      <c r="F3685" s="16"/>
      <c r="G3685" s="16"/>
      <c r="H3685" s="16"/>
      <c r="I3685" s="16"/>
      <c r="J3685" s="16"/>
      <c r="K3685" s="16"/>
      <c r="L3685" s="16"/>
      <c r="M3685" s="16"/>
    </row>
    <row r="3686" spans="1:13" x14ac:dyDescent="0.2">
      <c r="A3686" s="16"/>
      <c r="B3686" s="37"/>
      <c r="C3686" s="16"/>
      <c r="D3686" s="16"/>
      <c r="E3686" s="16"/>
      <c r="F3686" s="16"/>
      <c r="G3686" s="16"/>
      <c r="H3686" s="16"/>
      <c r="I3686" s="16"/>
      <c r="J3686" s="16"/>
      <c r="K3686" s="16"/>
      <c r="L3686" s="16"/>
      <c r="M3686" s="16"/>
    </row>
    <row r="3687" spans="1:13" x14ac:dyDescent="0.2">
      <c r="A3687" s="16"/>
      <c r="B3687" s="37"/>
      <c r="C3687" s="16"/>
      <c r="D3687" s="16"/>
      <c r="E3687" s="16"/>
      <c r="F3687" s="16"/>
      <c r="G3687" s="16"/>
      <c r="H3687" s="16"/>
      <c r="I3687" s="16"/>
      <c r="J3687" s="16"/>
      <c r="K3687" s="16"/>
      <c r="L3687" s="16"/>
      <c r="M3687" s="16"/>
    </row>
    <row r="3688" spans="1:13" x14ac:dyDescent="0.2">
      <c r="A3688" s="16"/>
      <c r="B3688" s="37"/>
      <c r="C3688" s="16"/>
      <c r="D3688" s="16"/>
      <c r="E3688" s="16"/>
      <c r="F3688" s="16"/>
      <c r="G3688" s="16"/>
      <c r="H3688" s="16"/>
      <c r="I3688" s="16"/>
      <c r="J3688" s="16"/>
      <c r="K3688" s="16"/>
      <c r="L3688" s="16"/>
      <c r="M3688" s="16"/>
    </row>
    <row r="3689" spans="1:13" x14ac:dyDescent="0.2">
      <c r="A3689" s="16"/>
      <c r="B3689" s="37"/>
      <c r="C3689" s="16"/>
      <c r="D3689" s="16"/>
      <c r="E3689" s="16"/>
      <c r="F3689" s="16"/>
      <c r="G3689" s="16"/>
      <c r="H3689" s="16"/>
      <c r="I3689" s="16"/>
      <c r="J3689" s="16"/>
      <c r="K3689" s="16"/>
      <c r="L3689" s="16"/>
      <c r="M3689" s="16"/>
    </row>
    <row r="3690" spans="1:13" x14ac:dyDescent="0.2">
      <c r="A3690" s="16"/>
      <c r="B3690" s="37"/>
      <c r="C3690" s="16"/>
      <c r="D3690" s="16"/>
      <c r="E3690" s="16"/>
      <c r="F3690" s="16"/>
      <c r="G3690" s="16"/>
      <c r="H3690" s="16"/>
      <c r="I3690" s="16"/>
      <c r="J3690" s="16"/>
      <c r="K3690" s="16"/>
      <c r="L3690" s="16"/>
      <c r="M3690" s="16"/>
    </row>
    <row r="3691" spans="1:13" x14ac:dyDescent="0.2">
      <c r="A3691" s="16"/>
      <c r="B3691" s="37"/>
      <c r="C3691" s="16"/>
      <c r="D3691" s="16"/>
      <c r="E3691" s="16"/>
      <c r="F3691" s="16"/>
      <c r="G3691" s="16"/>
      <c r="H3691" s="16"/>
      <c r="I3691" s="16"/>
      <c r="J3691" s="16"/>
      <c r="K3691" s="16"/>
      <c r="L3691" s="16"/>
      <c r="M3691" s="16"/>
    </row>
    <row r="3692" spans="1:13" x14ac:dyDescent="0.2">
      <c r="A3692" s="16"/>
      <c r="B3692" s="37"/>
      <c r="C3692" s="16"/>
      <c r="D3692" s="16"/>
      <c r="E3692" s="16"/>
      <c r="F3692" s="16"/>
      <c r="G3692" s="16"/>
      <c r="H3692" s="16"/>
      <c r="I3692" s="16"/>
      <c r="J3692" s="16"/>
      <c r="K3692" s="16"/>
      <c r="L3692" s="16"/>
      <c r="M3692" s="16"/>
    </row>
    <row r="3693" spans="1:13" x14ac:dyDescent="0.2">
      <c r="A3693" s="16"/>
      <c r="B3693" s="37"/>
      <c r="C3693" s="16"/>
      <c r="D3693" s="16"/>
      <c r="E3693" s="16"/>
      <c r="F3693" s="16"/>
      <c r="G3693" s="16"/>
      <c r="H3693" s="16"/>
      <c r="I3693" s="16"/>
      <c r="J3693" s="16"/>
      <c r="K3693" s="16"/>
      <c r="L3693" s="16"/>
      <c r="M3693" s="16"/>
    </row>
    <row r="3694" spans="1:13" x14ac:dyDescent="0.2">
      <c r="A3694" s="16"/>
      <c r="B3694" s="37"/>
      <c r="C3694" s="16"/>
      <c r="D3694" s="16"/>
      <c r="E3694" s="16"/>
      <c r="F3694" s="16"/>
      <c r="G3694" s="16"/>
      <c r="H3694" s="16"/>
      <c r="I3694" s="16"/>
      <c r="J3694" s="16"/>
      <c r="K3694" s="16"/>
      <c r="L3694" s="16"/>
      <c r="M3694" s="16"/>
    </row>
    <row r="3695" spans="1:13" x14ac:dyDescent="0.2">
      <c r="A3695" s="16"/>
      <c r="B3695" s="37"/>
      <c r="C3695" s="16"/>
      <c r="D3695" s="16"/>
      <c r="E3695" s="16"/>
      <c r="F3695" s="16"/>
      <c r="G3695" s="16"/>
      <c r="H3695" s="16"/>
      <c r="I3695" s="16"/>
      <c r="J3695" s="16"/>
      <c r="K3695" s="16"/>
      <c r="L3695" s="16"/>
      <c r="M3695" s="16"/>
    </row>
    <row r="3696" spans="1:13" x14ac:dyDescent="0.2">
      <c r="A3696" s="16"/>
      <c r="B3696" s="37"/>
      <c r="C3696" s="16"/>
      <c r="D3696" s="16"/>
      <c r="E3696" s="16"/>
      <c r="F3696" s="16"/>
      <c r="G3696" s="16"/>
      <c r="H3696" s="16"/>
      <c r="I3696" s="16"/>
      <c r="J3696" s="16"/>
      <c r="K3696" s="16"/>
      <c r="L3696" s="16"/>
      <c r="M3696" s="16"/>
    </row>
    <row r="3697" spans="1:13" x14ac:dyDescent="0.2">
      <c r="A3697" s="16"/>
      <c r="B3697" s="37"/>
      <c r="C3697" s="16"/>
      <c r="D3697" s="16"/>
      <c r="E3697" s="16"/>
      <c r="F3697" s="16"/>
      <c r="G3697" s="16"/>
      <c r="H3697" s="16"/>
      <c r="I3697" s="16"/>
      <c r="J3697" s="16"/>
      <c r="K3697" s="16"/>
      <c r="L3697" s="16"/>
      <c r="M3697" s="16"/>
    </row>
    <row r="3698" spans="1:13" x14ac:dyDescent="0.2">
      <c r="A3698" s="16"/>
      <c r="B3698" s="37"/>
      <c r="C3698" s="16"/>
      <c r="D3698" s="16"/>
      <c r="E3698" s="16"/>
      <c r="F3698" s="16"/>
      <c r="G3698" s="16"/>
      <c r="H3698" s="16"/>
      <c r="I3698" s="16"/>
      <c r="J3698" s="16"/>
      <c r="K3698" s="16"/>
      <c r="L3698" s="16"/>
      <c r="M3698" s="16"/>
    </row>
    <row r="3699" spans="1:13" x14ac:dyDescent="0.2">
      <c r="A3699" s="16"/>
      <c r="B3699" s="37"/>
      <c r="C3699" s="16"/>
      <c r="D3699" s="16"/>
      <c r="E3699" s="16"/>
      <c r="F3699" s="16"/>
      <c r="G3699" s="16"/>
      <c r="H3699" s="16"/>
      <c r="I3699" s="16"/>
      <c r="J3699" s="16"/>
      <c r="K3699" s="16"/>
      <c r="L3699" s="16"/>
      <c r="M3699" s="16"/>
    </row>
    <row r="3700" spans="1:13" x14ac:dyDescent="0.2">
      <c r="A3700" s="16"/>
      <c r="B3700" s="37"/>
      <c r="C3700" s="16"/>
      <c r="D3700" s="16"/>
      <c r="E3700" s="16"/>
      <c r="F3700" s="16"/>
      <c r="G3700" s="16"/>
      <c r="H3700" s="16"/>
      <c r="I3700" s="16"/>
      <c r="J3700" s="16"/>
      <c r="K3700" s="16"/>
      <c r="L3700" s="16"/>
      <c r="M3700" s="16"/>
    </row>
    <row r="3701" spans="1:13" x14ac:dyDescent="0.2">
      <c r="A3701" s="16"/>
      <c r="B3701" s="37"/>
      <c r="C3701" s="16"/>
      <c r="D3701" s="16"/>
      <c r="E3701" s="16"/>
      <c r="F3701" s="16"/>
      <c r="G3701" s="16"/>
      <c r="H3701" s="16"/>
      <c r="I3701" s="16"/>
      <c r="J3701" s="16"/>
      <c r="K3701" s="16"/>
      <c r="L3701" s="16"/>
      <c r="M3701" s="16"/>
    </row>
    <row r="3702" spans="1:13" x14ac:dyDescent="0.2">
      <c r="A3702" s="16"/>
      <c r="B3702" s="37"/>
      <c r="C3702" s="16"/>
      <c r="D3702" s="16"/>
      <c r="E3702" s="16"/>
      <c r="F3702" s="16"/>
      <c r="G3702" s="16"/>
      <c r="H3702" s="16"/>
      <c r="I3702" s="16"/>
      <c r="J3702" s="16"/>
      <c r="K3702" s="16"/>
      <c r="L3702" s="16"/>
      <c r="M3702" s="16"/>
    </row>
    <row r="3703" spans="1:13" x14ac:dyDescent="0.2">
      <c r="A3703" s="16"/>
      <c r="B3703" s="37"/>
      <c r="C3703" s="16"/>
      <c r="D3703" s="16"/>
      <c r="E3703" s="16"/>
      <c r="F3703" s="16"/>
      <c r="G3703" s="16"/>
      <c r="H3703" s="16"/>
      <c r="I3703" s="16"/>
      <c r="J3703" s="16"/>
      <c r="K3703" s="16"/>
      <c r="L3703" s="16"/>
      <c r="M3703" s="16"/>
    </row>
    <row r="3704" spans="1:13" x14ac:dyDescent="0.2">
      <c r="A3704" s="16"/>
      <c r="B3704" s="37"/>
      <c r="C3704" s="16"/>
      <c r="D3704" s="16"/>
      <c r="E3704" s="16"/>
      <c r="F3704" s="16"/>
      <c r="G3704" s="16"/>
      <c r="H3704" s="16"/>
      <c r="I3704" s="16"/>
      <c r="J3704" s="16"/>
      <c r="K3704" s="16"/>
      <c r="L3704" s="16"/>
      <c r="M3704" s="16"/>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2:B232"/>
  <sheetViews>
    <sheetView workbookViewId="0"/>
  </sheetViews>
  <sheetFormatPr defaultRowHeight="14.25" x14ac:dyDescent="0.2"/>
  <sheetData>
    <row r="2" spans="1:2" x14ac:dyDescent="0.2">
      <c r="A2" t="str">
        <f>IF((B2=B1),1,"")</f>
        <v/>
      </c>
      <c r="B2" t="s">
        <v>7</v>
      </c>
    </row>
    <row r="3" spans="1:2" x14ac:dyDescent="0.2">
      <c r="A3" t="str">
        <f t="shared" ref="A3:A66" si="0">IF((B3=B2),1,"")</f>
        <v/>
      </c>
      <c r="B3" t="s">
        <v>11</v>
      </c>
    </row>
    <row r="4" spans="1:2" x14ac:dyDescent="0.2">
      <c r="A4" t="str">
        <f t="shared" si="0"/>
        <v/>
      </c>
      <c r="B4" t="s">
        <v>12</v>
      </c>
    </row>
    <row r="5" spans="1:2" x14ac:dyDescent="0.2">
      <c r="A5" t="str">
        <f t="shared" si="0"/>
        <v/>
      </c>
      <c r="B5" t="s">
        <v>15</v>
      </c>
    </row>
    <row r="6" spans="1:2" x14ac:dyDescent="0.2">
      <c r="A6" t="str">
        <f t="shared" si="0"/>
        <v/>
      </c>
      <c r="B6" t="s">
        <v>18</v>
      </c>
    </row>
    <row r="7" spans="1:2" x14ac:dyDescent="0.2">
      <c r="A7" t="str">
        <f t="shared" si="0"/>
        <v/>
      </c>
      <c r="B7" t="s">
        <v>19</v>
      </c>
    </row>
    <row r="8" spans="1:2" x14ac:dyDescent="0.2">
      <c r="A8" t="str">
        <f t="shared" si="0"/>
        <v/>
      </c>
      <c r="B8" t="s">
        <v>22</v>
      </c>
    </row>
    <row r="9" spans="1:2" x14ac:dyDescent="0.2">
      <c r="A9" t="str">
        <f t="shared" si="0"/>
        <v/>
      </c>
      <c r="B9" t="s">
        <v>25</v>
      </c>
    </row>
    <row r="10" spans="1:2" x14ac:dyDescent="0.2">
      <c r="A10" t="str">
        <f t="shared" si="0"/>
        <v/>
      </c>
      <c r="B10" t="s">
        <v>28</v>
      </c>
    </row>
    <row r="11" spans="1:2" x14ac:dyDescent="0.2">
      <c r="A11" t="str">
        <f t="shared" si="0"/>
        <v/>
      </c>
      <c r="B11" t="s">
        <v>31</v>
      </c>
    </row>
    <row r="12" spans="1:2" x14ac:dyDescent="0.2">
      <c r="A12" t="str">
        <f t="shared" si="0"/>
        <v/>
      </c>
      <c r="B12" t="s">
        <v>32</v>
      </c>
    </row>
    <row r="13" spans="1:2" x14ac:dyDescent="0.2">
      <c r="A13" t="str">
        <f t="shared" si="0"/>
        <v/>
      </c>
      <c r="B13" t="s">
        <v>35</v>
      </c>
    </row>
    <row r="14" spans="1:2" x14ac:dyDescent="0.2">
      <c r="A14" t="str">
        <f t="shared" si="0"/>
        <v/>
      </c>
      <c r="B14" t="s">
        <v>36</v>
      </c>
    </row>
    <row r="15" spans="1:2" x14ac:dyDescent="0.2">
      <c r="A15" t="str">
        <f t="shared" si="0"/>
        <v/>
      </c>
      <c r="B15" t="s">
        <v>40</v>
      </c>
    </row>
    <row r="16" spans="1:2" x14ac:dyDescent="0.2">
      <c r="A16" t="str">
        <f t="shared" si="0"/>
        <v/>
      </c>
      <c r="B16" t="s">
        <v>43</v>
      </c>
    </row>
    <row r="17" spans="1:2" x14ac:dyDescent="0.2">
      <c r="A17" t="str">
        <f t="shared" si="0"/>
        <v/>
      </c>
      <c r="B17" t="s">
        <v>44</v>
      </c>
    </row>
    <row r="18" spans="1:2" x14ac:dyDescent="0.2">
      <c r="A18" t="str">
        <f t="shared" si="0"/>
        <v/>
      </c>
      <c r="B18" t="s">
        <v>45</v>
      </c>
    </row>
    <row r="19" spans="1:2" x14ac:dyDescent="0.2">
      <c r="A19" t="str">
        <f t="shared" si="0"/>
        <v/>
      </c>
      <c r="B19" t="s">
        <v>49</v>
      </c>
    </row>
    <row r="20" spans="1:2" x14ac:dyDescent="0.2">
      <c r="A20" t="str">
        <f t="shared" si="0"/>
        <v/>
      </c>
      <c r="B20" t="s">
        <v>52</v>
      </c>
    </row>
    <row r="21" spans="1:2" x14ac:dyDescent="0.2">
      <c r="A21" t="str">
        <f t="shared" si="0"/>
        <v/>
      </c>
      <c r="B21" t="s">
        <v>53</v>
      </c>
    </row>
    <row r="22" spans="1:2" x14ac:dyDescent="0.2">
      <c r="A22" t="str">
        <f t="shared" si="0"/>
        <v/>
      </c>
      <c r="B22" t="s">
        <v>54</v>
      </c>
    </row>
    <row r="23" spans="1:2" x14ac:dyDescent="0.2">
      <c r="A23" t="str">
        <f t="shared" si="0"/>
        <v/>
      </c>
      <c r="B23" t="s">
        <v>57</v>
      </c>
    </row>
    <row r="24" spans="1:2" x14ac:dyDescent="0.2">
      <c r="A24" t="str">
        <f t="shared" si="0"/>
        <v/>
      </c>
      <c r="B24" t="s">
        <v>60</v>
      </c>
    </row>
    <row r="25" spans="1:2" x14ac:dyDescent="0.2">
      <c r="A25" t="str">
        <f t="shared" si="0"/>
        <v/>
      </c>
      <c r="B25" t="s">
        <v>65</v>
      </c>
    </row>
    <row r="26" spans="1:2" x14ac:dyDescent="0.2">
      <c r="A26" t="str">
        <f t="shared" si="0"/>
        <v/>
      </c>
      <c r="B26" t="s">
        <v>69</v>
      </c>
    </row>
    <row r="27" spans="1:2" x14ac:dyDescent="0.2">
      <c r="A27" t="str">
        <f t="shared" si="0"/>
        <v/>
      </c>
      <c r="B27" t="s">
        <v>73</v>
      </c>
    </row>
    <row r="28" spans="1:2" x14ac:dyDescent="0.2">
      <c r="A28" t="str">
        <f t="shared" si="0"/>
        <v/>
      </c>
      <c r="B28" t="s">
        <v>80</v>
      </c>
    </row>
    <row r="29" spans="1:2" x14ac:dyDescent="0.2">
      <c r="A29" t="str">
        <f t="shared" si="0"/>
        <v/>
      </c>
      <c r="B29" t="s">
        <v>84</v>
      </c>
    </row>
    <row r="30" spans="1:2" x14ac:dyDescent="0.2">
      <c r="A30" t="str">
        <f t="shared" si="0"/>
        <v/>
      </c>
      <c r="B30" t="s">
        <v>87</v>
      </c>
    </row>
    <row r="31" spans="1:2" x14ac:dyDescent="0.2">
      <c r="A31" t="str">
        <f t="shared" si="0"/>
        <v/>
      </c>
      <c r="B31" t="s">
        <v>90</v>
      </c>
    </row>
    <row r="32" spans="1:2" x14ac:dyDescent="0.2">
      <c r="A32" t="str">
        <f t="shared" si="0"/>
        <v/>
      </c>
      <c r="B32" t="s">
        <v>91</v>
      </c>
    </row>
    <row r="33" spans="1:2" x14ac:dyDescent="0.2">
      <c r="A33" t="str">
        <f t="shared" si="0"/>
        <v/>
      </c>
      <c r="B33" t="s">
        <v>92</v>
      </c>
    </row>
    <row r="34" spans="1:2" x14ac:dyDescent="0.2">
      <c r="A34" t="str">
        <f t="shared" si="0"/>
        <v/>
      </c>
      <c r="B34" t="s">
        <v>96</v>
      </c>
    </row>
    <row r="35" spans="1:2" x14ac:dyDescent="0.2">
      <c r="A35" t="str">
        <f t="shared" si="0"/>
        <v/>
      </c>
      <c r="B35" t="s">
        <v>99</v>
      </c>
    </row>
    <row r="36" spans="1:2" x14ac:dyDescent="0.2">
      <c r="A36" t="str">
        <f t="shared" si="0"/>
        <v/>
      </c>
      <c r="B36" t="s">
        <v>102</v>
      </c>
    </row>
    <row r="37" spans="1:2" x14ac:dyDescent="0.2">
      <c r="A37" t="str">
        <f t="shared" si="0"/>
        <v/>
      </c>
      <c r="B37" t="s">
        <v>105</v>
      </c>
    </row>
    <row r="38" spans="1:2" x14ac:dyDescent="0.2">
      <c r="A38" t="str">
        <f t="shared" si="0"/>
        <v/>
      </c>
      <c r="B38" t="s">
        <v>108</v>
      </c>
    </row>
    <row r="39" spans="1:2" x14ac:dyDescent="0.2">
      <c r="A39" t="str">
        <f t="shared" si="0"/>
        <v/>
      </c>
      <c r="B39" t="s">
        <v>112</v>
      </c>
    </row>
    <row r="40" spans="1:2" x14ac:dyDescent="0.2">
      <c r="A40" t="str">
        <f t="shared" si="0"/>
        <v/>
      </c>
      <c r="B40" t="s">
        <v>115</v>
      </c>
    </row>
    <row r="41" spans="1:2" x14ac:dyDescent="0.2">
      <c r="A41" t="str">
        <f t="shared" si="0"/>
        <v/>
      </c>
      <c r="B41" t="s">
        <v>119</v>
      </c>
    </row>
    <row r="42" spans="1:2" x14ac:dyDescent="0.2">
      <c r="A42" t="str">
        <f t="shared" si="0"/>
        <v/>
      </c>
      <c r="B42" t="s">
        <v>122</v>
      </c>
    </row>
    <row r="43" spans="1:2" x14ac:dyDescent="0.2">
      <c r="A43" t="str">
        <f t="shared" si="0"/>
        <v/>
      </c>
      <c r="B43" t="s">
        <v>125</v>
      </c>
    </row>
    <row r="44" spans="1:2" x14ac:dyDescent="0.2">
      <c r="A44" t="str">
        <f t="shared" si="0"/>
        <v/>
      </c>
      <c r="B44" t="s">
        <v>126</v>
      </c>
    </row>
    <row r="45" spans="1:2" x14ac:dyDescent="0.2">
      <c r="A45" t="str">
        <f t="shared" si="0"/>
        <v/>
      </c>
      <c r="B45" t="s">
        <v>127</v>
      </c>
    </row>
    <row r="46" spans="1:2" x14ac:dyDescent="0.2">
      <c r="A46" t="str">
        <f t="shared" si="0"/>
        <v/>
      </c>
      <c r="B46" t="s">
        <v>128</v>
      </c>
    </row>
    <row r="47" spans="1:2" x14ac:dyDescent="0.2">
      <c r="A47" t="str">
        <f t="shared" si="0"/>
        <v/>
      </c>
      <c r="B47" t="s">
        <v>129</v>
      </c>
    </row>
    <row r="48" spans="1:2" x14ac:dyDescent="0.2">
      <c r="A48" t="str">
        <f t="shared" si="0"/>
        <v/>
      </c>
      <c r="B48" t="s">
        <v>130</v>
      </c>
    </row>
    <row r="49" spans="1:2" x14ac:dyDescent="0.2">
      <c r="A49" t="str">
        <f t="shared" si="0"/>
        <v/>
      </c>
      <c r="B49" t="s">
        <v>134</v>
      </c>
    </row>
    <row r="50" spans="1:2" x14ac:dyDescent="0.2">
      <c r="A50" t="str">
        <f t="shared" si="0"/>
        <v/>
      </c>
      <c r="B50" t="s">
        <v>138</v>
      </c>
    </row>
    <row r="51" spans="1:2" x14ac:dyDescent="0.2">
      <c r="A51" t="str">
        <f t="shared" si="0"/>
        <v/>
      </c>
      <c r="B51" t="s">
        <v>144</v>
      </c>
    </row>
    <row r="52" spans="1:2" x14ac:dyDescent="0.2">
      <c r="A52" t="str">
        <f t="shared" si="0"/>
        <v/>
      </c>
      <c r="B52" t="s">
        <v>148</v>
      </c>
    </row>
    <row r="53" spans="1:2" x14ac:dyDescent="0.2">
      <c r="A53" t="str">
        <f t="shared" si="0"/>
        <v/>
      </c>
      <c r="B53" t="s">
        <v>152</v>
      </c>
    </row>
    <row r="54" spans="1:2" x14ac:dyDescent="0.2">
      <c r="A54" t="str">
        <f t="shared" si="0"/>
        <v/>
      </c>
      <c r="B54" t="s">
        <v>153</v>
      </c>
    </row>
    <row r="55" spans="1:2" x14ac:dyDescent="0.2">
      <c r="A55" t="str">
        <f t="shared" si="0"/>
        <v/>
      </c>
      <c r="B55" t="s">
        <v>157</v>
      </c>
    </row>
    <row r="56" spans="1:2" x14ac:dyDescent="0.2">
      <c r="A56" t="str">
        <f t="shared" si="0"/>
        <v/>
      </c>
      <c r="B56" t="s">
        <v>37</v>
      </c>
    </row>
    <row r="57" spans="1:2" x14ac:dyDescent="0.2">
      <c r="A57" t="str">
        <f t="shared" si="0"/>
        <v/>
      </c>
      <c r="B57" t="s">
        <v>163</v>
      </c>
    </row>
    <row r="58" spans="1:2" x14ac:dyDescent="0.2">
      <c r="A58" t="str">
        <f t="shared" si="0"/>
        <v/>
      </c>
      <c r="B58" t="s">
        <v>164</v>
      </c>
    </row>
    <row r="59" spans="1:2" x14ac:dyDescent="0.2">
      <c r="A59" t="str">
        <f t="shared" si="0"/>
        <v/>
      </c>
      <c r="B59" t="s">
        <v>165</v>
      </c>
    </row>
    <row r="60" spans="1:2" x14ac:dyDescent="0.2">
      <c r="A60" t="str">
        <f t="shared" si="0"/>
        <v/>
      </c>
      <c r="B60" t="s">
        <v>166</v>
      </c>
    </row>
    <row r="61" spans="1:2" x14ac:dyDescent="0.2">
      <c r="A61" t="str">
        <f t="shared" si="0"/>
        <v/>
      </c>
      <c r="B61" t="s">
        <v>167</v>
      </c>
    </row>
    <row r="62" spans="1:2" x14ac:dyDescent="0.2">
      <c r="A62" t="str">
        <f t="shared" si="0"/>
        <v/>
      </c>
      <c r="B62" t="s">
        <v>171</v>
      </c>
    </row>
    <row r="63" spans="1:2" x14ac:dyDescent="0.2">
      <c r="A63" t="str">
        <f t="shared" si="0"/>
        <v/>
      </c>
      <c r="B63" t="s">
        <v>174</v>
      </c>
    </row>
    <row r="64" spans="1:2" x14ac:dyDescent="0.2">
      <c r="A64" t="str">
        <f t="shared" si="0"/>
        <v/>
      </c>
      <c r="B64" t="s">
        <v>177</v>
      </c>
    </row>
    <row r="65" spans="1:2" x14ac:dyDescent="0.2">
      <c r="A65" t="str">
        <f t="shared" si="0"/>
        <v/>
      </c>
      <c r="B65" t="s">
        <v>178</v>
      </c>
    </row>
    <row r="66" spans="1:2" x14ac:dyDescent="0.2">
      <c r="A66" t="str">
        <f t="shared" si="0"/>
        <v/>
      </c>
      <c r="B66" t="s">
        <v>181</v>
      </c>
    </row>
    <row r="67" spans="1:2" x14ac:dyDescent="0.2">
      <c r="A67" t="str">
        <f t="shared" ref="A67:A130" si="1">IF((B67=B66),1,"")</f>
        <v/>
      </c>
      <c r="B67" t="s">
        <v>182</v>
      </c>
    </row>
    <row r="68" spans="1:2" x14ac:dyDescent="0.2">
      <c r="A68" t="str">
        <f t="shared" si="1"/>
        <v/>
      </c>
      <c r="B68" t="s">
        <v>183</v>
      </c>
    </row>
    <row r="69" spans="1:2" x14ac:dyDescent="0.2">
      <c r="A69" t="str">
        <f t="shared" si="1"/>
        <v/>
      </c>
      <c r="B69" t="s">
        <v>184</v>
      </c>
    </row>
    <row r="70" spans="1:2" x14ac:dyDescent="0.2">
      <c r="A70" t="str">
        <f t="shared" si="1"/>
        <v/>
      </c>
      <c r="B70" t="s">
        <v>185</v>
      </c>
    </row>
    <row r="71" spans="1:2" x14ac:dyDescent="0.2">
      <c r="A71" t="str">
        <f t="shared" si="1"/>
        <v/>
      </c>
      <c r="B71" t="s">
        <v>186</v>
      </c>
    </row>
    <row r="72" spans="1:2" x14ac:dyDescent="0.2">
      <c r="A72" t="str">
        <f t="shared" si="1"/>
        <v/>
      </c>
      <c r="B72" t="s">
        <v>187</v>
      </c>
    </row>
    <row r="73" spans="1:2" x14ac:dyDescent="0.2">
      <c r="A73" t="str">
        <f t="shared" si="1"/>
        <v/>
      </c>
      <c r="B73" t="s">
        <v>188</v>
      </c>
    </row>
    <row r="74" spans="1:2" x14ac:dyDescent="0.2">
      <c r="A74" t="str">
        <f t="shared" si="1"/>
        <v/>
      </c>
      <c r="B74" t="s">
        <v>189</v>
      </c>
    </row>
    <row r="75" spans="1:2" x14ac:dyDescent="0.2">
      <c r="A75" t="str">
        <f t="shared" si="1"/>
        <v/>
      </c>
      <c r="B75" t="s">
        <v>192</v>
      </c>
    </row>
    <row r="76" spans="1:2" x14ac:dyDescent="0.2">
      <c r="A76" t="str">
        <f t="shared" si="1"/>
        <v/>
      </c>
      <c r="B76" t="s">
        <v>193</v>
      </c>
    </row>
    <row r="77" spans="1:2" x14ac:dyDescent="0.2">
      <c r="A77" t="str">
        <f t="shared" si="1"/>
        <v/>
      </c>
      <c r="B77" t="s">
        <v>194</v>
      </c>
    </row>
    <row r="78" spans="1:2" x14ac:dyDescent="0.2">
      <c r="A78" t="str">
        <f t="shared" si="1"/>
        <v/>
      </c>
      <c r="B78" t="s">
        <v>197</v>
      </c>
    </row>
    <row r="79" spans="1:2" x14ac:dyDescent="0.2">
      <c r="A79" t="str">
        <f t="shared" si="1"/>
        <v/>
      </c>
      <c r="B79" t="s">
        <v>198</v>
      </c>
    </row>
    <row r="80" spans="1:2" x14ac:dyDescent="0.2">
      <c r="A80" t="str">
        <f t="shared" si="1"/>
        <v/>
      </c>
      <c r="B80" t="s">
        <v>199</v>
      </c>
    </row>
    <row r="81" spans="1:2" x14ac:dyDescent="0.2">
      <c r="A81" t="str">
        <f t="shared" si="1"/>
        <v/>
      </c>
      <c r="B81" t="s">
        <v>202</v>
      </c>
    </row>
    <row r="82" spans="1:2" x14ac:dyDescent="0.2">
      <c r="A82" t="str">
        <f t="shared" si="1"/>
        <v/>
      </c>
      <c r="B82" t="s">
        <v>203</v>
      </c>
    </row>
    <row r="83" spans="1:2" x14ac:dyDescent="0.2">
      <c r="A83" t="str">
        <f t="shared" si="1"/>
        <v/>
      </c>
      <c r="B83" t="s">
        <v>207</v>
      </c>
    </row>
    <row r="84" spans="1:2" x14ac:dyDescent="0.2">
      <c r="A84" t="str">
        <f t="shared" si="1"/>
        <v/>
      </c>
      <c r="B84" t="s">
        <v>208</v>
      </c>
    </row>
    <row r="85" spans="1:2" x14ac:dyDescent="0.2">
      <c r="A85" t="str">
        <f t="shared" si="1"/>
        <v/>
      </c>
      <c r="B85" t="s">
        <v>211</v>
      </c>
    </row>
    <row r="86" spans="1:2" x14ac:dyDescent="0.2">
      <c r="A86" t="str">
        <f t="shared" si="1"/>
        <v/>
      </c>
      <c r="B86" t="s">
        <v>214</v>
      </c>
    </row>
    <row r="87" spans="1:2" x14ac:dyDescent="0.2">
      <c r="A87" t="str">
        <f t="shared" si="1"/>
        <v/>
      </c>
      <c r="B87" t="s">
        <v>217</v>
      </c>
    </row>
    <row r="88" spans="1:2" x14ac:dyDescent="0.2">
      <c r="A88" t="str">
        <f t="shared" si="1"/>
        <v/>
      </c>
      <c r="B88" t="s">
        <v>220</v>
      </c>
    </row>
    <row r="89" spans="1:2" x14ac:dyDescent="0.2">
      <c r="A89" t="str">
        <f t="shared" si="1"/>
        <v/>
      </c>
      <c r="B89" t="s">
        <v>224</v>
      </c>
    </row>
    <row r="90" spans="1:2" x14ac:dyDescent="0.2">
      <c r="A90" t="str">
        <f t="shared" si="1"/>
        <v/>
      </c>
      <c r="B90" t="s">
        <v>227</v>
      </c>
    </row>
    <row r="91" spans="1:2" x14ac:dyDescent="0.2">
      <c r="A91" t="str">
        <f t="shared" si="1"/>
        <v/>
      </c>
      <c r="B91" t="s">
        <v>228</v>
      </c>
    </row>
    <row r="92" spans="1:2" x14ac:dyDescent="0.2">
      <c r="A92" t="str">
        <f t="shared" si="1"/>
        <v/>
      </c>
      <c r="B92" t="s">
        <v>231</v>
      </c>
    </row>
    <row r="93" spans="1:2" x14ac:dyDescent="0.2">
      <c r="A93" t="str">
        <f t="shared" si="1"/>
        <v/>
      </c>
      <c r="B93" t="s">
        <v>234</v>
      </c>
    </row>
    <row r="94" spans="1:2" x14ac:dyDescent="0.2">
      <c r="A94" t="str">
        <f t="shared" si="1"/>
        <v/>
      </c>
      <c r="B94" t="s">
        <v>237</v>
      </c>
    </row>
    <row r="95" spans="1:2" x14ac:dyDescent="0.2">
      <c r="A95" t="str">
        <f t="shared" si="1"/>
        <v/>
      </c>
      <c r="B95" t="s">
        <v>238</v>
      </c>
    </row>
    <row r="96" spans="1:2" x14ac:dyDescent="0.2">
      <c r="A96" t="str">
        <f t="shared" si="1"/>
        <v/>
      </c>
      <c r="B96" t="s">
        <v>239</v>
      </c>
    </row>
    <row r="97" spans="1:2" x14ac:dyDescent="0.2">
      <c r="A97" t="str">
        <f t="shared" si="1"/>
        <v/>
      </c>
      <c r="B97" t="s">
        <v>242</v>
      </c>
    </row>
    <row r="98" spans="1:2" x14ac:dyDescent="0.2">
      <c r="A98" t="str">
        <f t="shared" si="1"/>
        <v/>
      </c>
      <c r="B98" t="s">
        <v>243</v>
      </c>
    </row>
    <row r="99" spans="1:2" x14ac:dyDescent="0.2">
      <c r="A99" t="str">
        <f t="shared" si="1"/>
        <v/>
      </c>
      <c r="B99" t="s">
        <v>246</v>
      </c>
    </row>
    <row r="100" spans="1:2" x14ac:dyDescent="0.2">
      <c r="A100" t="str">
        <f t="shared" si="1"/>
        <v/>
      </c>
      <c r="B100" t="s">
        <v>249</v>
      </c>
    </row>
    <row r="101" spans="1:2" x14ac:dyDescent="0.2">
      <c r="A101" t="str">
        <f t="shared" si="1"/>
        <v/>
      </c>
      <c r="B101" t="s">
        <v>250</v>
      </c>
    </row>
    <row r="102" spans="1:2" x14ac:dyDescent="0.2">
      <c r="A102" t="str">
        <f t="shared" si="1"/>
        <v/>
      </c>
      <c r="B102" t="s">
        <v>251</v>
      </c>
    </row>
    <row r="103" spans="1:2" x14ac:dyDescent="0.2">
      <c r="A103" t="str">
        <f t="shared" si="1"/>
        <v/>
      </c>
      <c r="B103" t="s">
        <v>254</v>
      </c>
    </row>
    <row r="104" spans="1:2" x14ac:dyDescent="0.2">
      <c r="A104" t="str">
        <f t="shared" si="1"/>
        <v/>
      </c>
      <c r="B104" t="s">
        <v>257</v>
      </c>
    </row>
    <row r="105" spans="1:2" x14ac:dyDescent="0.2">
      <c r="A105" t="str">
        <f t="shared" si="1"/>
        <v/>
      </c>
      <c r="B105" t="s">
        <v>260</v>
      </c>
    </row>
    <row r="106" spans="1:2" x14ac:dyDescent="0.2">
      <c r="A106" t="str">
        <f t="shared" si="1"/>
        <v/>
      </c>
      <c r="B106" t="s">
        <v>264</v>
      </c>
    </row>
    <row r="107" spans="1:2" x14ac:dyDescent="0.2">
      <c r="A107" t="str">
        <f t="shared" si="1"/>
        <v/>
      </c>
      <c r="B107" t="s">
        <v>267</v>
      </c>
    </row>
    <row r="108" spans="1:2" x14ac:dyDescent="0.2">
      <c r="A108" t="str">
        <f t="shared" si="1"/>
        <v/>
      </c>
      <c r="B108" t="s">
        <v>270</v>
      </c>
    </row>
    <row r="109" spans="1:2" x14ac:dyDescent="0.2">
      <c r="A109" t="str">
        <f t="shared" si="1"/>
        <v/>
      </c>
      <c r="B109" t="s">
        <v>274</v>
      </c>
    </row>
    <row r="110" spans="1:2" x14ac:dyDescent="0.2">
      <c r="A110" t="str">
        <f t="shared" si="1"/>
        <v/>
      </c>
      <c r="B110" t="s">
        <v>277</v>
      </c>
    </row>
    <row r="111" spans="1:2" x14ac:dyDescent="0.2">
      <c r="A111" t="str">
        <f t="shared" si="1"/>
        <v/>
      </c>
      <c r="B111" t="s">
        <v>278</v>
      </c>
    </row>
    <row r="112" spans="1:2" x14ac:dyDescent="0.2">
      <c r="A112" t="str">
        <f t="shared" si="1"/>
        <v/>
      </c>
      <c r="B112" t="s">
        <v>279</v>
      </c>
    </row>
    <row r="113" spans="1:2" x14ac:dyDescent="0.2">
      <c r="A113" t="str">
        <f t="shared" si="1"/>
        <v/>
      </c>
      <c r="B113" t="s">
        <v>280</v>
      </c>
    </row>
    <row r="114" spans="1:2" x14ac:dyDescent="0.2">
      <c r="A114" t="str">
        <f t="shared" si="1"/>
        <v/>
      </c>
      <c r="B114" t="s">
        <v>281</v>
      </c>
    </row>
    <row r="115" spans="1:2" x14ac:dyDescent="0.2">
      <c r="A115" t="str">
        <f t="shared" si="1"/>
        <v/>
      </c>
      <c r="B115" t="s">
        <v>282</v>
      </c>
    </row>
    <row r="116" spans="1:2" x14ac:dyDescent="0.2">
      <c r="A116" t="str">
        <f t="shared" si="1"/>
        <v/>
      </c>
      <c r="B116" t="s">
        <v>283</v>
      </c>
    </row>
    <row r="117" spans="1:2" x14ac:dyDescent="0.2">
      <c r="A117" t="str">
        <f t="shared" si="1"/>
        <v/>
      </c>
      <c r="B117" t="s">
        <v>284</v>
      </c>
    </row>
    <row r="118" spans="1:2" x14ac:dyDescent="0.2">
      <c r="A118" t="str">
        <f t="shared" si="1"/>
        <v/>
      </c>
      <c r="B118" t="s">
        <v>285</v>
      </c>
    </row>
    <row r="119" spans="1:2" x14ac:dyDescent="0.2">
      <c r="A119" t="str">
        <f t="shared" si="1"/>
        <v/>
      </c>
      <c r="B119" t="s">
        <v>286</v>
      </c>
    </row>
    <row r="120" spans="1:2" x14ac:dyDescent="0.2">
      <c r="A120" t="str">
        <f t="shared" si="1"/>
        <v/>
      </c>
      <c r="B120" t="s">
        <v>287</v>
      </c>
    </row>
    <row r="121" spans="1:2" x14ac:dyDescent="0.2">
      <c r="A121" t="str">
        <f t="shared" si="1"/>
        <v/>
      </c>
      <c r="B121" t="s">
        <v>288</v>
      </c>
    </row>
    <row r="122" spans="1:2" x14ac:dyDescent="0.2">
      <c r="A122" t="str">
        <f t="shared" si="1"/>
        <v/>
      </c>
      <c r="B122" t="s">
        <v>289</v>
      </c>
    </row>
    <row r="123" spans="1:2" x14ac:dyDescent="0.2">
      <c r="A123" t="str">
        <f t="shared" si="1"/>
        <v/>
      </c>
      <c r="B123" t="s">
        <v>293</v>
      </c>
    </row>
    <row r="124" spans="1:2" x14ac:dyDescent="0.2">
      <c r="A124" t="str">
        <f t="shared" si="1"/>
        <v/>
      </c>
      <c r="B124" t="s">
        <v>296</v>
      </c>
    </row>
    <row r="125" spans="1:2" x14ac:dyDescent="0.2">
      <c r="A125" t="str">
        <f t="shared" si="1"/>
        <v/>
      </c>
      <c r="B125" t="s">
        <v>299</v>
      </c>
    </row>
    <row r="126" spans="1:2" x14ac:dyDescent="0.2">
      <c r="A126" t="str">
        <f t="shared" si="1"/>
        <v/>
      </c>
      <c r="B126" t="s">
        <v>302</v>
      </c>
    </row>
    <row r="127" spans="1:2" x14ac:dyDescent="0.2">
      <c r="A127" t="str">
        <f t="shared" si="1"/>
        <v/>
      </c>
      <c r="B127" t="s">
        <v>305</v>
      </c>
    </row>
    <row r="128" spans="1:2" x14ac:dyDescent="0.2">
      <c r="A128" t="str">
        <f t="shared" si="1"/>
        <v/>
      </c>
      <c r="B128" t="s">
        <v>308</v>
      </c>
    </row>
    <row r="129" spans="1:2" x14ac:dyDescent="0.2">
      <c r="A129" t="str">
        <f t="shared" si="1"/>
        <v/>
      </c>
      <c r="B129" t="s">
        <v>311</v>
      </c>
    </row>
    <row r="130" spans="1:2" x14ac:dyDescent="0.2">
      <c r="A130" t="str">
        <f t="shared" si="1"/>
        <v/>
      </c>
      <c r="B130" t="s">
        <v>312</v>
      </c>
    </row>
    <row r="131" spans="1:2" x14ac:dyDescent="0.2">
      <c r="A131" t="str">
        <f t="shared" ref="A131:A194" si="2">IF((B131=B130),1,"")</f>
        <v/>
      </c>
      <c r="B131" t="s">
        <v>315</v>
      </c>
    </row>
    <row r="132" spans="1:2" x14ac:dyDescent="0.2">
      <c r="A132" t="str">
        <f t="shared" si="2"/>
        <v/>
      </c>
      <c r="B132" t="s">
        <v>316</v>
      </c>
    </row>
    <row r="133" spans="1:2" x14ac:dyDescent="0.2">
      <c r="A133" t="str">
        <f t="shared" si="2"/>
        <v/>
      </c>
      <c r="B133" t="s">
        <v>317</v>
      </c>
    </row>
    <row r="134" spans="1:2" x14ac:dyDescent="0.2">
      <c r="A134" t="str">
        <f t="shared" si="2"/>
        <v/>
      </c>
      <c r="B134" t="s">
        <v>318</v>
      </c>
    </row>
    <row r="135" spans="1:2" x14ac:dyDescent="0.2">
      <c r="A135" t="str">
        <f t="shared" si="2"/>
        <v/>
      </c>
      <c r="B135" t="s">
        <v>321</v>
      </c>
    </row>
    <row r="136" spans="1:2" x14ac:dyDescent="0.2">
      <c r="A136" t="str">
        <f t="shared" si="2"/>
        <v/>
      </c>
      <c r="B136" t="s">
        <v>324</v>
      </c>
    </row>
    <row r="137" spans="1:2" x14ac:dyDescent="0.2">
      <c r="A137" t="str">
        <f t="shared" si="2"/>
        <v/>
      </c>
      <c r="B137" t="s">
        <v>327</v>
      </c>
    </row>
    <row r="138" spans="1:2" x14ac:dyDescent="0.2">
      <c r="A138" t="str">
        <f t="shared" si="2"/>
        <v/>
      </c>
      <c r="B138" t="s">
        <v>328</v>
      </c>
    </row>
    <row r="139" spans="1:2" x14ac:dyDescent="0.2">
      <c r="A139" t="str">
        <f t="shared" si="2"/>
        <v/>
      </c>
      <c r="B139" t="s">
        <v>331</v>
      </c>
    </row>
    <row r="140" spans="1:2" x14ac:dyDescent="0.2">
      <c r="A140" t="str">
        <f t="shared" si="2"/>
        <v/>
      </c>
      <c r="B140" t="s">
        <v>334</v>
      </c>
    </row>
    <row r="141" spans="1:2" x14ac:dyDescent="0.2">
      <c r="A141" t="str">
        <f t="shared" si="2"/>
        <v/>
      </c>
      <c r="B141" t="s">
        <v>340</v>
      </c>
    </row>
    <row r="142" spans="1:2" x14ac:dyDescent="0.2">
      <c r="A142" t="str">
        <f t="shared" si="2"/>
        <v/>
      </c>
      <c r="B142" t="s">
        <v>343</v>
      </c>
    </row>
    <row r="143" spans="1:2" x14ac:dyDescent="0.2">
      <c r="A143" t="str">
        <f t="shared" si="2"/>
        <v/>
      </c>
      <c r="B143" t="s">
        <v>346</v>
      </c>
    </row>
    <row r="144" spans="1:2" x14ac:dyDescent="0.2">
      <c r="A144" t="str">
        <f t="shared" si="2"/>
        <v/>
      </c>
      <c r="B144" t="s">
        <v>3203</v>
      </c>
    </row>
    <row r="145" spans="1:2" x14ac:dyDescent="0.2">
      <c r="A145" t="str">
        <f t="shared" si="2"/>
        <v/>
      </c>
      <c r="B145" t="s">
        <v>3204</v>
      </c>
    </row>
    <row r="146" spans="1:2" x14ac:dyDescent="0.2">
      <c r="A146" t="str">
        <f t="shared" si="2"/>
        <v/>
      </c>
      <c r="B146" t="s">
        <v>354</v>
      </c>
    </row>
    <row r="147" spans="1:2" x14ac:dyDescent="0.2">
      <c r="A147" t="str">
        <f t="shared" si="2"/>
        <v/>
      </c>
      <c r="B147" t="s">
        <v>355</v>
      </c>
    </row>
    <row r="148" spans="1:2" x14ac:dyDescent="0.2">
      <c r="A148" t="str">
        <f t="shared" si="2"/>
        <v/>
      </c>
      <c r="B148" t="s">
        <v>358</v>
      </c>
    </row>
    <row r="149" spans="1:2" x14ac:dyDescent="0.2">
      <c r="A149" t="str">
        <f t="shared" si="2"/>
        <v/>
      </c>
      <c r="B149" t="s">
        <v>361</v>
      </c>
    </row>
    <row r="150" spans="1:2" x14ac:dyDescent="0.2">
      <c r="A150" t="str">
        <f t="shared" si="2"/>
        <v/>
      </c>
      <c r="B150" t="s">
        <v>365</v>
      </c>
    </row>
    <row r="151" spans="1:2" x14ac:dyDescent="0.2">
      <c r="A151" t="str">
        <f t="shared" si="2"/>
        <v/>
      </c>
      <c r="B151" t="s">
        <v>368</v>
      </c>
    </row>
    <row r="152" spans="1:2" x14ac:dyDescent="0.2">
      <c r="A152" t="str">
        <f t="shared" si="2"/>
        <v/>
      </c>
      <c r="B152" t="s">
        <v>371</v>
      </c>
    </row>
    <row r="153" spans="1:2" x14ac:dyDescent="0.2">
      <c r="A153" t="str">
        <f t="shared" si="2"/>
        <v/>
      </c>
      <c r="B153" t="s">
        <v>372</v>
      </c>
    </row>
    <row r="154" spans="1:2" x14ac:dyDescent="0.2">
      <c r="A154" t="str">
        <f t="shared" si="2"/>
        <v/>
      </c>
      <c r="B154" t="s">
        <v>375</v>
      </c>
    </row>
    <row r="155" spans="1:2" x14ac:dyDescent="0.2">
      <c r="A155" t="str">
        <f t="shared" si="2"/>
        <v/>
      </c>
      <c r="B155" t="s">
        <v>378</v>
      </c>
    </row>
    <row r="156" spans="1:2" x14ac:dyDescent="0.2">
      <c r="A156" t="str">
        <f t="shared" si="2"/>
        <v/>
      </c>
      <c r="B156" t="s">
        <v>382</v>
      </c>
    </row>
    <row r="157" spans="1:2" x14ac:dyDescent="0.2">
      <c r="A157" t="str">
        <f t="shared" si="2"/>
        <v/>
      </c>
      <c r="B157" t="s">
        <v>385</v>
      </c>
    </row>
    <row r="158" spans="1:2" x14ac:dyDescent="0.2">
      <c r="A158" t="str">
        <f t="shared" si="2"/>
        <v/>
      </c>
      <c r="B158" t="s">
        <v>386</v>
      </c>
    </row>
    <row r="159" spans="1:2" x14ac:dyDescent="0.2">
      <c r="A159" t="str">
        <f t="shared" si="2"/>
        <v/>
      </c>
      <c r="B159" t="s">
        <v>389</v>
      </c>
    </row>
    <row r="160" spans="1:2" x14ac:dyDescent="0.2">
      <c r="A160" t="str">
        <f t="shared" si="2"/>
        <v/>
      </c>
      <c r="B160" t="s">
        <v>390</v>
      </c>
    </row>
    <row r="161" spans="1:2" x14ac:dyDescent="0.2">
      <c r="A161" t="str">
        <f t="shared" si="2"/>
        <v/>
      </c>
      <c r="B161" t="s">
        <v>393</v>
      </c>
    </row>
    <row r="162" spans="1:2" x14ac:dyDescent="0.2">
      <c r="A162" t="str">
        <f t="shared" si="2"/>
        <v/>
      </c>
      <c r="B162" t="s">
        <v>396</v>
      </c>
    </row>
    <row r="163" spans="1:2" x14ac:dyDescent="0.2">
      <c r="A163" t="str">
        <f t="shared" si="2"/>
        <v/>
      </c>
      <c r="B163" t="s">
        <v>400</v>
      </c>
    </row>
    <row r="164" spans="1:2" x14ac:dyDescent="0.2">
      <c r="A164" t="str">
        <f t="shared" si="2"/>
        <v/>
      </c>
      <c r="B164" t="s">
        <v>404</v>
      </c>
    </row>
    <row r="165" spans="1:2" x14ac:dyDescent="0.2">
      <c r="A165" t="str">
        <f t="shared" si="2"/>
        <v/>
      </c>
      <c r="B165" t="s">
        <v>405</v>
      </c>
    </row>
    <row r="166" spans="1:2" x14ac:dyDescent="0.2">
      <c r="A166" t="str">
        <f t="shared" si="2"/>
        <v/>
      </c>
      <c r="B166" t="s">
        <v>408</v>
      </c>
    </row>
    <row r="167" spans="1:2" x14ac:dyDescent="0.2">
      <c r="A167" t="str">
        <f t="shared" si="2"/>
        <v/>
      </c>
      <c r="B167" t="s">
        <v>411</v>
      </c>
    </row>
    <row r="168" spans="1:2" x14ac:dyDescent="0.2">
      <c r="A168" t="str">
        <f t="shared" si="2"/>
        <v/>
      </c>
      <c r="B168" t="s">
        <v>414</v>
      </c>
    </row>
    <row r="169" spans="1:2" x14ac:dyDescent="0.2">
      <c r="A169" t="str">
        <f t="shared" si="2"/>
        <v/>
      </c>
      <c r="B169" t="s">
        <v>415</v>
      </c>
    </row>
    <row r="170" spans="1:2" x14ac:dyDescent="0.2">
      <c r="A170" t="str">
        <f t="shared" si="2"/>
        <v/>
      </c>
      <c r="B170" t="s">
        <v>419</v>
      </c>
    </row>
    <row r="171" spans="1:2" x14ac:dyDescent="0.2">
      <c r="A171" t="str">
        <f t="shared" si="2"/>
        <v/>
      </c>
      <c r="B171" t="s">
        <v>420</v>
      </c>
    </row>
    <row r="172" spans="1:2" x14ac:dyDescent="0.2">
      <c r="A172" t="str">
        <f t="shared" si="2"/>
        <v/>
      </c>
      <c r="B172" t="s">
        <v>423</v>
      </c>
    </row>
    <row r="173" spans="1:2" x14ac:dyDescent="0.2">
      <c r="A173" t="str">
        <f t="shared" si="2"/>
        <v/>
      </c>
      <c r="B173" t="s">
        <v>424</v>
      </c>
    </row>
    <row r="174" spans="1:2" x14ac:dyDescent="0.2">
      <c r="A174" t="str">
        <f t="shared" si="2"/>
        <v/>
      </c>
      <c r="B174" t="s">
        <v>427</v>
      </c>
    </row>
    <row r="175" spans="1:2" x14ac:dyDescent="0.2">
      <c r="A175" t="str">
        <f t="shared" si="2"/>
        <v/>
      </c>
      <c r="B175" t="s">
        <v>432</v>
      </c>
    </row>
    <row r="176" spans="1:2" x14ac:dyDescent="0.2">
      <c r="A176" t="str">
        <f t="shared" si="2"/>
        <v/>
      </c>
      <c r="B176" t="s">
        <v>435</v>
      </c>
    </row>
    <row r="177" spans="1:2" x14ac:dyDescent="0.2">
      <c r="A177" t="str">
        <f t="shared" si="2"/>
        <v/>
      </c>
      <c r="B177" t="s">
        <v>438</v>
      </c>
    </row>
    <row r="178" spans="1:2" x14ac:dyDescent="0.2">
      <c r="A178" t="str">
        <f t="shared" si="2"/>
        <v/>
      </c>
      <c r="B178" t="s">
        <v>440</v>
      </c>
    </row>
    <row r="179" spans="1:2" x14ac:dyDescent="0.2">
      <c r="A179" t="str">
        <f t="shared" si="2"/>
        <v/>
      </c>
      <c r="B179" t="s">
        <v>443</v>
      </c>
    </row>
    <row r="180" spans="1:2" x14ac:dyDescent="0.2">
      <c r="A180" t="str">
        <f t="shared" si="2"/>
        <v/>
      </c>
      <c r="B180" t="s">
        <v>447</v>
      </c>
    </row>
    <row r="181" spans="1:2" x14ac:dyDescent="0.2">
      <c r="A181" t="str">
        <f t="shared" si="2"/>
        <v/>
      </c>
      <c r="B181" t="s">
        <v>450</v>
      </c>
    </row>
    <row r="182" spans="1:2" x14ac:dyDescent="0.2">
      <c r="A182" t="str">
        <f t="shared" si="2"/>
        <v/>
      </c>
      <c r="B182" t="s">
        <v>453</v>
      </c>
    </row>
    <row r="183" spans="1:2" x14ac:dyDescent="0.2">
      <c r="A183" t="str">
        <f t="shared" si="2"/>
        <v/>
      </c>
      <c r="B183" t="s">
        <v>454</v>
      </c>
    </row>
    <row r="184" spans="1:2" x14ac:dyDescent="0.2">
      <c r="A184" t="str">
        <f t="shared" si="2"/>
        <v/>
      </c>
      <c r="B184" t="s">
        <v>455</v>
      </c>
    </row>
    <row r="185" spans="1:2" x14ac:dyDescent="0.2">
      <c r="A185" t="str">
        <f t="shared" si="2"/>
        <v/>
      </c>
      <c r="B185" t="s">
        <v>456</v>
      </c>
    </row>
    <row r="186" spans="1:2" x14ac:dyDescent="0.2">
      <c r="A186" t="str">
        <f t="shared" si="2"/>
        <v/>
      </c>
      <c r="B186" t="s">
        <v>457</v>
      </c>
    </row>
    <row r="187" spans="1:2" x14ac:dyDescent="0.2">
      <c r="A187" t="str">
        <f t="shared" si="2"/>
        <v/>
      </c>
      <c r="B187" t="s">
        <v>460</v>
      </c>
    </row>
    <row r="188" spans="1:2" x14ac:dyDescent="0.2">
      <c r="A188" t="str">
        <f t="shared" si="2"/>
        <v/>
      </c>
      <c r="B188" t="s">
        <v>463</v>
      </c>
    </row>
    <row r="189" spans="1:2" x14ac:dyDescent="0.2">
      <c r="A189" t="str">
        <f t="shared" si="2"/>
        <v/>
      </c>
      <c r="B189" t="s">
        <v>464</v>
      </c>
    </row>
    <row r="190" spans="1:2" x14ac:dyDescent="0.2">
      <c r="A190" t="str">
        <f t="shared" si="2"/>
        <v/>
      </c>
      <c r="B190" t="s">
        <v>465</v>
      </c>
    </row>
    <row r="191" spans="1:2" x14ac:dyDescent="0.2">
      <c r="A191" t="str">
        <f t="shared" si="2"/>
        <v/>
      </c>
      <c r="B191" t="s">
        <v>469</v>
      </c>
    </row>
    <row r="192" spans="1:2" x14ac:dyDescent="0.2">
      <c r="A192" t="str">
        <f t="shared" si="2"/>
        <v/>
      </c>
      <c r="B192" t="s">
        <v>473</v>
      </c>
    </row>
    <row r="193" spans="1:2" x14ac:dyDescent="0.2">
      <c r="A193" t="str">
        <f t="shared" si="2"/>
        <v/>
      </c>
      <c r="B193" t="s">
        <v>476</v>
      </c>
    </row>
    <row r="194" spans="1:2" x14ac:dyDescent="0.2">
      <c r="A194" t="str">
        <f t="shared" si="2"/>
        <v/>
      </c>
      <c r="B194" t="s">
        <v>477</v>
      </c>
    </row>
    <row r="195" spans="1:2" x14ac:dyDescent="0.2">
      <c r="A195" t="str">
        <f t="shared" ref="A195:A232" si="3">IF((B195=B194),1,"")</f>
        <v/>
      </c>
      <c r="B195" t="s">
        <v>478</v>
      </c>
    </row>
    <row r="196" spans="1:2" x14ac:dyDescent="0.2">
      <c r="A196" t="str">
        <f t="shared" si="3"/>
        <v/>
      </c>
      <c r="B196" t="s">
        <v>481</v>
      </c>
    </row>
    <row r="197" spans="1:2" x14ac:dyDescent="0.2">
      <c r="A197" t="str">
        <f t="shared" si="3"/>
        <v/>
      </c>
      <c r="B197" t="s">
        <v>3196</v>
      </c>
    </row>
    <row r="198" spans="1:2" x14ac:dyDescent="0.2">
      <c r="A198" t="str">
        <f t="shared" si="3"/>
        <v/>
      </c>
      <c r="B198" t="s">
        <v>3197</v>
      </c>
    </row>
    <row r="199" spans="1:2" x14ac:dyDescent="0.2">
      <c r="A199" t="str">
        <f t="shared" si="3"/>
        <v/>
      </c>
      <c r="B199" t="s">
        <v>3198</v>
      </c>
    </row>
    <row r="200" spans="1:2" x14ac:dyDescent="0.2">
      <c r="A200" t="str">
        <f t="shared" si="3"/>
        <v/>
      </c>
      <c r="B200" t="s">
        <v>3199</v>
      </c>
    </row>
    <row r="201" spans="1:2" x14ac:dyDescent="0.2">
      <c r="A201" t="str">
        <f t="shared" si="3"/>
        <v/>
      </c>
      <c r="B201" t="s">
        <v>3200</v>
      </c>
    </row>
    <row r="202" spans="1:2" x14ac:dyDescent="0.2">
      <c r="A202" t="str">
        <f t="shared" si="3"/>
        <v/>
      </c>
      <c r="B202" t="s">
        <v>3201</v>
      </c>
    </row>
    <row r="203" spans="1:2" x14ac:dyDescent="0.2">
      <c r="A203" t="str">
        <f t="shared" si="3"/>
        <v/>
      </c>
      <c r="B203" t="s">
        <v>3202</v>
      </c>
    </row>
    <row r="204" spans="1:2" x14ac:dyDescent="0.2">
      <c r="A204" t="str">
        <f t="shared" si="3"/>
        <v/>
      </c>
      <c r="B204" t="s">
        <v>504</v>
      </c>
    </row>
    <row r="205" spans="1:2" x14ac:dyDescent="0.2">
      <c r="A205" t="str">
        <f t="shared" si="3"/>
        <v/>
      </c>
      <c r="B205" t="s">
        <v>508</v>
      </c>
    </row>
    <row r="206" spans="1:2" x14ac:dyDescent="0.2">
      <c r="A206" t="str">
        <f t="shared" si="3"/>
        <v/>
      </c>
      <c r="B206" t="s">
        <v>512</v>
      </c>
    </row>
    <row r="207" spans="1:2" x14ac:dyDescent="0.2">
      <c r="A207" t="str">
        <f t="shared" si="3"/>
        <v/>
      </c>
      <c r="B207" t="s">
        <v>516</v>
      </c>
    </row>
    <row r="208" spans="1:2" x14ac:dyDescent="0.2">
      <c r="A208" t="str">
        <f t="shared" si="3"/>
        <v/>
      </c>
      <c r="B208" t="s">
        <v>517</v>
      </c>
    </row>
    <row r="209" spans="1:2" x14ac:dyDescent="0.2">
      <c r="A209" t="str">
        <f t="shared" si="3"/>
        <v/>
      </c>
      <c r="B209" t="s">
        <v>521</v>
      </c>
    </row>
    <row r="210" spans="1:2" x14ac:dyDescent="0.2">
      <c r="A210" t="str">
        <f t="shared" si="3"/>
        <v/>
      </c>
      <c r="B210" t="s">
        <v>525</v>
      </c>
    </row>
    <row r="211" spans="1:2" x14ac:dyDescent="0.2">
      <c r="A211" t="str">
        <f t="shared" si="3"/>
        <v/>
      </c>
      <c r="B211" t="s">
        <v>528</v>
      </c>
    </row>
    <row r="212" spans="1:2" x14ac:dyDescent="0.2">
      <c r="A212" t="str">
        <f t="shared" si="3"/>
        <v/>
      </c>
      <c r="B212" t="s">
        <v>531</v>
      </c>
    </row>
    <row r="213" spans="1:2" x14ac:dyDescent="0.2">
      <c r="A213" t="str">
        <f t="shared" si="3"/>
        <v/>
      </c>
      <c r="B213" t="s">
        <v>532</v>
      </c>
    </row>
    <row r="214" spans="1:2" x14ac:dyDescent="0.2">
      <c r="A214" t="str">
        <f t="shared" si="3"/>
        <v/>
      </c>
      <c r="B214" t="s">
        <v>536</v>
      </c>
    </row>
    <row r="215" spans="1:2" x14ac:dyDescent="0.2">
      <c r="A215" t="str">
        <f t="shared" si="3"/>
        <v/>
      </c>
      <c r="B215" t="s">
        <v>539</v>
      </c>
    </row>
    <row r="216" spans="1:2" x14ac:dyDescent="0.2">
      <c r="A216" t="str">
        <f t="shared" si="3"/>
        <v/>
      </c>
      <c r="B216" t="s">
        <v>540</v>
      </c>
    </row>
    <row r="217" spans="1:2" x14ac:dyDescent="0.2">
      <c r="A217" t="str">
        <f t="shared" si="3"/>
        <v/>
      </c>
      <c r="B217" t="s">
        <v>543</v>
      </c>
    </row>
    <row r="218" spans="1:2" x14ac:dyDescent="0.2">
      <c r="A218" t="str">
        <f t="shared" si="3"/>
        <v/>
      </c>
      <c r="B218" t="s">
        <v>544</v>
      </c>
    </row>
    <row r="219" spans="1:2" x14ac:dyDescent="0.2">
      <c r="A219" t="str">
        <f t="shared" si="3"/>
        <v/>
      </c>
      <c r="B219" t="s">
        <v>545</v>
      </c>
    </row>
    <row r="220" spans="1:2" x14ac:dyDescent="0.2">
      <c r="A220" t="str">
        <f t="shared" si="3"/>
        <v/>
      </c>
      <c r="B220" t="s">
        <v>546</v>
      </c>
    </row>
    <row r="221" spans="1:2" x14ac:dyDescent="0.2">
      <c r="A221" t="str">
        <f t="shared" si="3"/>
        <v/>
      </c>
      <c r="B221" t="s">
        <v>547</v>
      </c>
    </row>
    <row r="222" spans="1:2" x14ac:dyDescent="0.2">
      <c r="A222" t="str">
        <f t="shared" si="3"/>
        <v/>
      </c>
      <c r="B222" t="s">
        <v>548</v>
      </c>
    </row>
    <row r="223" spans="1:2" x14ac:dyDescent="0.2">
      <c r="A223" t="str">
        <f t="shared" si="3"/>
        <v/>
      </c>
      <c r="B223" t="s">
        <v>549</v>
      </c>
    </row>
    <row r="224" spans="1:2" x14ac:dyDescent="0.2">
      <c r="A224" t="str">
        <f t="shared" si="3"/>
        <v/>
      </c>
      <c r="B224" t="s">
        <v>550</v>
      </c>
    </row>
    <row r="225" spans="1:2" x14ac:dyDescent="0.2">
      <c r="A225" t="str">
        <f t="shared" si="3"/>
        <v/>
      </c>
      <c r="B225" t="s">
        <v>553</v>
      </c>
    </row>
    <row r="226" spans="1:2" x14ac:dyDescent="0.2">
      <c r="A226" t="str">
        <f t="shared" si="3"/>
        <v/>
      </c>
      <c r="B226" t="s">
        <v>556</v>
      </c>
    </row>
    <row r="227" spans="1:2" x14ac:dyDescent="0.2">
      <c r="A227" t="str">
        <f t="shared" si="3"/>
        <v/>
      </c>
      <c r="B227" t="s">
        <v>559</v>
      </c>
    </row>
    <row r="228" spans="1:2" x14ac:dyDescent="0.2">
      <c r="A228" t="str">
        <f t="shared" si="3"/>
        <v/>
      </c>
      <c r="B228" t="s">
        <v>562</v>
      </c>
    </row>
    <row r="229" spans="1:2" x14ac:dyDescent="0.2">
      <c r="A229" t="str">
        <f t="shared" si="3"/>
        <v/>
      </c>
      <c r="B229" t="s">
        <v>565</v>
      </c>
    </row>
    <row r="230" spans="1:2" x14ac:dyDescent="0.2">
      <c r="A230" t="str">
        <f t="shared" si="3"/>
        <v/>
      </c>
      <c r="B230" t="s">
        <v>568</v>
      </c>
    </row>
    <row r="231" spans="1:2" x14ac:dyDescent="0.2">
      <c r="A231" t="str">
        <f t="shared" si="3"/>
        <v/>
      </c>
      <c r="B231" t="s">
        <v>572</v>
      </c>
    </row>
    <row r="232" spans="1:2" x14ac:dyDescent="0.2">
      <c r="A232" t="str">
        <f t="shared" si="3"/>
        <v/>
      </c>
      <c r="B232" t="s">
        <v>575</v>
      </c>
    </row>
  </sheetData>
  <sortState ref="B2:B233">
    <sortCondition ref="B2:B23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D1"/>
  <sheetViews>
    <sheetView workbookViewId="0"/>
  </sheetViews>
  <sheetFormatPr defaultRowHeight="14.25" x14ac:dyDescent="0.2"/>
  <cols>
    <col min="2" max="2" width="10.125" customWidth="1"/>
    <col min="3" max="3" width="12.75" customWidth="1"/>
  </cols>
  <sheetData>
    <row r="1" spans="1:4" x14ac:dyDescent="0.2">
      <c r="A1" t="s">
        <v>2868</v>
      </c>
      <c r="B1" t="s">
        <v>2880</v>
      </c>
      <c r="C1" t="s">
        <v>2881</v>
      </c>
      <c r="D1" t="s">
        <v>2882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Table of Base Units</vt:lpstr>
      <vt:lpstr>Table of Customary Units</vt:lpstr>
      <vt:lpstr>Notes</vt:lpstr>
      <vt:lpstr>Extract</vt:lpstr>
      <vt:lpstr>CoreSI</vt:lpstr>
      <vt:lpstr>ParamPopularity</vt:lpstr>
      <vt:lpstr>tblInfo</vt:lpstr>
      <vt:lpstr>tblParamTypes</vt:lpstr>
      <vt:lpstr>tblUOM</vt:lpstr>
      <vt:lpstr>Sheet1</vt:lpstr>
      <vt:lpstr>tblUomParts</vt:lpstr>
      <vt:lpstr>rngBaseUnits</vt:lpstr>
      <vt:lpstr>rngCoreUom</vt:lpstr>
      <vt:lpstr>rngCustomaryUnits</vt:lpstr>
      <vt:lpstr>rngHdrParamTypes</vt:lpstr>
      <vt:lpstr>rngParamPopularity</vt:lpstr>
      <vt:lpstr>rngParamTypes</vt:lpstr>
      <vt:lpstr>rngUOM</vt:lpstr>
    </vt:vector>
  </TitlesOfParts>
  <Company>KBC Process Technology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 Waters</dc:creator>
  <cp:lastModifiedBy>Antw</cp:lastModifiedBy>
  <dcterms:created xsi:type="dcterms:W3CDTF">2013-09-02T13:51:31Z</dcterms:created>
  <dcterms:modified xsi:type="dcterms:W3CDTF">2018-01-05T21:55:19Z</dcterms:modified>
</cp:coreProperties>
</file>